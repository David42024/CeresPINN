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ml.chartshapes+xml"/>
  <Override PartName="/xl/charts/chart3.xml" ContentType="application/vnd.openxmlformats-officedocument.drawingml.chart+xml"/>
  <Override PartName="/xl/drawings/drawing5.xml" ContentType="application/vnd.openxmlformats-officedocument.drawingml.chartshapes+xml"/>
  <Override PartName="/xl/charts/chart4.xml" ContentType="application/vnd.openxmlformats-officedocument.drawingml.chart+xml"/>
  <Override PartName="/xl/drawings/drawing6.xml" ContentType="application/vnd.openxmlformats-officedocument.drawingml.chartshapes+xml"/>
  <Override PartName="/xl/charts/chart5.xml" ContentType="application/vnd.openxmlformats-officedocument.drawingml.chart+xml"/>
  <Override PartName="/xl/drawings/drawing7.xml" ContentType="application/vnd.openxmlformats-officedocument.drawingml.chartshapes+xml"/>
  <Override PartName="/xl/charts/chart6.xml" ContentType="application/vnd.openxmlformats-officedocument.drawingml.chart+xml"/>
  <Override PartName="/xl/drawings/drawing8.xml" ContentType="application/vnd.openxmlformats-officedocument.drawingml.chartshapes+xml"/>
  <Override PartName="/xl/charts/chart7.xml" ContentType="application/vnd.openxmlformats-officedocument.drawingml.chart+xml"/>
  <Override PartName="/xl/drawings/drawing9.xml" ContentType="application/vnd.openxmlformats-officedocument.drawingml.chartshapes+xml"/>
  <Override PartName="/xl/charts/chart8.xml" ContentType="application/vnd.openxmlformats-officedocument.drawingml.chart+xml"/>
  <Override PartName="/xl/drawings/drawing10.xml" ContentType="application/vnd.openxmlformats-officedocument.drawingml.chartshapes+xml"/>
  <Override PartName="/xl/charts/chart9.xml" ContentType="application/vnd.openxmlformats-officedocument.drawingml.chart+xml"/>
  <Override PartName="/xl/drawings/drawing11.xml" ContentType="application/vnd.openxmlformats-officedocument.drawingml.chartshapes+xml"/>
  <Override PartName="/xl/charts/chart10.xml" ContentType="application/vnd.openxmlformats-officedocument.drawingml.chart+xml"/>
  <Override PartName="/xl/drawings/drawing12.xml" ContentType="application/vnd.openxmlformats-officedocument.drawingml.chartshapes+xml"/>
  <Override PartName="/xl/charts/chart11.xml" ContentType="application/vnd.openxmlformats-officedocument.drawingml.chart+xml"/>
  <Override PartName="/xl/drawings/drawing13.xml" ContentType="application/vnd.openxmlformats-officedocument.drawingml.chartshapes+xml"/>
  <Override PartName="/xl/charts/chart12.xml" ContentType="application/vnd.openxmlformats-officedocument.drawingml.chart+xml"/>
  <Override PartName="/xl/drawings/drawing14.xml" ContentType="application/vnd.openxmlformats-officedocument.drawingml.chartshapes+xml"/>
  <Override PartName="/xl/charts/chart13.xml" ContentType="application/vnd.openxmlformats-officedocument.drawingml.chart+xml"/>
  <Override PartName="/xl/drawings/drawing15.xml" ContentType="application/vnd.openxmlformats-officedocument.drawingml.chartshapes+xml"/>
  <Override PartName="/xl/charts/chart14.xml" ContentType="application/vnd.openxmlformats-officedocument.drawingml.chart+xml"/>
  <Override PartName="/xl/drawings/drawing16.xml" ContentType="application/vnd.openxmlformats-officedocument.drawingml.chartshapes+xml"/>
  <Override PartName="/xl/charts/chart15.xml" ContentType="application/vnd.openxmlformats-officedocument.drawingml.chart+xml"/>
  <Override PartName="/xl/drawings/drawing17.xml" ContentType="application/vnd.openxmlformats-officedocument.drawingml.chartshapes+xml"/>
  <Override PartName="/xl/charts/chart16.xml" ContentType="application/vnd.openxmlformats-officedocument.drawingml.chart+xml"/>
  <Override PartName="/xl/drawings/drawing18.xml" ContentType="application/vnd.openxmlformats-officedocument.drawingml.chartshapes+xml"/>
  <Override PartName="/xl/charts/chart17.xml" ContentType="application/vnd.openxmlformats-officedocument.drawingml.chart+xml"/>
  <Override PartName="/xl/drawings/drawing19.xml" ContentType="application/vnd.openxmlformats-officedocument.drawingml.chartshapes+xml"/>
  <Override PartName="/xl/charts/chart18.xml" ContentType="application/vnd.openxmlformats-officedocument.drawingml.chart+xml"/>
  <Override PartName="/xl/drawings/drawing20.xml" ContentType="application/vnd.openxmlformats-officedocument.drawingml.chartshapes+xml"/>
  <Override PartName="/xl/charts/chart19.xml" ContentType="application/vnd.openxmlformats-officedocument.drawingml.chart+xml"/>
  <Override PartName="/xl/drawings/drawing21.xml" ContentType="application/vnd.openxmlformats-officedocument.drawingml.chartshapes+xml"/>
  <Override PartName="/xl/charts/chart20.xml" ContentType="application/vnd.openxmlformats-officedocument.drawingml.chart+xml"/>
  <Override PartName="/xl/drawings/drawing22.xml" ContentType="application/vnd.openxmlformats-officedocument.drawingml.chartshapes+xml"/>
  <Override PartName="/xl/charts/chart21.xml" ContentType="application/vnd.openxmlformats-officedocument.drawingml.chart+xml"/>
  <Override PartName="/xl/drawings/drawing23.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codeName="ThisWorkbook" defaultThemeVersion="124226"/>
  <mc:AlternateContent xmlns:mc="http://schemas.openxmlformats.org/markup-compatibility/2006">
    <mc:Choice Requires="x15">
      <x15ac:absPath xmlns:x15ac="http://schemas.microsoft.com/office/spreadsheetml/2010/11/ac" url="C:\WPDOCS\RES\Lysimeters\Final\Ag_Data_Commons\Soil-water_FINAL\"/>
    </mc:Choice>
  </mc:AlternateContent>
  <xr:revisionPtr revIDLastSave="0" documentId="13_ncr:1_{78DBA2A3-07B5-42FC-ADE4-9B278F29E9D6}" xr6:coauthVersionLast="46" xr6:coauthVersionMax="46" xr10:uidLastSave="{00000000-0000-0000-0000-000000000000}"/>
  <bookViews>
    <workbookView xWindow="-108" yWindow="-108" windowWidth="23256" windowHeight="13404" tabRatio="847" firstSheet="1" activeTab="5" xr2:uid="{00000000-000D-0000-FFFF-FFFF00000000}"/>
  </bookViews>
  <sheets>
    <sheet name="2013 E Maize VWC Introduction" sheetId="56" r:id="rId1"/>
    <sheet name="DIc. 2013 E Maize Profile WC" sheetId="57" r:id="rId2"/>
    <sheet name="2013 E Maize Profile WC" sheetId="58" r:id="rId3"/>
    <sheet name="Dic. 2013 E Maize Soil VWC" sheetId="59" r:id="rId4"/>
    <sheet name="2013 E Maize Soil VWC" sheetId="60" r:id="rId5"/>
    <sheet name="Dic. 2013 E Maize Tube Map" sheetId="62" r:id="rId6"/>
    <sheet name="2013 E Maize Tube Map" sheetId="34" r:id="rId7"/>
    <sheet name="2013 E Maize VWC Graphs" sheetId="61"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L188" i="61" l="1"/>
  <c r="BK188" i="61"/>
  <c r="BJ188" i="61"/>
  <c r="BI188" i="61"/>
  <c r="BH188" i="61"/>
  <c r="BG188" i="61"/>
  <c r="BF188" i="61"/>
  <c r="BE188" i="61"/>
  <c r="BD188" i="61"/>
  <c r="BC188" i="61"/>
  <c r="BB188" i="61"/>
  <c r="BA188" i="61"/>
  <c r="AZ188" i="61"/>
  <c r="AY188" i="61"/>
  <c r="AX188" i="61"/>
  <c r="AW188" i="61"/>
  <c r="BL175" i="61"/>
  <c r="BK175" i="61"/>
  <c r="BJ175" i="61"/>
  <c r="BI175" i="61"/>
  <c r="BH175" i="61"/>
  <c r="BG175" i="61"/>
  <c r="BF175" i="61"/>
  <c r="BE175" i="61"/>
  <c r="BD175" i="61"/>
  <c r="BC175" i="61"/>
  <c r="BB175" i="61"/>
  <c r="BA175" i="61"/>
  <c r="AZ175" i="61"/>
  <c r="AY175" i="61"/>
  <c r="AX175" i="61"/>
  <c r="BV19" i="61" s="1"/>
  <c r="AW175" i="61"/>
  <c r="BL162" i="61"/>
  <c r="BK162" i="61"/>
  <c r="BJ162" i="61"/>
  <c r="BI162" i="61"/>
  <c r="BH162" i="61"/>
  <c r="BG162" i="61"/>
  <c r="BF162" i="61"/>
  <c r="BE162" i="61"/>
  <c r="BD162" i="61"/>
  <c r="BC162" i="61"/>
  <c r="BB162" i="61"/>
  <c r="BA162" i="61"/>
  <c r="AZ162" i="61"/>
  <c r="AY162" i="61"/>
  <c r="AX162" i="61"/>
  <c r="AW162" i="61"/>
  <c r="BL149" i="61"/>
  <c r="BK149" i="61"/>
  <c r="BJ149" i="61"/>
  <c r="BI149" i="61"/>
  <c r="BH149" i="61"/>
  <c r="BG149" i="61"/>
  <c r="BF149" i="61"/>
  <c r="BE149" i="61"/>
  <c r="BD149" i="61"/>
  <c r="BC149" i="61"/>
  <c r="BB149" i="61"/>
  <c r="BA149" i="61"/>
  <c r="BQ17" i="61" s="1"/>
  <c r="AZ149" i="61"/>
  <c r="AY149" i="61"/>
  <c r="AX149" i="61"/>
  <c r="AW149" i="61"/>
  <c r="BL136" i="61"/>
  <c r="BK136" i="61"/>
  <c r="BJ136" i="61"/>
  <c r="BI136" i="61"/>
  <c r="BH136" i="61"/>
  <c r="BG136" i="61"/>
  <c r="BF136" i="61"/>
  <c r="BE136" i="61"/>
  <c r="BD136" i="61"/>
  <c r="BC136" i="61"/>
  <c r="BB136" i="61"/>
  <c r="BA136" i="61"/>
  <c r="AZ136" i="61"/>
  <c r="AY136" i="61"/>
  <c r="AX136" i="61"/>
  <c r="BZ19" i="61" s="1"/>
  <c r="AW136" i="61"/>
  <c r="BL123" i="61"/>
  <c r="BK123" i="61"/>
  <c r="BJ123" i="61"/>
  <c r="BI123" i="61"/>
  <c r="BH123" i="61"/>
  <c r="BG123" i="61"/>
  <c r="BF123" i="61"/>
  <c r="BE123" i="61"/>
  <c r="BD123" i="61"/>
  <c r="BC123" i="61"/>
  <c r="BB123" i="61"/>
  <c r="BA123" i="61"/>
  <c r="AZ123" i="61"/>
  <c r="AY123" i="61"/>
  <c r="AX123" i="61"/>
  <c r="BZ15" i="61" s="1"/>
  <c r="AW123" i="61"/>
  <c r="BL110" i="61"/>
  <c r="BK110" i="61"/>
  <c r="BJ110" i="61"/>
  <c r="BI110" i="61"/>
  <c r="BH110" i="61"/>
  <c r="BG110" i="61"/>
  <c r="BF110" i="61"/>
  <c r="BE110" i="61"/>
  <c r="BD110" i="61"/>
  <c r="BC110" i="61"/>
  <c r="BB110" i="61"/>
  <c r="BA110" i="61"/>
  <c r="AZ110" i="61"/>
  <c r="AY110" i="61"/>
  <c r="AX110" i="61"/>
  <c r="BX14" i="61" s="1"/>
  <c r="AW110" i="61"/>
  <c r="BL97" i="61"/>
  <c r="BK97" i="61"/>
  <c r="BJ97" i="61"/>
  <c r="BI97" i="61"/>
  <c r="BH97" i="61"/>
  <c r="BG97" i="61"/>
  <c r="BF97" i="61"/>
  <c r="BE97" i="61"/>
  <c r="BD97" i="61"/>
  <c r="BC97" i="61"/>
  <c r="BB97" i="61"/>
  <c r="BA97" i="61"/>
  <c r="AZ97" i="61"/>
  <c r="AY97" i="61"/>
  <c r="AX97" i="61"/>
  <c r="CB19" i="61" s="1"/>
  <c r="AW97" i="61"/>
  <c r="BL84" i="61"/>
  <c r="BK84" i="61"/>
  <c r="BJ84" i="61"/>
  <c r="BI84" i="61"/>
  <c r="BH84" i="61"/>
  <c r="BG84" i="61"/>
  <c r="BF84" i="61"/>
  <c r="BE84" i="61"/>
  <c r="BD84" i="61"/>
  <c r="BC84" i="61"/>
  <c r="BB84" i="61"/>
  <c r="BA84" i="61"/>
  <c r="AZ84" i="61"/>
  <c r="AY84" i="61"/>
  <c r="AX84" i="61"/>
  <c r="BX12" i="61" s="1"/>
  <c r="AW84" i="61"/>
  <c r="BL71" i="61"/>
  <c r="BK71" i="61"/>
  <c r="BJ71" i="61"/>
  <c r="BI71" i="61"/>
  <c r="BH71" i="61"/>
  <c r="BG71" i="61"/>
  <c r="BF71" i="61"/>
  <c r="BE71" i="61"/>
  <c r="BU11" i="61" s="1"/>
  <c r="BD71" i="61"/>
  <c r="BC71" i="61"/>
  <c r="BB71" i="61"/>
  <c r="BA71" i="61"/>
  <c r="AZ71" i="61"/>
  <c r="AY71" i="61"/>
  <c r="AX71" i="61"/>
  <c r="AW71" i="61"/>
  <c r="BL58" i="61"/>
  <c r="BK58" i="61"/>
  <c r="BJ58" i="61"/>
  <c r="BI58" i="61"/>
  <c r="BH58" i="61"/>
  <c r="BG58" i="61"/>
  <c r="BF58" i="61"/>
  <c r="BE58" i="61"/>
  <c r="BD58" i="61"/>
  <c r="BC58" i="61"/>
  <c r="BB58" i="61"/>
  <c r="BA58" i="61"/>
  <c r="AZ58" i="61"/>
  <c r="AY58" i="61"/>
  <c r="AX58" i="61"/>
  <c r="BZ12" i="61" s="1"/>
  <c r="AW58" i="61"/>
  <c r="BL45" i="61"/>
  <c r="BK45" i="61"/>
  <c r="BJ45" i="61"/>
  <c r="BI45" i="61"/>
  <c r="BY9" i="61" s="1"/>
  <c r="BH45" i="61"/>
  <c r="BG45" i="61"/>
  <c r="BF45" i="61"/>
  <c r="BE45" i="61"/>
  <c r="BD45" i="61"/>
  <c r="BC45" i="61"/>
  <c r="BB45" i="61"/>
  <c r="BA45" i="61"/>
  <c r="BQ9" i="61" s="1"/>
  <c r="AZ45" i="61"/>
  <c r="AY45" i="61"/>
  <c r="AX45" i="61"/>
  <c r="AW45" i="61"/>
  <c r="BL32" i="61"/>
  <c r="BK32" i="61"/>
  <c r="BJ32" i="61"/>
  <c r="BI32" i="61"/>
  <c r="BH32" i="61"/>
  <c r="BG32" i="61"/>
  <c r="BF32" i="61"/>
  <c r="BE32" i="61"/>
  <c r="BD32" i="61"/>
  <c r="BC32" i="61"/>
  <c r="BB32" i="61"/>
  <c r="BA32" i="61"/>
  <c r="AZ32" i="61"/>
  <c r="AY32" i="61"/>
  <c r="AX32" i="61"/>
  <c r="CB9" i="61" s="1"/>
  <c r="AW32" i="61"/>
  <c r="CB18" i="61"/>
  <c r="CA18" i="61"/>
  <c r="BT18" i="61"/>
  <c r="BS18" i="61"/>
  <c r="BZ17" i="61"/>
  <c r="BY17" i="61"/>
  <c r="BR17" i="61"/>
  <c r="BX16" i="61"/>
  <c r="BW16" i="61"/>
  <c r="BP16" i="61"/>
  <c r="BO16" i="61"/>
  <c r="CB14" i="61"/>
  <c r="CA14" i="61"/>
  <c r="BZ13" i="61"/>
  <c r="BY13" i="61"/>
  <c r="BV13" i="61"/>
  <c r="BU13" i="61"/>
  <c r="BR13" i="61"/>
  <c r="BQ13" i="61"/>
  <c r="CB12" i="61"/>
  <c r="CA12" i="61"/>
  <c r="BZ11" i="61"/>
  <c r="BY11" i="61"/>
  <c r="CA10" i="61"/>
  <c r="BX10" i="61"/>
  <c r="BS10" i="61"/>
  <c r="BP10" i="61"/>
  <c r="BR9" i="61"/>
  <c r="BX8" i="61"/>
  <c r="BO8" i="61"/>
  <c r="BV7" i="61"/>
  <c r="CA6" i="61"/>
  <c r="BT6" i="61"/>
  <c r="AW19" i="61"/>
  <c r="AW6" i="61"/>
  <c r="AX19" i="61"/>
  <c r="AX6" i="61"/>
  <c r="BU19" i="61" l="1"/>
  <c r="BU15" i="61"/>
  <c r="BS16" i="61"/>
  <c r="CA16" i="61"/>
  <c r="BU17" i="61"/>
  <c r="BO18" i="61"/>
  <c r="BW18" i="61"/>
  <c r="BQ19" i="61"/>
  <c r="BY19" i="61"/>
  <c r="BV15" i="61"/>
  <c r="BT16" i="61"/>
  <c r="CB16" i="61"/>
  <c r="BV17" i="61"/>
  <c r="BP18" i="61"/>
  <c r="BX18" i="61"/>
  <c r="BR19" i="61"/>
  <c r="BS14" i="61"/>
  <c r="BQ15" i="61"/>
  <c r="BY15" i="61"/>
  <c r="BT14" i="61"/>
  <c r="BR15" i="61"/>
  <c r="BO14" i="61"/>
  <c r="BW14" i="61"/>
  <c r="BP14" i="61"/>
  <c r="CB6" i="61"/>
  <c r="BP8" i="61"/>
  <c r="BU9" i="61"/>
  <c r="BT10" i="61"/>
  <c r="CB10" i="61"/>
  <c r="BS12" i="61"/>
  <c r="BO13" i="61"/>
  <c r="BS13" i="61"/>
  <c r="BW13" i="61"/>
  <c r="CA13" i="61"/>
  <c r="BQ14" i="61"/>
  <c r="BU14" i="61"/>
  <c r="BY14" i="61"/>
  <c r="BO15" i="61"/>
  <c r="BS15" i="61"/>
  <c r="BW15" i="61"/>
  <c r="CA15" i="61"/>
  <c r="BQ16" i="61"/>
  <c r="BU16" i="61"/>
  <c r="BY16" i="61"/>
  <c r="BO17" i="61"/>
  <c r="BS17" i="61"/>
  <c r="BW17" i="61"/>
  <c r="CA17" i="61"/>
  <c r="BQ18" i="61"/>
  <c r="BU18" i="61"/>
  <c r="BY18" i="61"/>
  <c r="BO19" i="61"/>
  <c r="BS19" i="61"/>
  <c r="BW19" i="61"/>
  <c r="CA19" i="61"/>
  <c r="BS6" i="61"/>
  <c r="BU7" i="61"/>
  <c r="BW8" i="61"/>
  <c r="BO10" i="61"/>
  <c r="BW10" i="61"/>
  <c r="BQ11" i="61"/>
  <c r="BT12" i="61"/>
  <c r="BP13" i="61"/>
  <c r="BT13" i="61"/>
  <c r="BX13" i="61"/>
  <c r="CB13" i="61"/>
  <c r="BR14" i="61"/>
  <c r="BV14" i="61"/>
  <c r="BZ14" i="61"/>
  <c r="BP15" i="61"/>
  <c r="BT15" i="61"/>
  <c r="BX15" i="61"/>
  <c r="CB15" i="61"/>
  <c r="BR16" i="61"/>
  <c r="BV16" i="61"/>
  <c r="BZ16" i="61"/>
  <c r="BP17" i="61"/>
  <c r="BT17" i="61"/>
  <c r="BX17" i="61"/>
  <c r="CB17" i="61"/>
  <c r="BR18" i="61"/>
  <c r="BV18" i="61"/>
  <c r="BZ18" i="61"/>
  <c r="BP19" i="61"/>
  <c r="BT19" i="61"/>
  <c r="BX19" i="61"/>
  <c r="BR11" i="61"/>
  <c r="BO12" i="61"/>
  <c r="BW12" i="61"/>
  <c r="BV11" i="61"/>
  <c r="BP12" i="61"/>
  <c r="BO6" i="61"/>
  <c r="BW6" i="61"/>
  <c r="BQ7" i="61"/>
  <c r="BY7" i="61"/>
  <c r="BS8" i="61"/>
  <c r="CA8" i="61"/>
  <c r="BV9" i="61"/>
  <c r="BQ10" i="61"/>
  <c r="BU10" i="61"/>
  <c r="BY10" i="61"/>
  <c r="BO11" i="61"/>
  <c r="BS11" i="61"/>
  <c r="BW11" i="61"/>
  <c r="CA11" i="61"/>
  <c r="BQ12" i="61"/>
  <c r="BU12" i="61"/>
  <c r="BY12" i="61"/>
  <c r="BP6" i="61"/>
  <c r="BX6" i="61"/>
  <c r="BR7" i="61"/>
  <c r="BZ7" i="61"/>
  <c r="BT8" i="61"/>
  <c r="CB8" i="61"/>
  <c r="BZ9" i="61"/>
  <c r="BR10" i="61"/>
  <c r="BV10" i="61"/>
  <c r="BZ10" i="61"/>
  <c r="BP11" i="61"/>
  <c r="BT11" i="61"/>
  <c r="BX11" i="61"/>
  <c r="CB11" i="61"/>
  <c r="BR12" i="61"/>
  <c r="BV12" i="61"/>
  <c r="BQ6" i="61"/>
  <c r="BU6" i="61"/>
  <c r="BY6" i="61"/>
  <c r="BO7" i="61"/>
  <c r="BS7" i="61"/>
  <c r="BW7" i="61"/>
  <c r="CA7" i="61"/>
  <c r="BQ8" i="61"/>
  <c r="BU8" i="61"/>
  <c r="BY8" i="61"/>
  <c r="BO9" i="61"/>
  <c r="BS9" i="61"/>
  <c r="BW9" i="61"/>
  <c r="CA9" i="61"/>
  <c r="BR6" i="61"/>
  <c r="BV6" i="61"/>
  <c r="BZ6" i="61"/>
  <c r="BP7" i="61"/>
  <c r="BT7" i="61"/>
  <c r="BX7" i="61"/>
  <c r="CB7" i="61"/>
  <c r="BR8" i="61"/>
  <c r="BV8" i="61"/>
  <c r="BZ8" i="61"/>
  <c r="BP9" i="61"/>
  <c r="BT9" i="61"/>
  <c r="BX9" i="61"/>
  <c r="AJ189" i="61" l="1" a="1"/>
  <c r="AJ189" i="61" s="1"/>
  <c r="AI189" i="61" a="1"/>
  <c r="AI189" i="61" s="1"/>
  <c r="AF189" i="61" a="1"/>
  <c r="AF189" i="61" s="1"/>
  <c r="AD189" i="61" a="1"/>
  <c r="AD189" i="61" s="1"/>
  <c r="AC189" i="61" a="1"/>
  <c r="AC189" i="61" s="1"/>
  <c r="AB189" i="61"/>
  <c r="AB190" i="61" s="1"/>
  <c r="AB191" i="61" s="1"/>
  <c r="AB192" i="61" s="1"/>
  <c r="AB193" i="61" s="1"/>
  <c r="AB194" i="61" s="1"/>
  <c r="AB195" i="61" s="1"/>
  <c r="AB196" i="61" s="1"/>
  <c r="AB197" i="61" s="1"/>
  <c r="AB198" i="61" s="1"/>
  <c r="AB199" i="61" s="1"/>
  <c r="AA189" i="61"/>
  <c r="AA190" i="61" s="1"/>
  <c r="AV188" i="61" a="1"/>
  <c r="AV188" i="61" s="1"/>
  <c r="AU188" i="61" a="1"/>
  <c r="AU188" i="61" s="1"/>
  <c r="AT188" i="61" a="1"/>
  <c r="AT188" i="61" s="1"/>
  <c r="AS188" i="61" a="1"/>
  <c r="AS188" i="61" s="1"/>
  <c r="AR188" i="61" a="1"/>
  <c r="AR188" i="61" s="1"/>
  <c r="AQ188" i="61" a="1"/>
  <c r="AQ188" i="61" s="1"/>
  <c r="AP188" i="61" a="1"/>
  <c r="AP188" i="61" s="1"/>
  <c r="AO188" i="61" a="1"/>
  <c r="AO188" i="61" s="1"/>
  <c r="AN188" i="61" a="1"/>
  <c r="AN188" i="61" s="1"/>
  <c r="AM188" i="61" a="1"/>
  <c r="AM188" i="61" s="1"/>
  <c r="AL188" i="61" a="1"/>
  <c r="AL188" i="61" s="1"/>
  <c r="AK188" i="61" a="1"/>
  <c r="AK188" i="61" s="1"/>
  <c r="AJ188" i="61" a="1"/>
  <c r="AJ188" i="61" s="1"/>
  <c r="AI188" i="61" a="1"/>
  <c r="AI188" i="61" s="1"/>
  <c r="AH188" i="61" a="1"/>
  <c r="AH188" i="61" s="1"/>
  <c r="AG188" i="61" a="1"/>
  <c r="AG188" i="61" s="1"/>
  <c r="AF188" i="61" a="1"/>
  <c r="AF188" i="61" s="1"/>
  <c r="AE188" i="61" a="1"/>
  <c r="AE188" i="61" s="1"/>
  <c r="AD188" i="61" a="1"/>
  <c r="AD188" i="61" s="1"/>
  <c r="AC188" i="61" a="1"/>
  <c r="AC188" i="61" s="1"/>
  <c r="AA188" i="61"/>
  <c r="AK176" i="61" a="1"/>
  <c r="AK176" i="61" s="1"/>
  <c r="AF176" i="61" a="1"/>
  <c r="AF176" i="61" s="1"/>
  <c r="AC176" i="61" a="1"/>
  <c r="AC176" i="61" s="1"/>
  <c r="AB176" i="61"/>
  <c r="AB177" i="61" s="1"/>
  <c r="AB178" i="61" s="1"/>
  <c r="AB179" i="61" s="1"/>
  <c r="AB180" i="61" s="1"/>
  <c r="AB181" i="61" s="1"/>
  <c r="AB182" i="61" s="1"/>
  <c r="AB183" i="61" s="1"/>
  <c r="AB184" i="61" s="1"/>
  <c r="AB185" i="61" s="1"/>
  <c r="AB186" i="61" s="1"/>
  <c r="AA176" i="61"/>
  <c r="AV175" i="61" a="1"/>
  <c r="AV175" i="61" s="1"/>
  <c r="AU175" i="61" a="1"/>
  <c r="AU175" i="61" s="1"/>
  <c r="AT175" i="61" a="1"/>
  <c r="AT175" i="61" s="1"/>
  <c r="AS175" i="61" a="1"/>
  <c r="AS175" i="61" s="1"/>
  <c r="AR175" i="61" a="1"/>
  <c r="AR175" i="61" s="1"/>
  <c r="AQ175" i="61" a="1"/>
  <c r="AQ175" i="61" s="1"/>
  <c r="AP175" i="61" a="1"/>
  <c r="AP175" i="61" s="1"/>
  <c r="AO175" i="61" a="1"/>
  <c r="AO175" i="61" s="1"/>
  <c r="AN175" i="61" a="1"/>
  <c r="AN175" i="61" s="1"/>
  <c r="AM175" i="61" a="1"/>
  <c r="AM175" i="61" s="1"/>
  <c r="AL175" i="61" a="1"/>
  <c r="AL175" i="61" s="1"/>
  <c r="AK175" i="61" a="1"/>
  <c r="AK175" i="61" s="1"/>
  <c r="AJ175" i="61" a="1"/>
  <c r="AJ175" i="61" s="1"/>
  <c r="AI175" i="61" a="1"/>
  <c r="AI175" i="61" s="1"/>
  <c r="AH175" i="61" a="1"/>
  <c r="AH175" i="61" s="1"/>
  <c r="AG175" i="61" a="1"/>
  <c r="AG175" i="61" s="1"/>
  <c r="AF175" i="61" a="1"/>
  <c r="AF175" i="61" s="1"/>
  <c r="AE175" i="61" a="1"/>
  <c r="AE175" i="61" s="1"/>
  <c r="AD175" i="61" a="1"/>
  <c r="AD175" i="61" s="1"/>
  <c r="AC175" i="61" a="1"/>
  <c r="AC175" i="61" s="1"/>
  <c r="AA175" i="61"/>
  <c r="AB164" i="61"/>
  <c r="AB165" i="61" s="1"/>
  <c r="AB166" i="61" s="1"/>
  <c r="AB167" i="61" s="1"/>
  <c r="AB168" i="61" s="1"/>
  <c r="AB169" i="61" s="1"/>
  <c r="AB170" i="61" s="1"/>
  <c r="AB171" i="61" s="1"/>
  <c r="AB172" i="61" s="1"/>
  <c r="AB173" i="61" s="1"/>
  <c r="AB163" i="61"/>
  <c r="AA162" i="61"/>
  <c r="AB150" i="61"/>
  <c r="AB151" i="61" s="1"/>
  <c r="AB152" i="61" s="1"/>
  <c r="AB153" i="61" s="1"/>
  <c r="AB154" i="61" s="1"/>
  <c r="AB155" i="61" s="1"/>
  <c r="AB156" i="61" s="1"/>
  <c r="AB157" i="61" s="1"/>
  <c r="AB158" i="61" s="1"/>
  <c r="AB159" i="61" s="1"/>
  <c r="AB160" i="61" s="1"/>
  <c r="AA150" i="61"/>
  <c r="AV150" i="61" s="1" a="1"/>
  <c r="AV150" i="61" s="1"/>
  <c r="AT149" i="61" a="1"/>
  <c r="AT149" i="61" s="1"/>
  <c r="AS149" i="61" a="1"/>
  <c r="AS149" i="61" s="1"/>
  <c r="AP149" i="61" a="1"/>
  <c r="AP149" i="61" s="1"/>
  <c r="AO149" i="61" a="1"/>
  <c r="AO149" i="61" s="1"/>
  <c r="AN149" i="61" a="1"/>
  <c r="AN149" i="61" s="1"/>
  <c r="AL149" i="61" a="1"/>
  <c r="AL149" i="61" s="1"/>
  <c r="AK149" i="61" a="1"/>
  <c r="AK149" i="61" s="1"/>
  <c r="AJ149" i="61" a="1"/>
  <c r="AJ149" i="61" s="1"/>
  <c r="AI149" i="61" a="1"/>
  <c r="AI149" i="61" s="1"/>
  <c r="AH149" i="61" a="1"/>
  <c r="AH149" i="61" s="1"/>
  <c r="AG149" i="61" a="1"/>
  <c r="AG149" i="61" s="1"/>
  <c r="AF149" i="61" a="1"/>
  <c r="AF149" i="61" s="1"/>
  <c r="AE149" i="61" a="1"/>
  <c r="AE149" i="61" s="1"/>
  <c r="AD149" i="61" a="1"/>
  <c r="AD149" i="61" s="1"/>
  <c r="AC149" i="61" a="1"/>
  <c r="AC149" i="61" s="1"/>
  <c r="AA149" i="61"/>
  <c r="AU149" i="61" s="1" a="1"/>
  <c r="AU149" i="61" s="1"/>
  <c r="AB137" i="61"/>
  <c r="AB138" i="61" s="1"/>
  <c r="AB139" i="61" s="1"/>
  <c r="AB140" i="61" s="1"/>
  <c r="AB141" i="61" s="1"/>
  <c r="AB142" i="61" s="1"/>
  <c r="AB143" i="61" s="1"/>
  <c r="AB144" i="61" s="1"/>
  <c r="AB145" i="61" s="1"/>
  <c r="AB146" i="61" s="1"/>
  <c r="AB147" i="61" s="1"/>
  <c r="AE136" i="61" a="1"/>
  <c r="AE136" i="61" s="1"/>
  <c r="AA136" i="61"/>
  <c r="AB125" i="61"/>
  <c r="AB126" i="61" s="1"/>
  <c r="AB127" i="61" s="1"/>
  <c r="AB128" i="61" s="1"/>
  <c r="AB129" i="61" s="1"/>
  <c r="AB130" i="61" s="1"/>
  <c r="AB131" i="61" s="1"/>
  <c r="AB132" i="61" s="1"/>
  <c r="AB133" i="61" s="1"/>
  <c r="AB134" i="61" s="1"/>
  <c r="AB124" i="61"/>
  <c r="AT123" i="61" a="1"/>
  <c r="AT123" i="61" s="1"/>
  <c r="AQ123" i="61" a="1"/>
  <c r="AQ123" i="61" s="1"/>
  <c r="AL123" i="61" a="1"/>
  <c r="AL123" i="61" s="1"/>
  <c r="AI123" i="61" a="1"/>
  <c r="AI123" i="61" s="1"/>
  <c r="AF123" i="61" a="1"/>
  <c r="AF123" i="61" s="1"/>
  <c r="AD123" i="61" a="1"/>
  <c r="AD123" i="61" s="1"/>
  <c r="AC123" i="61" a="1"/>
  <c r="AC123" i="61" s="1"/>
  <c r="AA123" i="61"/>
  <c r="AV123" i="61" s="1" a="1"/>
  <c r="AV123" i="61" s="1"/>
  <c r="AB115" i="61"/>
  <c r="AB116" i="61" s="1"/>
  <c r="AB117" i="61" s="1"/>
  <c r="AB118" i="61" s="1"/>
  <c r="AB119" i="61" s="1"/>
  <c r="AB120" i="61" s="1"/>
  <c r="AB121" i="61" s="1"/>
  <c r="AB113" i="61"/>
  <c r="AB114" i="61" s="1"/>
  <c r="AT111" i="61" a="1"/>
  <c r="AT111" i="61" s="1"/>
  <c r="AQ111" i="61" a="1"/>
  <c r="AQ111" i="61" s="1"/>
  <c r="AL111" i="61" a="1"/>
  <c r="AL111" i="61" s="1"/>
  <c r="AI111" i="61" a="1"/>
  <c r="AI111" i="61" s="1"/>
  <c r="AD111" i="61" a="1"/>
  <c r="AD111" i="61" s="1"/>
  <c r="AB111" i="61"/>
  <c r="AB112" i="61" s="1"/>
  <c r="AA111" i="61"/>
  <c r="AV111" i="61" s="1" a="1"/>
  <c r="AV111" i="61" s="1"/>
  <c r="AV110" i="61" a="1"/>
  <c r="AV110" i="61" s="1"/>
  <c r="AU110" i="61" a="1"/>
  <c r="AU110" i="61" s="1"/>
  <c r="AT110" i="61" a="1"/>
  <c r="AT110" i="61" s="1"/>
  <c r="AS110" i="61" a="1"/>
  <c r="AS110" i="61" s="1"/>
  <c r="AR110" i="61" a="1"/>
  <c r="AR110" i="61" s="1"/>
  <c r="AQ110" i="61" a="1"/>
  <c r="AQ110" i="61" s="1"/>
  <c r="AP110" i="61" a="1"/>
  <c r="AP110" i="61" s="1"/>
  <c r="AO110" i="61" a="1"/>
  <c r="AO110" i="61" s="1"/>
  <c r="AN110" i="61" a="1"/>
  <c r="AN110" i="61" s="1"/>
  <c r="AM110" i="61" a="1"/>
  <c r="AM110" i="61" s="1"/>
  <c r="AL110" i="61" a="1"/>
  <c r="AL110" i="61" s="1"/>
  <c r="AK110" i="61" a="1"/>
  <c r="AK110" i="61" s="1"/>
  <c r="AJ110" i="61" a="1"/>
  <c r="AJ110" i="61" s="1"/>
  <c r="AI110" i="61" a="1"/>
  <c r="AI110" i="61" s="1"/>
  <c r="AH110" i="61" a="1"/>
  <c r="AH110" i="61" s="1"/>
  <c r="AG110" i="61" a="1"/>
  <c r="AG110" i="61" s="1"/>
  <c r="AF110" i="61" a="1"/>
  <c r="AF110" i="61" s="1"/>
  <c r="AE110" i="61" a="1"/>
  <c r="AE110" i="61" s="1"/>
  <c r="AD110" i="61" a="1"/>
  <c r="AD110" i="61" s="1"/>
  <c r="AC110" i="61" a="1"/>
  <c r="AC110" i="61" s="1"/>
  <c r="AA110" i="61"/>
  <c r="AA99" i="61"/>
  <c r="AA100" i="61" s="1"/>
  <c r="AV98" i="61" a="1"/>
  <c r="AV98" i="61" s="1"/>
  <c r="AT98" i="61" a="1"/>
  <c r="AT98" i="61" s="1"/>
  <c r="AS98" i="61" a="1"/>
  <c r="AS98" i="61" s="1"/>
  <c r="AR98" i="61" a="1"/>
  <c r="AR98" i="61" s="1"/>
  <c r="AP98" i="61" a="1"/>
  <c r="AP98" i="61" s="1"/>
  <c r="AO98" i="61" a="1"/>
  <c r="AO98" i="61" s="1"/>
  <c r="AN98" i="61" a="1"/>
  <c r="AN98" i="61" s="1"/>
  <c r="AL98" i="61" a="1"/>
  <c r="AL98" i="61" s="1"/>
  <c r="AK98" i="61" a="1"/>
  <c r="AK98" i="61" s="1"/>
  <c r="AJ98" i="61" a="1"/>
  <c r="AJ98" i="61" s="1"/>
  <c r="AH98" i="61" a="1"/>
  <c r="AH98" i="61" s="1"/>
  <c r="AG98" i="61" a="1"/>
  <c r="AG98" i="61" s="1"/>
  <c r="AF98" i="61" a="1"/>
  <c r="AF98" i="61" s="1"/>
  <c r="AD98" i="61" a="1"/>
  <c r="AD98" i="61" s="1"/>
  <c r="AC98" i="61" a="1"/>
  <c r="AC98" i="61" s="1"/>
  <c r="AB98" i="61"/>
  <c r="AB99" i="61" s="1"/>
  <c r="AB100" i="61" s="1"/>
  <c r="AB101" i="61" s="1"/>
  <c r="AB102" i="61" s="1"/>
  <c r="AB103" i="61" s="1"/>
  <c r="AB104" i="61" s="1"/>
  <c r="AB105" i="61" s="1"/>
  <c r="AB106" i="61" s="1"/>
  <c r="AB107" i="61" s="1"/>
  <c r="AB108" i="61" s="1"/>
  <c r="AA98" i="61"/>
  <c r="AU98" i="61" s="1" a="1"/>
  <c r="AU98" i="61" s="1"/>
  <c r="AV97" i="61" a="1"/>
  <c r="AV97" i="61" s="1"/>
  <c r="AU97" i="61" a="1"/>
  <c r="AU97" i="61" s="1"/>
  <c r="AT97" i="61" a="1"/>
  <c r="AT97" i="61" s="1"/>
  <c r="AS97" i="61" a="1"/>
  <c r="AS97" i="61" s="1"/>
  <c r="AR97" i="61" a="1"/>
  <c r="AR97" i="61" s="1"/>
  <c r="AQ97" i="61" a="1"/>
  <c r="AQ97" i="61" s="1"/>
  <c r="AP97" i="61" a="1"/>
  <c r="AP97" i="61" s="1"/>
  <c r="AO97" i="61" a="1"/>
  <c r="AO97" i="61" s="1"/>
  <c r="AN97" i="61" a="1"/>
  <c r="AN97" i="61" s="1"/>
  <c r="AM97" i="61" a="1"/>
  <c r="AM97" i="61" s="1"/>
  <c r="AL97" i="61" a="1"/>
  <c r="AL97" i="61" s="1"/>
  <c r="AK97" i="61" a="1"/>
  <c r="AK97" i="61" s="1"/>
  <c r="AJ97" i="61" a="1"/>
  <c r="AJ97" i="61" s="1"/>
  <c r="AI97" i="61" a="1"/>
  <c r="AI97" i="61" s="1"/>
  <c r="AH97" i="61" a="1"/>
  <c r="AH97" i="61" s="1"/>
  <c r="AG97" i="61" a="1"/>
  <c r="AG97" i="61" s="1"/>
  <c r="AF97" i="61" a="1"/>
  <c r="AF97" i="61" s="1"/>
  <c r="AE97" i="61" a="1"/>
  <c r="AE97" i="61" s="1"/>
  <c r="AD97" i="61" a="1"/>
  <c r="AD97" i="61" s="1"/>
  <c r="AC97" i="61" a="1"/>
  <c r="AC97" i="61" s="1"/>
  <c r="AA97" i="61"/>
  <c r="AB85" i="61"/>
  <c r="AB86" i="61" s="1"/>
  <c r="AB87" i="61" s="1"/>
  <c r="AB88" i="61" s="1"/>
  <c r="AB89" i="61" s="1"/>
  <c r="AB90" i="61" s="1"/>
  <c r="AB91" i="61" s="1"/>
  <c r="AB92" i="61" s="1"/>
  <c r="AB93" i="61" s="1"/>
  <c r="AB94" i="61" s="1"/>
  <c r="AB95" i="61" s="1"/>
  <c r="AV84" i="61" a="1"/>
  <c r="AV84" i="61" s="1"/>
  <c r="AN84" i="61" a="1"/>
  <c r="AN84" i="61" s="1"/>
  <c r="AF84" i="61" a="1"/>
  <c r="AF84" i="61" s="1"/>
  <c r="AA84" i="61"/>
  <c r="AR84" i="61" s="1" a="1"/>
  <c r="AR84" i="61" s="1"/>
  <c r="AB72" i="61"/>
  <c r="AB73" i="61" s="1"/>
  <c r="AB74" i="61" s="1"/>
  <c r="AB75" i="61" s="1"/>
  <c r="AB76" i="61" s="1"/>
  <c r="AB77" i="61" s="1"/>
  <c r="AB78" i="61" s="1"/>
  <c r="AB79" i="61" s="1"/>
  <c r="AB80" i="61" s="1"/>
  <c r="AB81" i="61" s="1"/>
  <c r="AB82" i="61" s="1"/>
  <c r="AA72" i="61"/>
  <c r="AA73" i="61" s="1"/>
  <c r="AV71" i="61" a="1"/>
  <c r="AV71" i="61" s="1"/>
  <c r="AU71" i="61" a="1"/>
  <c r="AU71" i="61" s="1"/>
  <c r="AT71" i="61" a="1"/>
  <c r="AT71" i="61" s="1"/>
  <c r="AS71" i="61" a="1"/>
  <c r="AS71" i="61" s="1"/>
  <c r="AR71" i="61" a="1"/>
  <c r="AR71" i="61" s="1"/>
  <c r="AQ71" i="61" a="1"/>
  <c r="AQ71" i="61" s="1"/>
  <c r="AP71" i="61" a="1"/>
  <c r="AP71" i="61" s="1"/>
  <c r="AO71" i="61" a="1"/>
  <c r="AO71" i="61" s="1"/>
  <c r="AN71" i="61" a="1"/>
  <c r="AN71" i="61" s="1"/>
  <c r="AM71" i="61" a="1"/>
  <c r="AM71" i="61" s="1"/>
  <c r="AL71" i="61" a="1"/>
  <c r="AL71" i="61" s="1"/>
  <c r="AK71" i="61" a="1"/>
  <c r="AK71" i="61" s="1"/>
  <c r="AJ71" i="61" a="1"/>
  <c r="AJ71" i="61" s="1"/>
  <c r="AI71" i="61" a="1"/>
  <c r="AI71" i="61" s="1"/>
  <c r="AH71" i="61" a="1"/>
  <c r="AH71" i="61" s="1"/>
  <c r="AG71" i="61" a="1"/>
  <c r="AG71" i="61" s="1"/>
  <c r="AF71" i="61" a="1"/>
  <c r="AF71" i="61" s="1"/>
  <c r="AE71" i="61" a="1"/>
  <c r="AE71" i="61" s="1"/>
  <c r="AD71" i="61" a="1"/>
  <c r="AD71" i="61" s="1"/>
  <c r="AC71" i="61" a="1"/>
  <c r="AC71" i="61" s="1"/>
  <c r="AA71" i="61"/>
  <c r="AB59" i="61"/>
  <c r="AB60" i="61" s="1"/>
  <c r="AB61" i="61" s="1"/>
  <c r="AB62" i="61" s="1"/>
  <c r="AB63" i="61" s="1"/>
  <c r="AB64" i="61" s="1"/>
  <c r="AB65" i="61" s="1"/>
  <c r="AB66" i="61" s="1"/>
  <c r="AB67" i="61" s="1"/>
  <c r="AB68" i="61" s="1"/>
  <c r="AB69" i="61" s="1"/>
  <c r="AS58" i="61" a="1"/>
  <c r="AS58" i="61" s="1"/>
  <c r="AQ58" i="61" a="1"/>
  <c r="AQ58" i="61" s="1"/>
  <c r="AK58" i="61" a="1"/>
  <c r="AK58" i="61" s="1"/>
  <c r="AI58" i="61" a="1"/>
  <c r="AI58" i="61" s="1"/>
  <c r="AC58" i="61" a="1"/>
  <c r="AC58" i="61" s="1"/>
  <c r="AA58" i="61"/>
  <c r="AA59" i="61" s="1"/>
  <c r="AB47" i="61"/>
  <c r="AB48" i="61" s="1"/>
  <c r="AB49" i="61" s="1"/>
  <c r="AB50" i="61" s="1"/>
  <c r="AB51" i="61" s="1"/>
  <c r="AB52" i="61" s="1"/>
  <c r="AB53" i="61" s="1"/>
  <c r="AB54" i="61" s="1"/>
  <c r="AB55" i="61" s="1"/>
  <c r="AB56" i="61" s="1"/>
  <c r="AB46" i="61"/>
  <c r="AJ45" i="61" a="1"/>
  <c r="AJ45" i="61" s="1"/>
  <c r="AE45" i="61" a="1"/>
  <c r="AE45" i="61" s="1"/>
  <c r="AA45" i="61"/>
  <c r="AA46" i="61" s="1"/>
  <c r="AB33" i="61"/>
  <c r="AB34" i="61" s="1"/>
  <c r="AB35" i="61" s="1"/>
  <c r="AB36" i="61" s="1"/>
  <c r="AB37" i="61" s="1"/>
  <c r="AB38" i="61" s="1"/>
  <c r="AB39" i="61" s="1"/>
  <c r="AB40" i="61" s="1"/>
  <c r="AB41" i="61" s="1"/>
  <c r="AB42" i="61" s="1"/>
  <c r="AB43" i="61" s="1"/>
  <c r="AV32" i="61" a="1"/>
  <c r="AV32" i="61" s="1"/>
  <c r="AF32" i="61" a="1"/>
  <c r="AF32" i="61" s="1"/>
  <c r="AA32" i="61"/>
  <c r="AB20" i="61"/>
  <c r="AB21" i="61" s="1"/>
  <c r="AB22" i="61" s="1"/>
  <c r="AB23" i="61" s="1"/>
  <c r="AB24" i="61" s="1"/>
  <c r="AB25" i="61" s="1"/>
  <c r="AB26" i="61" s="1"/>
  <c r="AB27" i="61" s="1"/>
  <c r="AB28" i="61" s="1"/>
  <c r="AB29" i="61" s="1"/>
  <c r="AB30" i="61" s="1"/>
  <c r="AA20" i="61"/>
  <c r="AA21" i="61" s="1"/>
  <c r="AV19" i="61" a="1"/>
  <c r="AV19" i="61" s="1"/>
  <c r="AU19" i="61" a="1"/>
  <c r="AU19" i="61" s="1"/>
  <c r="BL19" i="61" s="1"/>
  <c r="AT19" i="61" a="1"/>
  <c r="AT19" i="61" s="1"/>
  <c r="AS19" i="61" a="1"/>
  <c r="AS19" i="61" s="1"/>
  <c r="BK19" i="61" s="1"/>
  <c r="AR19" i="61" a="1"/>
  <c r="AR19" i="61" s="1"/>
  <c r="AQ19" i="61" a="1"/>
  <c r="AQ19" i="61" s="1"/>
  <c r="AP19" i="61" a="1"/>
  <c r="AP19" i="61" s="1"/>
  <c r="AO19" i="61" a="1"/>
  <c r="AO19" i="61" s="1"/>
  <c r="BI19" i="61" s="1"/>
  <c r="AN19" i="61" a="1"/>
  <c r="AN19" i="61" s="1"/>
  <c r="AM19" i="61" a="1"/>
  <c r="AM19" i="61" s="1"/>
  <c r="AL19" i="61" a="1"/>
  <c r="AL19" i="61" s="1"/>
  <c r="AK19" i="61" a="1"/>
  <c r="AK19" i="61" s="1"/>
  <c r="BG19" i="61" s="1"/>
  <c r="AJ19" i="61" a="1"/>
  <c r="AJ19" i="61" s="1"/>
  <c r="AI19" i="61" a="1"/>
  <c r="AI19" i="61" s="1"/>
  <c r="BF19" i="61" s="1"/>
  <c r="AH19" i="61" a="1"/>
  <c r="AH19" i="61" s="1"/>
  <c r="AG19" i="61" a="1"/>
  <c r="AG19" i="61" s="1"/>
  <c r="AF19" i="61" a="1"/>
  <c r="AF19" i="61" s="1"/>
  <c r="AE19" i="61" a="1"/>
  <c r="AE19" i="61" s="1"/>
  <c r="BD19" i="61" s="1"/>
  <c r="AD19" i="61" a="1"/>
  <c r="AD19" i="61" s="1"/>
  <c r="AC19" i="61" a="1"/>
  <c r="AC19" i="61" s="1"/>
  <c r="AA19" i="61"/>
  <c r="AB7" i="61"/>
  <c r="AB8" i="61" s="1"/>
  <c r="AB9" i="61" s="1"/>
  <c r="AB10" i="61" s="1"/>
  <c r="AB11" i="61" s="1"/>
  <c r="AB12" i="61" s="1"/>
  <c r="AB13" i="61" s="1"/>
  <c r="AB14" i="61" s="1"/>
  <c r="AB15" i="61" s="1"/>
  <c r="AB16" i="61" s="1"/>
  <c r="AB17" i="61" s="1"/>
  <c r="AA6" i="61"/>
  <c r="AV6" i="61" s="1" a="1"/>
  <c r="AV6" i="61" s="1"/>
  <c r="BC19" i="61" l="1"/>
  <c r="BH19" i="61"/>
  <c r="AV21" i="61" a="1"/>
  <c r="AV21" i="61" s="1"/>
  <c r="AT21" i="61" a="1"/>
  <c r="AT21" i="61" s="1"/>
  <c r="AR21" i="61" a="1"/>
  <c r="AR21" i="61" s="1"/>
  <c r="AP21" i="61" a="1"/>
  <c r="AP21" i="61" s="1"/>
  <c r="AN21" i="61" a="1"/>
  <c r="AN21" i="61" s="1"/>
  <c r="AL21" i="61" a="1"/>
  <c r="AL21" i="61" s="1"/>
  <c r="AJ21" i="61" a="1"/>
  <c r="AJ21" i="61" s="1"/>
  <c r="AH21" i="61" a="1"/>
  <c r="AH21" i="61" s="1"/>
  <c r="AF21" i="61" a="1"/>
  <c r="AF21" i="61" s="1"/>
  <c r="AD21" i="61" a="1"/>
  <c r="AD21" i="61" s="1"/>
  <c r="AA22" i="61"/>
  <c r="AU21" i="61" a="1"/>
  <c r="AU21" i="61" s="1"/>
  <c r="AS21" i="61" a="1"/>
  <c r="AS21" i="61" s="1"/>
  <c r="AQ21" i="61" a="1"/>
  <c r="AQ21" i="61" s="1"/>
  <c r="AO21" i="61" a="1"/>
  <c r="AO21" i="61" s="1"/>
  <c r="AM21" i="61" a="1"/>
  <c r="AM21" i="61" s="1"/>
  <c r="AK21" i="61" a="1"/>
  <c r="AK21" i="61" s="1"/>
  <c r="AI21" i="61" a="1"/>
  <c r="AI21" i="61" s="1"/>
  <c r="AG21" i="61" a="1"/>
  <c r="AG21" i="61" s="1"/>
  <c r="AE21" i="61" a="1"/>
  <c r="AE21" i="61" s="1"/>
  <c r="AC21" i="61" a="1"/>
  <c r="AC21" i="61" s="1"/>
  <c r="AV46" i="61" a="1"/>
  <c r="AV46" i="61" s="1"/>
  <c r="AQ46" i="61" a="1"/>
  <c r="AQ46" i="61" s="1"/>
  <c r="AN46" i="61" a="1"/>
  <c r="AN46" i="61" s="1"/>
  <c r="AI46" i="61" a="1"/>
  <c r="AI46" i="61" s="1"/>
  <c r="AF46" i="61" a="1"/>
  <c r="AF46" i="61" s="1"/>
  <c r="AS46" i="61" a="1"/>
  <c r="AS46" i="61" s="1"/>
  <c r="AP46" i="61" a="1"/>
  <c r="AP46" i="61" s="1"/>
  <c r="AK46" i="61" a="1"/>
  <c r="AK46" i="61" s="1"/>
  <c r="AH46" i="61" a="1"/>
  <c r="AH46" i="61" s="1"/>
  <c r="AC46" i="61" a="1"/>
  <c r="AC46" i="61" s="1"/>
  <c r="AR46" i="61" a="1"/>
  <c r="AR46" i="61" s="1"/>
  <c r="AM46" i="61" a="1"/>
  <c r="AM46" i="61" s="1"/>
  <c r="AA47" i="61"/>
  <c r="AL46" i="61" a="1"/>
  <c r="AL46" i="61" s="1"/>
  <c r="AG46" i="61" a="1"/>
  <c r="AG46" i="61" s="1"/>
  <c r="AU46" i="61" a="1"/>
  <c r="AU46" i="61" s="1"/>
  <c r="AJ46" i="61" a="1"/>
  <c r="AJ46" i="61" s="1"/>
  <c r="AE46" i="61" a="1"/>
  <c r="AE46" i="61" s="1"/>
  <c r="AT46" i="61" a="1"/>
  <c r="AT46" i="61" s="1"/>
  <c r="AO46" i="61" a="1"/>
  <c r="AO46" i="61" s="1"/>
  <c r="AD46" i="61" a="1"/>
  <c r="AD46" i="61" s="1"/>
  <c r="AD20" i="61" a="1"/>
  <c r="AD20" i="61" s="1"/>
  <c r="AF20" i="61" a="1"/>
  <c r="AF20" i="61" s="1"/>
  <c r="AH20" i="61" a="1"/>
  <c r="AH20" i="61" s="1"/>
  <c r="AJ20" i="61" a="1"/>
  <c r="AJ20" i="61" s="1"/>
  <c r="AL20" i="61" a="1"/>
  <c r="AL20" i="61" s="1"/>
  <c r="AN20" i="61" a="1"/>
  <c r="AN20" i="61" s="1"/>
  <c r="AP20" i="61" a="1"/>
  <c r="AP20" i="61" s="1"/>
  <c r="AR20" i="61" a="1"/>
  <c r="AR20" i="61" s="1"/>
  <c r="AT20" i="61" a="1"/>
  <c r="AT20" i="61" s="1"/>
  <c r="AV20" i="61" a="1"/>
  <c r="AV20" i="61" s="1"/>
  <c r="AO45" i="61" a="1"/>
  <c r="AO45" i="61" s="1"/>
  <c r="AA60" i="61"/>
  <c r="AU59" i="61" a="1"/>
  <c r="AU59" i="61" s="1"/>
  <c r="AS59" i="61" a="1"/>
  <c r="AS59" i="61" s="1"/>
  <c r="AQ59" i="61" a="1"/>
  <c r="AQ59" i="61" s="1"/>
  <c r="AO59" i="61" a="1"/>
  <c r="AO59" i="61" s="1"/>
  <c r="AM59" i="61" a="1"/>
  <c r="AM59" i="61" s="1"/>
  <c r="AK59" i="61" a="1"/>
  <c r="AK59" i="61" s="1"/>
  <c r="AI59" i="61" a="1"/>
  <c r="AI59" i="61" s="1"/>
  <c r="AG59" i="61" a="1"/>
  <c r="AG59" i="61" s="1"/>
  <c r="AE59" i="61" a="1"/>
  <c r="AE59" i="61" s="1"/>
  <c r="AC59" i="61" a="1"/>
  <c r="AC59" i="61" s="1"/>
  <c r="AV59" i="61" a="1"/>
  <c r="AV59" i="61" s="1"/>
  <c r="AN59" i="61" a="1"/>
  <c r="AN59" i="61" s="1"/>
  <c r="AF59" i="61" a="1"/>
  <c r="AF59" i="61" s="1"/>
  <c r="AP59" i="61" a="1"/>
  <c r="AP59" i="61" s="1"/>
  <c r="AH59" i="61" a="1"/>
  <c r="AH59" i="61" s="1"/>
  <c r="AR59" i="61" a="1"/>
  <c r="AR59" i="61" s="1"/>
  <c r="AJ59" i="61" a="1"/>
  <c r="AJ59" i="61" s="1"/>
  <c r="AT59" i="61" a="1"/>
  <c r="AT59" i="61" s="1"/>
  <c r="AL59" i="61" a="1"/>
  <c r="AL59" i="61" s="1"/>
  <c r="AD59" i="61" a="1"/>
  <c r="AD59" i="61" s="1"/>
  <c r="AC6" i="61" a="1"/>
  <c r="AC6" i="61" s="1"/>
  <c r="AE6" i="61" a="1"/>
  <c r="AE6" i="61" s="1"/>
  <c r="BD6" i="61" s="1"/>
  <c r="AG6" i="61" a="1"/>
  <c r="AG6" i="61" s="1"/>
  <c r="AI6" i="61" a="1"/>
  <c r="AI6" i="61" s="1"/>
  <c r="BF6" i="61" s="1"/>
  <c r="AK6" i="61" a="1"/>
  <c r="AK6" i="61" s="1"/>
  <c r="BG6" i="61" s="1"/>
  <c r="AM6" i="61" a="1"/>
  <c r="AM6" i="61" s="1"/>
  <c r="AO6" i="61" a="1"/>
  <c r="AO6" i="61" s="1"/>
  <c r="BI6" i="61" s="1"/>
  <c r="AQ6" i="61" a="1"/>
  <c r="AQ6" i="61" s="1"/>
  <c r="AS6" i="61" a="1"/>
  <c r="AS6" i="61" s="1"/>
  <c r="BK6" i="61" s="1"/>
  <c r="AU6" i="61" a="1"/>
  <c r="AU6" i="61" s="1"/>
  <c r="BL6" i="61" s="1"/>
  <c r="AA7" i="61"/>
  <c r="AA33" i="61"/>
  <c r="AU32" i="61" a="1"/>
  <c r="AU32" i="61" s="1"/>
  <c r="AS32" i="61" a="1"/>
  <c r="AS32" i="61" s="1"/>
  <c r="AQ32" i="61" a="1"/>
  <c r="AQ32" i="61" s="1"/>
  <c r="AO32" i="61" a="1"/>
  <c r="AO32" i="61" s="1"/>
  <c r="AM32" i="61" a="1"/>
  <c r="AM32" i="61" s="1"/>
  <c r="AK32" i="61" a="1"/>
  <c r="AK32" i="61" s="1"/>
  <c r="AI32" i="61" a="1"/>
  <c r="AI32" i="61" s="1"/>
  <c r="AG32" i="61" a="1"/>
  <c r="AG32" i="61" s="1"/>
  <c r="AE32" i="61" a="1"/>
  <c r="AE32" i="61" s="1"/>
  <c r="AC32" i="61" a="1"/>
  <c r="AC32" i="61" s="1"/>
  <c r="AR32" i="61" a="1"/>
  <c r="AR32" i="61" s="1"/>
  <c r="AJ32" i="61" a="1"/>
  <c r="AJ32" i="61" s="1"/>
  <c r="AT32" i="61" a="1"/>
  <c r="AT32" i="61" s="1"/>
  <c r="AL32" i="61" a="1"/>
  <c r="AL32" i="61" s="1"/>
  <c r="AD32" i="61" a="1"/>
  <c r="AD32" i="61" s="1"/>
  <c r="AH32" i="61" a="1"/>
  <c r="AH32" i="61" s="1"/>
  <c r="AP45" i="61" a="1"/>
  <c r="AP45" i="61" s="1"/>
  <c r="AU45" i="61" a="1"/>
  <c r="AU45" i="61" s="1"/>
  <c r="AC20" i="61" a="1"/>
  <c r="AC20" i="61" s="1"/>
  <c r="AE20" i="61" a="1"/>
  <c r="AE20" i="61" s="1"/>
  <c r="AG20" i="61" a="1"/>
  <c r="AG20" i="61" s="1"/>
  <c r="AI20" i="61" a="1"/>
  <c r="AI20" i="61" s="1"/>
  <c r="AK20" i="61" a="1"/>
  <c r="AK20" i="61" s="1"/>
  <c r="AM20" i="61" a="1"/>
  <c r="AM20" i="61" s="1"/>
  <c r="AO20" i="61" a="1"/>
  <c r="AO20" i="61" s="1"/>
  <c r="AQ20" i="61" a="1"/>
  <c r="AQ20" i="61" s="1"/>
  <c r="AS20" i="61" a="1"/>
  <c r="AS20" i="61" s="1"/>
  <c r="AU20" i="61" a="1"/>
  <c r="AU20" i="61" s="1"/>
  <c r="AN32" i="61" a="1"/>
  <c r="AN32" i="61" s="1"/>
  <c r="AG45" i="61" a="1"/>
  <c r="AG45" i="61" s="1"/>
  <c r="AR45" i="61" a="1"/>
  <c r="AR45" i="61" s="1"/>
  <c r="AD6" i="61" a="1"/>
  <c r="AD6" i="61" s="1"/>
  <c r="AF6" i="61" a="1"/>
  <c r="AF6" i="61" s="1"/>
  <c r="AH6" i="61" a="1"/>
  <c r="AH6" i="61" s="1"/>
  <c r="AJ6" i="61" a="1"/>
  <c r="AJ6" i="61" s="1"/>
  <c r="AL6" i="61" a="1"/>
  <c r="AL6" i="61" s="1"/>
  <c r="AN6" i="61" a="1"/>
  <c r="AN6" i="61" s="1"/>
  <c r="AP6" i="61" a="1"/>
  <c r="AP6" i="61" s="1"/>
  <c r="AR6" i="61" a="1"/>
  <c r="AR6" i="61" s="1"/>
  <c r="AT6" i="61" a="1"/>
  <c r="AT6" i="61" s="1"/>
  <c r="AP32" i="61" a="1"/>
  <c r="AP32" i="61" s="1"/>
  <c r="AT45" i="61" a="1"/>
  <c r="AT45" i="61" s="1"/>
  <c r="AQ45" i="61" a="1"/>
  <c r="AQ45" i="61" s="1"/>
  <c r="AL45" i="61" a="1"/>
  <c r="AL45" i="61" s="1"/>
  <c r="AI45" i="61" a="1"/>
  <c r="AI45" i="61" s="1"/>
  <c r="AD45" i="61" a="1"/>
  <c r="AD45" i="61" s="1"/>
  <c r="AV45" i="61" a="1"/>
  <c r="AV45" i="61" s="1"/>
  <c r="AS45" i="61" a="1"/>
  <c r="AS45" i="61" s="1"/>
  <c r="AN45" i="61" a="1"/>
  <c r="AN45" i="61" s="1"/>
  <c r="AK45" i="61" a="1"/>
  <c r="AK45" i="61" s="1"/>
  <c r="AF45" i="61" a="1"/>
  <c r="AF45" i="61" s="1"/>
  <c r="AC45" i="61" a="1"/>
  <c r="AC45" i="61" s="1"/>
  <c r="AH45" i="61" a="1"/>
  <c r="AH45" i="61" s="1"/>
  <c r="AM45" i="61" a="1"/>
  <c r="AM45" i="61" s="1"/>
  <c r="AA101" i="61"/>
  <c r="AU100" i="61" a="1"/>
  <c r="AU100" i="61" s="1"/>
  <c r="AS100" i="61" a="1"/>
  <c r="AS100" i="61" s="1"/>
  <c r="AQ100" i="61" a="1"/>
  <c r="AQ100" i="61" s="1"/>
  <c r="AO100" i="61" a="1"/>
  <c r="AO100" i="61" s="1"/>
  <c r="AM100" i="61" a="1"/>
  <c r="AM100" i="61" s="1"/>
  <c r="AK100" i="61" a="1"/>
  <c r="AK100" i="61" s="1"/>
  <c r="AI100" i="61" a="1"/>
  <c r="AI100" i="61" s="1"/>
  <c r="AG100" i="61" a="1"/>
  <c r="AG100" i="61" s="1"/>
  <c r="AV100" i="61" a="1"/>
  <c r="AV100" i="61" s="1"/>
  <c r="AN100" i="61" a="1"/>
  <c r="AN100" i="61" s="1"/>
  <c r="AF100" i="61" a="1"/>
  <c r="AF100" i="61" s="1"/>
  <c r="AT100" i="61" a="1"/>
  <c r="AT100" i="61" s="1"/>
  <c r="AL100" i="61" a="1"/>
  <c r="AL100" i="61" s="1"/>
  <c r="AE100" i="61" a="1"/>
  <c r="AE100" i="61" s="1"/>
  <c r="AR100" i="61" a="1"/>
  <c r="AR100" i="61" s="1"/>
  <c r="AJ100" i="61" a="1"/>
  <c r="AJ100" i="61" s="1"/>
  <c r="AD100" i="61" a="1"/>
  <c r="AD100" i="61" s="1"/>
  <c r="AP100" i="61" a="1"/>
  <c r="AP100" i="61" s="1"/>
  <c r="AH100" i="61" a="1"/>
  <c r="AH100" i="61" s="1"/>
  <c r="AC100" i="61" a="1"/>
  <c r="AC100" i="61" s="1"/>
  <c r="AG58" i="61" a="1"/>
  <c r="AG58" i="61" s="1"/>
  <c r="AO58" i="61" a="1"/>
  <c r="AO58" i="61" s="1"/>
  <c r="AV58" i="61" a="1"/>
  <c r="AV58" i="61" s="1"/>
  <c r="AT58" i="61" a="1"/>
  <c r="AT58" i="61" s="1"/>
  <c r="AR58" i="61" a="1"/>
  <c r="AR58" i="61" s="1"/>
  <c r="AP58" i="61" a="1"/>
  <c r="AP58" i="61" s="1"/>
  <c r="AN58" i="61" a="1"/>
  <c r="AN58" i="61" s="1"/>
  <c r="AL58" i="61" a="1"/>
  <c r="AL58" i="61" s="1"/>
  <c r="AJ58" i="61" a="1"/>
  <c r="AJ58" i="61" s="1"/>
  <c r="AH58" i="61" a="1"/>
  <c r="AH58" i="61" s="1"/>
  <c r="AF58" i="61" a="1"/>
  <c r="AF58" i="61" s="1"/>
  <c r="AD58" i="61" a="1"/>
  <c r="AD58" i="61" s="1"/>
  <c r="AE58" i="61" a="1"/>
  <c r="AE58" i="61" s="1"/>
  <c r="AM58" i="61" a="1"/>
  <c r="AM58" i="61" s="1"/>
  <c r="AU58" i="61" a="1"/>
  <c r="AU58" i="61" s="1"/>
  <c r="AV73" i="61" a="1"/>
  <c r="AV73" i="61" s="1"/>
  <c r="AT73" i="61" a="1"/>
  <c r="AT73" i="61" s="1"/>
  <c r="AR73" i="61" a="1"/>
  <c r="AR73" i="61" s="1"/>
  <c r="AP73" i="61" a="1"/>
  <c r="AP73" i="61" s="1"/>
  <c r="AN73" i="61" a="1"/>
  <c r="AN73" i="61" s="1"/>
  <c r="AL73" i="61" a="1"/>
  <c r="AL73" i="61" s="1"/>
  <c r="AJ73" i="61" a="1"/>
  <c r="AJ73" i="61" s="1"/>
  <c r="AH73" i="61" a="1"/>
  <c r="AH73" i="61" s="1"/>
  <c r="AF73" i="61" a="1"/>
  <c r="AF73" i="61" s="1"/>
  <c r="AD73" i="61" a="1"/>
  <c r="AD73" i="61" s="1"/>
  <c r="AA74" i="61"/>
  <c r="AU73" i="61" a="1"/>
  <c r="AU73" i="61" s="1"/>
  <c r="AS73" i="61" a="1"/>
  <c r="AS73" i="61" s="1"/>
  <c r="AQ73" i="61" a="1"/>
  <c r="AQ73" i="61" s="1"/>
  <c r="AO73" i="61" a="1"/>
  <c r="AO73" i="61" s="1"/>
  <c r="AM73" i="61" a="1"/>
  <c r="AM73" i="61" s="1"/>
  <c r="AK73" i="61" a="1"/>
  <c r="AK73" i="61" s="1"/>
  <c r="AI73" i="61" a="1"/>
  <c r="AI73" i="61" s="1"/>
  <c r="AG73" i="61" a="1"/>
  <c r="AG73" i="61" s="1"/>
  <c r="AE73" i="61" a="1"/>
  <c r="AE73" i="61" s="1"/>
  <c r="AC73" i="61" a="1"/>
  <c r="AC73" i="61" s="1"/>
  <c r="AJ84" i="61" a="1"/>
  <c r="AJ84" i="61" s="1"/>
  <c r="AE98" i="61" a="1"/>
  <c r="AE98" i="61" s="1"/>
  <c r="AI98" i="61" a="1"/>
  <c r="AI98" i="61" s="1"/>
  <c r="AM98" i="61" a="1"/>
  <c r="AM98" i="61" s="1"/>
  <c r="AQ98" i="61" a="1"/>
  <c r="AQ98" i="61" s="1"/>
  <c r="AD99" i="61" a="1"/>
  <c r="AD99" i="61" s="1"/>
  <c r="AH99" i="61" a="1"/>
  <c r="AH99" i="61" s="1"/>
  <c r="AL99" i="61" a="1"/>
  <c r="AL99" i="61" s="1"/>
  <c r="AP99" i="61" a="1"/>
  <c r="AP99" i="61" s="1"/>
  <c r="AT99" i="61" a="1"/>
  <c r="AT99" i="61" s="1"/>
  <c r="AD72" i="61" a="1"/>
  <c r="AD72" i="61" s="1"/>
  <c r="AF72" i="61" a="1"/>
  <c r="AF72" i="61" s="1"/>
  <c r="AH72" i="61" a="1"/>
  <c r="AH72" i="61" s="1"/>
  <c r="AJ72" i="61" a="1"/>
  <c r="AJ72" i="61" s="1"/>
  <c r="AL72" i="61" a="1"/>
  <c r="AL72" i="61" s="1"/>
  <c r="AN72" i="61" a="1"/>
  <c r="AN72" i="61" s="1"/>
  <c r="AP72" i="61" a="1"/>
  <c r="AP72" i="61" s="1"/>
  <c r="AR72" i="61" a="1"/>
  <c r="AR72" i="61" s="1"/>
  <c r="AT72" i="61" a="1"/>
  <c r="AT72" i="61" s="1"/>
  <c r="AV72" i="61" a="1"/>
  <c r="AV72" i="61" s="1"/>
  <c r="AA85" i="61"/>
  <c r="AU84" i="61" a="1"/>
  <c r="AU84" i="61" s="1"/>
  <c r="AS84" i="61" a="1"/>
  <c r="AS84" i="61" s="1"/>
  <c r="AQ84" i="61" a="1"/>
  <c r="AQ84" i="61" s="1"/>
  <c r="AO84" i="61" a="1"/>
  <c r="AO84" i="61" s="1"/>
  <c r="AM84" i="61" a="1"/>
  <c r="AM84" i="61" s="1"/>
  <c r="AK84" i="61" a="1"/>
  <c r="AK84" i="61" s="1"/>
  <c r="AI84" i="61" a="1"/>
  <c r="AI84" i="61" s="1"/>
  <c r="AG84" i="61" a="1"/>
  <c r="AG84" i="61" s="1"/>
  <c r="AE84" i="61" a="1"/>
  <c r="AE84" i="61" s="1"/>
  <c r="AC84" i="61" a="1"/>
  <c r="AC84" i="61" s="1"/>
  <c r="AH84" i="61" a="1"/>
  <c r="AH84" i="61" s="1"/>
  <c r="AP84" i="61" a="1"/>
  <c r="AP84" i="61" s="1"/>
  <c r="AE99" i="61" a="1"/>
  <c r="AE99" i="61" s="1"/>
  <c r="AI99" i="61" a="1"/>
  <c r="AI99" i="61" s="1"/>
  <c r="AM99" i="61" a="1"/>
  <c r="AM99" i="61" s="1"/>
  <c r="AQ99" i="61" a="1"/>
  <c r="AQ99" i="61" s="1"/>
  <c r="AU99" i="61" a="1"/>
  <c r="AU99" i="61" s="1"/>
  <c r="AF99" i="61" a="1"/>
  <c r="AF99" i="61" s="1"/>
  <c r="AJ99" i="61" a="1"/>
  <c r="AJ99" i="61" s="1"/>
  <c r="AN99" i="61" a="1"/>
  <c r="AN99" i="61" s="1"/>
  <c r="AR99" i="61" a="1"/>
  <c r="AR99" i="61" s="1"/>
  <c r="AV99" i="61" a="1"/>
  <c r="AV99" i="61" s="1"/>
  <c r="AC72" i="61" a="1"/>
  <c r="AC72" i="61" s="1"/>
  <c r="AE72" i="61" a="1"/>
  <c r="AE72" i="61" s="1"/>
  <c r="AG72" i="61" a="1"/>
  <c r="AG72" i="61" s="1"/>
  <c r="AI72" i="61" a="1"/>
  <c r="AI72" i="61" s="1"/>
  <c r="AK72" i="61" a="1"/>
  <c r="AK72" i="61" s="1"/>
  <c r="AM72" i="61" a="1"/>
  <c r="AM72" i="61" s="1"/>
  <c r="AO72" i="61" a="1"/>
  <c r="AO72" i="61" s="1"/>
  <c r="AQ72" i="61" a="1"/>
  <c r="AQ72" i="61" s="1"/>
  <c r="AS72" i="61" a="1"/>
  <c r="AS72" i="61" s="1"/>
  <c r="AU72" i="61" a="1"/>
  <c r="AU72" i="61" s="1"/>
  <c r="AD84" i="61" a="1"/>
  <c r="AD84" i="61" s="1"/>
  <c r="AL84" i="61" a="1"/>
  <c r="AL84" i="61" s="1"/>
  <c r="AT84" i="61" a="1"/>
  <c r="AT84" i="61" s="1"/>
  <c r="AC99" i="61" a="1"/>
  <c r="AC99" i="61" s="1"/>
  <c r="AG99" i="61" a="1"/>
  <c r="AG99" i="61" s="1"/>
  <c r="AK99" i="61" a="1"/>
  <c r="AK99" i="61" s="1"/>
  <c r="AO99" i="61" a="1"/>
  <c r="AO99" i="61" s="1"/>
  <c r="AS99" i="61" a="1"/>
  <c r="AS99" i="61" s="1"/>
  <c r="AG111" i="61" a="1"/>
  <c r="AG111" i="61" s="1"/>
  <c r="AJ111" i="61" a="1"/>
  <c r="AJ111" i="61" s="1"/>
  <c r="AO111" i="61" a="1"/>
  <c r="AO111" i="61" s="1"/>
  <c r="AR111" i="61" a="1"/>
  <c r="AR111" i="61" s="1"/>
  <c r="AA112" i="61"/>
  <c r="AE111" i="61" a="1"/>
  <c r="AE111" i="61" s="1"/>
  <c r="AH111" i="61" a="1"/>
  <c r="AH111" i="61" s="1"/>
  <c r="AM111" i="61" a="1"/>
  <c r="AM111" i="61" s="1"/>
  <c r="AP111" i="61" a="1"/>
  <c r="AP111" i="61" s="1"/>
  <c r="AU111" i="61" a="1"/>
  <c r="AU111" i="61" s="1"/>
  <c r="AC111" i="61" a="1"/>
  <c r="AC111" i="61" s="1"/>
  <c r="AF111" i="61" a="1"/>
  <c r="AF111" i="61" s="1"/>
  <c r="AK111" i="61" a="1"/>
  <c r="AK111" i="61" s="1"/>
  <c r="AN111" i="61" a="1"/>
  <c r="AN111" i="61" s="1"/>
  <c r="AS111" i="61" a="1"/>
  <c r="AS111" i="61" s="1"/>
  <c r="AV136" i="61" a="1"/>
  <c r="AV136" i="61" s="1"/>
  <c r="AT136" i="61" a="1"/>
  <c r="AT136" i="61" s="1"/>
  <c r="AR136" i="61" a="1"/>
  <c r="AR136" i="61" s="1"/>
  <c r="AP136" i="61" a="1"/>
  <c r="AP136" i="61" s="1"/>
  <c r="AN136" i="61" a="1"/>
  <c r="AN136" i="61" s="1"/>
  <c r="AL136" i="61" a="1"/>
  <c r="AL136" i="61" s="1"/>
  <c r="AJ136" i="61" a="1"/>
  <c r="AJ136" i="61" s="1"/>
  <c r="AH136" i="61" a="1"/>
  <c r="AH136" i="61" s="1"/>
  <c r="AF136" i="61" a="1"/>
  <c r="AF136" i="61" s="1"/>
  <c r="AD136" i="61" a="1"/>
  <c r="AD136" i="61" s="1"/>
  <c r="AA137" i="61"/>
  <c r="AO136" i="61" a="1"/>
  <c r="AO136" i="61" s="1"/>
  <c r="AG136" i="61" a="1"/>
  <c r="AG136" i="61" s="1"/>
  <c r="AQ136" i="61" a="1"/>
  <c r="AQ136" i="61" s="1"/>
  <c r="AI136" i="61" a="1"/>
  <c r="AI136" i="61" s="1"/>
  <c r="AS136" i="61" a="1"/>
  <c r="AS136" i="61" s="1"/>
  <c r="AK136" i="61" a="1"/>
  <c r="AK136" i="61" s="1"/>
  <c r="AC136" i="61" a="1"/>
  <c r="AC136" i="61" s="1"/>
  <c r="AU136" i="61" a="1"/>
  <c r="AU136" i="61" s="1"/>
  <c r="AM136" i="61" a="1"/>
  <c r="AM136" i="61" s="1"/>
  <c r="AG123" i="61" a="1"/>
  <c r="AG123" i="61" s="1"/>
  <c r="AJ123" i="61" a="1"/>
  <c r="AJ123" i="61" s="1"/>
  <c r="AO123" i="61" a="1"/>
  <c r="AO123" i="61" s="1"/>
  <c r="AR123" i="61" a="1"/>
  <c r="AR123" i="61" s="1"/>
  <c r="AA124" i="61"/>
  <c r="AE123" i="61" a="1"/>
  <c r="AE123" i="61" s="1"/>
  <c r="AH123" i="61" a="1"/>
  <c r="AH123" i="61" s="1"/>
  <c r="AM123" i="61" a="1"/>
  <c r="AM123" i="61" s="1"/>
  <c r="AP123" i="61" a="1"/>
  <c r="AP123" i="61" s="1"/>
  <c r="AU123" i="61" a="1"/>
  <c r="AU123" i="61" s="1"/>
  <c r="AK123" i="61" a="1"/>
  <c r="AK123" i="61" s="1"/>
  <c r="AN123" i="61" a="1"/>
  <c r="AN123" i="61" s="1"/>
  <c r="AS123" i="61" a="1"/>
  <c r="AS123" i="61" s="1"/>
  <c r="AQ149" i="61" a="1"/>
  <c r="AQ149" i="61" s="1"/>
  <c r="AV149" i="61" a="1"/>
  <c r="AV149" i="61" s="1"/>
  <c r="AD150" i="61" a="1"/>
  <c r="AD150" i="61" s="1"/>
  <c r="AI150" i="61" a="1"/>
  <c r="AI150" i="61" s="1"/>
  <c r="AL150" i="61" a="1"/>
  <c r="AL150" i="61" s="1"/>
  <c r="AQ150" i="61" a="1"/>
  <c r="AQ150" i="61" s="1"/>
  <c r="AT150" i="61" a="1"/>
  <c r="AT150" i="61" s="1"/>
  <c r="AA163" i="61"/>
  <c r="AR162" i="61" a="1"/>
  <c r="AR162" i="61" s="1"/>
  <c r="AO162" i="61" a="1"/>
  <c r="AO162" i="61" s="1"/>
  <c r="AJ162" i="61" a="1"/>
  <c r="AJ162" i="61" s="1"/>
  <c r="AG162" i="61" a="1"/>
  <c r="AG162" i="61" s="1"/>
  <c r="AT162" i="61" a="1"/>
  <c r="AT162" i="61" s="1"/>
  <c r="AQ162" i="61" a="1"/>
  <c r="AQ162" i="61" s="1"/>
  <c r="AL162" i="61" a="1"/>
  <c r="AL162" i="61" s="1"/>
  <c r="AI162" i="61" a="1"/>
  <c r="AI162" i="61" s="1"/>
  <c r="AD162" i="61" a="1"/>
  <c r="AD162" i="61" s="1"/>
  <c r="AV162" i="61" a="1"/>
  <c r="AV162" i="61" s="1"/>
  <c r="AS162" i="61" a="1"/>
  <c r="AS162" i="61" s="1"/>
  <c r="AN162" i="61" a="1"/>
  <c r="AN162" i="61" s="1"/>
  <c r="AK162" i="61" a="1"/>
  <c r="AK162" i="61" s="1"/>
  <c r="AF162" i="61" a="1"/>
  <c r="AF162" i="61" s="1"/>
  <c r="AC162" i="61" a="1"/>
  <c r="AC162" i="61" s="1"/>
  <c r="AM162" i="61" a="1"/>
  <c r="AM162" i="61" s="1"/>
  <c r="AG150" i="61" a="1"/>
  <c r="AG150" i="61" s="1"/>
  <c r="AJ150" i="61" a="1"/>
  <c r="AJ150" i="61" s="1"/>
  <c r="AO150" i="61" a="1"/>
  <c r="AO150" i="61" s="1"/>
  <c r="AR150" i="61" a="1"/>
  <c r="AR150" i="61" s="1"/>
  <c r="AA151" i="61"/>
  <c r="AE162" i="61" a="1"/>
  <c r="AE162" i="61" s="1"/>
  <c r="AP162" i="61" a="1"/>
  <c r="AP162" i="61" s="1"/>
  <c r="AM149" i="61" a="1"/>
  <c r="AM149" i="61" s="1"/>
  <c r="AR149" i="61" a="1"/>
  <c r="AR149" i="61" s="1"/>
  <c r="AE150" i="61" a="1"/>
  <c r="AE150" i="61" s="1"/>
  <c r="AH150" i="61" a="1"/>
  <c r="AH150" i="61" s="1"/>
  <c r="AM150" i="61" a="1"/>
  <c r="AM150" i="61" s="1"/>
  <c r="AP150" i="61" a="1"/>
  <c r="AP150" i="61" s="1"/>
  <c r="AU150" i="61" a="1"/>
  <c r="AU150" i="61" s="1"/>
  <c r="AH162" i="61" a="1"/>
  <c r="AH162" i="61" s="1"/>
  <c r="AC150" i="61" a="1"/>
  <c r="AC150" i="61" s="1"/>
  <c r="AF150" i="61" a="1"/>
  <c r="AF150" i="61" s="1"/>
  <c r="AK150" i="61" a="1"/>
  <c r="AK150" i="61" s="1"/>
  <c r="AN150" i="61" a="1"/>
  <c r="AN150" i="61" s="1"/>
  <c r="AS150" i="61" a="1"/>
  <c r="AS150" i="61" s="1"/>
  <c r="AU162" i="61" a="1"/>
  <c r="AU162" i="61" s="1"/>
  <c r="AV176" i="61" a="1"/>
  <c r="AV176" i="61" s="1"/>
  <c r="AT176" i="61" a="1"/>
  <c r="AT176" i="61" s="1"/>
  <c r="AR176" i="61" a="1"/>
  <c r="AR176" i="61" s="1"/>
  <c r="AP176" i="61" a="1"/>
  <c r="AP176" i="61" s="1"/>
  <c r="AG176" i="61" a="1"/>
  <c r="AG176" i="61" s="1"/>
  <c r="AJ176" i="61" a="1"/>
  <c r="AJ176" i="61" s="1"/>
  <c r="AO176" i="61" a="1"/>
  <c r="AO176" i="61" s="1"/>
  <c r="AS176" i="61" a="1"/>
  <c r="AS176" i="61" s="1"/>
  <c r="AA177" i="61"/>
  <c r="AE176" i="61" a="1"/>
  <c r="AE176" i="61" s="1"/>
  <c r="AH176" i="61" a="1"/>
  <c r="AH176" i="61" s="1"/>
  <c r="AM176" i="61" a="1"/>
  <c r="AM176" i="61" s="1"/>
  <c r="AN176" i="61" a="1"/>
  <c r="AN176" i="61" s="1"/>
  <c r="AQ176" i="61" a="1"/>
  <c r="AQ176" i="61" s="1"/>
  <c r="AU176" i="61" a="1"/>
  <c r="AU176" i="61" s="1"/>
  <c r="AD176" i="61" a="1"/>
  <c r="AD176" i="61" s="1"/>
  <c r="AI176" i="61" a="1"/>
  <c r="AI176" i="61" s="1"/>
  <c r="AL176" i="61" a="1"/>
  <c r="AL176" i="61" s="1"/>
  <c r="AV190" i="61" a="1"/>
  <c r="AV190" i="61" s="1"/>
  <c r="AR190" i="61" a="1"/>
  <c r="AR190" i="61" s="1"/>
  <c r="AN190" i="61" a="1"/>
  <c r="AN190" i="61" s="1"/>
  <c r="AJ190" i="61" a="1"/>
  <c r="AJ190" i="61" s="1"/>
  <c r="AF190" i="61" a="1"/>
  <c r="AF190" i="61" s="1"/>
  <c r="AU190" i="61" a="1"/>
  <c r="AU190" i="61" s="1"/>
  <c r="AQ190" i="61" a="1"/>
  <c r="AQ190" i="61" s="1"/>
  <c r="AM190" i="61" a="1"/>
  <c r="AM190" i="61" s="1"/>
  <c r="AI190" i="61" a="1"/>
  <c r="AI190" i="61" s="1"/>
  <c r="AE190" i="61" a="1"/>
  <c r="AE190" i="61" s="1"/>
  <c r="AT190" i="61" a="1"/>
  <c r="AT190" i="61" s="1"/>
  <c r="AP190" i="61" a="1"/>
  <c r="AP190" i="61" s="1"/>
  <c r="AL190" i="61" a="1"/>
  <c r="AL190" i="61" s="1"/>
  <c r="AH190" i="61" a="1"/>
  <c r="AH190" i="61" s="1"/>
  <c r="AD190" i="61" a="1"/>
  <c r="AD190" i="61" s="1"/>
  <c r="AA191" i="61"/>
  <c r="AS190" i="61" a="1"/>
  <c r="AS190" i="61" s="1"/>
  <c r="AO190" i="61" a="1"/>
  <c r="AO190" i="61" s="1"/>
  <c r="AK190" i="61" a="1"/>
  <c r="AK190" i="61" s="1"/>
  <c r="AG190" i="61" a="1"/>
  <c r="AG190" i="61" s="1"/>
  <c r="AC190" i="61" a="1"/>
  <c r="AC190" i="61" s="1"/>
  <c r="AE189" i="61" a="1"/>
  <c r="AE189" i="61" s="1"/>
  <c r="AH189" i="61" a="1"/>
  <c r="AH189" i="61" s="1"/>
  <c r="AL189" i="61" a="1"/>
  <c r="AL189" i="61" s="1"/>
  <c r="AP189" i="61" a="1"/>
  <c r="AP189" i="61" s="1"/>
  <c r="AT189" i="61" a="1"/>
  <c r="AT189" i="61" s="1"/>
  <c r="AM189" i="61" a="1"/>
  <c r="AM189" i="61" s="1"/>
  <c r="AQ189" i="61" a="1"/>
  <c r="AQ189" i="61" s="1"/>
  <c r="AU189" i="61" a="1"/>
  <c r="AU189" i="61" s="1"/>
  <c r="AN189" i="61" a="1"/>
  <c r="AN189" i="61" s="1"/>
  <c r="AR189" i="61" a="1"/>
  <c r="AR189" i="61" s="1"/>
  <c r="AV189" i="61" a="1"/>
  <c r="AV189" i="61" s="1"/>
  <c r="AG189" i="61" a="1"/>
  <c r="AG189" i="61" s="1"/>
  <c r="AK189" i="61" a="1"/>
  <c r="AK189" i="61" s="1"/>
  <c r="AO189" i="61" a="1"/>
  <c r="AO189" i="61" s="1"/>
  <c r="AS189" i="61" a="1"/>
  <c r="AS189" i="61" s="1"/>
  <c r="BH6" i="61" l="1"/>
  <c r="BC6" i="61"/>
  <c r="AA178" i="61"/>
  <c r="AU177" i="61" a="1"/>
  <c r="AU177" i="61" s="1"/>
  <c r="AS177" i="61" a="1"/>
  <c r="AS177" i="61" s="1"/>
  <c r="AQ177" i="61" a="1"/>
  <c r="AQ177" i="61" s="1"/>
  <c r="AO177" i="61" a="1"/>
  <c r="AO177" i="61" s="1"/>
  <c r="AM177" i="61" a="1"/>
  <c r="AM177" i="61" s="1"/>
  <c r="AK177" i="61" a="1"/>
  <c r="AK177" i="61" s="1"/>
  <c r="AI177" i="61" a="1"/>
  <c r="AI177" i="61" s="1"/>
  <c r="AG177" i="61" a="1"/>
  <c r="AG177" i="61" s="1"/>
  <c r="AE177" i="61" a="1"/>
  <c r="AE177" i="61" s="1"/>
  <c r="AC177" i="61" a="1"/>
  <c r="AC177" i="61" s="1"/>
  <c r="AT177" i="61" a="1"/>
  <c r="AT177" i="61" s="1"/>
  <c r="AP177" i="61" a="1"/>
  <c r="AP177" i="61" s="1"/>
  <c r="AL177" i="61" a="1"/>
  <c r="AL177" i="61" s="1"/>
  <c r="AH177" i="61" a="1"/>
  <c r="AH177" i="61" s="1"/>
  <c r="AD177" i="61" a="1"/>
  <c r="AD177" i="61" s="1"/>
  <c r="AV177" i="61" a="1"/>
  <c r="AV177" i="61" s="1"/>
  <c r="AR177" i="61" a="1"/>
  <c r="AR177" i="61" s="1"/>
  <c r="AN177" i="61" a="1"/>
  <c r="AN177" i="61" s="1"/>
  <c r="AJ177" i="61" a="1"/>
  <c r="AJ177" i="61" s="1"/>
  <c r="AF177" i="61" a="1"/>
  <c r="AF177" i="61" s="1"/>
  <c r="AA138" i="61"/>
  <c r="AU137" i="61" a="1"/>
  <c r="AU137" i="61" s="1"/>
  <c r="AS137" i="61" a="1"/>
  <c r="AS137" i="61" s="1"/>
  <c r="AQ137" i="61" a="1"/>
  <c r="AQ137" i="61" s="1"/>
  <c r="AO137" i="61" a="1"/>
  <c r="AO137" i="61" s="1"/>
  <c r="AM137" i="61" a="1"/>
  <c r="AM137" i="61" s="1"/>
  <c r="AK137" i="61" a="1"/>
  <c r="AK137" i="61" s="1"/>
  <c r="AI137" i="61" a="1"/>
  <c r="AI137" i="61" s="1"/>
  <c r="AG137" i="61" a="1"/>
  <c r="AG137" i="61" s="1"/>
  <c r="AE137" i="61" a="1"/>
  <c r="AE137" i="61" s="1"/>
  <c r="AC137" i="61" a="1"/>
  <c r="AC137" i="61" s="1"/>
  <c r="AV137" i="61" a="1"/>
  <c r="AV137" i="61" s="1"/>
  <c r="AR137" i="61" a="1"/>
  <c r="AR137" i="61" s="1"/>
  <c r="AJ137" i="61" a="1"/>
  <c r="AJ137" i="61" s="1"/>
  <c r="AT137" i="61" a="1"/>
  <c r="AT137" i="61" s="1"/>
  <c r="AL137" i="61" a="1"/>
  <c r="AL137" i="61" s="1"/>
  <c r="AD137" i="61" a="1"/>
  <c r="AD137" i="61" s="1"/>
  <c r="AN137" i="61" a="1"/>
  <c r="AN137" i="61" s="1"/>
  <c r="AF137" i="61" a="1"/>
  <c r="AF137" i="61" s="1"/>
  <c r="AP137" i="61" a="1"/>
  <c r="AP137" i="61" s="1"/>
  <c r="AH137" i="61" a="1"/>
  <c r="AH137" i="61" s="1"/>
  <c r="AV151" i="61" a="1"/>
  <c r="AV151" i="61" s="1"/>
  <c r="AQ151" i="61" a="1"/>
  <c r="AQ151" i="61" s="1"/>
  <c r="AN151" i="61" a="1"/>
  <c r="AN151" i="61" s="1"/>
  <c r="AI151" i="61" a="1"/>
  <c r="AI151" i="61" s="1"/>
  <c r="AF151" i="61" a="1"/>
  <c r="AF151" i="61" s="1"/>
  <c r="AS151" i="61" a="1"/>
  <c r="AS151" i="61" s="1"/>
  <c r="AP151" i="61" a="1"/>
  <c r="AP151" i="61" s="1"/>
  <c r="AK151" i="61" a="1"/>
  <c r="AK151" i="61" s="1"/>
  <c r="AH151" i="61" a="1"/>
  <c r="AH151" i="61" s="1"/>
  <c r="AC151" i="61" a="1"/>
  <c r="AC151" i="61" s="1"/>
  <c r="AU151" i="61" a="1"/>
  <c r="AU151" i="61" s="1"/>
  <c r="AR151" i="61" a="1"/>
  <c r="AR151" i="61" s="1"/>
  <c r="AM151" i="61" a="1"/>
  <c r="AM151" i="61" s="1"/>
  <c r="AJ151" i="61" a="1"/>
  <c r="AJ151" i="61" s="1"/>
  <c r="AE151" i="61" a="1"/>
  <c r="AE151" i="61" s="1"/>
  <c r="AA152" i="61"/>
  <c r="AT151" i="61" a="1"/>
  <c r="AT151" i="61" s="1"/>
  <c r="AO151" i="61" a="1"/>
  <c r="AO151" i="61" s="1"/>
  <c r="AL151" i="61" a="1"/>
  <c r="AL151" i="61" s="1"/>
  <c r="AG151" i="61" a="1"/>
  <c r="AG151" i="61" s="1"/>
  <c r="AD151" i="61" a="1"/>
  <c r="AD151" i="61" s="1"/>
  <c r="AA113" i="61"/>
  <c r="AT112" i="61" a="1"/>
  <c r="AT112" i="61" s="1"/>
  <c r="AO112" i="61" a="1"/>
  <c r="AO112" i="61" s="1"/>
  <c r="AL112" i="61" a="1"/>
  <c r="AL112" i="61" s="1"/>
  <c r="AG112" i="61" a="1"/>
  <c r="AG112" i="61" s="1"/>
  <c r="AD112" i="61" a="1"/>
  <c r="AD112" i="61" s="1"/>
  <c r="AV112" i="61" a="1"/>
  <c r="AV112" i="61" s="1"/>
  <c r="AQ112" i="61" a="1"/>
  <c r="AQ112" i="61" s="1"/>
  <c r="AN112" i="61" a="1"/>
  <c r="AN112" i="61" s="1"/>
  <c r="AI112" i="61" a="1"/>
  <c r="AI112" i="61" s="1"/>
  <c r="AF112" i="61" a="1"/>
  <c r="AF112" i="61" s="1"/>
  <c r="AS112" i="61" a="1"/>
  <c r="AS112" i="61" s="1"/>
  <c r="AP112" i="61" a="1"/>
  <c r="AP112" i="61" s="1"/>
  <c r="AK112" i="61" a="1"/>
  <c r="AK112" i="61" s="1"/>
  <c r="AH112" i="61" a="1"/>
  <c r="AH112" i="61" s="1"/>
  <c r="AC112" i="61" a="1"/>
  <c r="AC112" i="61" s="1"/>
  <c r="AU112" i="61" a="1"/>
  <c r="AU112" i="61" s="1"/>
  <c r="AR112" i="61" a="1"/>
  <c r="AR112" i="61" s="1"/>
  <c r="AM112" i="61" a="1"/>
  <c r="AM112" i="61" s="1"/>
  <c r="AJ112" i="61" a="1"/>
  <c r="AJ112" i="61" s="1"/>
  <c r="AE112" i="61" a="1"/>
  <c r="AE112" i="61" s="1"/>
  <c r="AA75" i="61"/>
  <c r="AU74" i="61" a="1"/>
  <c r="AU74" i="61" s="1"/>
  <c r="AS74" i="61" a="1"/>
  <c r="AS74" i="61" s="1"/>
  <c r="AQ74" i="61" a="1"/>
  <c r="AQ74" i="61" s="1"/>
  <c r="AO74" i="61" a="1"/>
  <c r="AO74" i="61" s="1"/>
  <c r="AM74" i="61" a="1"/>
  <c r="AM74" i="61" s="1"/>
  <c r="AK74" i="61" a="1"/>
  <c r="AK74" i="61" s="1"/>
  <c r="AI74" i="61" a="1"/>
  <c r="AI74" i="61" s="1"/>
  <c r="AG74" i="61" a="1"/>
  <c r="AG74" i="61" s="1"/>
  <c r="AE74" i="61" a="1"/>
  <c r="AE74" i="61" s="1"/>
  <c r="AC74" i="61" a="1"/>
  <c r="AC74" i="61" s="1"/>
  <c r="AV74" i="61" a="1"/>
  <c r="AV74" i="61" s="1"/>
  <c r="AT74" i="61" a="1"/>
  <c r="AT74" i="61" s="1"/>
  <c r="AR74" i="61" a="1"/>
  <c r="AR74" i="61" s="1"/>
  <c r="AP74" i="61" a="1"/>
  <c r="AP74" i="61" s="1"/>
  <c r="AN74" i="61" a="1"/>
  <c r="AN74" i="61" s="1"/>
  <c r="AL74" i="61" a="1"/>
  <c r="AL74" i="61" s="1"/>
  <c r="AJ74" i="61" a="1"/>
  <c r="AJ74" i="61" s="1"/>
  <c r="AH74" i="61" a="1"/>
  <c r="AH74" i="61" s="1"/>
  <c r="AF74" i="61" a="1"/>
  <c r="AF74" i="61" s="1"/>
  <c r="AD74" i="61" a="1"/>
  <c r="AD74" i="61" s="1"/>
  <c r="AA23" i="61"/>
  <c r="AU22" i="61" a="1"/>
  <c r="AU22" i="61" s="1"/>
  <c r="AS22" i="61" a="1"/>
  <c r="AS22" i="61" s="1"/>
  <c r="AQ22" i="61" a="1"/>
  <c r="AQ22" i="61" s="1"/>
  <c r="AO22" i="61" a="1"/>
  <c r="AO22" i="61" s="1"/>
  <c r="AM22" i="61" a="1"/>
  <c r="AM22" i="61" s="1"/>
  <c r="AK22" i="61" a="1"/>
  <c r="AK22" i="61" s="1"/>
  <c r="AI22" i="61" a="1"/>
  <c r="AI22" i="61" s="1"/>
  <c r="AG22" i="61" a="1"/>
  <c r="AG22" i="61" s="1"/>
  <c r="AE22" i="61" a="1"/>
  <c r="AE22" i="61" s="1"/>
  <c r="AC22" i="61" a="1"/>
  <c r="AC22" i="61" s="1"/>
  <c r="AV22" i="61" a="1"/>
  <c r="AV22" i="61" s="1"/>
  <c r="AT22" i="61" a="1"/>
  <c r="AT22" i="61" s="1"/>
  <c r="AR22" i="61" a="1"/>
  <c r="AR22" i="61" s="1"/>
  <c r="AP22" i="61" a="1"/>
  <c r="AP22" i="61" s="1"/>
  <c r="AN22" i="61" a="1"/>
  <c r="AN22" i="61" s="1"/>
  <c r="AL22" i="61" a="1"/>
  <c r="AL22" i="61" s="1"/>
  <c r="AJ22" i="61" a="1"/>
  <c r="AJ22" i="61" s="1"/>
  <c r="AH22" i="61" a="1"/>
  <c r="AH22" i="61" s="1"/>
  <c r="AF22" i="61" a="1"/>
  <c r="AF22" i="61" s="1"/>
  <c r="AD22" i="61" a="1"/>
  <c r="AD22" i="61" s="1"/>
  <c r="AA164" i="61"/>
  <c r="AT163" i="61" a="1"/>
  <c r="AT163" i="61" s="1"/>
  <c r="AO163" i="61" a="1"/>
  <c r="AO163" i="61" s="1"/>
  <c r="AL163" i="61" a="1"/>
  <c r="AL163" i="61" s="1"/>
  <c r="AG163" i="61" a="1"/>
  <c r="AG163" i="61" s="1"/>
  <c r="AD163" i="61" a="1"/>
  <c r="AD163" i="61" s="1"/>
  <c r="AV163" i="61" a="1"/>
  <c r="AV163" i="61" s="1"/>
  <c r="AQ163" i="61" a="1"/>
  <c r="AQ163" i="61" s="1"/>
  <c r="AN163" i="61" a="1"/>
  <c r="AN163" i="61" s="1"/>
  <c r="AI163" i="61" a="1"/>
  <c r="AI163" i="61" s="1"/>
  <c r="AF163" i="61" a="1"/>
  <c r="AF163" i="61" s="1"/>
  <c r="AS163" i="61" a="1"/>
  <c r="AS163" i="61" s="1"/>
  <c r="AP163" i="61" a="1"/>
  <c r="AP163" i="61" s="1"/>
  <c r="AK163" i="61" a="1"/>
  <c r="AK163" i="61" s="1"/>
  <c r="AH163" i="61" a="1"/>
  <c r="AH163" i="61" s="1"/>
  <c r="AC163" i="61" a="1"/>
  <c r="AC163" i="61" s="1"/>
  <c r="AU163" i="61" a="1"/>
  <c r="AU163" i="61" s="1"/>
  <c r="AJ163" i="61" a="1"/>
  <c r="AJ163" i="61" s="1"/>
  <c r="AR163" i="61" a="1"/>
  <c r="AR163" i="61" s="1"/>
  <c r="AE163" i="61" a="1"/>
  <c r="AE163" i="61" s="1"/>
  <c r="AM163" i="61" a="1"/>
  <c r="AM163" i="61" s="1"/>
  <c r="AS124" i="61" a="1"/>
  <c r="AS124" i="61" s="1"/>
  <c r="AP124" i="61" a="1"/>
  <c r="AP124" i="61" s="1"/>
  <c r="AK124" i="61" a="1"/>
  <c r="AK124" i="61" s="1"/>
  <c r="AH124" i="61" a="1"/>
  <c r="AH124" i="61" s="1"/>
  <c r="AC124" i="61" a="1"/>
  <c r="AC124" i="61" s="1"/>
  <c r="AU124" i="61" a="1"/>
  <c r="AU124" i="61" s="1"/>
  <c r="AR124" i="61" a="1"/>
  <c r="AR124" i="61" s="1"/>
  <c r="AM124" i="61" a="1"/>
  <c r="AM124" i="61" s="1"/>
  <c r="AJ124" i="61" a="1"/>
  <c r="AJ124" i="61" s="1"/>
  <c r="AE124" i="61" a="1"/>
  <c r="AE124" i="61" s="1"/>
  <c r="AA125" i="61"/>
  <c r="AT124" i="61" a="1"/>
  <c r="AT124" i="61" s="1"/>
  <c r="AO124" i="61" a="1"/>
  <c r="AO124" i="61" s="1"/>
  <c r="AL124" i="61" a="1"/>
  <c r="AL124" i="61" s="1"/>
  <c r="AG124" i="61" a="1"/>
  <c r="AG124" i="61" s="1"/>
  <c r="AD124" i="61" a="1"/>
  <c r="AD124" i="61" s="1"/>
  <c r="AV124" i="61" a="1"/>
  <c r="AV124" i="61" s="1"/>
  <c r="AI124" i="61" a="1"/>
  <c r="AI124" i="61" s="1"/>
  <c r="AQ124" i="61" a="1"/>
  <c r="AQ124" i="61" s="1"/>
  <c r="AF124" i="61" a="1"/>
  <c r="AF124" i="61" s="1"/>
  <c r="AN124" i="61" a="1"/>
  <c r="AN124" i="61" s="1"/>
  <c r="AV85" i="61" a="1"/>
  <c r="AV85" i="61" s="1"/>
  <c r="AT85" i="61" a="1"/>
  <c r="AT85" i="61" s="1"/>
  <c r="AR85" i="61" a="1"/>
  <c r="AR85" i="61" s="1"/>
  <c r="AP85" i="61" a="1"/>
  <c r="AP85" i="61" s="1"/>
  <c r="AN85" i="61" a="1"/>
  <c r="AN85" i="61" s="1"/>
  <c r="AL85" i="61" a="1"/>
  <c r="AL85" i="61" s="1"/>
  <c r="AJ85" i="61" a="1"/>
  <c r="AJ85" i="61" s="1"/>
  <c r="AH85" i="61" a="1"/>
  <c r="AH85" i="61" s="1"/>
  <c r="AF85" i="61" a="1"/>
  <c r="AF85" i="61" s="1"/>
  <c r="AD85" i="61" a="1"/>
  <c r="AD85" i="61" s="1"/>
  <c r="AA86" i="61"/>
  <c r="AO85" i="61" a="1"/>
  <c r="AO85" i="61" s="1"/>
  <c r="AG85" i="61" a="1"/>
  <c r="AG85" i="61" s="1"/>
  <c r="AQ85" i="61" a="1"/>
  <c r="AQ85" i="61" s="1"/>
  <c r="AI85" i="61" a="1"/>
  <c r="AI85" i="61" s="1"/>
  <c r="AS85" i="61" a="1"/>
  <c r="AS85" i="61" s="1"/>
  <c r="AK85" i="61" a="1"/>
  <c r="AK85" i="61" s="1"/>
  <c r="AC85" i="61" a="1"/>
  <c r="AC85" i="61" s="1"/>
  <c r="AU85" i="61" a="1"/>
  <c r="AU85" i="61" s="1"/>
  <c r="AM85" i="61" a="1"/>
  <c r="AM85" i="61" s="1"/>
  <c r="AE85" i="61" a="1"/>
  <c r="AE85" i="61" s="1"/>
  <c r="AV33" i="61" a="1"/>
  <c r="AV33" i="61" s="1"/>
  <c r="AT33" i="61" a="1"/>
  <c r="AT33" i="61" s="1"/>
  <c r="AR33" i="61" a="1"/>
  <c r="AR33" i="61" s="1"/>
  <c r="AP33" i="61" a="1"/>
  <c r="AP33" i="61" s="1"/>
  <c r="AN33" i="61" a="1"/>
  <c r="AN33" i="61" s="1"/>
  <c r="AL33" i="61" a="1"/>
  <c r="AL33" i="61" s="1"/>
  <c r="AJ33" i="61" a="1"/>
  <c r="AJ33" i="61" s="1"/>
  <c r="AH33" i="61" a="1"/>
  <c r="AH33" i="61" s="1"/>
  <c r="AF33" i="61" a="1"/>
  <c r="AF33" i="61" s="1"/>
  <c r="AD33" i="61" a="1"/>
  <c r="AD33" i="61" s="1"/>
  <c r="AU33" i="61" a="1"/>
  <c r="AU33" i="61" s="1"/>
  <c r="AM33" i="61" a="1"/>
  <c r="AM33" i="61" s="1"/>
  <c r="AE33" i="61" a="1"/>
  <c r="AE33" i="61" s="1"/>
  <c r="AA34" i="61"/>
  <c r="AO33" i="61" a="1"/>
  <c r="AO33" i="61" s="1"/>
  <c r="AG33" i="61" a="1"/>
  <c r="AG33" i="61" s="1"/>
  <c r="AI33" i="61" a="1"/>
  <c r="AI33" i="61" s="1"/>
  <c r="AS33" i="61" a="1"/>
  <c r="AS33" i="61" s="1"/>
  <c r="AC33" i="61" a="1"/>
  <c r="AC33" i="61" s="1"/>
  <c r="AQ33" i="61" a="1"/>
  <c r="AQ33" i="61" s="1"/>
  <c r="AK33" i="61" a="1"/>
  <c r="AK33" i="61" s="1"/>
  <c r="AV60" i="61" a="1"/>
  <c r="AV60" i="61" s="1"/>
  <c r="AT60" i="61" a="1"/>
  <c r="AT60" i="61" s="1"/>
  <c r="AR60" i="61" a="1"/>
  <c r="AR60" i="61" s="1"/>
  <c r="AP60" i="61" a="1"/>
  <c r="AP60" i="61" s="1"/>
  <c r="AN60" i="61" a="1"/>
  <c r="AN60" i="61" s="1"/>
  <c r="AL60" i="61" a="1"/>
  <c r="AL60" i="61" s="1"/>
  <c r="AJ60" i="61" a="1"/>
  <c r="AJ60" i="61" s="1"/>
  <c r="AH60" i="61" a="1"/>
  <c r="AH60" i="61" s="1"/>
  <c r="AF60" i="61" a="1"/>
  <c r="AF60" i="61" s="1"/>
  <c r="AD60" i="61" a="1"/>
  <c r="AD60" i="61" s="1"/>
  <c r="AQ60" i="61" a="1"/>
  <c r="AQ60" i="61" s="1"/>
  <c r="AI60" i="61" a="1"/>
  <c r="AI60" i="61" s="1"/>
  <c r="AS60" i="61" a="1"/>
  <c r="AS60" i="61" s="1"/>
  <c r="AK60" i="61" a="1"/>
  <c r="AK60" i="61" s="1"/>
  <c r="AC60" i="61" a="1"/>
  <c r="AC60" i="61" s="1"/>
  <c r="AU60" i="61" a="1"/>
  <c r="AU60" i="61" s="1"/>
  <c r="AM60" i="61" a="1"/>
  <c r="AM60" i="61" s="1"/>
  <c r="AE60" i="61" a="1"/>
  <c r="AE60" i="61" s="1"/>
  <c r="AA61" i="61"/>
  <c r="AO60" i="61" a="1"/>
  <c r="AO60" i="61" s="1"/>
  <c r="AG60" i="61" a="1"/>
  <c r="AG60" i="61" s="1"/>
  <c r="AT47" i="61" a="1"/>
  <c r="AT47" i="61" s="1"/>
  <c r="AQ47" i="61" a="1"/>
  <c r="AQ47" i="61" s="1"/>
  <c r="AL47" i="61" a="1"/>
  <c r="AL47" i="61" s="1"/>
  <c r="AI47" i="61" a="1"/>
  <c r="AI47" i="61" s="1"/>
  <c r="AD47" i="61" a="1"/>
  <c r="AD47" i="61" s="1"/>
  <c r="AV47" i="61" a="1"/>
  <c r="AV47" i="61" s="1"/>
  <c r="AS47" i="61" a="1"/>
  <c r="AS47" i="61" s="1"/>
  <c r="AN47" i="61" a="1"/>
  <c r="AN47" i="61" s="1"/>
  <c r="AK47" i="61" a="1"/>
  <c r="AK47" i="61" s="1"/>
  <c r="AF47" i="61" a="1"/>
  <c r="AF47" i="61" s="1"/>
  <c r="AC47" i="61" a="1"/>
  <c r="AC47" i="61" s="1"/>
  <c r="AM47" i="61" a="1"/>
  <c r="AM47" i="61" s="1"/>
  <c r="AH47" i="61" a="1"/>
  <c r="AH47" i="61" s="1"/>
  <c r="AA48" i="61"/>
  <c r="AR47" i="61" a="1"/>
  <c r="AR47" i="61" s="1"/>
  <c r="AG47" i="61" a="1"/>
  <c r="AG47" i="61" s="1"/>
  <c r="AU47" i="61" a="1"/>
  <c r="AU47" i="61" s="1"/>
  <c r="AP47" i="61" a="1"/>
  <c r="AP47" i="61" s="1"/>
  <c r="AE47" i="61" a="1"/>
  <c r="AE47" i="61" s="1"/>
  <c r="AO47" i="61" a="1"/>
  <c r="AO47" i="61" s="1"/>
  <c r="AJ47" i="61" a="1"/>
  <c r="AJ47" i="61" s="1"/>
  <c r="AA192" i="61"/>
  <c r="AT191" i="61" a="1"/>
  <c r="AT191" i="61" s="1"/>
  <c r="AR191" i="61" a="1"/>
  <c r="AR191" i="61" s="1"/>
  <c r="AP191" i="61" a="1"/>
  <c r="AP191" i="61" s="1"/>
  <c r="AV191" i="61" a="1"/>
  <c r="AV191" i="61" s="1"/>
  <c r="AU191" i="61" a="1"/>
  <c r="AU191" i="61" s="1"/>
  <c r="AS191" i="61" a="1"/>
  <c r="AS191" i="61" s="1"/>
  <c r="AM191" i="61" a="1"/>
  <c r="AM191" i="61" s="1"/>
  <c r="AI191" i="61" a="1"/>
  <c r="AI191" i="61" s="1"/>
  <c r="AE191" i="61" a="1"/>
  <c r="AE191" i="61" s="1"/>
  <c r="AQ191" i="61" a="1"/>
  <c r="AQ191" i="61" s="1"/>
  <c r="AL191" i="61" a="1"/>
  <c r="AL191" i="61" s="1"/>
  <c r="AH191" i="61" a="1"/>
  <c r="AH191" i="61" s="1"/>
  <c r="AD191" i="61" a="1"/>
  <c r="AD191" i="61" s="1"/>
  <c r="AO191" i="61" a="1"/>
  <c r="AO191" i="61" s="1"/>
  <c r="AK191" i="61" a="1"/>
  <c r="AK191" i="61" s="1"/>
  <c r="AG191" i="61" a="1"/>
  <c r="AG191" i="61" s="1"/>
  <c r="AC191" i="61" a="1"/>
  <c r="AC191" i="61" s="1"/>
  <c r="AN191" i="61" a="1"/>
  <c r="AN191" i="61" s="1"/>
  <c r="AJ191" i="61" a="1"/>
  <c r="AJ191" i="61" s="1"/>
  <c r="AF191" i="61" a="1"/>
  <c r="AF191" i="61" s="1"/>
  <c r="AV101" i="61" a="1"/>
  <c r="AV101" i="61" s="1"/>
  <c r="AT101" i="61" a="1"/>
  <c r="AT101" i="61" s="1"/>
  <c r="AR101" i="61" a="1"/>
  <c r="AR101" i="61" s="1"/>
  <c r="AP101" i="61" a="1"/>
  <c r="AP101" i="61" s="1"/>
  <c r="AN101" i="61" a="1"/>
  <c r="AN101" i="61" s="1"/>
  <c r="AL101" i="61" a="1"/>
  <c r="AL101" i="61" s="1"/>
  <c r="AJ101" i="61" a="1"/>
  <c r="AJ101" i="61" s="1"/>
  <c r="AH101" i="61" a="1"/>
  <c r="AH101" i="61" s="1"/>
  <c r="AF101" i="61" a="1"/>
  <c r="AF101" i="61" s="1"/>
  <c r="AD101" i="61" a="1"/>
  <c r="AD101" i="61" s="1"/>
  <c r="AQ101" i="61" a="1"/>
  <c r="AQ101" i="61" s="1"/>
  <c r="AI101" i="61" a="1"/>
  <c r="AI101" i="61" s="1"/>
  <c r="AA102" i="61"/>
  <c r="AO101" i="61" a="1"/>
  <c r="AO101" i="61" s="1"/>
  <c r="AG101" i="61" a="1"/>
  <c r="AG101" i="61" s="1"/>
  <c r="AU101" i="61" a="1"/>
  <c r="AU101" i="61" s="1"/>
  <c r="AM101" i="61" a="1"/>
  <c r="AM101" i="61" s="1"/>
  <c r="AE101" i="61" a="1"/>
  <c r="AE101" i="61" s="1"/>
  <c r="AS101" i="61" a="1"/>
  <c r="AS101" i="61" s="1"/>
  <c r="AK101" i="61" a="1"/>
  <c r="AK101" i="61" s="1"/>
  <c r="AC101" i="61" a="1"/>
  <c r="AC101" i="61" s="1"/>
  <c r="AA8" i="61"/>
  <c r="AU7" i="61" a="1"/>
  <c r="AU7" i="61" s="1"/>
  <c r="AS7" i="61" a="1"/>
  <c r="AS7" i="61" s="1"/>
  <c r="AQ7" i="61" a="1"/>
  <c r="AQ7" i="61" s="1"/>
  <c r="AO7" i="61" a="1"/>
  <c r="AO7" i="61" s="1"/>
  <c r="AM7" i="61" a="1"/>
  <c r="AM7" i="61" s="1"/>
  <c r="AK7" i="61" a="1"/>
  <c r="AK7" i="61" s="1"/>
  <c r="AI7" i="61" a="1"/>
  <c r="AI7" i="61" s="1"/>
  <c r="AG7" i="61" a="1"/>
  <c r="AG7" i="61" s="1"/>
  <c r="AE7" i="61" a="1"/>
  <c r="AE7" i="61" s="1"/>
  <c r="AC7" i="61" a="1"/>
  <c r="AC7" i="61" s="1"/>
  <c r="AV7" i="61" a="1"/>
  <c r="AV7" i="61" s="1"/>
  <c r="AT7" i="61" a="1"/>
  <c r="AT7" i="61" s="1"/>
  <c r="AR7" i="61" a="1"/>
  <c r="AR7" i="61" s="1"/>
  <c r="AP7" i="61" a="1"/>
  <c r="AP7" i="61" s="1"/>
  <c r="AN7" i="61" a="1"/>
  <c r="AN7" i="61" s="1"/>
  <c r="AL7" i="61" a="1"/>
  <c r="AL7" i="61" s="1"/>
  <c r="AJ7" i="61" a="1"/>
  <c r="AJ7" i="61" s="1"/>
  <c r="AH7" i="61" a="1"/>
  <c r="AH7" i="61" s="1"/>
  <c r="AF7" i="61" a="1"/>
  <c r="AF7" i="61" s="1"/>
  <c r="AD7" i="61" a="1"/>
  <c r="AD7" i="61" s="1"/>
  <c r="AA114" i="61" l="1"/>
  <c r="AR113" i="61" a="1"/>
  <c r="AR113" i="61" s="1"/>
  <c r="AO113" i="61" a="1"/>
  <c r="AO113" i="61" s="1"/>
  <c r="AJ113" i="61" a="1"/>
  <c r="AJ113" i="61" s="1"/>
  <c r="AG113" i="61" a="1"/>
  <c r="AG113" i="61" s="1"/>
  <c r="AT113" i="61" a="1"/>
  <c r="AT113" i="61" s="1"/>
  <c r="AQ113" i="61" a="1"/>
  <c r="AQ113" i="61" s="1"/>
  <c r="AL113" i="61" a="1"/>
  <c r="AL113" i="61" s="1"/>
  <c r="AI113" i="61" a="1"/>
  <c r="AI113" i="61" s="1"/>
  <c r="AD113" i="61" a="1"/>
  <c r="AD113" i="61" s="1"/>
  <c r="AV113" i="61" a="1"/>
  <c r="AV113" i="61" s="1"/>
  <c r="AS113" i="61" a="1"/>
  <c r="AS113" i="61" s="1"/>
  <c r="AN113" i="61" a="1"/>
  <c r="AN113" i="61" s="1"/>
  <c r="AK113" i="61" a="1"/>
  <c r="AK113" i="61" s="1"/>
  <c r="AF113" i="61" a="1"/>
  <c r="AF113" i="61" s="1"/>
  <c r="AC113" i="61" a="1"/>
  <c r="AC113" i="61" s="1"/>
  <c r="AU113" i="61" a="1"/>
  <c r="AU113" i="61" s="1"/>
  <c r="AP113" i="61" a="1"/>
  <c r="AP113" i="61" s="1"/>
  <c r="AM113" i="61" a="1"/>
  <c r="AM113" i="61" s="1"/>
  <c r="AH113" i="61" a="1"/>
  <c r="AH113" i="61" s="1"/>
  <c r="AE113" i="61" a="1"/>
  <c r="AE113" i="61" s="1"/>
  <c r="AV8" i="61" a="1"/>
  <c r="AV8" i="61" s="1"/>
  <c r="AT8" i="61" a="1"/>
  <c r="AT8" i="61" s="1"/>
  <c r="AR8" i="61" a="1"/>
  <c r="AR8" i="61" s="1"/>
  <c r="AP8" i="61" a="1"/>
  <c r="AP8" i="61" s="1"/>
  <c r="AN8" i="61" a="1"/>
  <c r="AN8" i="61" s="1"/>
  <c r="AL8" i="61" a="1"/>
  <c r="AL8" i="61" s="1"/>
  <c r="AJ8" i="61" a="1"/>
  <c r="AJ8" i="61" s="1"/>
  <c r="AH8" i="61" a="1"/>
  <c r="AH8" i="61" s="1"/>
  <c r="AF8" i="61" a="1"/>
  <c r="AF8" i="61" s="1"/>
  <c r="AD8" i="61" a="1"/>
  <c r="AD8" i="61" s="1"/>
  <c r="AA9" i="61"/>
  <c r="AU8" i="61" a="1"/>
  <c r="AU8" i="61" s="1"/>
  <c r="AS8" i="61" a="1"/>
  <c r="AS8" i="61" s="1"/>
  <c r="AQ8" i="61" a="1"/>
  <c r="AQ8" i="61" s="1"/>
  <c r="AO8" i="61" a="1"/>
  <c r="AO8" i="61" s="1"/>
  <c r="AM8" i="61" a="1"/>
  <c r="AM8" i="61" s="1"/>
  <c r="AK8" i="61" a="1"/>
  <c r="AK8" i="61" s="1"/>
  <c r="AI8" i="61" a="1"/>
  <c r="AI8" i="61" s="1"/>
  <c r="AG8" i="61" a="1"/>
  <c r="AG8" i="61" s="1"/>
  <c r="AE8" i="61" a="1"/>
  <c r="AE8" i="61" s="1"/>
  <c r="AC8" i="61" a="1"/>
  <c r="AC8" i="61" s="1"/>
  <c r="AA35" i="61"/>
  <c r="AU34" i="61" a="1"/>
  <c r="AU34" i="61" s="1"/>
  <c r="AS34" i="61" a="1"/>
  <c r="AS34" i="61" s="1"/>
  <c r="AQ34" i="61" a="1"/>
  <c r="AQ34" i="61" s="1"/>
  <c r="AO34" i="61" a="1"/>
  <c r="AO34" i="61" s="1"/>
  <c r="AM34" i="61" a="1"/>
  <c r="AM34" i="61" s="1"/>
  <c r="AK34" i="61" a="1"/>
  <c r="AK34" i="61" s="1"/>
  <c r="AI34" i="61" a="1"/>
  <c r="AI34" i="61" s="1"/>
  <c r="AG34" i="61" a="1"/>
  <c r="AG34" i="61" s="1"/>
  <c r="AE34" i="61" a="1"/>
  <c r="AE34" i="61" s="1"/>
  <c r="AC34" i="61" a="1"/>
  <c r="AC34" i="61" s="1"/>
  <c r="AP34" i="61" a="1"/>
  <c r="AP34" i="61" s="1"/>
  <c r="AH34" i="61" a="1"/>
  <c r="AH34" i="61" s="1"/>
  <c r="AR34" i="61" a="1"/>
  <c r="AR34" i="61" s="1"/>
  <c r="AJ34" i="61" a="1"/>
  <c r="AJ34" i="61" s="1"/>
  <c r="AT34" i="61" a="1"/>
  <c r="AT34" i="61" s="1"/>
  <c r="AD34" i="61" a="1"/>
  <c r="AD34" i="61" s="1"/>
  <c r="AN34" i="61" a="1"/>
  <c r="AN34" i="61" s="1"/>
  <c r="AL34" i="61" a="1"/>
  <c r="AL34" i="61" s="1"/>
  <c r="AV34" i="61" a="1"/>
  <c r="AV34" i="61" s="1"/>
  <c r="AF34" i="61" a="1"/>
  <c r="AF34" i="61" s="1"/>
  <c r="AA87" i="61"/>
  <c r="AU86" i="61" a="1"/>
  <c r="AU86" i="61" s="1"/>
  <c r="AS86" i="61" a="1"/>
  <c r="AS86" i="61" s="1"/>
  <c r="AQ86" i="61" a="1"/>
  <c r="AQ86" i="61" s="1"/>
  <c r="AO86" i="61" a="1"/>
  <c r="AO86" i="61" s="1"/>
  <c r="AM86" i="61" a="1"/>
  <c r="AM86" i="61" s="1"/>
  <c r="AK86" i="61" a="1"/>
  <c r="AK86" i="61" s="1"/>
  <c r="AI86" i="61" a="1"/>
  <c r="AI86" i="61" s="1"/>
  <c r="AG86" i="61" a="1"/>
  <c r="AG86" i="61" s="1"/>
  <c r="AE86" i="61" a="1"/>
  <c r="AE86" i="61" s="1"/>
  <c r="AC86" i="61" a="1"/>
  <c r="AC86" i="61" s="1"/>
  <c r="AR86" i="61" a="1"/>
  <c r="AR86" i="61" s="1"/>
  <c r="AJ86" i="61" a="1"/>
  <c r="AJ86" i="61" s="1"/>
  <c r="AT86" i="61" a="1"/>
  <c r="AT86" i="61" s="1"/>
  <c r="AL86" i="61" a="1"/>
  <c r="AL86" i="61" s="1"/>
  <c r="AD86" i="61" a="1"/>
  <c r="AD86" i="61" s="1"/>
  <c r="AV86" i="61" a="1"/>
  <c r="AV86" i="61" s="1"/>
  <c r="AN86" i="61" a="1"/>
  <c r="AN86" i="61" s="1"/>
  <c r="AF86" i="61" a="1"/>
  <c r="AF86" i="61" s="1"/>
  <c r="AP86" i="61" a="1"/>
  <c r="AP86" i="61" s="1"/>
  <c r="AH86" i="61" a="1"/>
  <c r="AH86" i="61" s="1"/>
  <c r="AA165" i="61"/>
  <c r="AR164" i="61" a="1"/>
  <c r="AR164" i="61" s="1"/>
  <c r="AO164" i="61" a="1"/>
  <c r="AO164" i="61" s="1"/>
  <c r="AJ164" i="61" a="1"/>
  <c r="AJ164" i="61" s="1"/>
  <c r="AG164" i="61" a="1"/>
  <c r="AG164" i="61" s="1"/>
  <c r="AT164" i="61" a="1"/>
  <c r="AT164" i="61" s="1"/>
  <c r="AQ164" i="61" a="1"/>
  <c r="AQ164" i="61" s="1"/>
  <c r="AL164" i="61" a="1"/>
  <c r="AL164" i="61" s="1"/>
  <c r="AI164" i="61" a="1"/>
  <c r="AI164" i="61" s="1"/>
  <c r="AD164" i="61" a="1"/>
  <c r="AD164" i="61" s="1"/>
  <c r="AV164" i="61" a="1"/>
  <c r="AV164" i="61" s="1"/>
  <c r="AS164" i="61" a="1"/>
  <c r="AS164" i="61" s="1"/>
  <c r="AN164" i="61" a="1"/>
  <c r="AN164" i="61" s="1"/>
  <c r="AK164" i="61" a="1"/>
  <c r="AK164" i="61" s="1"/>
  <c r="AF164" i="61" a="1"/>
  <c r="AF164" i="61" s="1"/>
  <c r="AC164" i="61" a="1"/>
  <c r="AC164" i="61" s="1"/>
  <c r="AU164" i="61" a="1"/>
  <c r="AU164" i="61" s="1"/>
  <c r="AH164" i="61" a="1"/>
  <c r="AH164" i="61" s="1"/>
  <c r="AP164" i="61" a="1"/>
  <c r="AP164" i="61" s="1"/>
  <c r="AE164" i="61" a="1"/>
  <c r="AE164" i="61" s="1"/>
  <c r="AM164" i="61" a="1"/>
  <c r="AM164" i="61" s="1"/>
  <c r="AA103" i="61"/>
  <c r="AU102" i="61" a="1"/>
  <c r="AU102" i="61" s="1"/>
  <c r="AS102" i="61" a="1"/>
  <c r="AS102" i="61" s="1"/>
  <c r="AQ102" i="61" a="1"/>
  <c r="AQ102" i="61" s="1"/>
  <c r="AO102" i="61" a="1"/>
  <c r="AO102" i="61" s="1"/>
  <c r="AM102" i="61" a="1"/>
  <c r="AM102" i="61" s="1"/>
  <c r="AK102" i="61" a="1"/>
  <c r="AK102" i="61" s="1"/>
  <c r="AI102" i="61" a="1"/>
  <c r="AI102" i="61" s="1"/>
  <c r="AG102" i="61" a="1"/>
  <c r="AG102" i="61" s="1"/>
  <c r="AE102" i="61" a="1"/>
  <c r="AE102" i="61" s="1"/>
  <c r="AC102" i="61" a="1"/>
  <c r="AC102" i="61" s="1"/>
  <c r="AT102" i="61" a="1"/>
  <c r="AT102" i="61" s="1"/>
  <c r="AL102" i="61" a="1"/>
  <c r="AL102" i="61" s="1"/>
  <c r="AD102" i="61" a="1"/>
  <c r="AD102" i="61" s="1"/>
  <c r="AR102" i="61" a="1"/>
  <c r="AR102" i="61" s="1"/>
  <c r="AJ102" i="61" a="1"/>
  <c r="AJ102" i="61" s="1"/>
  <c r="AP102" i="61" a="1"/>
  <c r="AP102" i="61" s="1"/>
  <c r="AH102" i="61" a="1"/>
  <c r="AH102" i="61" s="1"/>
  <c r="AV102" i="61" a="1"/>
  <c r="AV102" i="61" s="1"/>
  <c r="AN102" i="61" a="1"/>
  <c r="AN102" i="61" s="1"/>
  <c r="AF102" i="61" a="1"/>
  <c r="AF102" i="61" s="1"/>
  <c r="AV125" i="61" a="1"/>
  <c r="AV125" i="61" s="1"/>
  <c r="AS125" i="61" a="1"/>
  <c r="AS125" i="61" s="1"/>
  <c r="AN125" i="61" a="1"/>
  <c r="AN125" i="61" s="1"/>
  <c r="AK125" i="61" a="1"/>
  <c r="AK125" i="61" s="1"/>
  <c r="AF125" i="61" a="1"/>
  <c r="AF125" i="61" s="1"/>
  <c r="AC125" i="61" a="1"/>
  <c r="AC125" i="61" s="1"/>
  <c r="AU125" i="61" a="1"/>
  <c r="AU125" i="61" s="1"/>
  <c r="AP125" i="61" a="1"/>
  <c r="AP125" i="61" s="1"/>
  <c r="AM125" i="61" a="1"/>
  <c r="AM125" i="61" s="1"/>
  <c r="AH125" i="61" a="1"/>
  <c r="AH125" i="61" s="1"/>
  <c r="AE125" i="61" a="1"/>
  <c r="AE125" i="61" s="1"/>
  <c r="AA126" i="61"/>
  <c r="AR125" i="61" a="1"/>
  <c r="AR125" i="61" s="1"/>
  <c r="AO125" i="61" a="1"/>
  <c r="AO125" i="61" s="1"/>
  <c r="AJ125" i="61" a="1"/>
  <c r="AJ125" i="61" s="1"/>
  <c r="AG125" i="61" a="1"/>
  <c r="AG125" i="61" s="1"/>
  <c r="AT125" i="61" a="1"/>
  <c r="AT125" i="61" s="1"/>
  <c r="AI125" i="61" a="1"/>
  <c r="AI125" i="61" s="1"/>
  <c r="AQ125" i="61" a="1"/>
  <c r="AQ125" i="61" s="1"/>
  <c r="AD125" i="61" a="1"/>
  <c r="AD125" i="61" s="1"/>
  <c r="AL125" i="61" a="1"/>
  <c r="AL125" i="61" s="1"/>
  <c r="AV23" i="61" a="1"/>
  <c r="AV23" i="61" s="1"/>
  <c r="AT23" i="61" a="1"/>
  <c r="AT23" i="61" s="1"/>
  <c r="AR23" i="61" a="1"/>
  <c r="AR23" i="61" s="1"/>
  <c r="AP23" i="61" a="1"/>
  <c r="AP23" i="61" s="1"/>
  <c r="AN23" i="61" a="1"/>
  <c r="AN23" i="61" s="1"/>
  <c r="AL23" i="61" a="1"/>
  <c r="AL23" i="61" s="1"/>
  <c r="AJ23" i="61" a="1"/>
  <c r="AJ23" i="61" s="1"/>
  <c r="AH23" i="61" a="1"/>
  <c r="AH23" i="61" s="1"/>
  <c r="AF23" i="61" a="1"/>
  <c r="AF23" i="61" s="1"/>
  <c r="AD23" i="61" a="1"/>
  <c r="AD23" i="61" s="1"/>
  <c r="AA24" i="61"/>
  <c r="AU23" i="61" a="1"/>
  <c r="AU23" i="61" s="1"/>
  <c r="AS23" i="61" a="1"/>
  <c r="AS23" i="61" s="1"/>
  <c r="AQ23" i="61" a="1"/>
  <c r="AQ23" i="61" s="1"/>
  <c r="AO23" i="61" a="1"/>
  <c r="AO23" i="61" s="1"/>
  <c r="AM23" i="61" a="1"/>
  <c r="AM23" i="61" s="1"/>
  <c r="AK23" i="61" a="1"/>
  <c r="AK23" i="61" s="1"/>
  <c r="AI23" i="61" a="1"/>
  <c r="AI23" i="61" s="1"/>
  <c r="AG23" i="61" a="1"/>
  <c r="AG23" i="61" s="1"/>
  <c r="AE23" i="61" a="1"/>
  <c r="AE23" i="61" s="1"/>
  <c r="AC23" i="61" a="1"/>
  <c r="AC23" i="61" s="1"/>
  <c r="AT152" i="61" a="1"/>
  <c r="AT152" i="61" s="1"/>
  <c r="AQ152" i="61" a="1"/>
  <c r="AQ152" i="61" s="1"/>
  <c r="AL152" i="61" a="1"/>
  <c r="AL152" i="61" s="1"/>
  <c r="AI152" i="61" a="1"/>
  <c r="AI152" i="61" s="1"/>
  <c r="AD152" i="61" a="1"/>
  <c r="AD152" i="61" s="1"/>
  <c r="AV152" i="61" a="1"/>
  <c r="AV152" i="61" s="1"/>
  <c r="AS152" i="61" a="1"/>
  <c r="AS152" i="61" s="1"/>
  <c r="AN152" i="61" a="1"/>
  <c r="AN152" i="61" s="1"/>
  <c r="AK152" i="61" a="1"/>
  <c r="AK152" i="61" s="1"/>
  <c r="AF152" i="61" a="1"/>
  <c r="AF152" i="61" s="1"/>
  <c r="AC152" i="61" a="1"/>
  <c r="AC152" i="61" s="1"/>
  <c r="AU152" i="61" a="1"/>
  <c r="AU152" i="61" s="1"/>
  <c r="AP152" i="61" a="1"/>
  <c r="AP152" i="61" s="1"/>
  <c r="AM152" i="61" a="1"/>
  <c r="AM152" i="61" s="1"/>
  <c r="AH152" i="61" a="1"/>
  <c r="AH152" i="61" s="1"/>
  <c r="AE152" i="61" a="1"/>
  <c r="AE152" i="61" s="1"/>
  <c r="AA153" i="61"/>
  <c r="AR152" i="61" a="1"/>
  <c r="AR152" i="61" s="1"/>
  <c r="AO152" i="61" a="1"/>
  <c r="AO152" i="61" s="1"/>
  <c r="AJ152" i="61" a="1"/>
  <c r="AJ152" i="61" s="1"/>
  <c r="AG152" i="61" a="1"/>
  <c r="AG152" i="61" s="1"/>
  <c r="AV138" i="61" a="1"/>
  <c r="AV138" i="61" s="1"/>
  <c r="AT138" i="61" a="1"/>
  <c r="AT138" i="61" s="1"/>
  <c r="AR138" i="61" a="1"/>
  <c r="AR138" i="61" s="1"/>
  <c r="AP138" i="61" a="1"/>
  <c r="AP138" i="61" s="1"/>
  <c r="AN138" i="61" a="1"/>
  <c r="AN138" i="61" s="1"/>
  <c r="AL138" i="61" a="1"/>
  <c r="AL138" i="61" s="1"/>
  <c r="AJ138" i="61" a="1"/>
  <c r="AJ138" i="61" s="1"/>
  <c r="AH138" i="61" a="1"/>
  <c r="AH138" i="61" s="1"/>
  <c r="AF138" i="61" a="1"/>
  <c r="AF138" i="61" s="1"/>
  <c r="AD138" i="61" a="1"/>
  <c r="AD138" i="61" s="1"/>
  <c r="AA139" i="61"/>
  <c r="AU138" i="61" a="1"/>
  <c r="AU138" i="61" s="1"/>
  <c r="AS138" i="61" a="1"/>
  <c r="AS138" i="61" s="1"/>
  <c r="AQ138" i="61" a="1"/>
  <c r="AQ138" i="61" s="1"/>
  <c r="AO138" i="61" a="1"/>
  <c r="AO138" i="61" s="1"/>
  <c r="AM138" i="61" a="1"/>
  <c r="AM138" i="61" s="1"/>
  <c r="AK138" i="61" a="1"/>
  <c r="AK138" i="61" s="1"/>
  <c r="AI138" i="61" a="1"/>
  <c r="AI138" i="61" s="1"/>
  <c r="AG138" i="61" a="1"/>
  <c r="AG138" i="61" s="1"/>
  <c r="AE138" i="61" a="1"/>
  <c r="AE138" i="61" s="1"/>
  <c r="AC138" i="61" a="1"/>
  <c r="AC138" i="61" s="1"/>
  <c r="AU192" i="61" a="1"/>
  <c r="AU192" i="61" s="1"/>
  <c r="AR192" i="61" a="1"/>
  <c r="AR192" i="61" s="1"/>
  <c r="AM192" i="61" a="1"/>
  <c r="AM192" i="61" s="1"/>
  <c r="AJ192" i="61" a="1"/>
  <c r="AJ192" i="61" s="1"/>
  <c r="AE192" i="61" a="1"/>
  <c r="AE192" i="61" s="1"/>
  <c r="AA193" i="61"/>
  <c r="AT192" i="61" a="1"/>
  <c r="AT192" i="61" s="1"/>
  <c r="AO192" i="61" a="1"/>
  <c r="AO192" i="61" s="1"/>
  <c r="AL192" i="61" a="1"/>
  <c r="AL192" i="61" s="1"/>
  <c r="AG192" i="61" a="1"/>
  <c r="AG192" i="61" s="1"/>
  <c r="AD192" i="61" a="1"/>
  <c r="AD192" i="61" s="1"/>
  <c r="AV192" i="61" a="1"/>
  <c r="AV192" i="61" s="1"/>
  <c r="AQ192" i="61" a="1"/>
  <c r="AQ192" i="61" s="1"/>
  <c r="AN192" i="61" a="1"/>
  <c r="AN192" i="61" s="1"/>
  <c r="AI192" i="61" a="1"/>
  <c r="AI192" i="61" s="1"/>
  <c r="AF192" i="61" a="1"/>
  <c r="AF192" i="61" s="1"/>
  <c r="AS192" i="61" a="1"/>
  <c r="AS192" i="61" s="1"/>
  <c r="AP192" i="61" a="1"/>
  <c r="AP192" i="61" s="1"/>
  <c r="AK192" i="61" a="1"/>
  <c r="AK192" i="61" s="1"/>
  <c r="AH192" i="61" a="1"/>
  <c r="AH192" i="61" s="1"/>
  <c r="AC192" i="61" a="1"/>
  <c r="AC192" i="61" s="1"/>
  <c r="AA49" i="61"/>
  <c r="AT48" i="61" a="1"/>
  <c r="AT48" i="61" s="1"/>
  <c r="AO48" i="61" a="1"/>
  <c r="AO48" i="61" s="1"/>
  <c r="AL48" i="61" a="1"/>
  <c r="AL48" i="61" s="1"/>
  <c r="AG48" i="61" a="1"/>
  <c r="AG48" i="61" s="1"/>
  <c r="AD48" i="61" a="1"/>
  <c r="AD48" i="61" s="1"/>
  <c r="AV48" i="61" a="1"/>
  <c r="AV48" i="61" s="1"/>
  <c r="AQ48" i="61" a="1"/>
  <c r="AQ48" i="61" s="1"/>
  <c r="AN48" i="61" a="1"/>
  <c r="AN48" i="61" s="1"/>
  <c r="AI48" i="61" a="1"/>
  <c r="AI48" i="61" s="1"/>
  <c r="AF48" i="61" a="1"/>
  <c r="AF48" i="61" s="1"/>
  <c r="AS48" i="61" a="1"/>
  <c r="AS48" i="61" s="1"/>
  <c r="AH48" i="61" a="1"/>
  <c r="AH48" i="61" s="1"/>
  <c r="AC48" i="61" a="1"/>
  <c r="AC48" i="61" s="1"/>
  <c r="AR48" i="61" a="1"/>
  <c r="AR48" i="61" s="1"/>
  <c r="AM48" i="61" a="1"/>
  <c r="AM48" i="61" s="1"/>
  <c r="AP48" i="61" a="1"/>
  <c r="AP48" i="61" s="1"/>
  <c r="AK48" i="61" a="1"/>
  <c r="AK48" i="61" s="1"/>
  <c r="AU48" i="61" a="1"/>
  <c r="AU48" i="61" s="1"/>
  <c r="AJ48" i="61" a="1"/>
  <c r="AJ48" i="61" s="1"/>
  <c r="AE48" i="61" a="1"/>
  <c r="AE48" i="61" s="1"/>
  <c r="AA62" i="61"/>
  <c r="AU61" i="61" a="1"/>
  <c r="AU61" i="61" s="1"/>
  <c r="AS61" i="61" a="1"/>
  <c r="AS61" i="61" s="1"/>
  <c r="AQ61" i="61" a="1"/>
  <c r="AQ61" i="61" s="1"/>
  <c r="AO61" i="61" a="1"/>
  <c r="AO61" i="61" s="1"/>
  <c r="AM61" i="61" a="1"/>
  <c r="AM61" i="61" s="1"/>
  <c r="AK61" i="61" a="1"/>
  <c r="AK61" i="61" s="1"/>
  <c r="AI61" i="61" a="1"/>
  <c r="AI61" i="61" s="1"/>
  <c r="AG61" i="61" a="1"/>
  <c r="AG61" i="61" s="1"/>
  <c r="AE61" i="61" a="1"/>
  <c r="AE61" i="61" s="1"/>
  <c r="AC61" i="61" a="1"/>
  <c r="AC61" i="61" s="1"/>
  <c r="AT61" i="61" a="1"/>
  <c r="AT61" i="61" s="1"/>
  <c r="AL61" i="61" a="1"/>
  <c r="AL61" i="61" s="1"/>
  <c r="AD61" i="61" a="1"/>
  <c r="AD61" i="61" s="1"/>
  <c r="AV61" i="61" a="1"/>
  <c r="AV61" i="61" s="1"/>
  <c r="AN61" i="61" a="1"/>
  <c r="AN61" i="61" s="1"/>
  <c r="AF61" i="61" a="1"/>
  <c r="AF61" i="61" s="1"/>
  <c r="AP61" i="61" a="1"/>
  <c r="AP61" i="61" s="1"/>
  <c r="AH61" i="61" a="1"/>
  <c r="AH61" i="61" s="1"/>
  <c r="AR61" i="61" a="1"/>
  <c r="AR61" i="61" s="1"/>
  <c r="AJ61" i="61" a="1"/>
  <c r="AJ61" i="61" s="1"/>
  <c r="AV75" i="61" a="1"/>
  <c r="AV75" i="61" s="1"/>
  <c r="AT75" i="61" a="1"/>
  <c r="AT75" i="61" s="1"/>
  <c r="AR75" i="61" a="1"/>
  <c r="AR75" i="61" s="1"/>
  <c r="AP75" i="61" a="1"/>
  <c r="AP75" i="61" s="1"/>
  <c r="AN75" i="61" a="1"/>
  <c r="AN75" i="61" s="1"/>
  <c r="AL75" i="61" a="1"/>
  <c r="AL75" i="61" s="1"/>
  <c r="AJ75" i="61" a="1"/>
  <c r="AJ75" i="61" s="1"/>
  <c r="AH75" i="61" a="1"/>
  <c r="AH75" i="61" s="1"/>
  <c r="AF75" i="61" a="1"/>
  <c r="AF75" i="61" s="1"/>
  <c r="AD75" i="61" a="1"/>
  <c r="AD75" i="61" s="1"/>
  <c r="AA76" i="61"/>
  <c r="AU75" i="61" a="1"/>
  <c r="AU75" i="61" s="1"/>
  <c r="AS75" i="61" a="1"/>
  <c r="AS75" i="61" s="1"/>
  <c r="AQ75" i="61" a="1"/>
  <c r="AQ75" i="61" s="1"/>
  <c r="AO75" i="61" a="1"/>
  <c r="AO75" i="61" s="1"/>
  <c r="AM75" i="61" a="1"/>
  <c r="AM75" i="61" s="1"/>
  <c r="AK75" i="61" a="1"/>
  <c r="AK75" i="61" s="1"/>
  <c r="AI75" i="61" a="1"/>
  <c r="AI75" i="61" s="1"/>
  <c r="AG75" i="61" a="1"/>
  <c r="AG75" i="61" s="1"/>
  <c r="AE75" i="61" a="1"/>
  <c r="AE75" i="61" s="1"/>
  <c r="AC75" i="61" a="1"/>
  <c r="AC75" i="61" s="1"/>
  <c r="AV178" i="61" a="1"/>
  <c r="AV178" i="61" s="1"/>
  <c r="AT178" i="61" a="1"/>
  <c r="AT178" i="61" s="1"/>
  <c r="AR178" i="61" a="1"/>
  <c r="AR178" i="61" s="1"/>
  <c r="AP178" i="61" a="1"/>
  <c r="AP178" i="61" s="1"/>
  <c r="AN178" i="61" a="1"/>
  <c r="AN178" i="61" s="1"/>
  <c r="AL178" i="61" a="1"/>
  <c r="AL178" i="61" s="1"/>
  <c r="AJ178" i="61" a="1"/>
  <c r="AJ178" i="61" s="1"/>
  <c r="AH178" i="61" a="1"/>
  <c r="AH178" i="61" s="1"/>
  <c r="AF178" i="61" a="1"/>
  <c r="AF178" i="61" s="1"/>
  <c r="AD178" i="61" a="1"/>
  <c r="AD178" i="61" s="1"/>
  <c r="AA179" i="61"/>
  <c r="AS178" i="61" a="1"/>
  <c r="AS178" i="61" s="1"/>
  <c r="AO178" i="61" a="1"/>
  <c r="AO178" i="61" s="1"/>
  <c r="AK178" i="61" a="1"/>
  <c r="AK178" i="61" s="1"/>
  <c r="AG178" i="61" a="1"/>
  <c r="AG178" i="61" s="1"/>
  <c r="AC178" i="61" a="1"/>
  <c r="AC178" i="61" s="1"/>
  <c r="AU178" i="61" a="1"/>
  <c r="AU178" i="61" s="1"/>
  <c r="AQ178" i="61" a="1"/>
  <c r="AQ178" i="61" s="1"/>
  <c r="AM178" i="61" a="1"/>
  <c r="AM178" i="61" s="1"/>
  <c r="AI178" i="61" a="1"/>
  <c r="AI178" i="61" s="1"/>
  <c r="AE178" i="61" a="1"/>
  <c r="AE178" i="61" s="1"/>
  <c r="AA77" i="61" l="1"/>
  <c r="AU76" i="61" a="1"/>
  <c r="AU76" i="61" s="1"/>
  <c r="AS76" i="61" a="1"/>
  <c r="AS76" i="61" s="1"/>
  <c r="AQ76" i="61" a="1"/>
  <c r="AQ76" i="61" s="1"/>
  <c r="AO76" i="61" a="1"/>
  <c r="AO76" i="61" s="1"/>
  <c r="AM76" i="61" a="1"/>
  <c r="AM76" i="61" s="1"/>
  <c r="AK76" i="61" a="1"/>
  <c r="AK76" i="61" s="1"/>
  <c r="AI76" i="61" a="1"/>
  <c r="AI76" i="61" s="1"/>
  <c r="AG76" i="61" a="1"/>
  <c r="AG76" i="61" s="1"/>
  <c r="AE76" i="61" a="1"/>
  <c r="AE76" i="61" s="1"/>
  <c r="AC76" i="61" a="1"/>
  <c r="AC76" i="61" s="1"/>
  <c r="AV76" i="61" a="1"/>
  <c r="AV76" i="61" s="1"/>
  <c r="AT76" i="61" a="1"/>
  <c r="AT76" i="61" s="1"/>
  <c r="AR76" i="61" a="1"/>
  <c r="AR76" i="61" s="1"/>
  <c r="AP76" i="61" a="1"/>
  <c r="AP76" i="61" s="1"/>
  <c r="AN76" i="61" a="1"/>
  <c r="AN76" i="61" s="1"/>
  <c r="AL76" i="61" a="1"/>
  <c r="AL76" i="61" s="1"/>
  <c r="AJ76" i="61" a="1"/>
  <c r="AJ76" i="61" s="1"/>
  <c r="AH76" i="61" a="1"/>
  <c r="AH76" i="61" s="1"/>
  <c r="AF76" i="61" a="1"/>
  <c r="AF76" i="61" s="1"/>
  <c r="AD76" i="61" a="1"/>
  <c r="AD76" i="61" s="1"/>
  <c r="AA50" i="61"/>
  <c r="AR49" i="61" a="1"/>
  <c r="AR49" i="61" s="1"/>
  <c r="AO49" i="61" a="1"/>
  <c r="AO49" i="61" s="1"/>
  <c r="AJ49" i="61" a="1"/>
  <c r="AJ49" i="61" s="1"/>
  <c r="AG49" i="61" a="1"/>
  <c r="AG49" i="61" s="1"/>
  <c r="AT49" i="61" a="1"/>
  <c r="AT49" i="61" s="1"/>
  <c r="AQ49" i="61" a="1"/>
  <c r="AQ49" i="61" s="1"/>
  <c r="AL49" i="61" a="1"/>
  <c r="AL49" i="61" s="1"/>
  <c r="AI49" i="61" a="1"/>
  <c r="AI49" i="61" s="1"/>
  <c r="AD49" i="61" a="1"/>
  <c r="AD49" i="61" s="1"/>
  <c r="AS49" i="61" a="1"/>
  <c r="AS49" i="61" s="1"/>
  <c r="AN49" i="61" a="1"/>
  <c r="AN49" i="61" s="1"/>
  <c r="AC49" i="61" a="1"/>
  <c r="AC49" i="61" s="1"/>
  <c r="AM49" i="61" a="1"/>
  <c r="AM49" i="61" s="1"/>
  <c r="AH49" i="61" a="1"/>
  <c r="AH49" i="61" s="1"/>
  <c r="AV49" i="61" a="1"/>
  <c r="AV49" i="61" s="1"/>
  <c r="AK49" i="61" a="1"/>
  <c r="AK49" i="61" s="1"/>
  <c r="AF49" i="61" a="1"/>
  <c r="AF49" i="61" s="1"/>
  <c r="AU49" i="61" a="1"/>
  <c r="AU49" i="61" s="1"/>
  <c r="AP49" i="61" a="1"/>
  <c r="AP49" i="61" s="1"/>
  <c r="AE49" i="61" a="1"/>
  <c r="AE49" i="61" s="1"/>
  <c r="AU193" i="61" a="1"/>
  <c r="AU193" i="61" s="1"/>
  <c r="AP193" i="61" a="1"/>
  <c r="AP193" i="61" s="1"/>
  <c r="AM193" i="61" a="1"/>
  <c r="AM193" i="61" s="1"/>
  <c r="AH193" i="61" a="1"/>
  <c r="AH193" i="61" s="1"/>
  <c r="AE193" i="61" a="1"/>
  <c r="AE193" i="61" s="1"/>
  <c r="AA194" i="61"/>
  <c r="AR193" i="61" a="1"/>
  <c r="AR193" i="61" s="1"/>
  <c r="AO193" i="61" a="1"/>
  <c r="AO193" i="61" s="1"/>
  <c r="AJ193" i="61" a="1"/>
  <c r="AJ193" i="61" s="1"/>
  <c r="AG193" i="61" a="1"/>
  <c r="AG193" i="61" s="1"/>
  <c r="AT193" i="61" a="1"/>
  <c r="AT193" i="61" s="1"/>
  <c r="AQ193" i="61" a="1"/>
  <c r="AQ193" i="61" s="1"/>
  <c r="AL193" i="61" a="1"/>
  <c r="AL193" i="61" s="1"/>
  <c r="AI193" i="61" a="1"/>
  <c r="AI193" i="61" s="1"/>
  <c r="AD193" i="61" a="1"/>
  <c r="AD193" i="61" s="1"/>
  <c r="AV193" i="61" a="1"/>
  <c r="AV193" i="61" s="1"/>
  <c r="AS193" i="61" a="1"/>
  <c r="AS193" i="61" s="1"/>
  <c r="AN193" i="61" a="1"/>
  <c r="AN193" i="61" s="1"/>
  <c r="AK193" i="61" a="1"/>
  <c r="AK193" i="61" s="1"/>
  <c r="AF193" i="61" a="1"/>
  <c r="AF193" i="61" s="1"/>
  <c r="AC193" i="61" a="1"/>
  <c r="AC193" i="61" s="1"/>
  <c r="AA140" i="61"/>
  <c r="AU139" i="61" a="1"/>
  <c r="AU139" i="61" s="1"/>
  <c r="AS139" i="61" a="1"/>
  <c r="AS139" i="61" s="1"/>
  <c r="AQ139" i="61" a="1"/>
  <c r="AQ139" i="61" s="1"/>
  <c r="AO139" i="61" a="1"/>
  <c r="AO139" i="61" s="1"/>
  <c r="AM139" i="61" a="1"/>
  <c r="AM139" i="61" s="1"/>
  <c r="AK139" i="61" a="1"/>
  <c r="AK139" i="61" s="1"/>
  <c r="AI139" i="61" a="1"/>
  <c r="AI139" i="61" s="1"/>
  <c r="AG139" i="61" a="1"/>
  <c r="AG139" i="61" s="1"/>
  <c r="AE139" i="61" a="1"/>
  <c r="AE139" i="61" s="1"/>
  <c r="AC139" i="61" a="1"/>
  <c r="AC139" i="61" s="1"/>
  <c r="AV139" i="61" a="1"/>
  <c r="AV139" i="61" s="1"/>
  <c r="AT139" i="61" a="1"/>
  <c r="AT139" i="61" s="1"/>
  <c r="AR139" i="61" a="1"/>
  <c r="AR139" i="61" s="1"/>
  <c r="AP139" i="61" a="1"/>
  <c r="AP139" i="61" s="1"/>
  <c r="AN139" i="61" a="1"/>
  <c r="AN139" i="61" s="1"/>
  <c r="AL139" i="61" a="1"/>
  <c r="AL139" i="61" s="1"/>
  <c r="AJ139" i="61" a="1"/>
  <c r="AJ139" i="61" s="1"/>
  <c r="AH139" i="61" a="1"/>
  <c r="AH139" i="61" s="1"/>
  <c r="AF139" i="61" a="1"/>
  <c r="AF139" i="61" s="1"/>
  <c r="AD139" i="61" a="1"/>
  <c r="AD139" i="61" s="1"/>
  <c r="AV87" i="61" a="1"/>
  <c r="AV87" i="61" s="1"/>
  <c r="AT87" i="61" a="1"/>
  <c r="AT87" i="61" s="1"/>
  <c r="AR87" i="61" a="1"/>
  <c r="AR87" i="61" s="1"/>
  <c r="AP87" i="61" a="1"/>
  <c r="AP87" i="61" s="1"/>
  <c r="AN87" i="61" a="1"/>
  <c r="AN87" i="61" s="1"/>
  <c r="AL87" i="61" a="1"/>
  <c r="AL87" i="61" s="1"/>
  <c r="AJ87" i="61" a="1"/>
  <c r="AJ87" i="61" s="1"/>
  <c r="AH87" i="61" a="1"/>
  <c r="AH87" i="61" s="1"/>
  <c r="AF87" i="61" a="1"/>
  <c r="AF87" i="61" s="1"/>
  <c r="AD87" i="61" a="1"/>
  <c r="AD87" i="61" s="1"/>
  <c r="AU87" i="61" a="1"/>
  <c r="AU87" i="61" s="1"/>
  <c r="AM87" i="61" a="1"/>
  <c r="AM87" i="61" s="1"/>
  <c r="AE87" i="61" a="1"/>
  <c r="AE87" i="61" s="1"/>
  <c r="AA88" i="61"/>
  <c r="AO87" i="61" a="1"/>
  <c r="AO87" i="61" s="1"/>
  <c r="AG87" i="61" a="1"/>
  <c r="AG87" i="61" s="1"/>
  <c r="AQ87" i="61" a="1"/>
  <c r="AQ87" i="61" s="1"/>
  <c r="AI87" i="61" a="1"/>
  <c r="AI87" i="61" s="1"/>
  <c r="AS87" i="61" a="1"/>
  <c r="AS87" i="61" s="1"/>
  <c r="AK87" i="61" a="1"/>
  <c r="AK87" i="61" s="1"/>
  <c r="AC87" i="61" a="1"/>
  <c r="AC87" i="61" s="1"/>
  <c r="AA10" i="61"/>
  <c r="AU9" i="61" a="1"/>
  <c r="AU9" i="61" s="1"/>
  <c r="AS9" i="61" a="1"/>
  <c r="AS9" i="61" s="1"/>
  <c r="AQ9" i="61" a="1"/>
  <c r="AQ9" i="61" s="1"/>
  <c r="AO9" i="61" a="1"/>
  <c r="AO9" i="61" s="1"/>
  <c r="AM9" i="61" a="1"/>
  <c r="AM9" i="61" s="1"/>
  <c r="AK9" i="61" a="1"/>
  <c r="AK9" i="61" s="1"/>
  <c r="AI9" i="61" a="1"/>
  <c r="AI9" i="61" s="1"/>
  <c r="AG9" i="61" a="1"/>
  <c r="AG9" i="61" s="1"/>
  <c r="AE9" i="61" a="1"/>
  <c r="AE9" i="61" s="1"/>
  <c r="AC9" i="61" a="1"/>
  <c r="AC9" i="61" s="1"/>
  <c r="AV9" i="61" a="1"/>
  <c r="AV9" i="61" s="1"/>
  <c r="AT9" i="61" a="1"/>
  <c r="AT9" i="61" s="1"/>
  <c r="AR9" i="61" a="1"/>
  <c r="AR9" i="61" s="1"/>
  <c r="AP9" i="61" a="1"/>
  <c r="AP9" i="61" s="1"/>
  <c r="AN9" i="61" a="1"/>
  <c r="AN9" i="61" s="1"/>
  <c r="AL9" i="61" a="1"/>
  <c r="AL9" i="61" s="1"/>
  <c r="AJ9" i="61" a="1"/>
  <c r="AJ9" i="61" s="1"/>
  <c r="AH9" i="61" a="1"/>
  <c r="AH9" i="61" s="1"/>
  <c r="AF9" i="61" a="1"/>
  <c r="AF9" i="61" s="1"/>
  <c r="AD9" i="61" a="1"/>
  <c r="AD9" i="61" s="1"/>
  <c r="AV35" i="61" a="1"/>
  <c r="AV35" i="61" s="1"/>
  <c r="AT35" i="61" a="1"/>
  <c r="AT35" i="61" s="1"/>
  <c r="AR35" i="61" a="1"/>
  <c r="AR35" i="61" s="1"/>
  <c r="AP35" i="61" a="1"/>
  <c r="AP35" i="61" s="1"/>
  <c r="AN35" i="61" a="1"/>
  <c r="AN35" i="61" s="1"/>
  <c r="AL35" i="61" a="1"/>
  <c r="AL35" i="61" s="1"/>
  <c r="AJ35" i="61" a="1"/>
  <c r="AJ35" i="61" s="1"/>
  <c r="AH35" i="61" a="1"/>
  <c r="AH35" i="61" s="1"/>
  <c r="AF35" i="61" a="1"/>
  <c r="AF35" i="61" s="1"/>
  <c r="AD35" i="61" a="1"/>
  <c r="AD35" i="61" s="1"/>
  <c r="AS35" i="61" a="1"/>
  <c r="AS35" i="61" s="1"/>
  <c r="AK35" i="61" a="1"/>
  <c r="AK35" i="61" s="1"/>
  <c r="AC35" i="61" a="1"/>
  <c r="AC35" i="61" s="1"/>
  <c r="AU35" i="61" a="1"/>
  <c r="AU35" i="61" s="1"/>
  <c r="AM35" i="61" a="1"/>
  <c r="AM35" i="61" s="1"/>
  <c r="AE35" i="61" a="1"/>
  <c r="AE35" i="61" s="1"/>
  <c r="AO35" i="61" a="1"/>
  <c r="AO35" i="61" s="1"/>
  <c r="AI35" i="61" a="1"/>
  <c r="AI35" i="61" s="1"/>
  <c r="AA36" i="61"/>
  <c r="AG35" i="61" a="1"/>
  <c r="AG35" i="61" s="1"/>
  <c r="AQ35" i="61" a="1"/>
  <c r="AQ35" i="61" s="1"/>
  <c r="AV24" i="61" a="1"/>
  <c r="AV24" i="61" s="1"/>
  <c r="AS24" i="61" a="1"/>
  <c r="AS24" i="61" s="1"/>
  <c r="AN24" i="61" a="1"/>
  <c r="AN24" i="61" s="1"/>
  <c r="AK24" i="61" a="1"/>
  <c r="AK24" i="61" s="1"/>
  <c r="AF24" i="61" a="1"/>
  <c r="AF24" i="61" s="1"/>
  <c r="AU24" i="61" a="1"/>
  <c r="AU24" i="61" s="1"/>
  <c r="AP24" i="61" a="1"/>
  <c r="AP24" i="61" s="1"/>
  <c r="AM24" i="61" a="1"/>
  <c r="AM24" i="61" s="1"/>
  <c r="AH24" i="61" a="1"/>
  <c r="AH24" i="61" s="1"/>
  <c r="AE24" i="61" a="1"/>
  <c r="AE24" i="61" s="1"/>
  <c r="AC24" i="61" a="1"/>
  <c r="AC24" i="61" s="1"/>
  <c r="AA25" i="61"/>
  <c r="AR24" i="61" a="1"/>
  <c r="AR24" i="61" s="1"/>
  <c r="AO24" i="61" a="1"/>
  <c r="AO24" i="61" s="1"/>
  <c r="AJ24" i="61" a="1"/>
  <c r="AJ24" i="61" s="1"/>
  <c r="AG24" i="61" a="1"/>
  <c r="AG24" i="61" s="1"/>
  <c r="AT24" i="61" a="1"/>
  <c r="AT24" i="61" s="1"/>
  <c r="AQ24" i="61" a="1"/>
  <c r="AQ24" i="61" s="1"/>
  <c r="AL24" i="61" a="1"/>
  <c r="AL24" i="61" s="1"/>
  <c r="AI24" i="61" a="1"/>
  <c r="AI24" i="61" s="1"/>
  <c r="AD24" i="61" a="1"/>
  <c r="AD24" i="61" s="1"/>
  <c r="AV126" i="61" a="1"/>
  <c r="AV126" i="61" s="1"/>
  <c r="AQ126" i="61" a="1"/>
  <c r="AQ126" i="61" s="1"/>
  <c r="AN126" i="61" a="1"/>
  <c r="AN126" i="61" s="1"/>
  <c r="AI126" i="61" a="1"/>
  <c r="AI126" i="61" s="1"/>
  <c r="AF126" i="61" a="1"/>
  <c r="AF126" i="61" s="1"/>
  <c r="AS126" i="61" a="1"/>
  <c r="AS126" i="61" s="1"/>
  <c r="AP126" i="61" a="1"/>
  <c r="AP126" i="61" s="1"/>
  <c r="AK126" i="61" a="1"/>
  <c r="AK126" i="61" s="1"/>
  <c r="AH126" i="61" a="1"/>
  <c r="AH126" i="61" s="1"/>
  <c r="AC126" i="61" a="1"/>
  <c r="AC126" i="61" s="1"/>
  <c r="AU126" i="61" a="1"/>
  <c r="AU126" i="61" s="1"/>
  <c r="AR126" i="61" a="1"/>
  <c r="AR126" i="61" s="1"/>
  <c r="AM126" i="61" a="1"/>
  <c r="AM126" i="61" s="1"/>
  <c r="AJ126" i="61" a="1"/>
  <c r="AJ126" i="61" s="1"/>
  <c r="AE126" i="61" a="1"/>
  <c r="AE126" i="61" s="1"/>
  <c r="AT126" i="61" a="1"/>
  <c r="AT126" i="61" s="1"/>
  <c r="AG126" i="61" a="1"/>
  <c r="AG126" i="61" s="1"/>
  <c r="AO126" i="61" a="1"/>
  <c r="AO126" i="61" s="1"/>
  <c r="AD126" i="61" a="1"/>
  <c r="AD126" i="61" s="1"/>
  <c r="AA127" i="61"/>
  <c r="AL126" i="61" a="1"/>
  <c r="AL126" i="61" s="1"/>
  <c r="AV103" i="61" a="1"/>
  <c r="AV103" i="61" s="1"/>
  <c r="AT103" i="61" a="1"/>
  <c r="AT103" i="61" s="1"/>
  <c r="AR103" i="61" a="1"/>
  <c r="AR103" i="61" s="1"/>
  <c r="AP103" i="61" a="1"/>
  <c r="AP103" i="61" s="1"/>
  <c r="AN103" i="61" a="1"/>
  <c r="AN103" i="61" s="1"/>
  <c r="AL103" i="61" a="1"/>
  <c r="AL103" i="61" s="1"/>
  <c r="AJ103" i="61" a="1"/>
  <c r="AJ103" i="61" s="1"/>
  <c r="AH103" i="61" a="1"/>
  <c r="AH103" i="61" s="1"/>
  <c r="AF103" i="61" a="1"/>
  <c r="AF103" i="61" s="1"/>
  <c r="AD103" i="61" a="1"/>
  <c r="AD103" i="61" s="1"/>
  <c r="AA104" i="61"/>
  <c r="AO103" i="61" a="1"/>
  <c r="AO103" i="61" s="1"/>
  <c r="AG103" i="61" a="1"/>
  <c r="AG103" i="61" s="1"/>
  <c r="AU103" i="61" a="1"/>
  <c r="AU103" i="61" s="1"/>
  <c r="AM103" i="61" a="1"/>
  <c r="AM103" i="61" s="1"/>
  <c r="AE103" i="61" a="1"/>
  <c r="AE103" i="61" s="1"/>
  <c r="AS103" i="61" a="1"/>
  <c r="AS103" i="61" s="1"/>
  <c r="AK103" i="61" a="1"/>
  <c r="AK103" i="61" s="1"/>
  <c r="AC103" i="61" a="1"/>
  <c r="AC103" i="61" s="1"/>
  <c r="AQ103" i="61" a="1"/>
  <c r="AQ103" i="61" s="1"/>
  <c r="AI103" i="61" a="1"/>
  <c r="AI103" i="61" s="1"/>
  <c r="AA180" i="61"/>
  <c r="AU179" i="61" a="1"/>
  <c r="AU179" i="61" s="1"/>
  <c r="AS179" i="61" a="1"/>
  <c r="AS179" i="61" s="1"/>
  <c r="AQ179" i="61" a="1"/>
  <c r="AQ179" i="61" s="1"/>
  <c r="AO179" i="61" a="1"/>
  <c r="AO179" i="61" s="1"/>
  <c r="AM179" i="61" a="1"/>
  <c r="AM179" i="61" s="1"/>
  <c r="AK179" i="61" a="1"/>
  <c r="AK179" i="61" s="1"/>
  <c r="AI179" i="61" a="1"/>
  <c r="AI179" i="61" s="1"/>
  <c r="AG179" i="61" a="1"/>
  <c r="AG179" i="61" s="1"/>
  <c r="AE179" i="61" a="1"/>
  <c r="AE179" i="61" s="1"/>
  <c r="AC179" i="61" a="1"/>
  <c r="AC179" i="61" s="1"/>
  <c r="AV179" i="61" a="1"/>
  <c r="AV179" i="61" s="1"/>
  <c r="AR179" i="61" a="1"/>
  <c r="AR179" i="61" s="1"/>
  <c r="AN179" i="61" a="1"/>
  <c r="AN179" i="61" s="1"/>
  <c r="AJ179" i="61" a="1"/>
  <c r="AJ179" i="61" s="1"/>
  <c r="AF179" i="61" a="1"/>
  <c r="AF179" i="61" s="1"/>
  <c r="AT179" i="61" a="1"/>
  <c r="AT179" i="61" s="1"/>
  <c r="AP179" i="61" a="1"/>
  <c r="AP179" i="61" s="1"/>
  <c r="AL179" i="61" a="1"/>
  <c r="AL179" i="61" s="1"/>
  <c r="AH179" i="61" a="1"/>
  <c r="AH179" i="61" s="1"/>
  <c r="AD179" i="61" a="1"/>
  <c r="AD179" i="61" s="1"/>
  <c r="AV62" i="61" a="1"/>
  <c r="AV62" i="61" s="1"/>
  <c r="AT62" i="61" a="1"/>
  <c r="AT62" i="61" s="1"/>
  <c r="AR62" i="61" a="1"/>
  <c r="AR62" i="61" s="1"/>
  <c r="AP62" i="61" a="1"/>
  <c r="AP62" i="61" s="1"/>
  <c r="AN62" i="61" a="1"/>
  <c r="AN62" i="61" s="1"/>
  <c r="AL62" i="61" a="1"/>
  <c r="AL62" i="61" s="1"/>
  <c r="AJ62" i="61" a="1"/>
  <c r="AJ62" i="61" s="1"/>
  <c r="AH62" i="61" a="1"/>
  <c r="AH62" i="61" s="1"/>
  <c r="AF62" i="61" a="1"/>
  <c r="AF62" i="61" s="1"/>
  <c r="AD62" i="61" a="1"/>
  <c r="AD62" i="61" s="1"/>
  <c r="AA63" i="61"/>
  <c r="AO62" i="61" a="1"/>
  <c r="AO62" i="61" s="1"/>
  <c r="AG62" i="61" a="1"/>
  <c r="AG62" i="61" s="1"/>
  <c r="AQ62" i="61" a="1"/>
  <c r="AQ62" i="61" s="1"/>
  <c r="AI62" i="61" a="1"/>
  <c r="AI62" i="61" s="1"/>
  <c r="AS62" i="61" a="1"/>
  <c r="AS62" i="61" s="1"/>
  <c r="AK62" i="61" a="1"/>
  <c r="AK62" i="61" s="1"/>
  <c r="AC62" i="61" a="1"/>
  <c r="AC62" i="61" s="1"/>
  <c r="AU62" i="61" a="1"/>
  <c r="AU62" i="61" s="1"/>
  <c r="AM62" i="61" a="1"/>
  <c r="AM62" i="61" s="1"/>
  <c r="AE62" i="61" a="1"/>
  <c r="AE62" i="61" s="1"/>
  <c r="AA154" i="61"/>
  <c r="AT153" i="61" a="1"/>
  <c r="AT153" i="61" s="1"/>
  <c r="AO153" i="61" a="1"/>
  <c r="AO153" i="61" s="1"/>
  <c r="AL153" i="61" a="1"/>
  <c r="AL153" i="61" s="1"/>
  <c r="AG153" i="61" a="1"/>
  <c r="AG153" i="61" s="1"/>
  <c r="AD153" i="61" a="1"/>
  <c r="AD153" i="61" s="1"/>
  <c r="AV153" i="61" a="1"/>
  <c r="AV153" i="61" s="1"/>
  <c r="AQ153" i="61" a="1"/>
  <c r="AQ153" i="61" s="1"/>
  <c r="AN153" i="61" a="1"/>
  <c r="AN153" i="61" s="1"/>
  <c r="AI153" i="61" a="1"/>
  <c r="AI153" i="61" s="1"/>
  <c r="AF153" i="61" a="1"/>
  <c r="AF153" i="61" s="1"/>
  <c r="AS153" i="61" a="1"/>
  <c r="AS153" i="61" s="1"/>
  <c r="AP153" i="61" a="1"/>
  <c r="AP153" i="61" s="1"/>
  <c r="AK153" i="61" a="1"/>
  <c r="AK153" i="61" s="1"/>
  <c r="AH153" i="61" a="1"/>
  <c r="AH153" i="61" s="1"/>
  <c r="AC153" i="61" a="1"/>
  <c r="AC153" i="61" s="1"/>
  <c r="AU153" i="61" a="1"/>
  <c r="AU153" i="61" s="1"/>
  <c r="AR153" i="61" a="1"/>
  <c r="AR153" i="61" s="1"/>
  <c r="AM153" i="61" a="1"/>
  <c r="AM153" i="61" s="1"/>
  <c r="AJ153" i="61" a="1"/>
  <c r="AJ153" i="61" s="1"/>
  <c r="AE153" i="61" a="1"/>
  <c r="AE153" i="61" s="1"/>
  <c r="AU165" i="61" a="1"/>
  <c r="AU165" i="61" s="1"/>
  <c r="AR165" i="61" a="1"/>
  <c r="AR165" i="61" s="1"/>
  <c r="AM165" i="61" a="1"/>
  <c r="AM165" i="61" s="1"/>
  <c r="AJ165" i="61" a="1"/>
  <c r="AJ165" i="61" s="1"/>
  <c r="AE165" i="61" a="1"/>
  <c r="AE165" i="61" s="1"/>
  <c r="AA166" i="61"/>
  <c r="AT165" i="61" a="1"/>
  <c r="AT165" i="61" s="1"/>
  <c r="AO165" i="61" a="1"/>
  <c r="AO165" i="61" s="1"/>
  <c r="AL165" i="61" a="1"/>
  <c r="AL165" i="61" s="1"/>
  <c r="AG165" i="61" a="1"/>
  <c r="AG165" i="61" s="1"/>
  <c r="AD165" i="61" a="1"/>
  <c r="AD165" i="61" s="1"/>
  <c r="AV165" i="61" a="1"/>
  <c r="AV165" i="61" s="1"/>
  <c r="AQ165" i="61" a="1"/>
  <c r="AQ165" i="61" s="1"/>
  <c r="AN165" i="61" a="1"/>
  <c r="AN165" i="61" s="1"/>
  <c r="AI165" i="61" a="1"/>
  <c r="AI165" i="61" s="1"/>
  <c r="AF165" i="61" a="1"/>
  <c r="AF165" i="61" s="1"/>
  <c r="AS165" i="61" a="1"/>
  <c r="AS165" i="61" s="1"/>
  <c r="AP165" i="61" a="1"/>
  <c r="AP165" i="61" s="1"/>
  <c r="AK165" i="61" a="1"/>
  <c r="AK165" i="61" s="1"/>
  <c r="AH165" i="61" a="1"/>
  <c r="AH165" i="61" s="1"/>
  <c r="AC165" i="61" a="1"/>
  <c r="AC165" i="61" s="1"/>
  <c r="AU114" i="61" a="1"/>
  <c r="AU114" i="61" s="1"/>
  <c r="AR114" i="61" a="1"/>
  <c r="AR114" i="61" s="1"/>
  <c r="AM114" i="61" a="1"/>
  <c r="AM114" i="61" s="1"/>
  <c r="AJ114" i="61" a="1"/>
  <c r="AJ114" i="61" s="1"/>
  <c r="AE114" i="61" a="1"/>
  <c r="AE114" i="61" s="1"/>
  <c r="AA115" i="61"/>
  <c r="AT114" i="61" a="1"/>
  <c r="AT114" i="61" s="1"/>
  <c r="AO114" i="61" a="1"/>
  <c r="AO114" i="61" s="1"/>
  <c r="AL114" i="61" a="1"/>
  <c r="AL114" i="61" s="1"/>
  <c r="AG114" i="61" a="1"/>
  <c r="AG114" i="61" s="1"/>
  <c r="AD114" i="61" a="1"/>
  <c r="AD114" i="61" s="1"/>
  <c r="AV114" i="61" a="1"/>
  <c r="AV114" i="61" s="1"/>
  <c r="AQ114" i="61" a="1"/>
  <c r="AQ114" i="61" s="1"/>
  <c r="AN114" i="61" a="1"/>
  <c r="AN114" i="61" s="1"/>
  <c r="AI114" i="61" a="1"/>
  <c r="AI114" i="61" s="1"/>
  <c r="AF114" i="61" a="1"/>
  <c r="AF114" i="61" s="1"/>
  <c r="AS114" i="61" a="1"/>
  <c r="AS114" i="61" s="1"/>
  <c r="AP114" i="61" a="1"/>
  <c r="AP114" i="61" s="1"/>
  <c r="AK114" i="61" a="1"/>
  <c r="AK114" i="61" s="1"/>
  <c r="AH114" i="61" a="1"/>
  <c r="AH114" i="61" s="1"/>
  <c r="AC114" i="61" a="1"/>
  <c r="AC114" i="61" s="1"/>
  <c r="AA105" i="61" l="1"/>
  <c r="AU104" i="61" a="1"/>
  <c r="AU104" i="61" s="1"/>
  <c r="AS104" i="61" a="1"/>
  <c r="AS104" i="61" s="1"/>
  <c r="AQ104" i="61" a="1"/>
  <c r="AQ104" i="61" s="1"/>
  <c r="AO104" i="61" a="1"/>
  <c r="AO104" i="61" s="1"/>
  <c r="AM104" i="61" a="1"/>
  <c r="AM104" i="61" s="1"/>
  <c r="AK104" i="61" a="1"/>
  <c r="AK104" i="61" s="1"/>
  <c r="AI104" i="61" a="1"/>
  <c r="AI104" i="61" s="1"/>
  <c r="AG104" i="61" a="1"/>
  <c r="AG104" i="61" s="1"/>
  <c r="AE104" i="61" a="1"/>
  <c r="AE104" i="61" s="1"/>
  <c r="AC104" i="61" a="1"/>
  <c r="AC104" i="61" s="1"/>
  <c r="AR104" i="61" a="1"/>
  <c r="AR104" i="61" s="1"/>
  <c r="AJ104" i="61" a="1"/>
  <c r="AJ104" i="61" s="1"/>
  <c r="AP104" i="61" a="1"/>
  <c r="AP104" i="61" s="1"/>
  <c r="AH104" i="61" a="1"/>
  <c r="AH104" i="61" s="1"/>
  <c r="AV104" i="61" a="1"/>
  <c r="AV104" i="61" s="1"/>
  <c r="AN104" i="61" a="1"/>
  <c r="AN104" i="61" s="1"/>
  <c r="AF104" i="61" a="1"/>
  <c r="AF104" i="61" s="1"/>
  <c r="AT104" i="61" a="1"/>
  <c r="AT104" i="61" s="1"/>
  <c r="AL104" i="61" a="1"/>
  <c r="AL104" i="61" s="1"/>
  <c r="AD104" i="61" a="1"/>
  <c r="AD104" i="61" s="1"/>
  <c r="AT127" i="61" a="1"/>
  <c r="AT127" i="61" s="1"/>
  <c r="AQ127" i="61" a="1"/>
  <c r="AQ127" i="61" s="1"/>
  <c r="AL127" i="61" a="1"/>
  <c r="AL127" i="61" s="1"/>
  <c r="AI127" i="61" a="1"/>
  <c r="AI127" i="61" s="1"/>
  <c r="AD127" i="61" a="1"/>
  <c r="AD127" i="61" s="1"/>
  <c r="AV127" i="61" a="1"/>
  <c r="AV127" i="61" s="1"/>
  <c r="AS127" i="61" a="1"/>
  <c r="AS127" i="61" s="1"/>
  <c r="AN127" i="61" a="1"/>
  <c r="AN127" i="61" s="1"/>
  <c r="AK127" i="61" a="1"/>
  <c r="AK127" i="61" s="1"/>
  <c r="AF127" i="61" a="1"/>
  <c r="AF127" i="61" s="1"/>
  <c r="AC127" i="61" a="1"/>
  <c r="AC127" i="61" s="1"/>
  <c r="AU127" i="61" a="1"/>
  <c r="AU127" i="61" s="1"/>
  <c r="AP127" i="61" a="1"/>
  <c r="AP127" i="61" s="1"/>
  <c r="AM127" i="61" a="1"/>
  <c r="AM127" i="61" s="1"/>
  <c r="AH127" i="61" a="1"/>
  <c r="AH127" i="61" s="1"/>
  <c r="AE127" i="61" a="1"/>
  <c r="AE127" i="61" s="1"/>
  <c r="AJ127" i="61" a="1"/>
  <c r="AJ127" i="61" s="1"/>
  <c r="AR127" i="61" a="1"/>
  <c r="AR127" i="61" s="1"/>
  <c r="AG127" i="61" a="1"/>
  <c r="AG127" i="61" s="1"/>
  <c r="AO127" i="61" a="1"/>
  <c r="AO127" i="61" s="1"/>
  <c r="AA128" i="61"/>
  <c r="AV140" i="61" a="1"/>
  <c r="AV140" i="61" s="1"/>
  <c r="AT140" i="61" a="1"/>
  <c r="AT140" i="61" s="1"/>
  <c r="AR140" i="61" a="1"/>
  <c r="AR140" i="61" s="1"/>
  <c r="AP140" i="61" a="1"/>
  <c r="AP140" i="61" s="1"/>
  <c r="AN140" i="61" a="1"/>
  <c r="AN140" i="61" s="1"/>
  <c r="AL140" i="61" a="1"/>
  <c r="AL140" i="61" s="1"/>
  <c r="AJ140" i="61" a="1"/>
  <c r="AJ140" i="61" s="1"/>
  <c r="AH140" i="61" a="1"/>
  <c r="AH140" i="61" s="1"/>
  <c r="AF140" i="61" a="1"/>
  <c r="AF140" i="61" s="1"/>
  <c r="AD140" i="61" a="1"/>
  <c r="AD140" i="61" s="1"/>
  <c r="AA141" i="61"/>
  <c r="AU140" i="61" a="1"/>
  <c r="AU140" i="61" s="1"/>
  <c r="AS140" i="61" a="1"/>
  <c r="AS140" i="61" s="1"/>
  <c r="AQ140" i="61" a="1"/>
  <c r="AQ140" i="61" s="1"/>
  <c r="AO140" i="61" a="1"/>
  <c r="AO140" i="61" s="1"/>
  <c r="AM140" i="61" a="1"/>
  <c r="AM140" i="61" s="1"/>
  <c r="AK140" i="61" a="1"/>
  <c r="AK140" i="61" s="1"/>
  <c r="AI140" i="61" a="1"/>
  <c r="AI140" i="61" s="1"/>
  <c r="AG140" i="61" a="1"/>
  <c r="AG140" i="61" s="1"/>
  <c r="AE140" i="61" a="1"/>
  <c r="AE140" i="61" s="1"/>
  <c r="AC140" i="61" a="1"/>
  <c r="AC140" i="61" s="1"/>
  <c r="AS194" i="61" a="1"/>
  <c r="AS194" i="61" s="1"/>
  <c r="AP194" i="61" a="1"/>
  <c r="AP194" i="61" s="1"/>
  <c r="AK194" i="61" a="1"/>
  <c r="AK194" i="61" s="1"/>
  <c r="AH194" i="61" a="1"/>
  <c r="AH194" i="61" s="1"/>
  <c r="AC194" i="61" a="1"/>
  <c r="AC194" i="61" s="1"/>
  <c r="AU194" i="61" a="1"/>
  <c r="AU194" i="61" s="1"/>
  <c r="AR194" i="61" a="1"/>
  <c r="AR194" i="61" s="1"/>
  <c r="AM194" i="61" a="1"/>
  <c r="AM194" i="61" s="1"/>
  <c r="AJ194" i="61" a="1"/>
  <c r="AJ194" i="61" s="1"/>
  <c r="AE194" i="61" a="1"/>
  <c r="AE194" i="61" s="1"/>
  <c r="AA195" i="61"/>
  <c r="AT194" i="61" a="1"/>
  <c r="AT194" i="61" s="1"/>
  <c r="AO194" i="61" a="1"/>
  <c r="AO194" i="61" s="1"/>
  <c r="AL194" i="61" a="1"/>
  <c r="AL194" i="61" s="1"/>
  <c r="AG194" i="61" a="1"/>
  <c r="AG194" i="61" s="1"/>
  <c r="AD194" i="61" a="1"/>
  <c r="AD194" i="61" s="1"/>
  <c r="AV194" i="61" a="1"/>
  <c r="AV194" i="61" s="1"/>
  <c r="AQ194" i="61" a="1"/>
  <c r="AQ194" i="61" s="1"/>
  <c r="AN194" i="61" a="1"/>
  <c r="AN194" i="61" s="1"/>
  <c r="AI194" i="61" a="1"/>
  <c r="AI194" i="61" s="1"/>
  <c r="AF194" i="61" a="1"/>
  <c r="AF194" i="61" s="1"/>
  <c r="AA167" i="61"/>
  <c r="AU166" i="61" a="1"/>
  <c r="AU166" i="61" s="1"/>
  <c r="AV166" i="61" a="1"/>
  <c r="AV166" i="61" s="1"/>
  <c r="AT166" i="61" a="1"/>
  <c r="AT166" i="61" s="1"/>
  <c r="AR166" i="61" a="1"/>
  <c r="AR166" i="61" s="1"/>
  <c r="AP166" i="61" a="1"/>
  <c r="AP166" i="61" s="1"/>
  <c r="AN166" i="61" a="1"/>
  <c r="AN166" i="61" s="1"/>
  <c r="AL166" i="61" a="1"/>
  <c r="AL166" i="61" s="1"/>
  <c r="AJ166" i="61" a="1"/>
  <c r="AJ166" i="61" s="1"/>
  <c r="AH166" i="61" a="1"/>
  <c r="AH166" i="61" s="1"/>
  <c r="AF166" i="61" a="1"/>
  <c r="AF166" i="61" s="1"/>
  <c r="AQ166" i="61" a="1"/>
  <c r="AQ166" i="61" s="1"/>
  <c r="AM166" i="61" a="1"/>
  <c r="AM166" i="61" s="1"/>
  <c r="AI166" i="61" a="1"/>
  <c r="AI166" i="61" s="1"/>
  <c r="AE166" i="61" a="1"/>
  <c r="AE166" i="61" s="1"/>
  <c r="AS166" i="61" a="1"/>
  <c r="AS166" i="61" s="1"/>
  <c r="AO166" i="61" a="1"/>
  <c r="AO166" i="61" s="1"/>
  <c r="AK166" i="61" a="1"/>
  <c r="AK166" i="61" s="1"/>
  <c r="AG166" i="61" a="1"/>
  <c r="AG166" i="61" s="1"/>
  <c r="AD166" i="61" a="1"/>
  <c r="AD166" i="61" s="1"/>
  <c r="AC166" i="61" a="1"/>
  <c r="AC166" i="61" s="1"/>
  <c r="AT180" i="61" a="1"/>
  <c r="AT180" i="61" s="1"/>
  <c r="AQ180" i="61" a="1"/>
  <c r="AQ180" i="61" s="1"/>
  <c r="AL180" i="61" a="1"/>
  <c r="AL180" i="61" s="1"/>
  <c r="AI180" i="61" a="1"/>
  <c r="AI180" i="61" s="1"/>
  <c r="AD180" i="61" a="1"/>
  <c r="AD180" i="61" s="1"/>
  <c r="AV180" i="61" a="1"/>
  <c r="AV180" i="61" s="1"/>
  <c r="AS180" i="61" a="1"/>
  <c r="AS180" i="61" s="1"/>
  <c r="AN180" i="61" a="1"/>
  <c r="AN180" i="61" s="1"/>
  <c r="AK180" i="61" a="1"/>
  <c r="AK180" i="61" s="1"/>
  <c r="AF180" i="61" a="1"/>
  <c r="AF180" i="61" s="1"/>
  <c r="AA181" i="61"/>
  <c r="AR180" i="61" a="1"/>
  <c r="AR180" i="61" s="1"/>
  <c r="AG180" i="61" a="1"/>
  <c r="AG180" i="61" s="1"/>
  <c r="AU180" i="61" a="1"/>
  <c r="AU180" i="61" s="1"/>
  <c r="AP180" i="61" a="1"/>
  <c r="AP180" i="61" s="1"/>
  <c r="AE180" i="61" a="1"/>
  <c r="AE180" i="61" s="1"/>
  <c r="AO180" i="61" a="1"/>
  <c r="AO180" i="61" s="1"/>
  <c r="AJ180" i="61" a="1"/>
  <c r="AJ180" i="61" s="1"/>
  <c r="AM180" i="61" a="1"/>
  <c r="AM180" i="61" s="1"/>
  <c r="AH180" i="61" a="1"/>
  <c r="AH180" i="61" s="1"/>
  <c r="AC180" i="61" a="1"/>
  <c r="AC180" i="61" s="1"/>
  <c r="AV25" i="61" a="1"/>
  <c r="AV25" i="61" s="1"/>
  <c r="AQ25" i="61" a="1"/>
  <c r="AQ25" i="61" s="1"/>
  <c r="AN25" i="61" a="1"/>
  <c r="AN25" i="61" s="1"/>
  <c r="AI25" i="61" a="1"/>
  <c r="AI25" i="61" s="1"/>
  <c r="AF25" i="61" a="1"/>
  <c r="AF25" i="61" s="1"/>
  <c r="AS25" i="61" a="1"/>
  <c r="AS25" i="61" s="1"/>
  <c r="AP25" i="61" a="1"/>
  <c r="AP25" i="61" s="1"/>
  <c r="AK25" i="61" a="1"/>
  <c r="AK25" i="61" s="1"/>
  <c r="AH25" i="61" a="1"/>
  <c r="AH25" i="61" s="1"/>
  <c r="AC25" i="61" a="1"/>
  <c r="AC25" i="61" s="1"/>
  <c r="AU25" i="61" a="1"/>
  <c r="AU25" i="61" s="1"/>
  <c r="AR25" i="61" a="1"/>
  <c r="AR25" i="61" s="1"/>
  <c r="AM25" i="61" a="1"/>
  <c r="AM25" i="61" s="1"/>
  <c r="AJ25" i="61" a="1"/>
  <c r="AJ25" i="61" s="1"/>
  <c r="AE25" i="61" a="1"/>
  <c r="AE25" i="61" s="1"/>
  <c r="AA26" i="61"/>
  <c r="AT25" i="61" a="1"/>
  <c r="AT25" i="61" s="1"/>
  <c r="AO25" i="61" a="1"/>
  <c r="AO25" i="61" s="1"/>
  <c r="AL25" i="61" a="1"/>
  <c r="AL25" i="61" s="1"/>
  <c r="AG25" i="61" a="1"/>
  <c r="AG25" i="61" s="1"/>
  <c r="AD25" i="61" a="1"/>
  <c r="AD25" i="61" s="1"/>
  <c r="AU115" i="61" a="1"/>
  <c r="AU115" i="61" s="1"/>
  <c r="AP115" i="61" a="1"/>
  <c r="AP115" i="61" s="1"/>
  <c r="AM115" i="61" a="1"/>
  <c r="AM115" i="61" s="1"/>
  <c r="AH115" i="61" a="1"/>
  <c r="AH115" i="61" s="1"/>
  <c r="AE115" i="61" a="1"/>
  <c r="AE115" i="61" s="1"/>
  <c r="AA116" i="61"/>
  <c r="AR115" i="61" a="1"/>
  <c r="AR115" i="61" s="1"/>
  <c r="AO115" i="61" a="1"/>
  <c r="AO115" i="61" s="1"/>
  <c r="AJ115" i="61" a="1"/>
  <c r="AJ115" i="61" s="1"/>
  <c r="AG115" i="61" a="1"/>
  <c r="AG115" i="61" s="1"/>
  <c r="AT115" i="61" a="1"/>
  <c r="AT115" i="61" s="1"/>
  <c r="AQ115" i="61" a="1"/>
  <c r="AQ115" i="61" s="1"/>
  <c r="AL115" i="61" a="1"/>
  <c r="AL115" i="61" s="1"/>
  <c r="AI115" i="61" a="1"/>
  <c r="AI115" i="61" s="1"/>
  <c r="AD115" i="61" a="1"/>
  <c r="AD115" i="61" s="1"/>
  <c r="AV115" i="61" a="1"/>
  <c r="AV115" i="61" s="1"/>
  <c r="AS115" i="61" a="1"/>
  <c r="AS115" i="61" s="1"/>
  <c r="AN115" i="61" a="1"/>
  <c r="AN115" i="61" s="1"/>
  <c r="AK115" i="61" a="1"/>
  <c r="AK115" i="61" s="1"/>
  <c r="AF115" i="61" a="1"/>
  <c r="AF115" i="61" s="1"/>
  <c r="AC115" i="61" a="1"/>
  <c r="AC115" i="61" s="1"/>
  <c r="AA64" i="61"/>
  <c r="AU63" i="61" a="1"/>
  <c r="AU63" i="61" s="1"/>
  <c r="AS63" i="61" a="1"/>
  <c r="AS63" i="61" s="1"/>
  <c r="AQ63" i="61" a="1"/>
  <c r="AQ63" i="61" s="1"/>
  <c r="AO63" i="61" a="1"/>
  <c r="AO63" i="61" s="1"/>
  <c r="AM63" i="61" a="1"/>
  <c r="AM63" i="61" s="1"/>
  <c r="AK63" i="61" a="1"/>
  <c r="AK63" i="61" s="1"/>
  <c r="AI63" i="61" a="1"/>
  <c r="AI63" i="61" s="1"/>
  <c r="AG63" i="61" a="1"/>
  <c r="AG63" i="61" s="1"/>
  <c r="AE63" i="61" a="1"/>
  <c r="AE63" i="61" s="1"/>
  <c r="AC63" i="61" a="1"/>
  <c r="AC63" i="61" s="1"/>
  <c r="AR63" i="61" a="1"/>
  <c r="AR63" i="61" s="1"/>
  <c r="AJ63" i="61" a="1"/>
  <c r="AJ63" i="61" s="1"/>
  <c r="AT63" i="61" a="1"/>
  <c r="AT63" i="61" s="1"/>
  <c r="AL63" i="61" a="1"/>
  <c r="AL63" i="61" s="1"/>
  <c r="AD63" i="61" a="1"/>
  <c r="AD63" i="61" s="1"/>
  <c r="AV63" i="61" a="1"/>
  <c r="AV63" i="61" s="1"/>
  <c r="AN63" i="61" a="1"/>
  <c r="AN63" i="61" s="1"/>
  <c r="AF63" i="61" a="1"/>
  <c r="AF63" i="61" s="1"/>
  <c r="AP63" i="61" a="1"/>
  <c r="AP63" i="61" s="1"/>
  <c r="AH63" i="61" a="1"/>
  <c r="AH63" i="61" s="1"/>
  <c r="AV10" i="61" a="1"/>
  <c r="AV10" i="61" s="1"/>
  <c r="AT10" i="61" a="1"/>
  <c r="AT10" i="61" s="1"/>
  <c r="AR10" i="61" a="1"/>
  <c r="AR10" i="61" s="1"/>
  <c r="AP10" i="61" a="1"/>
  <c r="AP10" i="61" s="1"/>
  <c r="AN10" i="61" a="1"/>
  <c r="AN10" i="61" s="1"/>
  <c r="AL10" i="61" a="1"/>
  <c r="AL10" i="61" s="1"/>
  <c r="AJ10" i="61" a="1"/>
  <c r="AJ10" i="61" s="1"/>
  <c r="AH10" i="61" a="1"/>
  <c r="AH10" i="61" s="1"/>
  <c r="AF10" i="61" a="1"/>
  <c r="AF10" i="61" s="1"/>
  <c r="AD10" i="61" a="1"/>
  <c r="AD10" i="61" s="1"/>
  <c r="AA11" i="61"/>
  <c r="AU10" i="61" a="1"/>
  <c r="AU10" i="61" s="1"/>
  <c r="AS10" i="61" a="1"/>
  <c r="AS10" i="61" s="1"/>
  <c r="AQ10" i="61" a="1"/>
  <c r="AQ10" i="61" s="1"/>
  <c r="AO10" i="61" a="1"/>
  <c r="AO10" i="61" s="1"/>
  <c r="AM10" i="61" a="1"/>
  <c r="AM10" i="61" s="1"/>
  <c r="AK10" i="61" a="1"/>
  <c r="AK10" i="61" s="1"/>
  <c r="AI10" i="61" a="1"/>
  <c r="AI10" i="61" s="1"/>
  <c r="AG10" i="61" a="1"/>
  <c r="AG10" i="61" s="1"/>
  <c r="AE10" i="61" a="1"/>
  <c r="AE10" i="61" s="1"/>
  <c r="AC10" i="61" a="1"/>
  <c r="AC10" i="61" s="1"/>
  <c r="AA89" i="61"/>
  <c r="AU88" i="61" a="1"/>
  <c r="AU88" i="61" s="1"/>
  <c r="AS88" i="61" a="1"/>
  <c r="AS88" i="61" s="1"/>
  <c r="AQ88" i="61" a="1"/>
  <c r="AQ88" i="61" s="1"/>
  <c r="AO88" i="61" a="1"/>
  <c r="AO88" i="61" s="1"/>
  <c r="AM88" i="61" a="1"/>
  <c r="AM88" i="61" s="1"/>
  <c r="AK88" i="61" a="1"/>
  <c r="AK88" i="61" s="1"/>
  <c r="AI88" i="61" a="1"/>
  <c r="AI88" i="61" s="1"/>
  <c r="AG88" i="61" a="1"/>
  <c r="AG88" i="61" s="1"/>
  <c r="AE88" i="61" a="1"/>
  <c r="AE88" i="61" s="1"/>
  <c r="AC88" i="61" a="1"/>
  <c r="AC88" i="61" s="1"/>
  <c r="AP88" i="61" a="1"/>
  <c r="AP88" i="61" s="1"/>
  <c r="AH88" i="61" a="1"/>
  <c r="AH88" i="61" s="1"/>
  <c r="AR88" i="61" a="1"/>
  <c r="AR88" i="61" s="1"/>
  <c r="AJ88" i="61" a="1"/>
  <c r="AJ88" i="61" s="1"/>
  <c r="AT88" i="61" a="1"/>
  <c r="AT88" i="61" s="1"/>
  <c r="AL88" i="61" a="1"/>
  <c r="AL88" i="61" s="1"/>
  <c r="AD88" i="61" a="1"/>
  <c r="AD88" i="61" s="1"/>
  <c r="AV88" i="61" a="1"/>
  <c r="AV88" i="61" s="1"/>
  <c r="AN88" i="61" a="1"/>
  <c r="AN88" i="61" s="1"/>
  <c r="AF88" i="61" a="1"/>
  <c r="AF88" i="61" s="1"/>
  <c r="AU50" i="61" a="1"/>
  <c r="AU50" i="61" s="1"/>
  <c r="AR50" i="61" a="1"/>
  <c r="AR50" i="61" s="1"/>
  <c r="AM50" i="61" a="1"/>
  <c r="AM50" i="61" s="1"/>
  <c r="AJ50" i="61" a="1"/>
  <c r="AJ50" i="61" s="1"/>
  <c r="AE50" i="61" a="1"/>
  <c r="AE50" i="61" s="1"/>
  <c r="AA51" i="61"/>
  <c r="AT50" i="61" a="1"/>
  <c r="AT50" i="61" s="1"/>
  <c r="AO50" i="61" a="1"/>
  <c r="AO50" i="61" s="1"/>
  <c r="AL50" i="61" a="1"/>
  <c r="AL50" i="61" s="1"/>
  <c r="AG50" i="61" a="1"/>
  <c r="AG50" i="61" s="1"/>
  <c r="AD50" i="61" a="1"/>
  <c r="AD50" i="61" s="1"/>
  <c r="AN50" i="61" a="1"/>
  <c r="AN50" i="61" s="1"/>
  <c r="AI50" i="61" a="1"/>
  <c r="AI50" i="61" s="1"/>
  <c r="AS50" i="61" a="1"/>
  <c r="AS50" i="61" s="1"/>
  <c r="AH50" i="61" a="1"/>
  <c r="AH50" i="61" s="1"/>
  <c r="AC50" i="61" a="1"/>
  <c r="AC50" i="61" s="1"/>
  <c r="AV50" i="61" a="1"/>
  <c r="AV50" i="61" s="1"/>
  <c r="AQ50" i="61" a="1"/>
  <c r="AQ50" i="61" s="1"/>
  <c r="AF50" i="61" a="1"/>
  <c r="AF50" i="61" s="1"/>
  <c r="AP50" i="61" a="1"/>
  <c r="AP50" i="61" s="1"/>
  <c r="AK50" i="61" a="1"/>
  <c r="AK50" i="61" s="1"/>
  <c r="AA155" i="61"/>
  <c r="AR154" i="61" a="1"/>
  <c r="AR154" i="61" s="1"/>
  <c r="AO154" i="61" a="1"/>
  <c r="AO154" i="61" s="1"/>
  <c r="AJ154" i="61" a="1"/>
  <c r="AJ154" i="61" s="1"/>
  <c r="AG154" i="61" a="1"/>
  <c r="AG154" i="61" s="1"/>
  <c r="AT154" i="61" a="1"/>
  <c r="AT154" i="61" s="1"/>
  <c r="AQ154" i="61" a="1"/>
  <c r="AQ154" i="61" s="1"/>
  <c r="AL154" i="61" a="1"/>
  <c r="AL154" i="61" s="1"/>
  <c r="AI154" i="61" a="1"/>
  <c r="AI154" i="61" s="1"/>
  <c r="AD154" i="61" a="1"/>
  <c r="AD154" i="61" s="1"/>
  <c r="AV154" i="61" a="1"/>
  <c r="AV154" i="61" s="1"/>
  <c r="AS154" i="61" a="1"/>
  <c r="AS154" i="61" s="1"/>
  <c r="AN154" i="61" a="1"/>
  <c r="AN154" i="61" s="1"/>
  <c r="AK154" i="61" a="1"/>
  <c r="AK154" i="61" s="1"/>
  <c r="AF154" i="61" a="1"/>
  <c r="AF154" i="61" s="1"/>
  <c r="AC154" i="61" a="1"/>
  <c r="AC154" i="61" s="1"/>
  <c r="AU154" i="61" a="1"/>
  <c r="AU154" i="61" s="1"/>
  <c r="AP154" i="61" a="1"/>
  <c r="AP154" i="61" s="1"/>
  <c r="AM154" i="61" a="1"/>
  <c r="AM154" i="61" s="1"/>
  <c r="AH154" i="61" a="1"/>
  <c r="AH154" i="61" s="1"/>
  <c r="AE154" i="61" a="1"/>
  <c r="AE154" i="61" s="1"/>
  <c r="AA37" i="61"/>
  <c r="AU36" i="61" a="1"/>
  <c r="AU36" i="61" s="1"/>
  <c r="AS36" i="61" a="1"/>
  <c r="AS36" i="61" s="1"/>
  <c r="AQ36" i="61" a="1"/>
  <c r="AQ36" i="61" s="1"/>
  <c r="AO36" i="61" a="1"/>
  <c r="AO36" i="61" s="1"/>
  <c r="AM36" i="61" a="1"/>
  <c r="AM36" i="61" s="1"/>
  <c r="AK36" i="61" a="1"/>
  <c r="AK36" i="61" s="1"/>
  <c r="AI36" i="61" a="1"/>
  <c r="AI36" i="61" s="1"/>
  <c r="AG36" i="61" a="1"/>
  <c r="AG36" i="61" s="1"/>
  <c r="AE36" i="61" a="1"/>
  <c r="AE36" i="61" s="1"/>
  <c r="AC36" i="61" a="1"/>
  <c r="AC36" i="61" s="1"/>
  <c r="AV36" i="61" a="1"/>
  <c r="AV36" i="61" s="1"/>
  <c r="AN36" i="61" a="1"/>
  <c r="AN36" i="61" s="1"/>
  <c r="AF36" i="61" a="1"/>
  <c r="AF36" i="61" s="1"/>
  <c r="AP36" i="61" a="1"/>
  <c r="AP36" i="61" s="1"/>
  <c r="AH36" i="61" a="1"/>
  <c r="AH36" i="61" s="1"/>
  <c r="AJ36" i="61" a="1"/>
  <c r="AJ36" i="61" s="1"/>
  <c r="AT36" i="61" a="1"/>
  <c r="AT36" i="61" s="1"/>
  <c r="AD36" i="61" a="1"/>
  <c r="AD36" i="61" s="1"/>
  <c r="AR36" i="61" a="1"/>
  <c r="AR36" i="61" s="1"/>
  <c r="AL36" i="61" a="1"/>
  <c r="AL36" i="61" s="1"/>
  <c r="AV77" i="61" a="1"/>
  <c r="AV77" i="61" s="1"/>
  <c r="AT77" i="61" a="1"/>
  <c r="AT77" i="61" s="1"/>
  <c r="AR77" i="61" a="1"/>
  <c r="AR77" i="61" s="1"/>
  <c r="AP77" i="61" a="1"/>
  <c r="AP77" i="61" s="1"/>
  <c r="AN77" i="61" a="1"/>
  <c r="AN77" i="61" s="1"/>
  <c r="AL77" i="61" a="1"/>
  <c r="AL77" i="61" s="1"/>
  <c r="AJ77" i="61" a="1"/>
  <c r="AJ77" i="61" s="1"/>
  <c r="AH77" i="61" a="1"/>
  <c r="AH77" i="61" s="1"/>
  <c r="AF77" i="61" a="1"/>
  <c r="AF77" i="61" s="1"/>
  <c r="AD77" i="61" a="1"/>
  <c r="AD77" i="61" s="1"/>
  <c r="AA78" i="61"/>
  <c r="AU77" i="61" a="1"/>
  <c r="AU77" i="61" s="1"/>
  <c r="AS77" i="61" a="1"/>
  <c r="AS77" i="61" s="1"/>
  <c r="AQ77" i="61" a="1"/>
  <c r="AQ77" i="61" s="1"/>
  <c r="AO77" i="61" a="1"/>
  <c r="AO77" i="61" s="1"/>
  <c r="AM77" i="61" a="1"/>
  <c r="AM77" i="61" s="1"/>
  <c r="AK77" i="61" a="1"/>
  <c r="AK77" i="61" s="1"/>
  <c r="AI77" i="61" a="1"/>
  <c r="AI77" i="61" s="1"/>
  <c r="AG77" i="61" a="1"/>
  <c r="AG77" i="61" s="1"/>
  <c r="AE77" i="61" a="1"/>
  <c r="AE77" i="61" s="1"/>
  <c r="AC77" i="61" a="1"/>
  <c r="AC77" i="61" s="1"/>
  <c r="AA12" i="61" l="1"/>
  <c r="AU11" i="61" a="1"/>
  <c r="AU11" i="61" s="1"/>
  <c r="AS11" i="61" a="1"/>
  <c r="AS11" i="61" s="1"/>
  <c r="AQ11" i="61" a="1"/>
  <c r="AQ11" i="61" s="1"/>
  <c r="AO11" i="61" a="1"/>
  <c r="AO11" i="61" s="1"/>
  <c r="AM11" i="61" a="1"/>
  <c r="AM11" i="61" s="1"/>
  <c r="AK11" i="61" a="1"/>
  <c r="AK11" i="61" s="1"/>
  <c r="AI11" i="61" a="1"/>
  <c r="AI11" i="61" s="1"/>
  <c r="AG11" i="61" a="1"/>
  <c r="AG11" i="61" s="1"/>
  <c r="AE11" i="61" a="1"/>
  <c r="AE11" i="61" s="1"/>
  <c r="AC11" i="61" a="1"/>
  <c r="AC11" i="61" s="1"/>
  <c r="AV11" i="61" a="1"/>
  <c r="AV11" i="61" s="1"/>
  <c r="AT11" i="61" a="1"/>
  <c r="AT11" i="61" s="1"/>
  <c r="AR11" i="61" a="1"/>
  <c r="AR11" i="61" s="1"/>
  <c r="AP11" i="61" a="1"/>
  <c r="AP11" i="61" s="1"/>
  <c r="AN11" i="61" a="1"/>
  <c r="AN11" i="61" s="1"/>
  <c r="AL11" i="61" a="1"/>
  <c r="AL11" i="61" s="1"/>
  <c r="AJ11" i="61" a="1"/>
  <c r="AJ11" i="61" s="1"/>
  <c r="AH11" i="61" a="1"/>
  <c r="AH11" i="61" s="1"/>
  <c r="AF11" i="61" a="1"/>
  <c r="AF11" i="61" s="1"/>
  <c r="AD11" i="61" a="1"/>
  <c r="AD11" i="61" s="1"/>
  <c r="AA182" i="61"/>
  <c r="AT181" i="61" a="1"/>
  <c r="AT181" i="61" s="1"/>
  <c r="AO181" i="61" a="1"/>
  <c r="AO181" i="61" s="1"/>
  <c r="AL181" i="61" a="1"/>
  <c r="AL181" i="61" s="1"/>
  <c r="AG181" i="61" a="1"/>
  <c r="AG181" i="61" s="1"/>
  <c r="AD181" i="61" a="1"/>
  <c r="AD181" i="61" s="1"/>
  <c r="AV181" i="61" a="1"/>
  <c r="AV181" i="61" s="1"/>
  <c r="AQ181" i="61" a="1"/>
  <c r="AQ181" i="61" s="1"/>
  <c r="AN181" i="61" a="1"/>
  <c r="AN181" i="61" s="1"/>
  <c r="AI181" i="61" a="1"/>
  <c r="AI181" i="61" s="1"/>
  <c r="AF181" i="61" a="1"/>
  <c r="AF181" i="61" s="1"/>
  <c r="AR181" i="61" a="1"/>
  <c r="AR181" i="61" s="1"/>
  <c r="AM181" i="61" a="1"/>
  <c r="AM181" i="61" s="1"/>
  <c r="AP181" i="61" a="1"/>
  <c r="AP181" i="61" s="1"/>
  <c r="AK181" i="61" a="1"/>
  <c r="AK181" i="61" s="1"/>
  <c r="AU181" i="61" a="1"/>
  <c r="AU181" i="61" s="1"/>
  <c r="AJ181" i="61" a="1"/>
  <c r="AJ181" i="61" s="1"/>
  <c r="AE181" i="61" a="1"/>
  <c r="AE181" i="61" s="1"/>
  <c r="AS181" i="61" a="1"/>
  <c r="AS181" i="61" s="1"/>
  <c r="AH181" i="61" a="1"/>
  <c r="AH181" i="61" s="1"/>
  <c r="AC181" i="61" a="1"/>
  <c r="AC181" i="61" s="1"/>
  <c r="AV89" i="61" a="1"/>
  <c r="AV89" i="61" s="1"/>
  <c r="AT89" i="61" a="1"/>
  <c r="AT89" i="61" s="1"/>
  <c r="AR89" i="61" a="1"/>
  <c r="AR89" i="61" s="1"/>
  <c r="AP89" i="61" a="1"/>
  <c r="AP89" i="61" s="1"/>
  <c r="AN89" i="61" a="1"/>
  <c r="AN89" i="61" s="1"/>
  <c r="AL89" i="61" a="1"/>
  <c r="AL89" i="61" s="1"/>
  <c r="AJ89" i="61" a="1"/>
  <c r="AJ89" i="61" s="1"/>
  <c r="AH89" i="61" a="1"/>
  <c r="AH89" i="61" s="1"/>
  <c r="AF89" i="61" a="1"/>
  <c r="AF89" i="61" s="1"/>
  <c r="AD89" i="61" a="1"/>
  <c r="AD89" i="61" s="1"/>
  <c r="AS89" i="61" a="1"/>
  <c r="AS89" i="61" s="1"/>
  <c r="AK89" i="61" a="1"/>
  <c r="AK89" i="61" s="1"/>
  <c r="AC89" i="61" a="1"/>
  <c r="AC89" i="61" s="1"/>
  <c r="AU89" i="61" a="1"/>
  <c r="AU89" i="61" s="1"/>
  <c r="AM89" i="61" a="1"/>
  <c r="AM89" i="61" s="1"/>
  <c r="AE89" i="61" a="1"/>
  <c r="AE89" i="61" s="1"/>
  <c r="AA90" i="61"/>
  <c r="AO89" i="61" a="1"/>
  <c r="AO89" i="61" s="1"/>
  <c r="AG89" i="61" a="1"/>
  <c r="AG89" i="61" s="1"/>
  <c r="AQ89" i="61" a="1"/>
  <c r="AQ89" i="61" s="1"/>
  <c r="AI89" i="61" a="1"/>
  <c r="AI89" i="61" s="1"/>
  <c r="AV37" i="61" a="1"/>
  <c r="AV37" i="61" s="1"/>
  <c r="AT37" i="61" a="1"/>
  <c r="AT37" i="61" s="1"/>
  <c r="AR37" i="61" a="1"/>
  <c r="AR37" i="61" s="1"/>
  <c r="AP37" i="61" a="1"/>
  <c r="AP37" i="61" s="1"/>
  <c r="AN37" i="61" a="1"/>
  <c r="AN37" i="61" s="1"/>
  <c r="AL37" i="61" a="1"/>
  <c r="AL37" i="61" s="1"/>
  <c r="AJ37" i="61" a="1"/>
  <c r="AJ37" i="61" s="1"/>
  <c r="AH37" i="61" a="1"/>
  <c r="AH37" i="61" s="1"/>
  <c r="AF37" i="61" a="1"/>
  <c r="AF37" i="61" s="1"/>
  <c r="AD37" i="61" a="1"/>
  <c r="AD37" i="61" s="1"/>
  <c r="AQ37" i="61" a="1"/>
  <c r="AQ37" i="61" s="1"/>
  <c r="AI37" i="61" a="1"/>
  <c r="AI37" i="61" s="1"/>
  <c r="AS37" i="61" a="1"/>
  <c r="AS37" i="61" s="1"/>
  <c r="AK37" i="61" a="1"/>
  <c r="AK37" i="61" s="1"/>
  <c r="AC37" i="61" a="1"/>
  <c r="AC37" i="61" s="1"/>
  <c r="AU37" i="61" a="1"/>
  <c r="AU37" i="61" s="1"/>
  <c r="AE37" i="61" a="1"/>
  <c r="AE37" i="61" s="1"/>
  <c r="AO37" i="61" a="1"/>
  <c r="AO37" i="61" s="1"/>
  <c r="AM37" i="61" a="1"/>
  <c r="AM37" i="61" s="1"/>
  <c r="AA38" i="61"/>
  <c r="AG37" i="61" a="1"/>
  <c r="AG37" i="61" s="1"/>
  <c r="AT26" i="61" a="1"/>
  <c r="AT26" i="61" s="1"/>
  <c r="AQ26" i="61" a="1"/>
  <c r="AQ26" i="61" s="1"/>
  <c r="AL26" i="61" a="1"/>
  <c r="AL26" i="61" s="1"/>
  <c r="AI26" i="61" a="1"/>
  <c r="AI26" i="61" s="1"/>
  <c r="AD26" i="61" a="1"/>
  <c r="AD26" i="61" s="1"/>
  <c r="AV26" i="61" a="1"/>
  <c r="AV26" i="61" s="1"/>
  <c r="AS26" i="61" a="1"/>
  <c r="AS26" i="61" s="1"/>
  <c r="AN26" i="61" a="1"/>
  <c r="AN26" i="61" s="1"/>
  <c r="AK26" i="61" a="1"/>
  <c r="AK26" i="61" s="1"/>
  <c r="AF26" i="61" a="1"/>
  <c r="AF26" i="61" s="1"/>
  <c r="AC26" i="61" a="1"/>
  <c r="AC26" i="61" s="1"/>
  <c r="AZ19" i="61" s="1"/>
  <c r="AU26" i="61" a="1"/>
  <c r="AU26" i="61" s="1"/>
  <c r="AP26" i="61" a="1"/>
  <c r="AP26" i="61" s="1"/>
  <c r="AM26" i="61" a="1"/>
  <c r="AM26" i="61" s="1"/>
  <c r="BB19" i="61" s="1"/>
  <c r="AH26" i="61" a="1"/>
  <c r="AH26" i="61" s="1"/>
  <c r="AE26" i="61" a="1"/>
  <c r="AE26" i="61" s="1"/>
  <c r="AA27" i="61"/>
  <c r="AR26" i="61" a="1"/>
  <c r="AR26" i="61" s="1"/>
  <c r="AO26" i="61" a="1"/>
  <c r="AO26" i="61" s="1"/>
  <c r="AJ26" i="61" a="1"/>
  <c r="AJ26" i="61" s="1"/>
  <c r="AG26" i="61" a="1"/>
  <c r="AG26" i="61" s="1"/>
  <c r="AV195" i="61" a="1"/>
  <c r="AV195" i="61" s="1"/>
  <c r="AS195" i="61" a="1"/>
  <c r="AS195" i="61" s="1"/>
  <c r="AN195" i="61" a="1"/>
  <c r="AN195" i="61" s="1"/>
  <c r="AK195" i="61" a="1"/>
  <c r="AK195" i="61" s="1"/>
  <c r="AF195" i="61" a="1"/>
  <c r="AF195" i="61" s="1"/>
  <c r="AC195" i="61" a="1"/>
  <c r="AC195" i="61" s="1"/>
  <c r="AU195" i="61" a="1"/>
  <c r="AU195" i="61" s="1"/>
  <c r="AP195" i="61" a="1"/>
  <c r="AP195" i="61" s="1"/>
  <c r="AM195" i="61" a="1"/>
  <c r="AM195" i="61" s="1"/>
  <c r="AH195" i="61" a="1"/>
  <c r="AH195" i="61" s="1"/>
  <c r="AE195" i="61" a="1"/>
  <c r="AE195" i="61" s="1"/>
  <c r="AA196" i="61"/>
  <c r="AR195" i="61" a="1"/>
  <c r="AR195" i="61" s="1"/>
  <c r="AO195" i="61" a="1"/>
  <c r="AO195" i="61" s="1"/>
  <c r="AJ195" i="61" a="1"/>
  <c r="AJ195" i="61" s="1"/>
  <c r="AG195" i="61" a="1"/>
  <c r="AG195" i="61" s="1"/>
  <c r="AT195" i="61" a="1"/>
  <c r="AT195" i="61" s="1"/>
  <c r="AQ195" i="61" a="1"/>
  <c r="AQ195" i="61" s="1"/>
  <c r="AL195" i="61" a="1"/>
  <c r="AL195" i="61" s="1"/>
  <c r="AI195" i="61" a="1"/>
  <c r="AI195" i="61" s="1"/>
  <c r="AD195" i="61" a="1"/>
  <c r="AD195" i="61" s="1"/>
  <c r="AA129" i="61"/>
  <c r="AT128" i="61" a="1"/>
  <c r="AT128" i="61" s="1"/>
  <c r="AO128" i="61" a="1"/>
  <c r="AO128" i="61" s="1"/>
  <c r="AL128" i="61" a="1"/>
  <c r="AL128" i="61" s="1"/>
  <c r="AG128" i="61" a="1"/>
  <c r="AG128" i="61" s="1"/>
  <c r="AD128" i="61" a="1"/>
  <c r="AD128" i="61" s="1"/>
  <c r="AV128" i="61" a="1"/>
  <c r="AV128" i="61" s="1"/>
  <c r="AQ128" i="61" a="1"/>
  <c r="AQ128" i="61" s="1"/>
  <c r="AN128" i="61" a="1"/>
  <c r="AN128" i="61" s="1"/>
  <c r="AI128" i="61" a="1"/>
  <c r="AI128" i="61" s="1"/>
  <c r="AF128" i="61" a="1"/>
  <c r="AF128" i="61" s="1"/>
  <c r="AS128" i="61" a="1"/>
  <c r="AS128" i="61" s="1"/>
  <c r="AP128" i="61" a="1"/>
  <c r="AP128" i="61" s="1"/>
  <c r="AK128" i="61" a="1"/>
  <c r="AK128" i="61" s="1"/>
  <c r="AH128" i="61" a="1"/>
  <c r="AH128" i="61" s="1"/>
  <c r="AC128" i="61" a="1"/>
  <c r="AC128" i="61" s="1"/>
  <c r="AU128" i="61" a="1"/>
  <c r="AU128" i="61" s="1"/>
  <c r="AJ128" i="61" a="1"/>
  <c r="AJ128" i="61" s="1"/>
  <c r="AR128" i="61" a="1"/>
  <c r="AR128" i="61" s="1"/>
  <c r="AE128" i="61" a="1"/>
  <c r="AE128" i="61" s="1"/>
  <c r="AM128" i="61" a="1"/>
  <c r="AM128" i="61" s="1"/>
  <c r="AA79" i="61"/>
  <c r="AU78" i="61" a="1"/>
  <c r="AU78" i="61" s="1"/>
  <c r="AS78" i="61" a="1"/>
  <c r="AS78" i="61" s="1"/>
  <c r="AQ78" i="61" a="1"/>
  <c r="AQ78" i="61" s="1"/>
  <c r="AO78" i="61" a="1"/>
  <c r="AO78" i="61" s="1"/>
  <c r="AM78" i="61" a="1"/>
  <c r="AM78" i="61" s="1"/>
  <c r="AK78" i="61" a="1"/>
  <c r="AK78" i="61" s="1"/>
  <c r="AI78" i="61" a="1"/>
  <c r="AI78" i="61" s="1"/>
  <c r="AG78" i="61" a="1"/>
  <c r="AG78" i="61" s="1"/>
  <c r="AE78" i="61" a="1"/>
  <c r="AE78" i="61" s="1"/>
  <c r="AC78" i="61" a="1"/>
  <c r="AC78" i="61" s="1"/>
  <c r="AV78" i="61" a="1"/>
  <c r="AV78" i="61" s="1"/>
  <c r="AT78" i="61" a="1"/>
  <c r="AT78" i="61" s="1"/>
  <c r="AR78" i="61" a="1"/>
  <c r="AR78" i="61" s="1"/>
  <c r="AP78" i="61" a="1"/>
  <c r="AP78" i="61" s="1"/>
  <c r="AN78" i="61" a="1"/>
  <c r="AN78" i="61" s="1"/>
  <c r="AL78" i="61" a="1"/>
  <c r="AL78" i="61" s="1"/>
  <c r="AJ78" i="61" a="1"/>
  <c r="AJ78" i="61" s="1"/>
  <c r="AH78" i="61" a="1"/>
  <c r="AH78" i="61" s="1"/>
  <c r="AF78" i="61" a="1"/>
  <c r="AF78" i="61" s="1"/>
  <c r="AD78" i="61" a="1"/>
  <c r="AD78" i="61" s="1"/>
  <c r="AU155" i="61" a="1"/>
  <c r="AU155" i="61" s="1"/>
  <c r="AR155" i="61" a="1"/>
  <c r="AR155" i="61" s="1"/>
  <c r="AM155" i="61" a="1"/>
  <c r="AM155" i="61" s="1"/>
  <c r="AJ155" i="61" a="1"/>
  <c r="AJ155" i="61" s="1"/>
  <c r="AE155" i="61" a="1"/>
  <c r="AE155" i="61" s="1"/>
  <c r="AA156" i="61"/>
  <c r="AT155" i="61" a="1"/>
  <c r="AT155" i="61" s="1"/>
  <c r="AO155" i="61" a="1"/>
  <c r="AO155" i="61" s="1"/>
  <c r="AL155" i="61" a="1"/>
  <c r="AL155" i="61" s="1"/>
  <c r="AG155" i="61" a="1"/>
  <c r="AG155" i="61" s="1"/>
  <c r="AD155" i="61" a="1"/>
  <c r="AD155" i="61" s="1"/>
  <c r="AV155" i="61" a="1"/>
  <c r="AV155" i="61" s="1"/>
  <c r="AQ155" i="61" a="1"/>
  <c r="AQ155" i="61" s="1"/>
  <c r="AN155" i="61" a="1"/>
  <c r="AN155" i="61" s="1"/>
  <c r="AI155" i="61" a="1"/>
  <c r="AI155" i="61" s="1"/>
  <c r="AF155" i="61" a="1"/>
  <c r="AF155" i="61" s="1"/>
  <c r="AS155" i="61" a="1"/>
  <c r="AS155" i="61" s="1"/>
  <c r="AP155" i="61" a="1"/>
  <c r="AP155" i="61" s="1"/>
  <c r="AK155" i="61" a="1"/>
  <c r="AK155" i="61" s="1"/>
  <c r="AH155" i="61" a="1"/>
  <c r="AH155" i="61" s="1"/>
  <c r="AC155" i="61" a="1"/>
  <c r="AC155" i="61" s="1"/>
  <c r="AU51" i="61" a="1"/>
  <c r="AU51" i="61" s="1"/>
  <c r="AP51" i="61" a="1"/>
  <c r="AP51" i="61" s="1"/>
  <c r="AM51" i="61" a="1"/>
  <c r="AM51" i="61" s="1"/>
  <c r="AH51" i="61" a="1"/>
  <c r="AH51" i="61" s="1"/>
  <c r="AE51" i="61" a="1"/>
  <c r="AE51" i="61" s="1"/>
  <c r="AA52" i="61"/>
  <c r="AR51" i="61" a="1"/>
  <c r="AR51" i="61" s="1"/>
  <c r="AO51" i="61" a="1"/>
  <c r="AO51" i="61" s="1"/>
  <c r="AJ51" i="61" a="1"/>
  <c r="AJ51" i="61" s="1"/>
  <c r="AG51" i="61" a="1"/>
  <c r="AG51" i="61" s="1"/>
  <c r="AT51" i="61" a="1"/>
  <c r="AT51" i="61" s="1"/>
  <c r="AI51" i="61" a="1"/>
  <c r="AI51" i="61" s="1"/>
  <c r="AD51" i="61" a="1"/>
  <c r="AD51" i="61" s="1"/>
  <c r="AS51" i="61" a="1"/>
  <c r="AS51" i="61" s="1"/>
  <c r="AN51" i="61" a="1"/>
  <c r="AN51" i="61" s="1"/>
  <c r="AC51" i="61" a="1"/>
  <c r="AC51" i="61" s="1"/>
  <c r="AQ51" i="61" a="1"/>
  <c r="AQ51" i="61" s="1"/>
  <c r="AL51" i="61" a="1"/>
  <c r="AL51" i="61" s="1"/>
  <c r="AV51" i="61" a="1"/>
  <c r="AV51" i="61" s="1"/>
  <c r="AK51" i="61" a="1"/>
  <c r="AK51" i="61" s="1"/>
  <c r="AF51" i="61" a="1"/>
  <c r="AF51" i="61" s="1"/>
  <c r="AV64" i="61" a="1"/>
  <c r="AV64" i="61" s="1"/>
  <c r="AT64" i="61" a="1"/>
  <c r="AT64" i="61" s="1"/>
  <c r="AR64" i="61" a="1"/>
  <c r="AR64" i="61" s="1"/>
  <c r="AP64" i="61" a="1"/>
  <c r="AP64" i="61" s="1"/>
  <c r="AN64" i="61" a="1"/>
  <c r="AN64" i="61" s="1"/>
  <c r="AL64" i="61" a="1"/>
  <c r="AL64" i="61" s="1"/>
  <c r="AJ64" i="61" a="1"/>
  <c r="AJ64" i="61" s="1"/>
  <c r="AH64" i="61" a="1"/>
  <c r="AH64" i="61" s="1"/>
  <c r="AF64" i="61" a="1"/>
  <c r="AF64" i="61" s="1"/>
  <c r="AD64" i="61" a="1"/>
  <c r="AD64" i="61" s="1"/>
  <c r="AU64" i="61" a="1"/>
  <c r="AU64" i="61" s="1"/>
  <c r="AM64" i="61" a="1"/>
  <c r="AM64" i="61" s="1"/>
  <c r="AE64" i="61" a="1"/>
  <c r="AE64" i="61" s="1"/>
  <c r="AA65" i="61"/>
  <c r="AO64" i="61" a="1"/>
  <c r="AO64" i="61" s="1"/>
  <c r="AG64" i="61" a="1"/>
  <c r="AG64" i="61" s="1"/>
  <c r="AQ64" i="61" a="1"/>
  <c r="AQ64" i="61" s="1"/>
  <c r="AI64" i="61" a="1"/>
  <c r="AI64" i="61" s="1"/>
  <c r="AS64" i="61" a="1"/>
  <c r="AS64" i="61" s="1"/>
  <c r="AK64" i="61" a="1"/>
  <c r="AK64" i="61" s="1"/>
  <c r="AC64" i="61" a="1"/>
  <c r="AC64" i="61" s="1"/>
  <c r="AS116" i="61" a="1"/>
  <c r="AS116" i="61" s="1"/>
  <c r="AP116" i="61" a="1"/>
  <c r="AP116" i="61" s="1"/>
  <c r="AK116" i="61" a="1"/>
  <c r="AK116" i="61" s="1"/>
  <c r="AH116" i="61" a="1"/>
  <c r="AH116" i="61" s="1"/>
  <c r="AC116" i="61" a="1"/>
  <c r="AC116" i="61" s="1"/>
  <c r="AU116" i="61" a="1"/>
  <c r="AU116" i="61" s="1"/>
  <c r="AR116" i="61" a="1"/>
  <c r="AR116" i="61" s="1"/>
  <c r="AM116" i="61" a="1"/>
  <c r="AM116" i="61" s="1"/>
  <c r="AJ116" i="61" a="1"/>
  <c r="AJ116" i="61" s="1"/>
  <c r="AE116" i="61" a="1"/>
  <c r="AE116" i="61" s="1"/>
  <c r="AA117" i="61"/>
  <c r="AT116" i="61" a="1"/>
  <c r="AT116" i="61" s="1"/>
  <c r="AO116" i="61" a="1"/>
  <c r="AO116" i="61" s="1"/>
  <c r="AL116" i="61" a="1"/>
  <c r="AL116" i="61" s="1"/>
  <c r="AG116" i="61" a="1"/>
  <c r="AG116" i="61" s="1"/>
  <c r="AD116" i="61" a="1"/>
  <c r="AD116" i="61" s="1"/>
  <c r="AV116" i="61" a="1"/>
  <c r="AV116" i="61" s="1"/>
  <c r="AQ116" i="61" a="1"/>
  <c r="AQ116" i="61" s="1"/>
  <c r="AN116" i="61" a="1"/>
  <c r="AN116" i="61" s="1"/>
  <c r="AI116" i="61" a="1"/>
  <c r="AI116" i="61" s="1"/>
  <c r="AF116" i="61" a="1"/>
  <c r="AF116" i="61" s="1"/>
  <c r="AV167" i="61" a="1"/>
  <c r="AV167" i="61" s="1"/>
  <c r="AT167" i="61" a="1"/>
  <c r="AT167" i="61" s="1"/>
  <c r="AR167" i="61" a="1"/>
  <c r="AR167" i="61" s="1"/>
  <c r="AP167" i="61" a="1"/>
  <c r="AP167" i="61" s="1"/>
  <c r="AN167" i="61" a="1"/>
  <c r="AN167" i="61" s="1"/>
  <c r="AL167" i="61" a="1"/>
  <c r="AL167" i="61" s="1"/>
  <c r="AJ167" i="61" a="1"/>
  <c r="AJ167" i="61" s="1"/>
  <c r="AH167" i="61" a="1"/>
  <c r="AH167" i="61" s="1"/>
  <c r="AF167" i="61" a="1"/>
  <c r="AF167" i="61" s="1"/>
  <c r="AD167" i="61" a="1"/>
  <c r="AD167" i="61" s="1"/>
  <c r="AA168" i="61"/>
  <c r="AU167" i="61" a="1"/>
  <c r="AU167" i="61" s="1"/>
  <c r="AS167" i="61" a="1"/>
  <c r="AS167" i="61" s="1"/>
  <c r="AQ167" i="61" a="1"/>
  <c r="AQ167" i="61" s="1"/>
  <c r="AO167" i="61" a="1"/>
  <c r="AO167" i="61" s="1"/>
  <c r="AM167" i="61" a="1"/>
  <c r="AM167" i="61" s="1"/>
  <c r="AK167" i="61" a="1"/>
  <c r="AK167" i="61" s="1"/>
  <c r="AI167" i="61" a="1"/>
  <c r="AI167" i="61" s="1"/>
  <c r="AG167" i="61" a="1"/>
  <c r="AG167" i="61" s="1"/>
  <c r="AE167" i="61" a="1"/>
  <c r="AE167" i="61" s="1"/>
  <c r="AC167" i="61" a="1"/>
  <c r="AC167" i="61" s="1"/>
  <c r="AA142" i="61"/>
  <c r="AU141" i="61" a="1"/>
  <c r="AU141" i="61" s="1"/>
  <c r="AS141" i="61" a="1"/>
  <c r="AS141" i="61" s="1"/>
  <c r="AQ141" i="61" a="1"/>
  <c r="AQ141" i="61" s="1"/>
  <c r="AO141" i="61" a="1"/>
  <c r="AO141" i="61" s="1"/>
  <c r="AM141" i="61" a="1"/>
  <c r="AM141" i="61" s="1"/>
  <c r="AK141" i="61" a="1"/>
  <c r="AK141" i="61" s="1"/>
  <c r="AI141" i="61" a="1"/>
  <c r="AI141" i="61" s="1"/>
  <c r="AG141" i="61" a="1"/>
  <c r="AG141" i="61" s="1"/>
  <c r="AE141" i="61" a="1"/>
  <c r="AE141" i="61" s="1"/>
  <c r="AC141" i="61" a="1"/>
  <c r="AC141" i="61" s="1"/>
  <c r="AV141" i="61" a="1"/>
  <c r="AV141" i="61" s="1"/>
  <c r="AT141" i="61" a="1"/>
  <c r="AT141" i="61" s="1"/>
  <c r="AR141" i="61" a="1"/>
  <c r="AR141" i="61" s="1"/>
  <c r="AP141" i="61" a="1"/>
  <c r="AP141" i="61" s="1"/>
  <c r="AN141" i="61" a="1"/>
  <c r="AN141" i="61" s="1"/>
  <c r="AL141" i="61" a="1"/>
  <c r="AL141" i="61" s="1"/>
  <c r="AJ141" i="61" a="1"/>
  <c r="AJ141" i="61" s="1"/>
  <c r="AH141" i="61" a="1"/>
  <c r="AH141" i="61" s="1"/>
  <c r="AF141" i="61" a="1"/>
  <c r="AF141" i="61" s="1"/>
  <c r="AD141" i="61" a="1"/>
  <c r="AD141" i="61" s="1"/>
  <c r="AV105" i="61" a="1"/>
  <c r="AV105" i="61" s="1"/>
  <c r="AT105" i="61" a="1"/>
  <c r="AT105" i="61" s="1"/>
  <c r="AR105" i="61" a="1"/>
  <c r="AR105" i="61" s="1"/>
  <c r="AP105" i="61" a="1"/>
  <c r="AP105" i="61" s="1"/>
  <c r="AN105" i="61" a="1"/>
  <c r="AN105" i="61" s="1"/>
  <c r="AL105" i="61" a="1"/>
  <c r="AL105" i="61" s="1"/>
  <c r="AJ105" i="61" a="1"/>
  <c r="AJ105" i="61" s="1"/>
  <c r="AH105" i="61" a="1"/>
  <c r="AH105" i="61" s="1"/>
  <c r="AF105" i="61" a="1"/>
  <c r="AF105" i="61" s="1"/>
  <c r="AD105" i="61" a="1"/>
  <c r="AD105" i="61" s="1"/>
  <c r="AU105" i="61" a="1"/>
  <c r="AU105" i="61" s="1"/>
  <c r="AM105" i="61" a="1"/>
  <c r="AM105" i="61" s="1"/>
  <c r="AE105" i="61" a="1"/>
  <c r="AE105" i="61" s="1"/>
  <c r="AS105" i="61" a="1"/>
  <c r="AS105" i="61" s="1"/>
  <c r="AK105" i="61" a="1"/>
  <c r="AK105" i="61" s="1"/>
  <c r="AC105" i="61" a="1"/>
  <c r="AC105" i="61" s="1"/>
  <c r="AQ105" i="61" a="1"/>
  <c r="AQ105" i="61" s="1"/>
  <c r="AI105" i="61" a="1"/>
  <c r="AI105" i="61" s="1"/>
  <c r="AA106" i="61"/>
  <c r="AO105" i="61" a="1"/>
  <c r="AO105" i="61" s="1"/>
  <c r="AG105" i="61" a="1"/>
  <c r="AG105" i="61" s="1"/>
  <c r="AY19" i="61" l="1"/>
  <c r="BA19" i="61"/>
  <c r="AA66" i="61"/>
  <c r="AU65" i="61" a="1"/>
  <c r="AU65" i="61" s="1"/>
  <c r="AS65" i="61" a="1"/>
  <c r="AS65" i="61" s="1"/>
  <c r="AQ65" i="61" a="1"/>
  <c r="AQ65" i="61" s="1"/>
  <c r="AO65" i="61" a="1"/>
  <c r="AO65" i="61" s="1"/>
  <c r="AM65" i="61" a="1"/>
  <c r="AM65" i="61" s="1"/>
  <c r="AK65" i="61" a="1"/>
  <c r="AK65" i="61" s="1"/>
  <c r="AI65" i="61" a="1"/>
  <c r="AI65" i="61" s="1"/>
  <c r="AG65" i="61" a="1"/>
  <c r="AG65" i="61" s="1"/>
  <c r="AE65" i="61" a="1"/>
  <c r="AE65" i="61" s="1"/>
  <c r="AC65" i="61" a="1"/>
  <c r="AC65" i="61" s="1"/>
  <c r="AP65" i="61" a="1"/>
  <c r="AP65" i="61" s="1"/>
  <c r="AH65" i="61" a="1"/>
  <c r="AH65" i="61" s="1"/>
  <c r="AR65" i="61" a="1"/>
  <c r="AR65" i="61" s="1"/>
  <c r="AJ65" i="61" a="1"/>
  <c r="AJ65" i="61" s="1"/>
  <c r="AT65" i="61" a="1"/>
  <c r="AT65" i="61" s="1"/>
  <c r="AL65" i="61" a="1"/>
  <c r="AL65" i="61" s="1"/>
  <c r="AD65" i="61" a="1"/>
  <c r="AD65" i="61" s="1"/>
  <c r="AV65" i="61" a="1"/>
  <c r="AV65" i="61" s="1"/>
  <c r="AN65" i="61" a="1"/>
  <c r="AN65" i="61" s="1"/>
  <c r="AF65" i="61" a="1"/>
  <c r="AF65" i="61" s="1"/>
  <c r="AV79" i="61" a="1"/>
  <c r="AV79" i="61" s="1"/>
  <c r="AT79" i="61" a="1"/>
  <c r="AT79" i="61" s="1"/>
  <c r="AR79" i="61" a="1"/>
  <c r="AR79" i="61" s="1"/>
  <c r="AP79" i="61" a="1"/>
  <c r="AP79" i="61" s="1"/>
  <c r="AN79" i="61" a="1"/>
  <c r="AN79" i="61" s="1"/>
  <c r="AL79" i="61" a="1"/>
  <c r="AL79" i="61" s="1"/>
  <c r="AJ79" i="61" a="1"/>
  <c r="AJ79" i="61" s="1"/>
  <c r="AH79" i="61" a="1"/>
  <c r="AH79" i="61" s="1"/>
  <c r="AF79" i="61" a="1"/>
  <c r="AF79" i="61" s="1"/>
  <c r="AD79" i="61" a="1"/>
  <c r="AD79" i="61" s="1"/>
  <c r="AA80" i="61"/>
  <c r="AU79" i="61" a="1"/>
  <c r="AU79" i="61" s="1"/>
  <c r="AS79" i="61" a="1"/>
  <c r="AS79" i="61" s="1"/>
  <c r="AQ79" i="61" a="1"/>
  <c r="AQ79" i="61" s="1"/>
  <c r="AO79" i="61" a="1"/>
  <c r="AO79" i="61" s="1"/>
  <c r="AM79" i="61" a="1"/>
  <c r="AM79" i="61" s="1"/>
  <c r="AK79" i="61" a="1"/>
  <c r="AK79" i="61" s="1"/>
  <c r="AI79" i="61" a="1"/>
  <c r="AI79" i="61" s="1"/>
  <c r="AG79" i="61" a="1"/>
  <c r="AG79" i="61" s="1"/>
  <c r="AE79" i="61" a="1"/>
  <c r="AE79" i="61" s="1"/>
  <c r="AC79" i="61" a="1"/>
  <c r="AC79" i="61" s="1"/>
  <c r="AA169" i="61"/>
  <c r="AU168" i="61" a="1"/>
  <c r="AU168" i="61" s="1"/>
  <c r="AS168" i="61" a="1"/>
  <c r="AS168" i="61" s="1"/>
  <c r="AQ168" i="61" a="1"/>
  <c r="AQ168" i="61" s="1"/>
  <c r="AO168" i="61" a="1"/>
  <c r="AO168" i="61" s="1"/>
  <c r="AM168" i="61" a="1"/>
  <c r="AM168" i="61" s="1"/>
  <c r="AK168" i="61" a="1"/>
  <c r="AK168" i="61" s="1"/>
  <c r="AI168" i="61" a="1"/>
  <c r="AI168" i="61" s="1"/>
  <c r="AG168" i="61" a="1"/>
  <c r="AG168" i="61" s="1"/>
  <c r="AE168" i="61" a="1"/>
  <c r="AE168" i="61" s="1"/>
  <c r="AC168" i="61" a="1"/>
  <c r="AC168" i="61" s="1"/>
  <c r="AV168" i="61" a="1"/>
  <c r="AV168" i="61" s="1"/>
  <c r="AT168" i="61" a="1"/>
  <c r="AT168" i="61" s="1"/>
  <c r="AR168" i="61" a="1"/>
  <c r="AR168" i="61" s="1"/>
  <c r="AP168" i="61" a="1"/>
  <c r="AP168" i="61" s="1"/>
  <c r="AN168" i="61" a="1"/>
  <c r="AN168" i="61" s="1"/>
  <c r="AL168" i="61" a="1"/>
  <c r="AL168" i="61" s="1"/>
  <c r="AJ168" i="61" a="1"/>
  <c r="AJ168" i="61" s="1"/>
  <c r="AH168" i="61" a="1"/>
  <c r="AH168" i="61" s="1"/>
  <c r="AF168" i="61" a="1"/>
  <c r="AF168" i="61" s="1"/>
  <c r="AD168" i="61" a="1"/>
  <c r="AD168" i="61" s="1"/>
  <c r="AS52" i="61" a="1"/>
  <c r="AS52" i="61" s="1"/>
  <c r="AP52" i="61" a="1"/>
  <c r="AP52" i="61" s="1"/>
  <c r="AK52" i="61" a="1"/>
  <c r="AK52" i="61" s="1"/>
  <c r="AH52" i="61" a="1"/>
  <c r="AH52" i="61" s="1"/>
  <c r="AC52" i="61" a="1"/>
  <c r="AC52" i="61" s="1"/>
  <c r="AU52" i="61" a="1"/>
  <c r="AU52" i="61" s="1"/>
  <c r="AR52" i="61" a="1"/>
  <c r="AR52" i="61" s="1"/>
  <c r="AM52" i="61" a="1"/>
  <c r="AM52" i="61" s="1"/>
  <c r="AJ52" i="61" a="1"/>
  <c r="AJ52" i="61" s="1"/>
  <c r="AE52" i="61" a="1"/>
  <c r="AE52" i="61" s="1"/>
  <c r="AT52" i="61" a="1"/>
  <c r="AT52" i="61" s="1"/>
  <c r="AO52" i="61" a="1"/>
  <c r="AO52" i="61" s="1"/>
  <c r="AD52" i="61" a="1"/>
  <c r="AD52" i="61" s="1"/>
  <c r="AN52" i="61" a="1"/>
  <c r="AN52" i="61" s="1"/>
  <c r="AI52" i="61" a="1"/>
  <c r="AI52" i="61" s="1"/>
  <c r="AA53" i="61"/>
  <c r="AL52" i="61" a="1"/>
  <c r="AL52" i="61" s="1"/>
  <c r="AG52" i="61" a="1"/>
  <c r="AG52" i="61" s="1"/>
  <c r="AV52" i="61" a="1"/>
  <c r="AV52" i="61" s="1"/>
  <c r="AQ52" i="61" a="1"/>
  <c r="AQ52" i="61" s="1"/>
  <c r="AF52" i="61" a="1"/>
  <c r="AF52" i="61" s="1"/>
  <c r="AA130" i="61"/>
  <c r="AR129" i="61" a="1"/>
  <c r="AR129" i="61" s="1"/>
  <c r="AO129" i="61" a="1"/>
  <c r="AO129" i="61" s="1"/>
  <c r="AJ129" i="61" a="1"/>
  <c r="AJ129" i="61" s="1"/>
  <c r="AG129" i="61" a="1"/>
  <c r="AG129" i="61" s="1"/>
  <c r="AT129" i="61" a="1"/>
  <c r="AT129" i="61" s="1"/>
  <c r="AQ129" i="61" a="1"/>
  <c r="AQ129" i="61" s="1"/>
  <c r="AL129" i="61" a="1"/>
  <c r="AL129" i="61" s="1"/>
  <c r="AI129" i="61" a="1"/>
  <c r="AI129" i="61" s="1"/>
  <c r="AD129" i="61" a="1"/>
  <c r="AD129" i="61" s="1"/>
  <c r="AV129" i="61" a="1"/>
  <c r="AV129" i="61" s="1"/>
  <c r="AS129" i="61" a="1"/>
  <c r="AS129" i="61" s="1"/>
  <c r="AN129" i="61" a="1"/>
  <c r="AN129" i="61" s="1"/>
  <c r="AK129" i="61" a="1"/>
  <c r="AK129" i="61" s="1"/>
  <c r="AF129" i="61" a="1"/>
  <c r="AF129" i="61" s="1"/>
  <c r="AC129" i="61" a="1"/>
  <c r="AC129" i="61" s="1"/>
  <c r="AU129" i="61" a="1"/>
  <c r="AU129" i="61" s="1"/>
  <c r="AH129" i="61" a="1"/>
  <c r="AH129" i="61" s="1"/>
  <c r="AP129" i="61" a="1"/>
  <c r="AP129" i="61" s="1"/>
  <c r="AE129" i="61" a="1"/>
  <c r="AE129" i="61" s="1"/>
  <c r="AM129" i="61" a="1"/>
  <c r="AM129" i="61" s="1"/>
  <c r="AA39" i="61"/>
  <c r="AU38" i="61" a="1"/>
  <c r="AU38" i="61" s="1"/>
  <c r="AS38" i="61" a="1"/>
  <c r="AS38" i="61" s="1"/>
  <c r="AQ38" i="61" a="1"/>
  <c r="AQ38" i="61" s="1"/>
  <c r="AO38" i="61" a="1"/>
  <c r="AO38" i="61" s="1"/>
  <c r="AM38" i="61" a="1"/>
  <c r="AM38" i="61" s="1"/>
  <c r="AK38" i="61" a="1"/>
  <c r="AK38" i="61" s="1"/>
  <c r="AI38" i="61" a="1"/>
  <c r="AI38" i="61" s="1"/>
  <c r="AG38" i="61" a="1"/>
  <c r="AG38" i="61" s="1"/>
  <c r="AE38" i="61" a="1"/>
  <c r="AE38" i="61" s="1"/>
  <c r="AC38" i="61" a="1"/>
  <c r="AC38" i="61" s="1"/>
  <c r="AT38" i="61" a="1"/>
  <c r="AT38" i="61" s="1"/>
  <c r="AL38" i="61" a="1"/>
  <c r="AL38" i="61" s="1"/>
  <c r="AD38" i="61" a="1"/>
  <c r="AD38" i="61" s="1"/>
  <c r="AV38" i="61" a="1"/>
  <c r="AV38" i="61" s="1"/>
  <c r="AN38" i="61" a="1"/>
  <c r="AN38" i="61" s="1"/>
  <c r="AF38" i="61" a="1"/>
  <c r="AF38" i="61" s="1"/>
  <c r="AP38" i="61" a="1"/>
  <c r="AP38" i="61" s="1"/>
  <c r="AJ38" i="61" a="1"/>
  <c r="AJ38" i="61" s="1"/>
  <c r="AH38" i="61" a="1"/>
  <c r="AH38" i="61" s="1"/>
  <c r="AR38" i="61" a="1"/>
  <c r="AR38" i="61" s="1"/>
  <c r="AV90" i="61" a="1"/>
  <c r="AV90" i="61" s="1"/>
  <c r="AT90" i="61" a="1"/>
  <c r="AT90" i="61" s="1"/>
  <c r="AR90" i="61" a="1"/>
  <c r="AR90" i="61" s="1"/>
  <c r="AA91" i="61"/>
  <c r="AU90" i="61" a="1"/>
  <c r="AU90" i="61" s="1"/>
  <c r="AS90" i="61" a="1"/>
  <c r="AS90" i="61" s="1"/>
  <c r="AQ90" i="61" a="1"/>
  <c r="AQ90" i="61" s="1"/>
  <c r="AO90" i="61" a="1"/>
  <c r="AO90" i="61" s="1"/>
  <c r="AM90" i="61" a="1"/>
  <c r="AM90" i="61" s="1"/>
  <c r="AK90" i="61" a="1"/>
  <c r="AK90" i="61" s="1"/>
  <c r="AI90" i="61" a="1"/>
  <c r="AI90" i="61" s="1"/>
  <c r="AG90" i="61" a="1"/>
  <c r="AG90" i="61" s="1"/>
  <c r="AE90" i="61" a="1"/>
  <c r="AE90" i="61" s="1"/>
  <c r="AC90" i="61" a="1"/>
  <c r="AC90" i="61" s="1"/>
  <c r="AN90" i="61" a="1"/>
  <c r="AN90" i="61" s="1"/>
  <c r="AF90" i="61" a="1"/>
  <c r="AF90" i="61" s="1"/>
  <c r="AP90" i="61" a="1"/>
  <c r="AP90" i="61" s="1"/>
  <c r="AH90" i="61" a="1"/>
  <c r="AH90" i="61" s="1"/>
  <c r="AJ90" i="61" a="1"/>
  <c r="AJ90" i="61" s="1"/>
  <c r="AL90" i="61" a="1"/>
  <c r="AL90" i="61" s="1"/>
  <c r="AD90" i="61" a="1"/>
  <c r="AD90" i="61" s="1"/>
  <c r="AV142" i="61" a="1"/>
  <c r="AV142" i="61" s="1"/>
  <c r="AT142" i="61" a="1"/>
  <c r="AT142" i="61" s="1"/>
  <c r="AR142" i="61" a="1"/>
  <c r="AR142" i="61" s="1"/>
  <c r="AP142" i="61" a="1"/>
  <c r="AP142" i="61" s="1"/>
  <c r="AN142" i="61" a="1"/>
  <c r="AN142" i="61" s="1"/>
  <c r="AL142" i="61" a="1"/>
  <c r="AL142" i="61" s="1"/>
  <c r="AJ142" i="61" a="1"/>
  <c r="AJ142" i="61" s="1"/>
  <c r="AH142" i="61" a="1"/>
  <c r="AH142" i="61" s="1"/>
  <c r="AF142" i="61" a="1"/>
  <c r="AF142" i="61" s="1"/>
  <c r="AD142" i="61" a="1"/>
  <c r="AD142" i="61" s="1"/>
  <c r="AA143" i="61"/>
  <c r="AU142" i="61" a="1"/>
  <c r="AU142" i="61" s="1"/>
  <c r="AS142" i="61" a="1"/>
  <c r="AS142" i="61" s="1"/>
  <c r="AQ142" i="61" a="1"/>
  <c r="AQ142" i="61" s="1"/>
  <c r="AO142" i="61" a="1"/>
  <c r="AO142" i="61" s="1"/>
  <c r="AM142" i="61" a="1"/>
  <c r="AM142" i="61" s="1"/>
  <c r="AK142" i="61" a="1"/>
  <c r="AK142" i="61" s="1"/>
  <c r="AI142" i="61" a="1"/>
  <c r="AI142" i="61" s="1"/>
  <c r="AG142" i="61" a="1"/>
  <c r="AG142" i="61" s="1"/>
  <c r="AE142" i="61" a="1"/>
  <c r="AE142" i="61" s="1"/>
  <c r="AC142" i="61" a="1"/>
  <c r="AC142" i="61" s="1"/>
  <c r="AV117" i="61" a="1"/>
  <c r="AV117" i="61" s="1"/>
  <c r="AS117" i="61" a="1"/>
  <c r="AS117" i="61" s="1"/>
  <c r="AN117" i="61" a="1"/>
  <c r="AN117" i="61" s="1"/>
  <c r="AK117" i="61" a="1"/>
  <c r="AK117" i="61" s="1"/>
  <c r="AF117" i="61" a="1"/>
  <c r="AF117" i="61" s="1"/>
  <c r="AC117" i="61" a="1"/>
  <c r="AC117" i="61" s="1"/>
  <c r="AU117" i="61" a="1"/>
  <c r="AU117" i="61" s="1"/>
  <c r="AP117" i="61" a="1"/>
  <c r="AP117" i="61" s="1"/>
  <c r="AM117" i="61" a="1"/>
  <c r="AM117" i="61" s="1"/>
  <c r="AH117" i="61" a="1"/>
  <c r="AH117" i="61" s="1"/>
  <c r="AE117" i="61" a="1"/>
  <c r="AE117" i="61" s="1"/>
  <c r="AA118" i="61"/>
  <c r="AR117" i="61" a="1"/>
  <c r="AR117" i="61" s="1"/>
  <c r="AO117" i="61" a="1"/>
  <c r="AO117" i="61" s="1"/>
  <c r="AJ117" i="61" a="1"/>
  <c r="AJ117" i="61" s="1"/>
  <c r="AG117" i="61" a="1"/>
  <c r="AG117" i="61" s="1"/>
  <c r="AT117" i="61" a="1"/>
  <c r="AT117" i="61" s="1"/>
  <c r="AQ117" i="61" a="1"/>
  <c r="AQ117" i="61" s="1"/>
  <c r="AL117" i="61" a="1"/>
  <c r="AL117" i="61" s="1"/>
  <c r="AI117" i="61" a="1"/>
  <c r="AI117" i="61" s="1"/>
  <c r="AD117" i="61" a="1"/>
  <c r="AD117" i="61" s="1"/>
  <c r="AV156" i="61" a="1"/>
  <c r="AV156" i="61" s="1"/>
  <c r="AU156" i="61" a="1"/>
  <c r="AU156" i="61" s="1"/>
  <c r="AP156" i="61" a="1"/>
  <c r="AP156" i="61" s="1"/>
  <c r="AM156" i="61" a="1"/>
  <c r="AM156" i="61" s="1"/>
  <c r="AH156" i="61" a="1"/>
  <c r="AH156" i="61" s="1"/>
  <c r="AE156" i="61" a="1"/>
  <c r="AE156" i="61" s="1"/>
  <c r="AR156" i="61" a="1"/>
  <c r="AR156" i="61" s="1"/>
  <c r="AO156" i="61" a="1"/>
  <c r="AO156" i="61" s="1"/>
  <c r="AJ156" i="61" a="1"/>
  <c r="AJ156" i="61" s="1"/>
  <c r="AG156" i="61" a="1"/>
  <c r="AG156" i="61" s="1"/>
  <c r="AA157" i="61"/>
  <c r="AT156" i="61" a="1"/>
  <c r="AT156" i="61" s="1"/>
  <c r="AQ156" i="61" a="1"/>
  <c r="AQ156" i="61" s="1"/>
  <c r="AL156" i="61" a="1"/>
  <c r="AL156" i="61" s="1"/>
  <c r="AI156" i="61" a="1"/>
  <c r="AI156" i="61" s="1"/>
  <c r="AD156" i="61" a="1"/>
  <c r="AD156" i="61" s="1"/>
  <c r="AS156" i="61" a="1"/>
  <c r="AS156" i="61" s="1"/>
  <c r="AN156" i="61" a="1"/>
  <c r="AN156" i="61" s="1"/>
  <c r="AK156" i="61" a="1"/>
  <c r="AK156" i="61" s="1"/>
  <c r="AF156" i="61" a="1"/>
  <c r="AF156" i="61" s="1"/>
  <c r="AC156" i="61" a="1"/>
  <c r="AC156" i="61" s="1"/>
  <c r="AA183" i="61"/>
  <c r="AR182" i="61" a="1"/>
  <c r="AR182" i="61" s="1"/>
  <c r="AO182" i="61" a="1"/>
  <c r="AO182" i="61" s="1"/>
  <c r="AJ182" i="61" a="1"/>
  <c r="AJ182" i="61" s="1"/>
  <c r="AG182" i="61" a="1"/>
  <c r="AG182" i="61" s="1"/>
  <c r="AT182" i="61" a="1"/>
  <c r="AT182" i="61" s="1"/>
  <c r="AQ182" i="61" a="1"/>
  <c r="AQ182" i="61" s="1"/>
  <c r="AL182" i="61" a="1"/>
  <c r="AL182" i="61" s="1"/>
  <c r="AI182" i="61" a="1"/>
  <c r="AI182" i="61" s="1"/>
  <c r="AD182" i="61" a="1"/>
  <c r="AD182" i="61" s="1"/>
  <c r="AM182" i="61" a="1"/>
  <c r="AM182" i="61" s="1"/>
  <c r="AH182" i="61" a="1"/>
  <c r="AH182" i="61" s="1"/>
  <c r="AV182" i="61" a="1"/>
  <c r="AV182" i="61" s="1"/>
  <c r="AK182" i="61" a="1"/>
  <c r="AK182" i="61" s="1"/>
  <c r="AF182" i="61" a="1"/>
  <c r="AF182" i="61" s="1"/>
  <c r="AU182" i="61" a="1"/>
  <c r="AU182" i="61" s="1"/>
  <c r="AP182" i="61" a="1"/>
  <c r="AP182" i="61" s="1"/>
  <c r="AE182" i="61" a="1"/>
  <c r="AE182" i="61" s="1"/>
  <c r="AS182" i="61" a="1"/>
  <c r="AS182" i="61" s="1"/>
  <c r="AN182" i="61" a="1"/>
  <c r="AN182" i="61" s="1"/>
  <c r="AC182" i="61" a="1"/>
  <c r="AC182" i="61" s="1"/>
  <c r="AA107" i="61"/>
  <c r="AU106" i="61" a="1"/>
  <c r="AU106" i="61" s="1"/>
  <c r="AS106" i="61" a="1"/>
  <c r="AS106" i="61" s="1"/>
  <c r="AQ106" i="61" a="1"/>
  <c r="AQ106" i="61" s="1"/>
  <c r="AO106" i="61" a="1"/>
  <c r="AO106" i="61" s="1"/>
  <c r="AM106" i="61" a="1"/>
  <c r="AM106" i="61" s="1"/>
  <c r="AK106" i="61" a="1"/>
  <c r="AK106" i="61" s="1"/>
  <c r="AI106" i="61" a="1"/>
  <c r="AI106" i="61" s="1"/>
  <c r="AR106" i="61" a="1"/>
  <c r="AR106" i="61" s="1"/>
  <c r="AJ106" i="61" a="1"/>
  <c r="AJ106" i="61" s="1"/>
  <c r="AT106" i="61" a="1"/>
  <c r="AT106" i="61" s="1"/>
  <c r="AL106" i="61" a="1"/>
  <c r="AL106" i="61" s="1"/>
  <c r="AG106" i="61" a="1"/>
  <c r="AG106" i="61" s="1"/>
  <c r="AE106" i="61" a="1"/>
  <c r="AE106" i="61" s="1"/>
  <c r="AC106" i="61" a="1"/>
  <c r="AC106" i="61" s="1"/>
  <c r="AV106" i="61" a="1"/>
  <c r="AV106" i="61" s="1"/>
  <c r="AN106" i="61" a="1"/>
  <c r="AN106" i="61" s="1"/>
  <c r="AH106" i="61" a="1"/>
  <c r="AH106" i="61" s="1"/>
  <c r="AP106" i="61" a="1"/>
  <c r="AP106" i="61" s="1"/>
  <c r="AF106" i="61" a="1"/>
  <c r="AF106" i="61" s="1"/>
  <c r="AD106" i="61" a="1"/>
  <c r="AD106" i="61" s="1"/>
  <c r="AV196" i="61" a="1"/>
  <c r="AV196" i="61" s="1"/>
  <c r="AQ196" i="61" a="1"/>
  <c r="AQ196" i="61" s="1"/>
  <c r="AN196" i="61" a="1"/>
  <c r="AN196" i="61" s="1"/>
  <c r="AI196" i="61" a="1"/>
  <c r="AI196" i="61" s="1"/>
  <c r="AF196" i="61" a="1"/>
  <c r="AF196" i="61" s="1"/>
  <c r="AS196" i="61" a="1"/>
  <c r="AS196" i="61" s="1"/>
  <c r="AP196" i="61" a="1"/>
  <c r="AP196" i="61" s="1"/>
  <c r="AK196" i="61" a="1"/>
  <c r="AK196" i="61" s="1"/>
  <c r="AH196" i="61" a="1"/>
  <c r="AH196" i="61" s="1"/>
  <c r="AC196" i="61" a="1"/>
  <c r="AC196" i="61" s="1"/>
  <c r="AU196" i="61" a="1"/>
  <c r="AU196" i="61" s="1"/>
  <c r="AR196" i="61" a="1"/>
  <c r="AR196" i="61" s="1"/>
  <c r="AM196" i="61" a="1"/>
  <c r="AM196" i="61" s="1"/>
  <c r="AJ196" i="61" a="1"/>
  <c r="AJ196" i="61" s="1"/>
  <c r="AE196" i="61" a="1"/>
  <c r="AE196" i="61" s="1"/>
  <c r="AA197" i="61"/>
  <c r="AT196" i="61" a="1"/>
  <c r="AT196" i="61" s="1"/>
  <c r="AO196" i="61" a="1"/>
  <c r="AO196" i="61" s="1"/>
  <c r="AL196" i="61" a="1"/>
  <c r="AL196" i="61" s="1"/>
  <c r="AG196" i="61" a="1"/>
  <c r="AG196" i="61" s="1"/>
  <c r="AD196" i="61" a="1"/>
  <c r="AD196" i="61" s="1"/>
  <c r="AS27" i="61" a="1"/>
  <c r="AS27" i="61" s="1"/>
  <c r="AU27" i="61" a="1"/>
  <c r="AU27" i="61" s="1"/>
  <c r="AR27" i="61" a="1"/>
  <c r="AR27" i="61" s="1"/>
  <c r="AO27" i="61" a="1"/>
  <c r="AO27" i="61" s="1"/>
  <c r="AL27" i="61" a="1"/>
  <c r="AL27" i="61" s="1"/>
  <c r="AG27" i="61" a="1"/>
  <c r="AG27" i="61" s="1"/>
  <c r="AD27" i="61" a="1"/>
  <c r="AD27" i="61" s="1"/>
  <c r="AA28" i="61"/>
  <c r="AN27" i="61" a="1"/>
  <c r="AN27" i="61" s="1"/>
  <c r="AI27" i="61" a="1"/>
  <c r="AI27" i="61" s="1"/>
  <c r="AF27" i="61" a="1"/>
  <c r="AF27" i="61" s="1"/>
  <c r="AV27" i="61" a="1"/>
  <c r="AV27" i="61" s="1"/>
  <c r="AQ27" i="61" a="1"/>
  <c r="AQ27" i="61" s="1"/>
  <c r="AK27" i="61" a="1"/>
  <c r="AK27" i="61" s="1"/>
  <c r="AH27" i="61" a="1"/>
  <c r="AH27" i="61" s="1"/>
  <c r="AC27" i="61" a="1"/>
  <c r="AC27" i="61" s="1"/>
  <c r="AT27" i="61" a="1"/>
  <c r="AT27" i="61" s="1"/>
  <c r="AP27" i="61" a="1"/>
  <c r="AP27" i="61" s="1"/>
  <c r="AM27" i="61" a="1"/>
  <c r="AM27" i="61" s="1"/>
  <c r="AJ27" i="61" a="1"/>
  <c r="AJ27" i="61" s="1"/>
  <c r="AE27" i="61" a="1"/>
  <c r="AE27" i="61" s="1"/>
  <c r="AV12" i="61" a="1"/>
  <c r="AV12" i="61" s="1"/>
  <c r="AT12" i="61" a="1"/>
  <c r="AT12" i="61" s="1"/>
  <c r="AR12" i="61" a="1"/>
  <c r="AR12" i="61" s="1"/>
  <c r="AP12" i="61" a="1"/>
  <c r="AP12" i="61" s="1"/>
  <c r="AN12" i="61" a="1"/>
  <c r="AN12" i="61" s="1"/>
  <c r="AL12" i="61" a="1"/>
  <c r="AL12" i="61" s="1"/>
  <c r="AJ12" i="61" a="1"/>
  <c r="AJ12" i="61" s="1"/>
  <c r="AH12" i="61" a="1"/>
  <c r="AH12" i="61" s="1"/>
  <c r="AF12" i="61" a="1"/>
  <c r="AF12" i="61" s="1"/>
  <c r="AD12" i="61" a="1"/>
  <c r="AD12" i="61" s="1"/>
  <c r="AA13" i="61"/>
  <c r="AU12" i="61" a="1"/>
  <c r="AU12" i="61" s="1"/>
  <c r="AS12" i="61" a="1"/>
  <c r="AS12" i="61" s="1"/>
  <c r="AQ12" i="61" a="1"/>
  <c r="AQ12" i="61" s="1"/>
  <c r="AO12" i="61" a="1"/>
  <c r="AO12" i="61" s="1"/>
  <c r="AM12" i="61" a="1"/>
  <c r="AM12" i="61" s="1"/>
  <c r="AK12" i="61" a="1"/>
  <c r="AK12" i="61" s="1"/>
  <c r="AI12" i="61" a="1"/>
  <c r="AI12" i="61" s="1"/>
  <c r="AG12" i="61" a="1"/>
  <c r="AG12" i="61" s="1"/>
  <c r="AE12" i="61" a="1"/>
  <c r="AE12" i="61" s="1"/>
  <c r="AC12" i="61" a="1"/>
  <c r="AC12" i="61" s="1"/>
  <c r="AV28" i="61" l="1" a="1"/>
  <c r="AV28" i="61" s="1"/>
  <c r="AS28" i="61" a="1"/>
  <c r="AS28" i="61" s="1"/>
  <c r="AN28" i="61" a="1"/>
  <c r="AN28" i="61" s="1"/>
  <c r="AK28" i="61" a="1"/>
  <c r="AK28" i="61" s="1"/>
  <c r="AF28" i="61" a="1"/>
  <c r="AF28" i="61" s="1"/>
  <c r="AC28" i="61" a="1"/>
  <c r="AC28" i="61" s="1"/>
  <c r="AU28" i="61" a="1"/>
  <c r="AU28" i="61" s="1"/>
  <c r="AP28" i="61" a="1"/>
  <c r="AP28" i="61" s="1"/>
  <c r="AM28" i="61" a="1"/>
  <c r="AM28" i="61" s="1"/>
  <c r="AH28" i="61" a="1"/>
  <c r="AH28" i="61" s="1"/>
  <c r="AE28" i="61" a="1"/>
  <c r="AE28" i="61" s="1"/>
  <c r="AT28" i="61" a="1"/>
  <c r="AT28" i="61" s="1"/>
  <c r="AI28" i="61" a="1"/>
  <c r="AI28" i="61" s="1"/>
  <c r="AD28" i="61" a="1"/>
  <c r="AD28" i="61" s="1"/>
  <c r="AA29" i="61"/>
  <c r="AR28" i="61" a="1"/>
  <c r="AR28" i="61" s="1"/>
  <c r="AG28" i="61" a="1"/>
  <c r="AG28" i="61" s="1"/>
  <c r="AQ28" i="61" a="1"/>
  <c r="AQ28" i="61" s="1"/>
  <c r="AL28" i="61" a="1"/>
  <c r="AL28" i="61" s="1"/>
  <c r="AO28" i="61" a="1"/>
  <c r="AO28" i="61" s="1"/>
  <c r="AJ28" i="61" a="1"/>
  <c r="AJ28" i="61" s="1"/>
  <c r="AA198" i="61"/>
  <c r="AS197" i="61" a="1"/>
  <c r="AS197" i="61" s="1"/>
  <c r="AO197" i="61" a="1"/>
  <c r="AO197" i="61" s="1"/>
  <c r="AL197" i="61" a="1"/>
  <c r="AL197" i="61" s="1"/>
  <c r="AI197" i="61" a="1"/>
  <c r="AI197" i="61" s="1"/>
  <c r="AD197" i="61" a="1"/>
  <c r="AD197" i="61" s="1"/>
  <c r="AV197" i="61" a="1"/>
  <c r="AV197" i="61" s="1"/>
  <c r="AR197" i="61" a="1"/>
  <c r="AR197" i="61" s="1"/>
  <c r="AN197" i="61" a="1"/>
  <c r="AN197" i="61" s="1"/>
  <c r="AK197" i="61" a="1"/>
  <c r="AK197" i="61" s="1"/>
  <c r="AF197" i="61" a="1"/>
  <c r="AF197" i="61" s="1"/>
  <c r="AC197" i="61" a="1"/>
  <c r="AC197" i="61" s="1"/>
  <c r="AU197" i="61" a="1"/>
  <c r="AU197" i="61" s="1"/>
  <c r="AQ197" i="61" a="1"/>
  <c r="AQ197" i="61" s="1"/>
  <c r="AM197" i="61" a="1"/>
  <c r="AM197" i="61" s="1"/>
  <c r="AH197" i="61" a="1"/>
  <c r="AH197" i="61" s="1"/>
  <c r="AE197" i="61" a="1"/>
  <c r="AE197" i="61" s="1"/>
  <c r="AT197" i="61" a="1"/>
  <c r="AT197" i="61" s="1"/>
  <c r="AP197" i="61" a="1"/>
  <c r="AP197" i="61" s="1"/>
  <c r="AJ197" i="61" a="1"/>
  <c r="AJ197" i="61" s="1"/>
  <c r="AG197" i="61" a="1"/>
  <c r="AG197" i="61" s="1"/>
  <c r="AV107" i="61" a="1"/>
  <c r="AV107" i="61" s="1"/>
  <c r="AT107" i="61" a="1"/>
  <c r="AT107" i="61" s="1"/>
  <c r="AR107" i="61" a="1"/>
  <c r="AR107" i="61" s="1"/>
  <c r="AP107" i="61" a="1"/>
  <c r="AP107" i="61" s="1"/>
  <c r="AN107" i="61" a="1"/>
  <c r="AN107" i="61" s="1"/>
  <c r="AL107" i="61" a="1"/>
  <c r="AL107" i="61" s="1"/>
  <c r="AJ107" i="61" a="1"/>
  <c r="AJ107" i="61" s="1"/>
  <c r="AH107" i="61" a="1"/>
  <c r="AH107" i="61" s="1"/>
  <c r="AF107" i="61" a="1"/>
  <c r="AF107" i="61" s="1"/>
  <c r="AD107" i="61" a="1"/>
  <c r="AD107" i="61" s="1"/>
  <c r="AU107" i="61" a="1"/>
  <c r="AU107" i="61" s="1"/>
  <c r="AM107" i="61" a="1"/>
  <c r="AM107" i="61" s="1"/>
  <c r="AE107" i="61" a="1"/>
  <c r="AE107" i="61" s="1"/>
  <c r="AA108" i="61"/>
  <c r="AO107" i="61" a="1"/>
  <c r="AO107" i="61" s="1"/>
  <c r="AG107" i="61" a="1"/>
  <c r="AG107" i="61" s="1"/>
  <c r="AQ107" i="61" a="1"/>
  <c r="AQ107" i="61" s="1"/>
  <c r="AI107" i="61" a="1"/>
  <c r="AI107" i="61" s="1"/>
  <c r="AS107" i="61" a="1"/>
  <c r="AS107" i="61" s="1"/>
  <c r="AC107" i="61" a="1"/>
  <c r="AC107" i="61" s="1"/>
  <c r="AK107" i="61" a="1"/>
  <c r="AK107" i="61" s="1"/>
  <c r="AA158" i="61"/>
  <c r="AU157" i="61" a="1"/>
  <c r="AU157" i="61" s="1"/>
  <c r="AS157" i="61" a="1"/>
  <c r="AS157" i="61" s="1"/>
  <c r="AQ157" i="61" a="1"/>
  <c r="AQ157" i="61" s="1"/>
  <c r="AO157" i="61" a="1"/>
  <c r="AO157" i="61" s="1"/>
  <c r="AM157" i="61" a="1"/>
  <c r="AM157" i="61" s="1"/>
  <c r="AK157" i="61" a="1"/>
  <c r="AK157" i="61" s="1"/>
  <c r="AI157" i="61" a="1"/>
  <c r="AI157" i="61" s="1"/>
  <c r="AG157" i="61" a="1"/>
  <c r="AG157" i="61" s="1"/>
  <c r="AE157" i="61" a="1"/>
  <c r="AE157" i="61" s="1"/>
  <c r="AC157" i="61" a="1"/>
  <c r="AC157" i="61" s="1"/>
  <c r="AV157" i="61" a="1"/>
  <c r="AV157" i="61" s="1"/>
  <c r="AT157" i="61" a="1"/>
  <c r="AT157" i="61" s="1"/>
  <c r="AR157" i="61" a="1"/>
  <c r="AR157" i="61" s="1"/>
  <c r="AP157" i="61" a="1"/>
  <c r="AP157" i="61" s="1"/>
  <c r="AN157" i="61" a="1"/>
  <c r="AN157" i="61" s="1"/>
  <c r="AL157" i="61" a="1"/>
  <c r="AL157" i="61" s="1"/>
  <c r="AH157" i="61" a="1"/>
  <c r="AH157" i="61" s="1"/>
  <c r="AD157" i="61" a="1"/>
  <c r="AD157" i="61" s="1"/>
  <c r="AJ157" i="61" a="1"/>
  <c r="AJ157" i="61" s="1"/>
  <c r="AF157" i="61" a="1"/>
  <c r="AF157" i="61" s="1"/>
  <c r="AV118" i="61" a="1"/>
  <c r="AV118" i="61" s="1"/>
  <c r="AQ118" i="61" a="1"/>
  <c r="AQ118" i="61" s="1"/>
  <c r="AN118" i="61" a="1"/>
  <c r="AN118" i="61" s="1"/>
  <c r="AI118" i="61" a="1"/>
  <c r="AI118" i="61" s="1"/>
  <c r="AF118" i="61" a="1"/>
  <c r="AF118" i="61" s="1"/>
  <c r="AS118" i="61" a="1"/>
  <c r="AS118" i="61" s="1"/>
  <c r="AP118" i="61" a="1"/>
  <c r="AP118" i="61" s="1"/>
  <c r="AK118" i="61" a="1"/>
  <c r="AK118" i="61" s="1"/>
  <c r="AH118" i="61" a="1"/>
  <c r="AH118" i="61" s="1"/>
  <c r="AC118" i="61" a="1"/>
  <c r="AC118" i="61" s="1"/>
  <c r="AU118" i="61" a="1"/>
  <c r="AU118" i="61" s="1"/>
  <c r="AR118" i="61" a="1"/>
  <c r="AR118" i="61" s="1"/>
  <c r="AM118" i="61" a="1"/>
  <c r="AM118" i="61" s="1"/>
  <c r="AJ118" i="61" a="1"/>
  <c r="AJ118" i="61" s="1"/>
  <c r="AE118" i="61" a="1"/>
  <c r="AE118" i="61" s="1"/>
  <c r="AA119" i="61"/>
  <c r="AT118" i="61" a="1"/>
  <c r="AT118" i="61" s="1"/>
  <c r="AO118" i="61" a="1"/>
  <c r="AO118" i="61" s="1"/>
  <c r="AL118" i="61" a="1"/>
  <c r="AL118" i="61" s="1"/>
  <c r="AG118" i="61" a="1"/>
  <c r="AG118" i="61" s="1"/>
  <c r="AD118" i="61" a="1"/>
  <c r="AD118" i="61" s="1"/>
  <c r="AA81" i="61"/>
  <c r="AU80" i="61" a="1"/>
  <c r="AU80" i="61" s="1"/>
  <c r="AS80" i="61" a="1"/>
  <c r="AS80" i="61" s="1"/>
  <c r="AQ80" i="61" a="1"/>
  <c r="AQ80" i="61" s="1"/>
  <c r="AO80" i="61" a="1"/>
  <c r="AO80" i="61" s="1"/>
  <c r="AM80" i="61" a="1"/>
  <c r="AM80" i="61" s="1"/>
  <c r="AK80" i="61" a="1"/>
  <c r="AK80" i="61" s="1"/>
  <c r="AI80" i="61" a="1"/>
  <c r="AI80" i="61" s="1"/>
  <c r="AG80" i="61" a="1"/>
  <c r="AG80" i="61" s="1"/>
  <c r="AE80" i="61" a="1"/>
  <c r="AE80" i="61" s="1"/>
  <c r="AC80" i="61" a="1"/>
  <c r="AC80" i="61" s="1"/>
  <c r="AV80" i="61" a="1"/>
  <c r="AV80" i="61" s="1"/>
  <c r="AT80" i="61" a="1"/>
  <c r="AT80" i="61" s="1"/>
  <c r="AR80" i="61" a="1"/>
  <c r="AR80" i="61" s="1"/>
  <c r="AP80" i="61" a="1"/>
  <c r="AP80" i="61" s="1"/>
  <c r="AN80" i="61" a="1"/>
  <c r="AN80" i="61" s="1"/>
  <c r="AL80" i="61" a="1"/>
  <c r="AL80" i="61" s="1"/>
  <c r="AJ80" i="61" a="1"/>
  <c r="AJ80" i="61" s="1"/>
  <c r="AH80" i="61" a="1"/>
  <c r="AH80" i="61" s="1"/>
  <c r="AF80" i="61" a="1"/>
  <c r="AF80" i="61" s="1"/>
  <c r="AD80" i="61" a="1"/>
  <c r="AD80" i="61" s="1"/>
  <c r="AU183" i="61" a="1"/>
  <c r="AU183" i="61" s="1"/>
  <c r="AR183" i="61" a="1"/>
  <c r="AR183" i="61" s="1"/>
  <c r="AM183" i="61" a="1"/>
  <c r="AM183" i="61" s="1"/>
  <c r="AJ183" i="61" a="1"/>
  <c r="AJ183" i="61" s="1"/>
  <c r="AE183" i="61" a="1"/>
  <c r="AE183" i="61" s="1"/>
  <c r="AA184" i="61"/>
  <c r="AT183" i="61" a="1"/>
  <c r="AT183" i="61" s="1"/>
  <c r="AO183" i="61" a="1"/>
  <c r="AO183" i="61" s="1"/>
  <c r="AL183" i="61" a="1"/>
  <c r="AL183" i="61" s="1"/>
  <c r="AG183" i="61" a="1"/>
  <c r="AG183" i="61" s="1"/>
  <c r="AD183" i="61" a="1"/>
  <c r="AD183" i="61" s="1"/>
  <c r="AS183" i="61" a="1"/>
  <c r="AS183" i="61" s="1"/>
  <c r="AH183" i="61" a="1"/>
  <c r="AH183" i="61" s="1"/>
  <c r="AC183" i="61" a="1"/>
  <c r="AC183" i="61" s="1"/>
  <c r="AV183" i="61" a="1"/>
  <c r="AV183" i="61" s="1"/>
  <c r="AQ183" i="61" a="1"/>
  <c r="AQ183" i="61" s="1"/>
  <c r="AF183" i="61" a="1"/>
  <c r="AF183" i="61" s="1"/>
  <c r="AP183" i="61" a="1"/>
  <c r="AP183" i="61" s="1"/>
  <c r="AK183" i="61" a="1"/>
  <c r="AK183" i="61" s="1"/>
  <c r="AN183" i="61" a="1"/>
  <c r="AN183" i="61" s="1"/>
  <c r="AI183" i="61" a="1"/>
  <c r="AI183" i="61" s="1"/>
  <c r="AV53" i="61" a="1"/>
  <c r="AV53" i="61" s="1"/>
  <c r="AS53" i="61" a="1"/>
  <c r="AS53" i="61" s="1"/>
  <c r="AN53" i="61" a="1"/>
  <c r="AN53" i="61" s="1"/>
  <c r="AK53" i="61" a="1"/>
  <c r="AK53" i="61" s="1"/>
  <c r="AF53" i="61" a="1"/>
  <c r="AF53" i="61" s="1"/>
  <c r="AC53" i="61" a="1"/>
  <c r="AC53" i="61" s="1"/>
  <c r="AU53" i="61" a="1"/>
  <c r="AU53" i="61" s="1"/>
  <c r="AP53" i="61" a="1"/>
  <c r="AP53" i="61" s="1"/>
  <c r="AM53" i="61" a="1"/>
  <c r="AM53" i="61" s="1"/>
  <c r="AH53" i="61" a="1"/>
  <c r="AH53" i="61" s="1"/>
  <c r="AE53" i="61" a="1"/>
  <c r="AE53" i="61" s="1"/>
  <c r="AO53" i="61" a="1"/>
  <c r="AO53" i="61" s="1"/>
  <c r="AJ53" i="61" a="1"/>
  <c r="AJ53" i="61" s="1"/>
  <c r="AT53" i="61" a="1"/>
  <c r="AT53" i="61" s="1"/>
  <c r="AI53" i="61" a="1"/>
  <c r="AI53" i="61" s="1"/>
  <c r="AD53" i="61" a="1"/>
  <c r="AD53" i="61" s="1"/>
  <c r="AA54" i="61"/>
  <c r="AR53" i="61" a="1"/>
  <c r="AR53" i="61" s="1"/>
  <c r="AG53" i="61" a="1"/>
  <c r="AG53" i="61" s="1"/>
  <c r="AQ53" i="61" a="1"/>
  <c r="AQ53" i="61" s="1"/>
  <c r="AL53" i="61" a="1"/>
  <c r="AL53" i="61" s="1"/>
  <c r="AA170" i="61"/>
  <c r="AU169" i="61" a="1"/>
  <c r="AU169" i="61" s="1"/>
  <c r="AS169" i="61" a="1"/>
  <c r="AS169" i="61" s="1"/>
  <c r="AQ169" i="61" a="1"/>
  <c r="AQ169" i="61" s="1"/>
  <c r="AO169" i="61" a="1"/>
  <c r="AO169" i="61" s="1"/>
  <c r="AM169" i="61" a="1"/>
  <c r="AM169" i="61" s="1"/>
  <c r="AK169" i="61" a="1"/>
  <c r="AK169" i="61" s="1"/>
  <c r="AR169" i="61" a="1"/>
  <c r="AR169" i="61" s="1"/>
  <c r="AJ169" i="61" a="1"/>
  <c r="AJ169" i="61" s="1"/>
  <c r="AH169" i="61" a="1"/>
  <c r="AH169" i="61" s="1"/>
  <c r="AF169" i="61" a="1"/>
  <c r="AF169" i="61" s="1"/>
  <c r="AD169" i="61" a="1"/>
  <c r="AD169" i="61" s="1"/>
  <c r="AV169" i="61" a="1"/>
  <c r="AV169" i="61" s="1"/>
  <c r="AN169" i="61" a="1"/>
  <c r="AN169" i="61" s="1"/>
  <c r="AI169" i="61" a="1"/>
  <c r="AI169" i="61" s="1"/>
  <c r="AG169" i="61" a="1"/>
  <c r="AG169" i="61" s="1"/>
  <c r="AE169" i="61" a="1"/>
  <c r="AE169" i="61" s="1"/>
  <c r="AC169" i="61" a="1"/>
  <c r="AC169" i="61" s="1"/>
  <c r="AP169" i="61" a="1"/>
  <c r="AP169" i="61" s="1"/>
  <c r="AL169" i="61" a="1"/>
  <c r="AL169" i="61" s="1"/>
  <c r="AT169" i="61" a="1"/>
  <c r="AT169" i="61" s="1"/>
  <c r="AA144" i="61"/>
  <c r="AU143" i="61" a="1"/>
  <c r="AU143" i="61" s="1"/>
  <c r="AS143" i="61" a="1"/>
  <c r="AS143" i="61" s="1"/>
  <c r="AQ143" i="61" a="1"/>
  <c r="AQ143" i="61" s="1"/>
  <c r="AO143" i="61" a="1"/>
  <c r="AO143" i="61" s="1"/>
  <c r="AM143" i="61" a="1"/>
  <c r="AM143" i="61" s="1"/>
  <c r="AK143" i="61" a="1"/>
  <c r="AK143" i="61" s="1"/>
  <c r="AI143" i="61" a="1"/>
  <c r="AI143" i="61" s="1"/>
  <c r="AG143" i="61" a="1"/>
  <c r="AG143" i="61" s="1"/>
  <c r="AE143" i="61" a="1"/>
  <c r="AE143" i="61" s="1"/>
  <c r="AC143" i="61" a="1"/>
  <c r="AC143" i="61" s="1"/>
  <c r="AV143" i="61" a="1"/>
  <c r="AV143" i="61" s="1"/>
  <c r="AT143" i="61" a="1"/>
  <c r="AT143" i="61" s="1"/>
  <c r="AR143" i="61" a="1"/>
  <c r="AR143" i="61" s="1"/>
  <c r="AP143" i="61" a="1"/>
  <c r="AP143" i="61" s="1"/>
  <c r="AN143" i="61" a="1"/>
  <c r="AN143" i="61" s="1"/>
  <c r="AL143" i="61" a="1"/>
  <c r="AL143" i="61" s="1"/>
  <c r="AJ143" i="61" a="1"/>
  <c r="AJ143" i="61" s="1"/>
  <c r="AH143" i="61" a="1"/>
  <c r="AH143" i="61" s="1"/>
  <c r="AF143" i="61" a="1"/>
  <c r="AF143" i="61" s="1"/>
  <c r="AD143" i="61" a="1"/>
  <c r="AD143" i="61" s="1"/>
  <c r="AA92" i="61"/>
  <c r="AU91" i="61" a="1"/>
  <c r="AU91" i="61" s="1"/>
  <c r="AS91" i="61" a="1"/>
  <c r="AS91" i="61" s="1"/>
  <c r="AQ91" i="61" a="1"/>
  <c r="AQ91" i="61" s="1"/>
  <c r="AO91" i="61" a="1"/>
  <c r="AO91" i="61" s="1"/>
  <c r="AM91" i="61" a="1"/>
  <c r="AM91" i="61" s="1"/>
  <c r="AK91" i="61" a="1"/>
  <c r="AK91" i="61" s="1"/>
  <c r="AI91" i="61" a="1"/>
  <c r="AI91" i="61" s="1"/>
  <c r="AG91" i="61" a="1"/>
  <c r="AG91" i="61" s="1"/>
  <c r="AE91" i="61" a="1"/>
  <c r="AE91" i="61" s="1"/>
  <c r="AC91" i="61" a="1"/>
  <c r="AC91" i="61" s="1"/>
  <c r="AV91" i="61" a="1"/>
  <c r="AV91" i="61" s="1"/>
  <c r="AT91" i="61" a="1"/>
  <c r="AT91" i="61" s="1"/>
  <c r="AR91" i="61" a="1"/>
  <c r="AR91" i="61" s="1"/>
  <c r="AP91" i="61" a="1"/>
  <c r="AP91" i="61" s="1"/>
  <c r="AN91" i="61" a="1"/>
  <c r="AN91" i="61" s="1"/>
  <c r="AL91" i="61" a="1"/>
  <c r="AL91" i="61" s="1"/>
  <c r="AJ91" i="61" a="1"/>
  <c r="AJ91" i="61" s="1"/>
  <c r="AH91" i="61" a="1"/>
  <c r="AH91" i="61" s="1"/>
  <c r="AF91" i="61" a="1"/>
  <c r="AF91" i="61" s="1"/>
  <c r="AD91" i="61" a="1"/>
  <c r="AD91" i="61" s="1"/>
  <c r="AV39" i="61" a="1"/>
  <c r="AV39" i="61" s="1"/>
  <c r="AT39" i="61" a="1"/>
  <c r="AT39" i="61" s="1"/>
  <c r="AR39" i="61" a="1"/>
  <c r="AR39" i="61" s="1"/>
  <c r="AP39" i="61" a="1"/>
  <c r="AP39" i="61" s="1"/>
  <c r="AN39" i="61" a="1"/>
  <c r="AN39" i="61" s="1"/>
  <c r="AL39" i="61" a="1"/>
  <c r="AL39" i="61" s="1"/>
  <c r="AJ39" i="61" a="1"/>
  <c r="AJ39" i="61" s="1"/>
  <c r="AH39" i="61" a="1"/>
  <c r="AH39" i="61" s="1"/>
  <c r="AF39" i="61" a="1"/>
  <c r="AF39" i="61" s="1"/>
  <c r="AD39" i="61" a="1"/>
  <c r="AD39" i="61" s="1"/>
  <c r="AA40" i="61"/>
  <c r="AO39" i="61" a="1"/>
  <c r="AO39" i="61" s="1"/>
  <c r="AG39" i="61" a="1"/>
  <c r="AG39" i="61" s="1"/>
  <c r="AQ39" i="61" a="1"/>
  <c r="AQ39" i="61" s="1"/>
  <c r="AI39" i="61" a="1"/>
  <c r="AI39" i="61" s="1"/>
  <c r="AK39" i="61" a="1"/>
  <c r="AK39" i="61" s="1"/>
  <c r="AU39" i="61" a="1"/>
  <c r="AU39" i="61" s="1"/>
  <c r="AE39" i="61" a="1"/>
  <c r="AE39" i="61" s="1"/>
  <c r="AS39" i="61" a="1"/>
  <c r="AS39" i="61" s="1"/>
  <c r="AC39" i="61" a="1"/>
  <c r="AC39" i="61" s="1"/>
  <c r="AM39" i="61" a="1"/>
  <c r="AM39" i="61" s="1"/>
  <c r="AA14" i="61"/>
  <c r="AU13" i="61" a="1"/>
  <c r="AU13" i="61" s="1"/>
  <c r="AS13" i="61" a="1"/>
  <c r="AS13" i="61" s="1"/>
  <c r="AQ13" i="61" a="1"/>
  <c r="AQ13" i="61" s="1"/>
  <c r="AO13" i="61" a="1"/>
  <c r="AO13" i="61" s="1"/>
  <c r="AM13" i="61" a="1"/>
  <c r="AM13" i="61" s="1"/>
  <c r="BB6" i="61" s="1"/>
  <c r="AK13" i="61" a="1"/>
  <c r="AK13" i="61" s="1"/>
  <c r="AI13" i="61" a="1"/>
  <c r="AI13" i="61" s="1"/>
  <c r="AG13" i="61" a="1"/>
  <c r="AG13" i="61" s="1"/>
  <c r="AE13" i="61" a="1"/>
  <c r="AE13" i="61" s="1"/>
  <c r="AC13" i="61" a="1"/>
  <c r="AC13" i="61" s="1"/>
  <c r="AZ6" i="61" s="1"/>
  <c r="AV13" i="61" a="1"/>
  <c r="AV13" i="61" s="1"/>
  <c r="AT13" i="61" a="1"/>
  <c r="AT13" i="61" s="1"/>
  <c r="AR13" i="61" a="1"/>
  <c r="AR13" i="61" s="1"/>
  <c r="AP13" i="61" a="1"/>
  <c r="AP13" i="61" s="1"/>
  <c r="AN13" i="61" a="1"/>
  <c r="AN13" i="61" s="1"/>
  <c r="AL13" i="61" a="1"/>
  <c r="AL13" i="61" s="1"/>
  <c r="AJ13" i="61" a="1"/>
  <c r="AJ13" i="61" s="1"/>
  <c r="AH13" i="61" a="1"/>
  <c r="AH13" i="61" s="1"/>
  <c r="AF13" i="61" a="1"/>
  <c r="AF13" i="61" s="1"/>
  <c r="AD13" i="61" a="1"/>
  <c r="AD13" i="61" s="1"/>
  <c r="AU130" i="61" a="1"/>
  <c r="AU130" i="61" s="1"/>
  <c r="AR130" i="61" a="1"/>
  <c r="AR130" i="61" s="1"/>
  <c r="AM130" i="61" a="1"/>
  <c r="AM130" i="61" s="1"/>
  <c r="AJ130" i="61" a="1"/>
  <c r="AJ130" i="61" s="1"/>
  <c r="AE130" i="61" a="1"/>
  <c r="AE130" i="61" s="1"/>
  <c r="AA131" i="61"/>
  <c r="AT130" i="61" a="1"/>
  <c r="AT130" i="61" s="1"/>
  <c r="AO130" i="61" a="1"/>
  <c r="AO130" i="61" s="1"/>
  <c r="AL130" i="61" a="1"/>
  <c r="AL130" i="61" s="1"/>
  <c r="AG130" i="61" a="1"/>
  <c r="AG130" i="61" s="1"/>
  <c r="AD130" i="61" a="1"/>
  <c r="AD130" i="61" s="1"/>
  <c r="AV130" i="61" a="1"/>
  <c r="AV130" i="61" s="1"/>
  <c r="AQ130" i="61" a="1"/>
  <c r="AQ130" i="61" s="1"/>
  <c r="AN130" i="61" a="1"/>
  <c r="AN130" i="61" s="1"/>
  <c r="AI130" i="61" a="1"/>
  <c r="AI130" i="61" s="1"/>
  <c r="AF130" i="61" a="1"/>
  <c r="AF130" i="61" s="1"/>
  <c r="AK130" i="61" a="1"/>
  <c r="AK130" i="61" s="1"/>
  <c r="AS130" i="61" a="1"/>
  <c r="AS130" i="61" s="1"/>
  <c r="AH130" i="61" a="1"/>
  <c r="AH130" i="61" s="1"/>
  <c r="AP130" i="61" a="1"/>
  <c r="AP130" i="61" s="1"/>
  <c r="AC130" i="61" a="1"/>
  <c r="AC130" i="61" s="1"/>
  <c r="AV66" i="61" a="1"/>
  <c r="AV66" i="61" s="1"/>
  <c r="AT66" i="61" a="1"/>
  <c r="AT66" i="61" s="1"/>
  <c r="AR66" i="61" a="1"/>
  <c r="AR66" i="61" s="1"/>
  <c r="AP66" i="61" a="1"/>
  <c r="AP66" i="61" s="1"/>
  <c r="AN66" i="61" a="1"/>
  <c r="AN66" i="61" s="1"/>
  <c r="AL66" i="61" a="1"/>
  <c r="AL66" i="61" s="1"/>
  <c r="AJ66" i="61" a="1"/>
  <c r="AJ66" i="61" s="1"/>
  <c r="AH66" i="61" a="1"/>
  <c r="AH66" i="61" s="1"/>
  <c r="AF66" i="61" a="1"/>
  <c r="AF66" i="61" s="1"/>
  <c r="AD66" i="61" a="1"/>
  <c r="AD66" i="61" s="1"/>
  <c r="AS66" i="61" a="1"/>
  <c r="AS66" i="61" s="1"/>
  <c r="AK66" i="61" a="1"/>
  <c r="AK66" i="61" s="1"/>
  <c r="AC66" i="61" a="1"/>
  <c r="AC66" i="61" s="1"/>
  <c r="AU66" i="61" a="1"/>
  <c r="AU66" i="61" s="1"/>
  <c r="AM66" i="61" a="1"/>
  <c r="AM66" i="61" s="1"/>
  <c r="AE66" i="61" a="1"/>
  <c r="AE66" i="61" s="1"/>
  <c r="AA67" i="61"/>
  <c r="AO66" i="61" a="1"/>
  <c r="AO66" i="61" s="1"/>
  <c r="AG66" i="61" a="1"/>
  <c r="AG66" i="61" s="1"/>
  <c r="AQ66" i="61" a="1"/>
  <c r="AQ66" i="61" s="1"/>
  <c r="AI66" i="61" a="1"/>
  <c r="AI66" i="61" s="1"/>
  <c r="BA6" i="61" l="1"/>
  <c r="BE19" i="61"/>
  <c r="AY6" i="61"/>
  <c r="BJ19" i="61"/>
  <c r="AV54" i="61" a="1"/>
  <c r="AV54" i="61" s="1"/>
  <c r="AQ54" i="61" a="1"/>
  <c r="AQ54" i="61" s="1"/>
  <c r="AN54" i="61" a="1"/>
  <c r="AN54" i="61" s="1"/>
  <c r="AI54" i="61" a="1"/>
  <c r="AI54" i="61" s="1"/>
  <c r="AF54" i="61" a="1"/>
  <c r="AF54" i="61" s="1"/>
  <c r="AS54" i="61" a="1"/>
  <c r="AS54" i="61" s="1"/>
  <c r="AP54" i="61" a="1"/>
  <c r="AP54" i="61" s="1"/>
  <c r="AK54" i="61" a="1"/>
  <c r="AK54" i="61" s="1"/>
  <c r="AH54" i="61" a="1"/>
  <c r="AH54" i="61" s="1"/>
  <c r="AC54" i="61" a="1"/>
  <c r="AC54" i="61" s="1"/>
  <c r="AU54" i="61" a="1"/>
  <c r="AU54" i="61" s="1"/>
  <c r="AJ54" i="61" a="1"/>
  <c r="AJ54" i="61" s="1"/>
  <c r="AE54" i="61" a="1"/>
  <c r="AE54" i="61" s="1"/>
  <c r="AT54" i="61" a="1"/>
  <c r="AT54" i="61" s="1"/>
  <c r="AO54" i="61" a="1"/>
  <c r="AO54" i="61" s="1"/>
  <c r="AD54" i="61" a="1"/>
  <c r="AD54" i="61" s="1"/>
  <c r="AR54" i="61" a="1"/>
  <c r="AR54" i="61" s="1"/>
  <c r="AM54" i="61" a="1"/>
  <c r="AM54" i="61" s="1"/>
  <c r="AA55" i="61"/>
  <c r="AL54" i="61" a="1"/>
  <c r="AL54" i="61" s="1"/>
  <c r="AG54" i="61" a="1"/>
  <c r="AG54" i="61" s="1"/>
  <c r="AV184" i="61" a="1"/>
  <c r="AV184" i="61" s="1"/>
  <c r="AS184" i="61" a="1"/>
  <c r="AS184" i="61" s="1"/>
  <c r="AN184" i="61" a="1"/>
  <c r="AN184" i="61" s="1"/>
  <c r="AK184" i="61" a="1"/>
  <c r="AK184" i="61" s="1"/>
  <c r="AF184" i="61" a="1"/>
  <c r="AF184" i="61" s="1"/>
  <c r="AU184" i="61" a="1"/>
  <c r="AU184" i="61" s="1"/>
  <c r="AP184" i="61" a="1"/>
  <c r="AP184" i="61" s="1"/>
  <c r="AM184" i="61" a="1"/>
  <c r="AM184" i="61" s="1"/>
  <c r="AH184" i="61" a="1"/>
  <c r="AH184" i="61" s="1"/>
  <c r="AE184" i="61" a="1"/>
  <c r="AE184" i="61" s="1"/>
  <c r="AA185" i="61"/>
  <c r="AR184" i="61" a="1"/>
  <c r="AR184" i="61" s="1"/>
  <c r="AO184" i="61" a="1"/>
  <c r="AO184" i="61" s="1"/>
  <c r="AJ184" i="61" a="1"/>
  <c r="AJ184" i="61" s="1"/>
  <c r="AG184" i="61" a="1"/>
  <c r="AG184" i="61" s="1"/>
  <c r="AL184" i="61" a="1"/>
  <c r="AL184" i="61" s="1"/>
  <c r="AC184" i="61" a="1"/>
  <c r="AC184" i="61" s="1"/>
  <c r="AT184" i="61" a="1"/>
  <c r="AT184" i="61" s="1"/>
  <c r="AI184" i="61" a="1"/>
  <c r="AI184" i="61" s="1"/>
  <c r="AQ184" i="61" a="1"/>
  <c r="AQ184" i="61" s="1"/>
  <c r="AD184" i="61" a="1"/>
  <c r="AD184" i="61" s="1"/>
  <c r="AT119" i="61" a="1"/>
  <c r="AT119" i="61" s="1"/>
  <c r="AQ119" i="61" a="1"/>
  <c r="AQ119" i="61" s="1"/>
  <c r="AL119" i="61" a="1"/>
  <c r="AL119" i="61" s="1"/>
  <c r="AI119" i="61" a="1"/>
  <c r="AI119" i="61" s="1"/>
  <c r="AD119" i="61" a="1"/>
  <c r="AD119" i="61" s="1"/>
  <c r="AV119" i="61" a="1"/>
  <c r="AV119" i="61" s="1"/>
  <c r="AS119" i="61" a="1"/>
  <c r="AS119" i="61" s="1"/>
  <c r="AN119" i="61" a="1"/>
  <c r="AN119" i="61" s="1"/>
  <c r="AK119" i="61" a="1"/>
  <c r="AK119" i="61" s="1"/>
  <c r="AF119" i="61" a="1"/>
  <c r="AF119" i="61" s="1"/>
  <c r="AC119" i="61" a="1"/>
  <c r="AC119" i="61" s="1"/>
  <c r="AU119" i="61" a="1"/>
  <c r="AU119" i="61" s="1"/>
  <c r="AP119" i="61" a="1"/>
  <c r="AP119" i="61" s="1"/>
  <c r="AM119" i="61" a="1"/>
  <c r="AM119" i="61" s="1"/>
  <c r="AH119" i="61" a="1"/>
  <c r="AH119" i="61" s="1"/>
  <c r="AE119" i="61" a="1"/>
  <c r="AE119" i="61" s="1"/>
  <c r="AA120" i="61"/>
  <c r="AR119" i="61" a="1"/>
  <c r="AR119" i="61" s="1"/>
  <c r="AO119" i="61" a="1"/>
  <c r="AO119" i="61" s="1"/>
  <c r="AJ119" i="61" a="1"/>
  <c r="AJ119" i="61" s="1"/>
  <c r="AG119" i="61" a="1"/>
  <c r="AG119" i="61" s="1"/>
  <c r="AV158" i="61" a="1"/>
  <c r="AV158" i="61" s="1"/>
  <c r="AT158" i="61" a="1"/>
  <c r="AT158" i="61" s="1"/>
  <c r="AR158" i="61" a="1"/>
  <c r="AR158" i="61" s="1"/>
  <c r="AP158" i="61" a="1"/>
  <c r="AP158" i="61" s="1"/>
  <c r="AN158" i="61" a="1"/>
  <c r="AN158" i="61" s="1"/>
  <c r="AL158" i="61" a="1"/>
  <c r="AL158" i="61" s="1"/>
  <c r="AJ158" i="61" a="1"/>
  <c r="AJ158" i="61" s="1"/>
  <c r="AH158" i="61" a="1"/>
  <c r="AH158" i="61" s="1"/>
  <c r="AF158" i="61" a="1"/>
  <c r="AF158" i="61" s="1"/>
  <c r="AD158" i="61" a="1"/>
  <c r="AD158" i="61" s="1"/>
  <c r="AA159" i="61"/>
  <c r="AU158" i="61" a="1"/>
  <c r="AU158" i="61" s="1"/>
  <c r="AS158" i="61" a="1"/>
  <c r="AS158" i="61" s="1"/>
  <c r="AQ158" i="61" a="1"/>
  <c r="AQ158" i="61" s="1"/>
  <c r="AO158" i="61" a="1"/>
  <c r="AO158" i="61" s="1"/>
  <c r="AM158" i="61" a="1"/>
  <c r="AM158" i="61" s="1"/>
  <c r="AK158" i="61" a="1"/>
  <c r="AK158" i="61" s="1"/>
  <c r="AI158" i="61" a="1"/>
  <c r="AI158" i="61" s="1"/>
  <c r="AG158" i="61" a="1"/>
  <c r="AG158" i="61" s="1"/>
  <c r="AE158" i="61" a="1"/>
  <c r="AE158" i="61" s="1"/>
  <c r="AC158" i="61" a="1"/>
  <c r="AC158" i="61" s="1"/>
  <c r="AU108" i="61" a="1"/>
  <c r="AU108" i="61" s="1"/>
  <c r="AS108" i="61" a="1"/>
  <c r="AS108" i="61" s="1"/>
  <c r="AQ108" i="61" a="1"/>
  <c r="AQ108" i="61" s="1"/>
  <c r="AO108" i="61" a="1"/>
  <c r="AO108" i="61" s="1"/>
  <c r="AM108" i="61" a="1"/>
  <c r="AM108" i="61" s="1"/>
  <c r="AK108" i="61" a="1"/>
  <c r="AK108" i="61" s="1"/>
  <c r="AI108" i="61" a="1"/>
  <c r="AI108" i="61" s="1"/>
  <c r="AG108" i="61" a="1"/>
  <c r="AG108" i="61" s="1"/>
  <c r="AE108" i="61" a="1"/>
  <c r="AE108" i="61" s="1"/>
  <c r="AC108" i="61" a="1"/>
  <c r="AC108" i="61" s="1"/>
  <c r="AP108" i="61" a="1"/>
  <c r="AP108" i="61" s="1"/>
  <c r="AH108" i="61" a="1"/>
  <c r="AH108" i="61" s="1"/>
  <c r="AR108" i="61" a="1"/>
  <c r="AR108" i="61" s="1"/>
  <c r="AJ108" i="61" a="1"/>
  <c r="AJ108" i="61" s="1"/>
  <c r="AT108" i="61" a="1"/>
  <c r="AT108" i="61" s="1"/>
  <c r="AL108" i="61" a="1"/>
  <c r="AL108" i="61" s="1"/>
  <c r="AD108" i="61" a="1"/>
  <c r="AD108" i="61" s="1"/>
  <c r="AF108" i="61" a="1"/>
  <c r="AF108" i="61" s="1"/>
  <c r="AN108" i="61" a="1"/>
  <c r="AN108" i="61" s="1"/>
  <c r="AV108" i="61" a="1"/>
  <c r="AV108" i="61" s="1"/>
  <c r="AA68" i="61"/>
  <c r="AU67" i="61" a="1"/>
  <c r="AU67" i="61" s="1"/>
  <c r="AS67" i="61" a="1"/>
  <c r="AS67" i="61" s="1"/>
  <c r="AQ67" i="61" a="1"/>
  <c r="AQ67" i="61" s="1"/>
  <c r="AO67" i="61" a="1"/>
  <c r="AO67" i="61" s="1"/>
  <c r="AM67" i="61" a="1"/>
  <c r="AM67" i="61" s="1"/>
  <c r="AK67" i="61" a="1"/>
  <c r="AK67" i="61" s="1"/>
  <c r="AI67" i="61" a="1"/>
  <c r="AI67" i="61" s="1"/>
  <c r="AG67" i="61" a="1"/>
  <c r="AG67" i="61" s="1"/>
  <c r="AE67" i="61" a="1"/>
  <c r="AE67" i="61" s="1"/>
  <c r="AC67" i="61" a="1"/>
  <c r="AC67" i="61" s="1"/>
  <c r="AV67" i="61" a="1"/>
  <c r="AV67" i="61" s="1"/>
  <c r="AN67" i="61" a="1"/>
  <c r="AN67" i="61" s="1"/>
  <c r="AF67" i="61" a="1"/>
  <c r="AF67" i="61" s="1"/>
  <c r="AP67" i="61" a="1"/>
  <c r="AP67" i="61" s="1"/>
  <c r="AH67" i="61" a="1"/>
  <c r="AH67" i="61" s="1"/>
  <c r="AR67" i="61" a="1"/>
  <c r="AR67" i="61" s="1"/>
  <c r="AJ67" i="61" a="1"/>
  <c r="AJ67" i="61" s="1"/>
  <c r="AT67" i="61" a="1"/>
  <c r="AT67" i="61" s="1"/>
  <c r="AL67" i="61" a="1"/>
  <c r="AL67" i="61" s="1"/>
  <c r="AD67" i="61" a="1"/>
  <c r="AD67" i="61" s="1"/>
  <c r="AU131" i="61" a="1"/>
  <c r="AU131" i="61" s="1"/>
  <c r="AP131" i="61" a="1"/>
  <c r="AP131" i="61" s="1"/>
  <c r="AM131" i="61" a="1"/>
  <c r="AM131" i="61" s="1"/>
  <c r="AH131" i="61" a="1"/>
  <c r="AH131" i="61" s="1"/>
  <c r="AE131" i="61" a="1"/>
  <c r="AE131" i="61" s="1"/>
  <c r="AA132" i="61"/>
  <c r="AR131" i="61" a="1"/>
  <c r="AR131" i="61" s="1"/>
  <c r="AO131" i="61" a="1"/>
  <c r="AO131" i="61" s="1"/>
  <c r="AJ131" i="61" a="1"/>
  <c r="AJ131" i="61" s="1"/>
  <c r="AG131" i="61" a="1"/>
  <c r="AG131" i="61" s="1"/>
  <c r="AT131" i="61" a="1"/>
  <c r="AT131" i="61" s="1"/>
  <c r="AQ131" i="61" a="1"/>
  <c r="AQ131" i="61" s="1"/>
  <c r="AL131" i="61" a="1"/>
  <c r="AL131" i="61" s="1"/>
  <c r="AI131" i="61" a="1"/>
  <c r="AI131" i="61" s="1"/>
  <c r="AD131" i="61" a="1"/>
  <c r="AD131" i="61" s="1"/>
  <c r="AV131" i="61" a="1"/>
  <c r="AV131" i="61" s="1"/>
  <c r="AK131" i="61" a="1"/>
  <c r="AK131" i="61" s="1"/>
  <c r="AS131" i="61" a="1"/>
  <c r="AS131" i="61" s="1"/>
  <c r="AF131" i="61" a="1"/>
  <c r="AF131" i="61" s="1"/>
  <c r="AN131" i="61" a="1"/>
  <c r="AN131" i="61" s="1"/>
  <c r="AC131" i="61" a="1"/>
  <c r="AC131" i="61" s="1"/>
  <c r="AV92" i="61" a="1"/>
  <c r="AV92" i="61" s="1"/>
  <c r="AT92" i="61" a="1"/>
  <c r="AT92" i="61" s="1"/>
  <c r="AR92" i="61" a="1"/>
  <c r="AR92" i="61" s="1"/>
  <c r="AP92" i="61" a="1"/>
  <c r="AP92" i="61" s="1"/>
  <c r="AN92" i="61" a="1"/>
  <c r="AN92" i="61" s="1"/>
  <c r="AL92" i="61" a="1"/>
  <c r="AL92" i="61" s="1"/>
  <c r="AJ92" i="61" a="1"/>
  <c r="AJ92" i="61" s="1"/>
  <c r="AH92" i="61" a="1"/>
  <c r="AH92" i="61" s="1"/>
  <c r="AF92" i="61" a="1"/>
  <c r="AF92" i="61" s="1"/>
  <c r="AD92" i="61" a="1"/>
  <c r="AD92" i="61" s="1"/>
  <c r="AA93" i="61"/>
  <c r="AU92" i="61" a="1"/>
  <c r="AU92" i="61" s="1"/>
  <c r="AS92" i="61" a="1"/>
  <c r="AS92" i="61" s="1"/>
  <c r="AQ92" i="61" a="1"/>
  <c r="AQ92" i="61" s="1"/>
  <c r="AO92" i="61" a="1"/>
  <c r="AO92" i="61" s="1"/>
  <c r="AM92" i="61" a="1"/>
  <c r="AM92" i="61" s="1"/>
  <c r="AK92" i="61" a="1"/>
  <c r="AK92" i="61" s="1"/>
  <c r="AI92" i="61" a="1"/>
  <c r="AI92" i="61" s="1"/>
  <c r="AG92" i="61" a="1"/>
  <c r="AG92" i="61" s="1"/>
  <c r="AE92" i="61" a="1"/>
  <c r="AE92" i="61" s="1"/>
  <c r="AC92" i="61" a="1"/>
  <c r="AC92" i="61" s="1"/>
  <c r="AV29" i="61" a="1"/>
  <c r="AV29" i="61" s="1"/>
  <c r="AQ29" i="61" a="1"/>
  <c r="AQ29" i="61" s="1"/>
  <c r="AN29" i="61" a="1"/>
  <c r="AN29" i="61" s="1"/>
  <c r="AI29" i="61" a="1"/>
  <c r="AI29" i="61" s="1"/>
  <c r="AF29" i="61" a="1"/>
  <c r="AF29" i="61" s="1"/>
  <c r="AS29" i="61" a="1"/>
  <c r="AS29" i="61" s="1"/>
  <c r="AP29" i="61" a="1"/>
  <c r="AP29" i="61" s="1"/>
  <c r="AK29" i="61" a="1"/>
  <c r="AK29" i="61" s="1"/>
  <c r="AH29" i="61" a="1"/>
  <c r="AH29" i="61" s="1"/>
  <c r="AC29" i="61" a="1"/>
  <c r="AC29" i="61" s="1"/>
  <c r="AT29" i="61" a="1"/>
  <c r="AT29" i="61" s="1"/>
  <c r="AO29" i="61" a="1"/>
  <c r="AO29" i="61" s="1"/>
  <c r="AD29" i="61" a="1"/>
  <c r="AD29" i="61" s="1"/>
  <c r="AR29" i="61" a="1"/>
  <c r="AR29" i="61" s="1"/>
  <c r="AM29" i="61" a="1"/>
  <c r="AM29" i="61" s="1"/>
  <c r="AA30" i="61"/>
  <c r="AL29" i="61" a="1"/>
  <c r="AL29" i="61" s="1"/>
  <c r="AG29" i="61" a="1"/>
  <c r="AG29" i="61" s="1"/>
  <c r="AU29" i="61" a="1"/>
  <c r="AU29" i="61" s="1"/>
  <c r="AJ29" i="61" a="1"/>
  <c r="AJ29" i="61" s="1"/>
  <c r="AE29" i="61" a="1"/>
  <c r="AE29" i="61" s="1"/>
  <c r="AA41" i="61"/>
  <c r="AU40" i="61" a="1"/>
  <c r="AU40" i="61" s="1"/>
  <c r="AS40" i="61" a="1"/>
  <c r="AS40" i="61" s="1"/>
  <c r="AQ40" i="61" a="1"/>
  <c r="AQ40" i="61" s="1"/>
  <c r="AO40" i="61" a="1"/>
  <c r="AO40" i="61" s="1"/>
  <c r="AM40" i="61" a="1"/>
  <c r="AM40" i="61" s="1"/>
  <c r="AK40" i="61" a="1"/>
  <c r="AK40" i="61" s="1"/>
  <c r="AI40" i="61" a="1"/>
  <c r="AI40" i="61" s="1"/>
  <c r="AG40" i="61" a="1"/>
  <c r="AG40" i="61" s="1"/>
  <c r="AE40" i="61" a="1"/>
  <c r="AE40" i="61" s="1"/>
  <c r="AC40" i="61" a="1"/>
  <c r="AC40" i="61" s="1"/>
  <c r="AR40" i="61" a="1"/>
  <c r="AR40" i="61" s="1"/>
  <c r="AJ40" i="61" a="1"/>
  <c r="AJ40" i="61" s="1"/>
  <c r="AT40" i="61" a="1"/>
  <c r="AT40" i="61" s="1"/>
  <c r="AL40" i="61" a="1"/>
  <c r="AL40" i="61" s="1"/>
  <c r="AD40" i="61" a="1"/>
  <c r="AD40" i="61" s="1"/>
  <c r="AV40" i="61" a="1"/>
  <c r="AV40" i="61" s="1"/>
  <c r="AF40" i="61" a="1"/>
  <c r="AF40" i="61" s="1"/>
  <c r="AP40" i="61" a="1"/>
  <c r="AP40" i="61" s="1"/>
  <c r="AN40" i="61" a="1"/>
  <c r="AN40" i="61" s="1"/>
  <c r="AH40" i="61" a="1"/>
  <c r="AH40" i="61" s="1"/>
  <c r="AV144" i="61" a="1"/>
  <c r="AV144" i="61" s="1"/>
  <c r="AT144" i="61" a="1"/>
  <c r="AT144" i="61" s="1"/>
  <c r="AR144" i="61" a="1"/>
  <c r="AR144" i="61" s="1"/>
  <c r="AP144" i="61" a="1"/>
  <c r="AP144" i="61" s="1"/>
  <c r="AN144" i="61" a="1"/>
  <c r="AN144" i="61" s="1"/>
  <c r="AL144" i="61" a="1"/>
  <c r="AL144" i="61" s="1"/>
  <c r="AJ144" i="61" a="1"/>
  <c r="AJ144" i="61" s="1"/>
  <c r="AH144" i="61" a="1"/>
  <c r="AH144" i="61" s="1"/>
  <c r="AF144" i="61" a="1"/>
  <c r="AF144" i="61" s="1"/>
  <c r="AD144" i="61" a="1"/>
  <c r="AD144" i="61" s="1"/>
  <c r="AA145" i="61"/>
  <c r="AU144" i="61" a="1"/>
  <c r="AU144" i="61" s="1"/>
  <c r="AS144" i="61" a="1"/>
  <c r="AS144" i="61" s="1"/>
  <c r="AQ144" i="61" a="1"/>
  <c r="AQ144" i="61" s="1"/>
  <c r="AO144" i="61" a="1"/>
  <c r="AO144" i="61" s="1"/>
  <c r="AM144" i="61" a="1"/>
  <c r="AM144" i="61" s="1"/>
  <c r="AK144" i="61" a="1"/>
  <c r="AK144" i="61" s="1"/>
  <c r="AI144" i="61" a="1"/>
  <c r="AI144" i="61" s="1"/>
  <c r="AG144" i="61" a="1"/>
  <c r="AG144" i="61" s="1"/>
  <c r="AE144" i="61" a="1"/>
  <c r="AE144" i="61" s="1"/>
  <c r="AC144" i="61" a="1"/>
  <c r="AC144" i="61" s="1"/>
  <c r="AS81" i="61" a="1"/>
  <c r="AS81" i="61" s="1"/>
  <c r="AP81" i="61" a="1"/>
  <c r="AP81" i="61" s="1"/>
  <c r="AN81" i="61" a="1"/>
  <c r="AN81" i="61" s="1"/>
  <c r="AL81" i="61" a="1"/>
  <c r="AL81" i="61" s="1"/>
  <c r="AJ81" i="61" a="1"/>
  <c r="AJ81" i="61" s="1"/>
  <c r="AH81" i="61" a="1"/>
  <c r="AH81" i="61" s="1"/>
  <c r="AF81" i="61" a="1"/>
  <c r="AF81" i="61" s="1"/>
  <c r="AD81" i="61" a="1"/>
  <c r="AD81" i="61" s="1"/>
  <c r="AA82" i="61"/>
  <c r="AT81" i="61" a="1"/>
  <c r="AT81" i="61" s="1"/>
  <c r="AO81" i="61" a="1"/>
  <c r="AO81" i="61" s="1"/>
  <c r="AM81" i="61" a="1"/>
  <c r="AM81" i="61" s="1"/>
  <c r="AK81" i="61" a="1"/>
  <c r="AK81" i="61" s="1"/>
  <c r="AI81" i="61" a="1"/>
  <c r="AI81" i="61" s="1"/>
  <c r="AG81" i="61" a="1"/>
  <c r="AG81" i="61" s="1"/>
  <c r="AE81" i="61" a="1"/>
  <c r="AE81" i="61" s="1"/>
  <c r="AC81" i="61" a="1"/>
  <c r="AC81" i="61" s="1"/>
  <c r="AV81" i="61" a="1"/>
  <c r="AV81" i="61" s="1"/>
  <c r="AQ81" i="61" a="1"/>
  <c r="AQ81" i="61" s="1"/>
  <c r="AU81" i="61" a="1"/>
  <c r="AU81" i="61" s="1"/>
  <c r="AR81" i="61" a="1"/>
  <c r="AR81" i="61" s="1"/>
  <c r="AV198" i="61" a="1"/>
  <c r="AV198" i="61" s="1"/>
  <c r="AR198" i="61" a="1"/>
  <c r="AR198" i="61" s="1"/>
  <c r="AN198" i="61" a="1"/>
  <c r="AN198" i="61" s="1"/>
  <c r="AJ198" i="61" a="1"/>
  <c r="AJ198" i="61" s="1"/>
  <c r="AF198" i="61" a="1"/>
  <c r="AF198" i="61" s="1"/>
  <c r="AU198" i="61" a="1"/>
  <c r="AU198" i="61" s="1"/>
  <c r="AQ198" i="61" a="1"/>
  <c r="AQ198" i="61" s="1"/>
  <c r="AM198" i="61" a="1"/>
  <c r="AM198" i="61" s="1"/>
  <c r="AI198" i="61" a="1"/>
  <c r="AI198" i="61" s="1"/>
  <c r="AE198" i="61" a="1"/>
  <c r="AE198" i="61" s="1"/>
  <c r="AT198" i="61" a="1"/>
  <c r="AT198" i="61" s="1"/>
  <c r="AP198" i="61" a="1"/>
  <c r="AP198" i="61" s="1"/>
  <c r="AL198" i="61" a="1"/>
  <c r="AL198" i="61" s="1"/>
  <c r="AH198" i="61" a="1"/>
  <c r="AH198" i="61" s="1"/>
  <c r="AD198" i="61" a="1"/>
  <c r="AD198" i="61" s="1"/>
  <c r="AA199" i="61"/>
  <c r="AS198" i="61" a="1"/>
  <c r="AS198" i="61" s="1"/>
  <c r="AO198" i="61" a="1"/>
  <c r="AO198" i="61" s="1"/>
  <c r="AK198" i="61" a="1"/>
  <c r="AK198" i="61" s="1"/>
  <c r="AG198" i="61" a="1"/>
  <c r="AG198" i="61" s="1"/>
  <c r="AC198" i="61" a="1"/>
  <c r="AC198" i="61" s="1"/>
  <c r="AV14" i="61" a="1"/>
  <c r="AV14" i="61" s="1"/>
  <c r="AT14" i="61" a="1"/>
  <c r="AT14" i="61" s="1"/>
  <c r="AR14" i="61" a="1"/>
  <c r="AR14" i="61" s="1"/>
  <c r="AP14" i="61" a="1"/>
  <c r="AP14" i="61" s="1"/>
  <c r="AN14" i="61" a="1"/>
  <c r="AN14" i="61" s="1"/>
  <c r="AL14" i="61" a="1"/>
  <c r="AL14" i="61" s="1"/>
  <c r="AJ14" i="61" a="1"/>
  <c r="AJ14" i="61" s="1"/>
  <c r="AH14" i="61" a="1"/>
  <c r="AH14" i="61" s="1"/>
  <c r="AF14" i="61" a="1"/>
  <c r="AF14" i="61" s="1"/>
  <c r="AD14" i="61" a="1"/>
  <c r="AD14" i="61" s="1"/>
  <c r="AA15" i="61"/>
  <c r="AU14" i="61" a="1"/>
  <c r="AU14" i="61" s="1"/>
  <c r="AS14" i="61" a="1"/>
  <c r="AS14" i="61" s="1"/>
  <c r="AQ14" i="61" a="1"/>
  <c r="AQ14" i="61" s="1"/>
  <c r="AO14" i="61" a="1"/>
  <c r="AO14" i="61" s="1"/>
  <c r="AM14" i="61" a="1"/>
  <c r="AM14" i="61" s="1"/>
  <c r="AK14" i="61" a="1"/>
  <c r="AK14" i="61" s="1"/>
  <c r="AI14" i="61" a="1"/>
  <c r="AI14" i="61" s="1"/>
  <c r="AG14" i="61" a="1"/>
  <c r="AG14" i="61" s="1"/>
  <c r="AE14" i="61" a="1"/>
  <c r="AE14" i="61" s="1"/>
  <c r="AC14" i="61" a="1"/>
  <c r="AC14" i="61" s="1"/>
  <c r="AV170" i="61" a="1"/>
  <c r="AV170" i="61" s="1"/>
  <c r="AT170" i="61" a="1"/>
  <c r="AT170" i="61" s="1"/>
  <c r="AR170" i="61" a="1"/>
  <c r="AR170" i="61" s="1"/>
  <c r="AP170" i="61" a="1"/>
  <c r="AP170" i="61" s="1"/>
  <c r="AN170" i="61" a="1"/>
  <c r="AN170" i="61" s="1"/>
  <c r="AL170" i="61" a="1"/>
  <c r="AL170" i="61" s="1"/>
  <c r="AJ170" i="61" a="1"/>
  <c r="AJ170" i="61" s="1"/>
  <c r="AH170" i="61" a="1"/>
  <c r="AH170" i="61" s="1"/>
  <c r="AF170" i="61" a="1"/>
  <c r="AF170" i="61" s="1"/>
  <c r="AD170" i="61" a="1"/>
  <c r="AD170" i="61" s="1"/>
  <c r="AU170" i="61" a="1"/>
  <c r="AU170" i="61" s="1"/>
  <c r="AM170" i="61" a="1"/>
  <c r="AM170" i="61" s="1"/>
  <c r="AE170" i="61" a="1"/>
  <c r="AE170" i="61" s="1"/>
  <c r="AQ170" i="61" a="1"/>
  <c r="AQ170" i="61" s="1"/>
  <c r="AI170" i="61" a="1"/>
  <c r="AI170" i="61" s="1"/>
  <c r="AS170" i="61" a="1"/>
  <c r="AS170" i="61" s="1"/>
  <c r="AK170" i="61" a="1"/>
  <c r="AK170" i="61" s="1"/>
  <c r="AC170" i="61" a="1"/>
  <c r="AC170" i="61" s="1"/>
  <c r="AG170" i="61" a="1"/>
  <c r="AG170" i="61" s="1"/>
  <c r="AO170" i="61" a="1"/>
  <c r="AO170" i="61" s="1"/>
  <c r="AA171" i="61"/>
  <c r="AA146" i="61" l="1"/>
  <c r="AU145" i="61" a="1"/>
  <c r="AU145" i="61" s="1"/>
  <c r="AS145" i="61" a="1"/>
  <c r="AS145" i="61" s="1"/>
  <c r="AQ145" i="61" a="1"/>
  <c r="AQ145" i="61" s="1"/>
  <c r="AO145" i="61" a="1"/>
  <c r="AO145" i="61" s="1"/>
  <c r="AM145" i="61" a="1"/>
  <c r="AM145" i="61" s="1"/>
  <c r="AK145" i="61" a="1"/>
  <c r="AK145" i="61" s="1"/>
  <c r="AI145" i="61" a="1"/>
  <c r="AI145" i="61" s="1"/>
  <c r="AG145" i="61" a="1"/>
  <c r="AG145" i="61" s="1"/>
  <c r="AE145" i="61" a="1"/>
  <c r="AE145" i="61" s="1"/>
  <c r="AC145" i="61" a="1"/>
  <c r="AC145" i="61" s="1"/>
  <c r="AV145" i="61" a="1"/>
  <c r="AV145" i="61" s="1"/>
  <c r="AT145" i="61" a="1"/>
  <c r="AT145" i="61" s="1"/>
  <c r="AR145" i="61" a="1"/>
  <c r="AR145" i="61" s="1"/>
  <c r="AP145" i="61" a="1"/>
  <c r="AP145" i="61" s="1"/>
  <c r="AN145" i="61" a="1"/>
  <c r="AN145" i="61" s="1"/>
  <c r="AL145" i="61" a="1"/>
  <c r="AL145" i="61" s="1"/>
  <c r="AJ145" i="61" a="1"/>
  <c r="AJ145" i="61" s="1"/>
  <c r="AH145" i="61" a="1"/>
  <c r="AH145" i="61" s="1"/>
  <c r="AF145" i="61" a="1"/>
  <c r="AF145" i="61" s="1"/>
  <c r="AD145" i="61" a="1"/>
  <c r="AD145" i="61" s="1"/>
  <c r="AV185" i="61" a="1"/>
  <c r="AV185" i="61" s="1"/>
  <c r="AT185" i="61" a="1"/>
  <c r="AT185" i="61" s="1"/>
  <c r="AR185" i="61" a="1"/>
  <c r="AR185" i="61" s="1"/>
  <c r="AP185" i="61" a="1"/>
  <c r="AP185" i="61" s="1"/>
  <c r="AN185" i="61" a="1"/>
  <c r="AN185" i="61" s="1"/>
  <c r="AL185" i="61" a="1"/>
  <c r="AL185" i="61" s="1"/>
  <c r="AJ185" i="61" a="1"/>
  <c r="AJ185" i="61" s="1"/>
  <c r="AH185" i="61" a="1"/>
  <c r="AH185" i="61" s="1"/>
  <c r="AF185" i="61" a="1"/>
  <c r="AF185" i="61" s="1"/>
  <c r="AD185" i="61" a="1"/>
  <c r="AD185" i="61" s="1"/>
  <c r="AA186" i="61"/>
  <c r="AS185" i="61" a="1"/>
  <c r="AS185" i="61" s="1"/>
  <c r="AO185" i="61" a="1"/>
  <c r="AO185" i="61" s="1"/>
  <c r="AK185" i="61" a="1"/>
  <c r="AK185" i="61" s="1"/>
  <c r="AG185" i="61" a="1"/>
  <c r="AG185" i="61" s="1"/>
  <c r="AC185" i="61" a="1"/>
  <c r="AC185" i="61" s="1"/>
  <c r="AQ185" i="61" a="1"/>
  <c r="AQ185" i="61" s="1"/>
  <c r="AM185" i="61" a="1"/>
  <c r="AM185" i="61" s="1"/>
  <c r="AI185" i="61" a="1"/>
  <c r="AI185" i="61" s="1"/>
  <c r="AU185" i="61" a="1"/>
  <c r="AU185" i="61" s="1"/>
  <c r="AE185" i="61" a="1"/>
  <c r="AE185" i="61" s="1"/>
  <c r="AA172" i="61"/>
  <c r="AU171" i="61" a="1"/>
  <c r="AU171" i="61" s="1"/>
  <c r="AS171" i="61" a="1"/>
  <c r="AS171" i="61" s="1"/>
  <c r="AQ171" i="61" a="1"/>
  <c r="AQ171" i="61" s="1"/>
  <c r="AO171" i="61" a="1"/>
  <c r="AO171" i="61" s="1"/>
  <c r="AM171" i="61" a="1"/>
  <c r="AM171" i="61" s="1"/>
  <c r="AK171" i="61" a="1"/>
  <c r="AK171" i="61" s="1"/>
  <c r="AI171" i="61" a="1"/>
  <c r="AI171" i="61" s="1"/>
  <c r="AG171" i="61" a="1"/>
  <c r="AG171" i="61" s="1"/>
  <c r="AE171" i="61" a="1"/>
  <c r="AE171" i="61" s="1"/>
  <c r="AC171" i="61" a="1"/>
  <c r="AC171" i="61" s="1"/>
  <c r="AP171" i="61" a="1"/>
  <c r="AP171" i="61" s="1"/>
  <c r="AH171" i="61" a="1"/>
  <c r="AH171" i="61" s="1"/>
  <c r="AT171" i="61" a="1"/>
  <c r="AT171" i="61" s="1"/>
  <c r="AL171" i="61" a="1"/>
  <c r="AL171" i="61" s="1"/>
  <c r="AD171" i="61" a="1"/>
  <c r="AD171" i="61" s="1"/>
  <c r="AV171" i="61" a="1"/>
  <c r="AV171" i="61" s="1"/>
  <c r="AN171" i="61" a="1"/>
  <c r="AN171" i="61" s="1"/>
  <c r="AF171" i="61" a="1"/>
  <c r="AF171" i="61" s="1"/>
  <c r="AR171" i="61" a="1"/>
  <c r="AR171" i="61" s="1"/>
  <c r="AJ171" i="61" a="1"/>
  <c r="AJ171" i="61" s="1"/>
  <c r="AA16" i="61"/>
  <c r="AU15" i="61" a="1"/>
  <c r="AU15" i="61" s="1"/>
  <c r="AS15" i="61" a="1"/>
  <c r="AS15" i="61" s="1"/>
  <c r="AQ15" i="61" a="1"/>
  <c r="AQ15" i="61" s="1"/>
  <c r="AO15" i="61" a="1"/>
  <c r="AO15" i="61" s="1"/>
  <c r="AM15" i="61" a="1"/>
  <c r="AM15" i="61" s="1"/>
  <c r="AK15" i="61" a="1"/>
  <c r="AK15" i="61" s="1"/>
  <c r="AI15" i="61" a="1"/>
  <c r="AI15" i="61" s="1"/>
  <c r="AG15" i="61" a="1"/>
  <c r="AG15" i="61" s="1"/>
  <c r="AE15" i="61" a="1"/>
  <c r="AE15" i="61" s="1"/>
  <c r="AC15" i="61" a="1"/>
  <c r="AC15" i="61" s="1"/>
  <c r="AV15" i="61" a="1"/>
  <c r="AV15" i="61" s="1"/>
  <c r="AT15" i="61" a="1"/>
  <c r="AT15" i="61" s="1"/>
  <c r="AR15" i="61" a="1"/>
  <c r="AR15" i="61" s="1"/>
  <c r="AP15" i="61" a="1"/>
  <c r="AP15" i="61" s="1"/>
  <c r="AN15" i="61" a="1"/>
  <c r="AN15" i="61" s="1"/>
  <c r="AL15" i="61" a="1"/>
  <c r="AL15" i="61" s="1"/>
  <c r="AJ15" i="61" a="1"/>
  <c r="AJ15" i="61" s="1"/>
  <c r="AH15" i="61" a="1"/>
  <c r="AH15" i="61" s="1"/>
  <c r="AF15" i="61" a="1"/>
  <c r="AF15" i="61" s="1"/>
  <c r="AD15" i="61" a="1"/>
  <c r="AD15" i="61" s="1"/>
  <c r="AV199" i="61" a="1"/>
  <c r="AV199" i="61" s="1"/>
  <c r="AU199" i="61" a="1"/>
  <c r="AU199" i="61" s="1"/>
  <c r="AQ199" i="61" a="1"/>
  <c r="AQ199" i="61" s="1"/>
  <c r="AM199" i="61" a="1"/>
  <c r="AM199" i="61" s="1"/>
  <c r="AI199" i="61" a="1"/>
  <c r="AI199" i="61" s="1"/>
  <c r="AE199" i="61" a="1"/>
  <c r="AE199" i="61" s="1"/>
  <c r="AT199" i="61" a="1"/>
  <c r="AT199" i="61" s="1"/>
  <c r="AP199" i="61" a="1"/>
  <c r="AP199" i="61" s="1"/>
  <c r="AL199" i="61" a="1"/>
  <c r="AL199" i="61" s="1"/>
  <c r="AH199" i="61" a="1"/>
  <c r="AH199" i="61" s="1"/>
  <c r="AD199" i="61" a="1"/>
  <c r="AD199" i="61" s="1"/>
  <c r="AS199" i="61" a="1"/>
  <c r="AS199" i="61" s="1"/>
  <c r="AO199" i="61" a="1"/>
  <c r="AO199" i="61" s="1"/>
  <c r="AK199" i="61" a="1"/>
  <c r="AK199" i="61" s="1"/>
  <c r="AG199" i="61" a="1"/>
  <c r="AG199" i="61" s="1"/>
  <c r="AC199" i="61" a="1"/>
  <c r="AC199" i="61" s="1"/>
  <c r="AR199" i="61" a="1"/>
  <c r="AR199" i="61" s="1"/>
  <c r="AN199" i="61" a="1"/>
  <c r="AN199" i="61" s="1"/>
  <c r="AJ199" i="61" a="1"/>
  <c r="AJ199" i="61" s="1"/>
  <c r="AF199" i="61" a="1"/>
  <c r="AF199" i="61" s="1"/>
  <c r="AV82" i="61" a="1"/>
  <c r="AV82" i="61" s="1"/>
  <c r="AS82" i="61" a="1"/>
  <c r="AS82" i="61" s="1"/>
  <c r="AN82" i="61" a="1"/>
  <c r="AN82" i="61" s="1"/>
  <c r="AK82" i="61" a="1"/>
  <c r="AK82" i="61" s="1"/>
  <c r="AF82" i="61" a="1"/>
  <c r="AF82" i="61" s="1"/>
  <c r="AC82" i="61" a="1"/>
  <c r="AC82" i="61" s="1"/>
  <c r="AR82" i="61" a="1"/>
  <c r="AR82" i="61" s="1"/>
  <c r="AO82" i="61" a="1"/>
  <c r="AO82" i="61" s="1"/>
  <c r="AJ82" i="61" a="1"/>
  <c r="AJ82" i="61" s="1"/>
  <c r="AG82" i="61" a="1"/>
  <c r="AG82" i="61" s="1"/>
  <c r="AT82" i="61" a="1"/>
  <c r="AT82" i="61" s="1"/>
  <c r="AQ82" i="61" a="1"/>
  <c r="AQ82" i="61" s="1"/>
  <c r="AL82" i="61" a="1"/>
  <c r="AL82" i="61" s="1"/>
  <c r="AI82" i="61" a="1"/>
  <c r="AI82" i="61" s="1"/>
  <c r="AD82" i="61" a="1"/>
  <c r="AD82" i="61" s="1"/>
  <c r="AU82" i="61" a="1"/>
  <c r="AU82" i="61" s="1"/>
  <c r="AH82" i="61" a="1"/>
  <c r="AH82" i="61" s="1"/>
  <c r="AP82" i="61" a="1"/>
  <c r="AP82" i="61" s="1"/>
  <c r="AE82" i="61" a="1"/>
  <c r="AE82" i="61" s="1"/>
  <c r="AM82" i="61" a="1"/>
  <c r="AM82" i="61" s="1"/>
  <c r="AT30" i="61" a="1"/>
  <c r="AT30" i="61" s="1"/>
  <c r="AQ30" i="61" a="1"/>
  <c r="AQ30" i="61" s="1"/>
  <c r="AL30" i="61" a="1"/>
  <c r="AL30" i="61" s="1"/>
  <c r="AI30" i="61" a="1"/>
  <c r="AI30" i="61" s="1"/>
  <c r="AD30" i="61" a="1"/>
  <c r="AD30" i="61" s="1"/>
  <c r="AV30" i="61" a="1"/>
  <c r="AV30" i="61" s="1"/>
  <c r="AS30" i="61" a="1"/>
  <c r="AS30" i="61" s="1"/>
  <c r="AN30" i="61" a="1"/>
  <c r="AN30" i="61" s="1"/>
  <c r="AK30" i="61" a="1"/>
  <c r="AK30" i="61" s="1"/>
  <c r="AF30" i="61" a="1"/>
  <c r="AF30" i="61" s="1"/>
  <c r="AC30" i="61" a="1"/>
  <c r="AC30" i="61" s="1"/>
  <c r="AO30" i="61" a="1"/>
  <c r="AO30" i="61" s="1"/>
  <c r="AJ30" i="61" a="1"/>
  <c r="AJ30" i="61" s="1"/>
  <c r="AM30" i="61" a="1"/>
  <c r="AM30" i="61" s="1"/>
  <c r="AH30" i="61" a="1"/>
  <c r="AH30" i="61" s="1"/>
  <c r="AR30" i="61" a="1"/>
  <c r="AR30" i="61" s="1"/>
  <c r="AG30" i="61" a="1"/>
  <c r="AG30" i="61" s="1"/>
  <c r="AU30" i="61" a="1"/>
  <c r="AU30" i="61" s="1"/>
  <c r="AP30" i="61" a="1"/>
  <c r="AP30" i="61" s="1"/>
  <c r="AE30" i="61" a="1"/>
  <c r="AE30" i="61" s="1"/>
  <c r="AS132" i="61" a="1"/>
  <c r="AS132" i="61" s="1"/>
  <c r="AP132" i="61" a="1"/>
  <c r="AP132" i="61" s="1"/>
  <c r="AK132" i="61" a="1"/>
  <c r="AK132" i="61" s="1"/>
  <c r="AH132" i="61" a="1"/>
  <c r="AH132" i="61" s="1"/>
  <c r="AC132" i="61" a="1"/>
  <c r="AC132" i="61" s="1"/>
  <c r="AU132" i="61" a="1"/>
  <c r="AU132" i="61" s="1"/>
  <c r="AR132" i="61" a="1"/>
  <c r="AR132" i="61" s="1"/>
  <c r="AM132" i="61" a="1"/>
  <c r="AM132" i="61" s="1"/>
  <c r="AJ132" i="61" a="1"/>
  <c r="AJ132" i="61" s="1"/>
  <c r="AE132" i="61" a="1"/>
  <c r="AE132" i="61" s="1"/>
  <c r="AA133" i="61"/>
  <c r="AT132" i="61" a="1"/>
  <c r="AT132" i="61" s="1"/>
  <c r="AO132" i="61" a="1"/>
  <c r="AO132" i="61" s="1"/>
  <c r="AL132" i="61" a="1"/>
  <c r="AL132" i="61" s="1"/>
  <c r="AG132" i="61" a="1"/>
  <c r="AG132" i="61" s="1"/>
  <c r="AD132" i="61" a="1"/>
  <c r="AD132" i="61" s="1"/>
  <c r="AV132" i="61" a="1"/>
  <c r="AV132" i="61" s="1"/>
  <c r="AI132" i="61" a="1"/>
  <c r="AI132" i="61" s="1"/>
  <c r="AQ132" i="61" a="1"/>
  <c r="AQ132" i="61" s="1"/>
  <c r="AF132" i="61" a="1"/>
  <c r="AF132" i="61" s="1"/>
  <c r="AN132" i="61" a="1"/>
  <c r="AN132" i="61" s="1"/>
  <c r="AA121" i="61"/>
  <c r="AT120" i="61" a="1"/>
  <c r="AT120" i="61" s="1"/>
  <c r="AO120" i="61" a="1"/>
  <c r="AO120" i="61" s="1"/>
  <c r="AL120" i="61" a="1"/>
  <c r="AL120" i="61" s="1"/>
  <c r="AG120" i="61" a="1"/>
  <c r="AG120" i="61" s="1"/>
  <c r="AD120" i="61" a="1"/>
  <c r="AD120" i="61" s="1"/>
  <c r="AV120" i="61" a="1"/>
  <c r="AV120" i="61" s="1"/>
  <c r="AQ120" i="61" a="1"/>
  <c r="AQ120" i="61" s="1"/>
  <c r="AN120" i="61" a="1"/>
  <c r="AN120" i="61" s="1"/>
  <c r="AI120" i="61" a="1"/>
  <c r="AI120" i="61" s="1"/>
  <c r="AF120" i="61" a="1"/>
  <c r="AF120" i="61" s="1"/>
  <c r="AS120" i="61" a="1"/>
  <c r="AS120" i="61" s="1"/>
  <c r="AP120" i="61" a="1"/>
  <c r="AP120" i="61" s="1"/>
  <c r="AK120" i="61" a="1"/>
  <c r="AK120" i="61" s="1"/>
  <c r="AH120" i="61" a="1"/>
  <c r="AH120" i="61" s="1"/>
  <c r="AC120" i="61" a="1"/>
  <c r="AC120" i="61" s="1"/>
  <c r="AU120" i="61" a="1"/>
  <c r="AU120" i="61" s="1"/>
  <c r="AR120" i="61" a="1"/>
  <c r="AR120" i="61" s="1"/>
  <c r="AM120" i="61" a="1"/>
  <c r="AM120" i="61" s="1"/>
  <c r="AJ120" i="61" a="1"/>
  <c r="AJ120" i="61" s="1"/>
  <c r="AE120" i="61" a="1"/>
  <c r="AE120" i="61" s="1"/>
  <c r="AT55" i="61" a="1"/>
  <c r="AT55" i="61" s="1"/>
  <c r="AQ55" i="61" a="1"/>
  <c r="AQ55" i="61" s="1"/>
  <c r="AL55" i="61" a="1"/>
  <c r="AL55" i="61" s="1"/>
  <c r="AI55" i="61" a="1"/>
  <c r="AI55" i="61" s="1"/>
  <c r="AD55" i="61" a="1"/>
  <c r="AD55" i="61" s="1"/>
  <c r="AV55" i="61" a="1"/>
  <c r="AV55" i="61" s="1"/>
  <c r="AS55" i="61" a="1"/>
  <c r="AS55" i="61" s="1"/>
  <c r="AN55" i="61" a="1"/>
  <c r="AN55" i="61" s="1"/>
  <c r="AK55" i="61" a="1"/>
  <c r="AK55" i="61" s="1"/>
  <c r="AF55" i="61" a="1"/>
  <c r="AF55" i="61" s="1"/>
  <c r="AC55" i="61" a="1"/>
  <c r="AC55" i="61" s="1"/>
  <c r="AU55" i="61" a="1"/>
  <c r="AU55" i="61" s="1"/>
  <c r="AP55" i="61" a="1"/>
  <c r="AP55" i="61" s="1"/>
  <c r="AM55" i="61" a="1"/>
  <c r="AM55" i="61" s="1"/>
  <c r="AE55" i="61" a="1"/>
  <c r="AE55" i="61" s="1"/>
  <c r="AR55" i="61" a="1"/>
  <c r="AR55" i="61" s="1"/>
  <c r="AJ55" i="61" a="1"/>
  <c r="AJ55" i="61" s="1"/>
  <c r="AO55" i="61" a="1"/>
  <c r="AO55" i="61" s="1"/>
  <c r="AH55" i="61" a="1"/>
  <c r="AH55" i="61" s="1"/>
  <c r="AA56" i="61"/>
  <c r="AG55" i="61" a="1"/>
  <c r="AG55" i="61" s="1"/>
  <c r="AA160" i="61"/>
  <c r="AU159" i="61" a="1"/>
  <c r="AU159" i="61" s="1"/>
  <c r="AS159" i="61" a="1"/>
  <c r="AS159" i="61" s="1"/>
  <c r="AV159" i="61" a="1"/>
  <c r="AV159" i="61" s="1"/>
  <c r="AQ159" i="61" a="1"/>
  <c r="AQ159" i="61" s="1"/>
  <c r="AO159" i="61" a="1"/>
  <c r="AO159" i="61" s="1"/>
  <c r="AM159" i="61" a="1"/>
  <c r="AM159" i="61" s="1"/>
  <c r="AK159" i="61" a="1"/>
  <c r="AK159" i="61" s="1"/>
  <c r="AI159" i="61" a="1"/>
  <c r="AI159" i="61" s="1"/>
  <c r="AG159" i="61" a="1"/>
  <c r="AG159" i="61" s="1"/>
  <c r="AE159" i="61" a="1"/>
  <c r="AE159" i="61" s="1"/>
  <c r="AC159" i="61" a="1"/>
  <c r="AC159" i="61" s="1"/>
  <c r="AR159" i="61" a="1"/>
  <c r="AR159" i="61" s="1"/>
  <c r="AP159" i="61" a="1"/>
  <c r="AP159" i="61" s="1"/>
  <c r="AN159" i="61" a="1"/>
  <c r="AN159" i="61" s="1"/>
  <c r="AL159" i="61" a="1"/>
  <c r="AL159" i="61" s="1"/>
  <c r="AJ159" i="61" a="1"/>
  <c r="AJ159" i="61" s="1"/>
  <c r="AH159" i="61" a="1"/>
  <c r="AH159" i="61" s="1"/>
  <c r="AF159" i="61" a="1"/>
  <c r="AF159" i="61" s="1"/>
  <c r="AD159" i="61" a="1"/>
  <c r="AD159" i="61" s="1"/>
  <c r="AT159" i="61" a="1"/>
  <c r="AT159" i="61" s="1"/>
  <c r="AV41" i="61" a="1"/>
  <c r="AV41" i="61" s="1"/>
  <c r="AT41" i="61" a="1"/>
  <c r="AT41" i="61" s="1"/>
  <c r="AR41" i="61" a="1"/>
  <c r="AR41" i="61" s="1"/>
  <c r="AP41" i="61" a="1"/>
  <c r="AP41" i="61" s="1"/>
  <c r="AN41" i="61" a="1"/>
  <c r="AN41" i="61" s="1"/>
  <c r="AL41" i="61" a="1"/>
  <c r="AL41" i="61" s="1"/>
  <c r="AJ41" i="61" a="1"/>
  <c r="AJ41" i="61" s="1"/>
  <c r="AH41" i="61" a="1"/>
  <c r="AH41" i="61" s="1"/>
  <c r="AF41" i="61" a="1"/>
  <c r="AF41" i="61" s="1"/>
  <c r="AD41" i="61" a="1"/>
  <c r="AD41" i="61" s="1"/>
  <c r="AU41" i="61" a="1"/>
  <c r="AU41" i="61" s="1"/>
  <c r="AM41" i="61" a="1"/>
  <c r="AM41" i="61" s="1"/>
  <c r="AE41" i="61" a="1"/>
  <c r="AE41" i="61" s="1"/>
  <c r="AA42" i="61"/>
  <c r="AO41" i="61" a="1"/>
  <c r="AO41" i="61" s="1"/>
  <c r="AG41" i="61" a="1"/>
  <c r="AG41" i="61" s="1"/>
  <c r="AQ41" i="61" a="1"/>
  <c r="AQ41" i="61" s="1"/>
  <c r="AK41" i="61" a="1"/>
  <c r="AK41" i="61" s="1"/>
  <c r="AI41" i="61" a="1"/>
  <c r="AI41" i="61" s="1"/>
  <c r="AS41" i="61" a="1"/>
  <c r="AS41" i="61" s="1"/>
  <c r="AC41" i="61" a="1"/>
  <c r="AC41" i="61" s="1"/>
  <c r="AA94" i="61"/>
  <c r="AU93" i="61" a="1"/>
  <c r="AU93" i="61" s="1"/>
  <c r="AS93" i="61" a="1"/>
  <c r="AS93" i="61" s="1"/>
  <c r="AQ93" i="61" a="1"/>
  <c r="AQ93" i="61" s="1"/>
  <c r="AO93" i="61" a="1"/>
  <c r="AO93" i="61" s="1"/>
  <c r="AM93" i="61" a="1"/>
  <c r="AM93" i="61" s="1"/>
  <c r="AK93" i="61" a="1"/>
  <c r="AK93" i="61" s="1"/>
  <c r="AI93" i="61" a="1"/>
  <c r="AI93" i="61" s="1"/>
  <c r="AG93" i="61" a="1"/>
  <c r="AG93" i="61" s="1"/>
  <c r="AE93" i="61" a="1"/>
  <c r="AE93" i="61" s="1"/>
  <c r="AC93" i="61" a="1"/>
  <c r="AC93" i="61" s="1"/>
  <c r="AV93" i="61" a="1"/>
  <c r="AV93" i="61" s="1"/>
  <c r="AT93" i="61" a="1"/>
  <c r="AT93" i="61" s="1"/>
  <c r="AR93" i="61" a="1"/>
  <c r="AR93" i="61" s="1"/>
  <c r="AP93" i="61" a="1"/>
  <c r="AP93" i="61" s="1"/>
  <c r="AN93" i="61" a="1"/>
  <c r="AN93" i="61" s="1"/>
  <c r="AL93" i="61" a="1"/>
  <c r="AL93" i="61" s="1"/>
  <c r="AJ93" i="61" a="1"/>
  <c r="AJ93" i="61" s="1"/>
  <c r="AH93" i="61" a="1"/>
  <c r="AH93" i="61" s="1"/>
  <c r="AF93" i="61" a="1"/>
  <c r="AF93" i="61" s="1"/>
  <c r="AD93" i="61" a="1"/>
  <c r="AD93" i="61" s="1"/>
  <c r="AV68" i="61" a="1"/>
  <c r="AV68" i="61" s="1"/>
  <c r="AT68" i="61" a="1"/>
  <c r="AT68" i="61" s="1"/>
  <c r="AR68" i="61" a="1"/>
  <c r="AR68" i="61" s="1"/>
  <c r="AP68" i="61" a="1"/>
  <c r="AP68" i="61" s="1"/>
  <c r="AN68" i="61" a="1"/>
  <c r="AN68" i="61" s="1"/>
  <c r="AL68" i="61" a="1"/>
  <c r="AL68" i="61" s="1"/>
  <c r="AJ68" i="61" a="1"/>
  <c r="AJ68" i="61" s="1"/>
  <c r="AH68" i="61" a="1"/>
  <c r="AH68" i="61" s="1"/>
  <c r="AF68" i="61" a="1"/>
  <c r="AF68" i="61" s="1"/>
  <c r="AD68" i="61" a="1"/>
  <c r="AD68" i="61" s="1"/>
  <c r="AQ68" i="61" a="1"/>
  <c r="AQ68" i="61" s="1"/>
  <c r="AI68" i="61" a="1"/>
  <c r="AI68" i="61" s="1"/>
  <c r="AS68" i="61" a="1"/>
  <c r="AS68" i="61" s="1"/>
  <c r="AK68" i="61" a="1"/>
  <c r="AK68" i="61" s="1"/>
  <c r="AC68" i="61" a="1"/>
  <c r="AC68" i="61" s="1"/>
  <c r="AU68" i="61" a="1"/>
  <c r="AU68" i="61" s="1"/>
  <c r="AM68" i="61" a="1"/>
  <c r="AM68" i="61" s="1"/>
  <c r="AE68" i="61" a="1"/>
  <c r="AE68" i="61" s="1"/>
  <c r="AA69" i="61"/>
  <c r="AO68" i="61" a="1"/>
  <c r="AO68" i="61" s="1"/>
  <c r="AG68" i="61" a="1"/>
  <c r="AG68" i="61" s="1"/>
  <c r="BE6" i="61" l="1"/>
  <c r="BJ6" i="61"/>
  <c r="AV160" i="61" a="1"/>
  <c r="AV160" i="61" s="1"/>
  <c r="AT160" i="61" a="1"/>
  <c r="AT160" i="61" s="1"/>
  <c r="AR160" i="61" a="1"/>
  <c r="AR160" i="61" s="1"/>
  <c r="AP160" i="61" a="1"/>
  <c r="AP160" i="61" s="1"/>
  <c r="AN160" i="61" a="1"/>
  <c r="AN160" i="61" s="1"/>
  <c r="AL160" i="61" a="1"/>
  <c r="AL160" i="61" s="1"/>
  <c r="AJ160" i="61" a="1"/>
  <c r="AJ160" i="61" s="1"/>
  <c r="AH160" i="61" a="1"/>
  <c r="AH160" i="61" s="1"/>
  <c r="AF160" i="61" a="1"/>
  <c r="AF160" i="61" s="1"/>
  <c r="AD160" i="61" a="1"/>
  <c r="AD160" i="61" s="1"/>
  <c r="AQ160" i="61" a="1"/>
  <c r="AQ160" i="61" s="1"/>
  <c r="AI160" i="61" a="1"/>
  <c r="AI160" i="61" s="1"/>
  <c r="AS160" i="61" a="1"/>
  <c r="AS160" i="61" s="1"/>
  <c r="AK160" i="61" a="1"/>
  <c r="AK160" i="61" s="1"/>
  <c r="AC160" i="61" a="1"/>
  <c r="AC160" i="61" s="1"/>
  <c r="AU160" i="61" a="1"/>
  <c r="AU160" i="61" s="1"/>
  <c r="AM160" i="61" a="1"/>
  <c r="AM160" i="61" s="1"/>
  <c r="AE160" i="61" a="1"/>
  <c r="AE160" i="61" s="1"/>
  <c r="AG160" i="61" a="1"/>
  <c r="AG160" i="61" s="1"/>
  <c r="AO160" i="61" a="1"/>
  <c r="AO160" i="61" s="1"/>
  <c r="AV16" i="61" a="1"/>
  <c r="AV16" i="61" s="1"/>
  <c r="AT16" i="61" a="1"/>
  <c r="AT16" i="61" s="1"/>
  <c r="AR16" i="61" a="1"/>
  <c r="AR16" i="61" s="1"/>
  <c r="AP16" i="61" a="1"/>
  <c r="AP16" i="61" s="1"/>
  <c r="AN16" i="61" a="1"/>
  <c r="AN16" i="61" s="1"/>
  <c r="AL16" i="61" a="1"/>
  <c r="AL16" i="61" s="1"/>
  <c r="AJ16" i="61" a="1"/>
  <c r="AJ16" i="61" s="1"/>
  <c r="AH16" i="61" a="1"/>
  <c r="AH16" i="61" s="1"/>
  <c r="AF16" i="61" a="1"/>
  <c r="AF16" i="61" s="1"/>
  <c r="AD16" i="61" a="1"/>
  <c r="AD16" i="61" s="1"/>
  <c r="AA17" i="61"/>
  <c r="AU16" i="61" a="1"/>
  <c r="AU16" i="61" s="1"/>
  <c r="AS16" i="61" a="1"/>
  <c r="AS16" i="61" s="1"/>
  <c r="AQ16" i="61" a="1"/>
  <c r="AQ16" i="61" s="1"/>
  <c r="AO16" i="61" a="1"/>
  <c r="AO16" i="61" s="1"/>
  <c r="AM16" i="61" a="1"/>
  <c r="AM16" i="61" s="1"/>
  <c r="AK16" i="61" a="1"/>
  <c r="AK16" i="61" s="1"/>
  <c r="AI16" i="61" a="1"/>
  <c r="AI16" i="61" s="1"/>
  <c r="AG16" i="61" a="1"/>
  <c r="AG16" i="61" s="1"/>
  <c r="AE16" i="61" a="1"/>
  <c r="AE16" i="61" s="1"/>
  <c r="AC16" i="61" a="1"/>
  <c r="AC16" i="61" s="1"/>
  <c r="AU186" i="61" a="1"/>
  <c r="AU186" i="61" s="1"/>
  <c r="AS186" i="61" a="1"/>
  <c r="AS186" i="61" s="1"/>
  <c r="AQ186" i="61" a="1"/>
  <c r="AQ186" i="61" s="1"/>
  <c r="AT186" i="61" a="1"/>
  <c r="AT186" i="61" s="1"/>
  <c r="AO186" i="61" a="1"/>
  <c r="AO186" i="61" s="1"/>
  <c r="AM186" i="61" a="1"/>
  <c r="AM186" i="61" s="1"/>
  <c r="AK186" i="61" a="1"/>
  <c r="AK186" i="61" s="1"/>
  <c r="AI186" i="61" a="1"/>
  <c r="AI186" i="61" s="1"/>
  <c r="AG186" i="61" a="1"/>
  <c r="AG186" i="61" s="1"/>
  <c r="AE186" i="61" a="1"/>
  <c r="AE186" i="61" s="1"/>
  <c r="AC186" i="61" a="1"/>
  <c r="AC186" i="61" s="1"/>
  <c r="AR186" i="61" a="1"/>
  <c r="AR186" i="61" s="1"/>
  <c r="AN186" i="61" a="1"/>
  <c r="AN186" i="61" s="1"/>
  <c r="AJ186" i="61" a="1"/>
  <c r="AJ186" i="61" s="1"/>
  <c r="AF186" i="61" a="1"/>
  <c r="AF186" i="61" s="1"/>
  <c r="AV186" i="61" a="1"/>
  <c r="AV186" i="61" s="1"/>
  <c r="AP186" i="61" a="1"/>
  <c r="AP186" i="61" s="1"/>
  <c r="AL186" i="61" a="1"/>
  <c r="AL186" i="61" s="1"/>
  <c r="AH186" i="61" a="1"/>
  <c r="AH186" i="61" s="1"/>
  <c r="AD186" i="61" a="1"/>
  <c r="AD186" i="61" s="1"/>
  <c r="AV133" i="61" a="1"/>
  <c r="AV133" i="61" s="1"/>
  <c r="AS133" i="61" a="1"/>
  <c r="AS133" i="61" s="1"/>
  <c r="AN133" i="61" a="1"/>
  <c r="AN133" i="61" s="1"/>
  <c r="AK133" i="61" a="1"/>
  <c r="AK133" i="61" s="1"/>
  <c r="AF133" i="61" a="1"/>
  <c r="AF133" i="61" s="1"/>
  <c r="AC133" i="61" a="1"/>
  <c r="AC133" i="61" s="1"/>
  <c r="AU133" i="61" a="1"/>
  <c r="AU133" i="61" s="1"/>
  <c r="AP133" i="61" a="1"/>
  <c r="AP133" i="61" s="1"/>
  <c r="AM133" i="61" a="1"/>
  <c r="AM133" i="61" s="1"/>
  <c r="AH133" i="61" a="1"/>
  <c r="AH133" i="61" s="1"/>
  <c r="AE133" i="61" a="1"/>
  <c r="AE133" i="61" s="1"/>
  <c r="AA134" i="61"/>
  <c r="AR133" i="61" a="1"/>
  <c r="AR133" i="61" s="1"/>
  <c r="AO133" i="61" a="1"/>
  <c r="AO133" i="61" s="1"/>
  <c r="AJ133" i="61" a="1"/>
  <c r="AJ133" i="61" s="1"/>
  <c r="AG133" i="61" a="1"/>
  <c r="AG133" i="61" s="1"/>
  <c r="AL133" i="61" a="1"/>
  <c r="AL133" i="61" s="1"/>
  <c r="AT133" i="61" a="1"/>
  <c r="AT133" i="61" s="1"/>
  <c r="AI133" i="61" a="1"/>
  <c r="AI133" i="61" s="1"/>
  <c r="AQ133" i="61" a="1"/>
  <c r="AQ133" i="61" s="1"/>
  <c r="AD133" i="61" a="1"/>
  <c r="AD133" i="61" s="1"/>
  <c r="AV172" i="61" a="1"/>
  <c r="AV172" i="61" s="1"/>
  <c r="AT172" i="61" a="1"/>
  <c r="AT172" i="61" s="1"/>
  <c r="AR172" i="61" a="1"/>
  <c r="AR172" i="61" s="1"/>
  <c r="AP172" i="61" a="1"/>
  <c r="AP172" i="61" s="1"/>
  <c r="AN172" i="61" a="1"/>
  <c r="AN172" i="61" s="1"/>
  <c r="AL172" i="61" a="1"/>
  <c r="AL172" i="61" s="1"/>
  <c r="AJ172" i="61" a="1"/>
  <c r="AJ172" i="61" s="1"/>
  <c r="AH172" i="61" a="1"/>
  <c r="AH172" i="61" s="1"/>
  <c r="AF172" i="61" a="1"/>
  <c r="AF172" i="61" s="1"/>
  <c r="AD172" i="61" a="1"/>
  <c r="AD172" i="61" s="1"/>
  <c r="AS172" i="61" a="1"/>
  <c r="AS172" i="61" s="1"/>
  <c r="AK172" i="61" a="1"/>
  <c r="AK172" i="61" s="1"/>
  <c r="AC172" i="61" a="1"/>
  <c r="AC172" i="61" s="1"/>
  <c r="AA173" i="61"/>
  <c r="AO172" i="61" a="1"/>
  <c r="AO172" i="61" s="1"/>
  <c r="AG172" i="61" a="1"/>
  <c r="AG172" i="61" s="1"/>
  <c r="AQ172" i="61" a="1"/>
  <c r="AQ172" i="61" s="1"/>
  <c r="AI172" i="61" a="1"/>
  <c r="AI172" i="61" s="1"/>
  <c r="AE172" i="61" a="1"/>
  <c r="AE172" i="61" s="1"/>
  <c r="AM172" i="61" a="1"/>
  <c r="AM172" i="61" s="1"/>
  <c r="AU172" i="61" a="1"/>
  <c r="AU172" i="61" s="1"/>
  <c r="AV94" i="61" a="1"/>
  <c r="AV94" i="61" s="1"/>
  <c r="AT94" i="61" a="1"/>
  <c r="AT94" i="61" s="1"/>
  <c r="AR94" i="61" a="1"/>
  <c r="AR94" i="61" s="1"/>
  <c r="AP94" i="61" a="1"/>
  <c r="AP94" i="61" s="1"/>
  <c r="AN94" i="61" a="1"/>
  <c r="AN94" i="61" s="1"/>
  <c r="AL94" i="61" a="1"/>
  <c r="AL94" i="61" s="1"/>
  <c r="AJ94" i="61" a="1"/>
  <c r="AJ94" i="61" s="1"/>
  <c r="AH94" i="61" a="1"/>
  <c r="AH94" i="61" s="1"/>
  <c r="AF94" i="61" a="1"/>
  <c r="AF94" i="61" s="1"/>
  <c r="AD94" i="61" a="1"/>
  <c r="AD94" i="61" s="1"/>
  <c r="AA95" i="61"/>
  <c r="AU94" i="61" a="1"/>
  <c r="AU94" i="61" s="1"/>
  <c r="AS94" i="61" a="1"/>
  <c r="AS94" i="61" s="1"/>
  <c r="AQ94" i="61" a="1"/>
  <c r="AQ94" i="61" s="1"/>
  <c r="AO94" i="61" a="1"/>
  <c r="AO94" i="61" s="1"/>
  <c r="AM94" i="61" a="1"/>
  <c r="AM94" i="61" s="1"/>
  <c r="AK94" i="61" a="1"/>
  <c r="AK94" i="61" s="1"/>
  <c r="AI94" i="61" a="1"/>
  <c r="AI94" i="61" s="1"/>
  <c r="AG94" i="61" a="1"/>
  <c r="AG94" i="61" s="1"/>
  <c r="AE94" i="61" a="1"/>
  <c r="AE94" i="61" s="1"/>
  <c r="AC94" i="61" a="1"/>
  <c r="AC94" i="61" s="1"/>
  <c r="AA43" i="61"/>
  <c r="AU42" i="61" a="1"/>
  <c r="AU42" i="61" s="1"/>
  <c r="AS42" i="61" a="1"/>
  <c r="AS42" i="61" s="1"/>
  <c r="AQ42" i="61" a="1"/>
  <c r="AQ42" i="61" s="1"/>
  <c r="AO42" i="61" a="1"/>
  <c r="AO42" i="61" s="1"/>
  <c r="AM42" i="61" a="1"/>
  <c r="AM42" i="61" s="1"/>
  <c r="AK42" i="61" a="1"/>
  <c r="AK42" i="61" s="1"/>
  <c r="AI42" i="61" a="1"/>
  <c r="AI42" i="61" s="1"/>
  <c r="AG42" i="61" a="1"/>
  <c r="AG42" i="61" s="1"/>
  <c r="AE42" i="61" a="1"/>
  <c r="AE42" i="61" s="1"/>
  <c r="AC42" i="61" a="1"/>
  <c r="AC42" i="61" s="1"/>
  <c r="AP42" i="61" a="1"/>
  <c r="AP42" i="61" s="1"/>
  <c r="AH42" i="61" a="1"/>
  <c r="AH42" i="61" s="1"/>
  <c r="AR42" i="61" a="1"/>
  <c r="AR42" i="61" s="1"/>
  <c r="AJ42" i="61" a="1"/>
  <c r="AJ42" i="61" s="1"/>
  <c r="AL42" i="61" a="1"/>
  <c r="AL42" i="61" s="1"/>
  <c r="AV42" i="61" a="1"/>
  <c r="AV42" i="61" s="1"/>
  <c r="AF42" i="61" a="1"/>
  <c r="AF42" i="61" s="1"/>
  <c r="AT42" i="61" a="1"/>
  <c r="AT42" i="61" s="1"/>
  <c r="AD42" i="61" a="1"/>
  <c r="AD42" i="61" s="1"/>
  <c r="AN42" i="61" a="1"/>
  <c r="AN42" i="61" s="1"/>
  <c r="AT56" i="61" a="1"/>
  <c r="AT56" i="61" s="1"/>
  <c r="AO56" i="61" a="1"/>
  <c r="AO56" i="61" s="1"/>
  <c r="AL56" i="61" a="1"/>
  <c r="AL56" i="61" s="1"/>
  <c r="AG56" i="61" a="1"/>
  <c r="AG56" i="61" s="1"/>
  <c r="AD56" i="61" a="1"/>
  <c r="AD56" i="61" s="1"/>
  <c r="AV56" i="61" a="1"/>
  <c r="AV56" i="61" s="1"/>
  <c r="AQ56" i="61" a="1"/>
  <c r="AQ56" i="61" s="1"/>
  <c r="AN56" i="61" a="1"/>
  <c r="AN56" i="61" s="1"/>
  <c r="AI56" i="61" a="1"/>
  <c r="AI56" i="61" s="1"/>
  <c r="AF56" i="61" a="1"/>
  <c r="AF56" i="61" s="1"/>
  <c r="AS56" i="61" a="1"/>
  <c r="AS56" i="61" s="1"/>
  <c r="AP56" i="61" a="1"/>
  <c r="AP56" i="61" s="1"/>
  <c r="AK56" i="61" a="1"/>
  <c r="AK56" i="61" s="1"/>
  <c r="AH56" i="61" a="1"/>
  <c r="AH56" i="61" s="1"/>
  <c r="AC56" i="61" a="1"/>
  <c r="AC56" i="61" s="1"/>
  <c r="AU56" i="61" a="1"/>
  <c r="AU56" i="61" s="1"/>
  <c r="AJ56" i="61" a="1"/>
  <c r="AJ56" i="61" s="1"/>
  <c r="AR56" i="61" a="1"/>
  <c r="AR56" i="61" s="1"/>
  <c r="AE56" i="61" a="1"/>
  <c r="AE56" i="61" s="1"/>
  <c r="AM56" i="61" a="1"/>
  <c r="AM56" i="61" s="1"/>
  <c r="AV121" i="61" a="1"/>
  <c r="AV121" i="61" s="1"/>
  <c r="AT121" i="61" a="1"/>
  <c r="AT121" i="61" s="1"/>
  <c r="AR121" i="61" a="1"/>
  <c r="AR121" i="61" s="1"/>
  <c r="AP121" i="61" a="1"/>
  <c r="AP121" i="61" s="1"/>
  <c r="AN121" i="61" a="1"/>
  <c r="AN121" i="61" s="1"/>
  <c r="AL121" i="61" a="1"/>
  <c r="AL121" i="61" s="1"/>
  <c r="AJ121" i="61" a="1"/>
  <c r="AJ121" i="61" s="1"/>
  <c r="AH121" i="61" a="1"/>
  <c r="AH121" i="61" s="1"/>
  <c r="AF121" i="61" a="1"/>
  <c r="AF121" i="61" s="1"/>
  <c r="AD121" i="61" a="1"/>
  <c r="AD121" i="61" s="1"/>
  <c r="AO121" i="61" a="1"/>
  <c r="AO121" i="61" s="1"/>
  <c r="AQ121" i="61" a="1"/>
  <c r="AQ121" i="61" s="1"/>
  <c r="AI121" i="61" a="1"/>
  <c r="AI121" i="61" s="1"/>
  <c r="AE121" i="61" a="1"/>
  <c r="AE121" i="61" s="1"/>
  <c r="AK121" i="61" a="1"/>
  <c r="AK121" i="61" s="1"/>
  <c r="AG121" i="61" a="1"/>
  <c r="AG121" i="61" s="1"/>
  <c r="AU121" i="61" a="1"/>
  <c r="AU121" i="61" s="1"/>
  <c r="AS121" i="61" a="1"/>
  <c r="AS121" i="61" s="1"/>
  <c r="AM121" i="61" a="1"/>
  <c r="AM121" i="61" s="1"/>
  <c r="AC121" i="61" a="1"/>
  <c r="AC121" i="61" s="1"/>
  <c r="AU69" i="61" a="1"/>
  <c r="AU69" i="61" s="1"/>
  <c r="AS69" i="61" a="1"/>
  <c r="AS69" i="61" s="1"/>
  <c r="AQ69" i="61" a="1"/>
  <c r="AQ69" i="61" s="1"/>
  <c r="AO69" i="61" a="1"/>
  <c r="AO69" i="61" s="1"/>
  <c r="AM69" i="61" a="1"/>
  <c r="AM69" i="61" s="1"/>
  <c r="AK69" i="61" a="1"/>
  <c r="AK69" i="61" s="1"/>
  <c r="AI69" i="61" a="1"/>
  <c r="AI69" i="61" s="1"/>
  <c r="AG69" i="61" a="1"/>
  <c r="AG69" i="61" s="1"/>
  <c r="AE69" i="61" a="1"/>
  <c r="AE69" i="61" s="1"/>
  <c r="AC69" i="61" a="1"/>
  <c r="AC69" i="61" s="1"/>
  <c r="AT69" i="61" a="1"/>
  <c r="AT69" i="61" s="1"/>
  <c r="AL69" i="61" a="1"/>
  <c r="AL69" i="61" s="1"/>
  <c r="AD69" i="61" a="1"/>
  <c r="AD69" i="61" s="1"/>
  <c r="AV69" i="61" a="1"/>
  <c r="AV69" i="61" s="1"/>
  <c r="AN69" i="61" a="1"/>
  <c r="AN69" i="61" s="1"/>
  <c r="AF69" i="61" a="1"/>
  <c r="AF69" i="61" s="1"/>
  <c r="AP69" i="61" a="1"/>
  <c r="AP69" i="61" s="1"/>
  <c r="AH69" i="61" a="1"/>
  <c r="AH69" i="61" s="1"/>
  <c r="AR69" i="61" a="1"/>
  <c r="AR69" i="61" s="1"/>
  <c r="AJ69" i="61" a="1"/>
  <c r="AJ69" i="61" s="1"/>
  <c r="AV146" i="61" a="1"/>
  <c r="AV146" i="61" s="1"/>
  <c r="AT146" i="61" a="1"/>
  <c r="AT146" i="61" s="1"/>
  <c r="AR146" i="61" a="1"/>
  <c r="AR146" i="61" s="1"/>
  <c r="AP146" i="61" a="1"/>
  <c r="AP146" i="61" s="1"/>
  <c r="AN146" i="61" a="1"/>
  <c r="AN146" i="61" s="1"/>
  <c r="AL146" i="61" a="1"/>
  <c r="AL146" i="61" s="1"/>
  <c r="AJ146" i="61" a="1"/>
  <c r="AJ146" i="61" s="1"/>
  <c r="AH146" i="61" a="1"/>
  <c r="AH146" i="61" s="1"/>
  <c r="AF146" i="61" a="1"/>
  <c r="AF146" i="61" s="1"/>
  <c r="AD146" i="61" a="1"/>
  <c r="AD146" i="61" s="1"/>
  <c r="AA147" i="61"/>
  <c r="AU146" i="61" a="1"/>
  <c r="AU146" i="61" s="1"/>
  <c r="AS146" i="61" a="1"/>
  <c r="AS146" i="61" s="1"/>
  <c r="AQ146" i="61" a="1"/>
  <c r="AQ146" i="61" s="1"/>
  <c r="AO146" i="61" a="1"/>
  <c r="AO146" i="61" s="1"/>
  <c r="AM146" i="61" a="1"/>
  <c r="AM146" i="61" s="1"/>
  <c r="AK146" i="61" a="1"/>
  <c r="AK146" i="61" s="1"/>
  <c r="AI146" i="61" a="1"/>
  <c r="AI146" i="61" s="1"/>
  <c r="AG146" i="61" a="1"/>
  <c r="AG146" i="61" s="1"/>
  <c r="AE146" i="61" a="1"/>
  <c r="AE146" i="61" s="1"/>
  <c r="AC146" i="61" a="1"/>
  <c r="AC146" i="61" s="1"/>
  <c r="AU147" i="61" l="1" a="1"/>
  <c r="AU147" i="61" s="1"/>
  <c r="AS147" i="61" a="1"/>
  <c r="AS147" i="61" s="1"/>
  <c r="AQ147" i="61" a="1"/>
  <c r="AQ147" i="61" s="1"/>
  <c r="AO147" i="61" a="1"/>
  <c r="AO147" i="61" s="1"/>
  <c r="AM147" i="61" a="1"/>
  <c r="AM147" i="61" s="1"/>
  <c r="AK147" i="61" a="1"/>
  <c r="AK147" i="61" s="1"/>
  <c r="AI147" i="61" a="1"/>
  <c r="AI147" i="61" s="1"/>
  <c r="AG147" i="61" a="1"/>
  <c r="AG147" i="61" s="1"/>
  <c r="AE147" i="61" a="1"/>
  <c r="AE147" i="61" s="1"/>
  <c r="AC147" i="61" a="1"/>
  <c r="AC147" i="61" s="1"/>
  <c r="AV147" i="61" a="1"/>
  <c r="AV147" i="61" s="1"/>
  <c r="AT147" i="61" a="1"/>
  <c r="AT147" i="61" s="1"/>
  <c r="AR147" i="61" a="1"/>
  <c r="AR147" i="61" s="1"/>
  <c r="AP147" i="61" a="1"/>
  <c r="AP147" i="61" s="1"/>
  <c r="AN147" i="61" a="1"/>
  <c r="AN147" i="61" s="1"/>
  <c r="AL147" i="61" a="1"/>
  <c r="AL147" i="61" s="1"/>
  <c r="AJ147" i="61" a="1"/>
  <c r="AJ147" i="61" s="1"/>
  <c r="AH147" i="61" a="1"/>
  <c r="AH147" i="61" s="1"/>
  <c r="AF147" i="61" a="1"/>
  <c r="AF147" i="61" s="1"/>
  <c r="AD147" i="61" a="1"/>
  <c r="AD147" i="61" s="1"/>
  <c r="AU173" i="61" a="1"/>
  <c r="AU173" i="61" s="1"/>
  <c r="AS173" i="61" a="1"/>
  <c r="AS173" i="61" s="1"/>
  <c r="AQ173" i="61" a="1"/>
  <c r="AQ173" i="61" s="1"/>
  <c r="AO173" i="61" a="1"/>
  <c r="AO173" i="61" s="1"/>
  <c r="AM173" i="61" a="1"/>
  <c r="AM173" i="61" s="1"/>
  <c r="AK173" i="61" a="1"/>
  <c r="AK173" i="61" s="1"/>
  <c r="AI173" i="61" a="1"/>
  <c r="AI173" i="61" s="1"/>
  <c r="AG173" i="61" a="1"/>
  <c r="AG173" i="61" s="1"/>
  <c r="AE173" i="61" a="1"/>
  <c r="AE173" i="61" s="1"/>
  <c r="AC173" i="61" a="1"/>
  <c r="AC173" i="61" s="1"/>
  <c r="AV173" i="61" a="1"/>
  <c r="AV173" i="61" s="1"/>
  <c r="AN173" i="61" a="1"/>
  <c r="AN173" i="61" s="1"/>
  <c r="AF173" i="61" a="1"/>
  <c r="AF173" i="61" s="1"/>
  <c r="AR173" i="61" a="1"/>
  <c r="AR173" i="61" s="1"/>
  <c r="AJ173" i="61" a="1"/>
  <c r="AJ173" i="61" s="1"/>
  <c r="AT173" i="61" a="1"/>
  <c r="AT173" i="61" s="1"/>
  <c r="AL173" i="61" a="1"/>
  <c r="AL173" i="61" s="1"/>
  <c r="AD173" i="61" a="1"/>
  <c r="AD173" i="61" s="1"/>
  <c r="AH173" i="61" a="1"/>
  <c r="AH173" i="61" s="1"/>
  <c r="AP173" i="61" a="1"/>
  <c r="AP173" i="61" s="1"/>
  <c r="AU17" i="61" a="1"/>
  <c r="AU17" i="61" s="1"/>
  <c r="AS17" i="61" a="1"/>
  <c r="AS17" i="61" s="1"/>
  <c r="AQ17" i="61" a="1"/>
  <c r="AQ17" i="61" s="1"/>
  <c r="AO17" i="61" a="1"/>
  <c r="AO17" i="61" s="1"/>
  <c r="AM17" i="61" a="1"/>
  <c r="AM17" i="61" s="1"/>
  <c r="AK17" i="61" a="1"/>
  <c r="AK17" i="61" s="1"/>
  <c r="AI17" i="61" a="1"/>
  <c r="AI17" i="61" s="1"/>
  <c r="AG17" i="61" a="1"/>
  <c r="AG17" i="61" s="1"/>
  <c r="AE17" i="61" a="1"/>
  <c r="AE17" i="61" s="1"/>
  <c r="AC17" i="61" a="1"/>
  <c r="AC17" i="61" s="1"/>
  <c r="AV17" i="61" a="1"/>
  <c r="AV17" i="61" s="1"/>
  <c r="AT17" i="61" a="1"/>
  <c r="AT17" i="61" s="1"/>
  <c r="AR17" i="61" a="1"/>
  <c r="AR17" i="61" s="1"/>
  <c r="AP17" i="61" a="1"/>
  <c r="AP17" i="61" s="1"/>
  <c r="AN17" i="61" a="1"/>
  <c r="AN17" i="61" s="1"/>
  <c r="AL17" i="61" a="1"/>
  <c r="AL17" i="61" s="1"/>
  <c r="AJ17" i="61" a="1"/>
  <c r="AJ17" i="61" s="1"/>
  <c r="AH17" i="61" a="1"/>
  <c r="AH17" i="61" s="1"/>
  <c r="AF17" i="61" a="1"/>
  <c r="AF17" i="61" s="1"/>
  <c r="AD17" i="61" a="1"/>
  <c r="AD17" i="61" s="1"/>
  <c r="AU95" i="61" a="1"/>
  <c r="AU95" i="61" s="1"/>
  <c r="AS95" i="61" a="1"/>
  <c r="AS95" i="61" s="1"/>
  <c r="AQ95" i="61" a="1"/>
  <c r="AQ95" i="61" s="1"/>
  <c r="AO95" i="61" a="1"/>
  <c r="AO95" i="61" s="1"/>
  <c r="AM95" i="61" a="1"/>
  <c r="AM95" i="61" s="1"/>
  <c r="AK95" i="61" a="1"/>
  <c r="AK95" i="61" s="1"/>
  <c r="AI95" i="61" a="1"/>
  <c r="AI95" i="61" s="1"/>
  <c r="AG95" i="61" a="1"/>
  <c r="AG95" i="61" s="1"/>
  <c r="AE95" i="61" a="1"/>
  <c r="AE95" i="61" s="1"/>
  <c r="AC95" i="61" a="1"/>
  <c r="AC95" i="61" s="1"/>
  <c r="AV95" i="61" a="1"/>
  <c r="AV95" i="61" s="1"/>
  <c r="AT95" i="61" a="1"/>
  <c r="AT95" i="61" s="1"/>
  <c r="AR95" i="61" a="1"/>
  <c r="AR95" i="61" s="1"/>
  <c r="AP95" i="61" a="1"/>
  <c r="AP95" i="61" s="1"/>
  <c r="AN95" i="61" a="1"/>
  <c r="AN95" i="61" s="1"/>
  <c r="AL95" i="61" a="1"/>
  <c r="AL95" i="61" s="1"/>
  <c r="AJ95" i="61" a="1"/>
  <c r="AJ95" i="61" s="1"/>
  <c r="AH95" i="61" a="1"/>
  <c r="AH95" i="61" s="1"/>
  <c r="AF95" i="61" a="1"/>
  <c r="AF95" i="61" s="1"/>
  <c r="AD95" i="61" a="1"/>
  <c r="AD95" i="61" s="1"/>
  <c r="AV43" i="61" a="1"/>
  <c r="AV43" i="61" s="1"/>
  <c r="AT43" i="61" a="1"/>
  <c r="AT43" i="61" s="1"/>
  <c r="AR43" i="61" a="1"/>
  <c r="AR43" i="61" s="1"/>
  <c r="AP43" i="61" a="1"/>
  <c r="AP43" i="61" s="1"/>
  <c r="AN43" i="61" a="1"/>
  <c r="AN43" i="61" s="1"/>
  <c r="AL43" i="61" a="1"/>
  <c r="AL43" i="61" s="1"/>
  <c r="AJ43" i="61" a="1"/>
  <c r="AJ43" i="61" s="1"/>
  <c r="AH43" i="61" a="1"/>
  <c r="AH43" i="61" s="1"/>
  <c r="AF43" i="61" a="1"/>
  <c r="AF43" i="61" s="1"/>
  <c r="AD43" i="61" a="1"/>
  <c r="AD43" i="61" s="1"/>
  <c r="AS43" i="61" a="1"/>
  <c r="AS43" i="61" s="1"/>
  <c r="AK43" i="61" a="1"/>
  <c r="AK43" i="61" s="1"/>
  <c r="AC43" i="61" a="1"/>
  <c r="AC43" i="61" s="1"/>
  <c r="AU43" i="61" a="1"/>
  <c r="AU43" i="61" s="1"/>
  <c r="AM43" i="61" a="1"/>
  <c r="AM43" i="61" s="1"/>
  <c r="AE43" i="61" a="1"/>
  <c r="AE43" i="61" s="1"/>
  <c r="AG43" i="61" a="1"/>
  <c r="AG43" i="61" s="1"/>
  <c r="AQ43" i="61" a="1"/>
  <c r="AQ43" i="61" s="1"/>
  <c r="AO43" i="61" a="1"/>
  <c r="AO43" i="61" s="1"/>
  <c r="AI43" i="61" a="1"/>
  <c r="AI43" i="61" s="1"/>
  <c r="AV134" i="61" a="1"/>
  <c r="AV134" i="61" s="1"/>
  <c r="AQ134" i="61" a="1"/>
  <c r="AQ134" i="61" s="1"/>
  <c r="AN134" i="61" a="1"/>
  <c r="AN134" i="61" s="1"/>
  <c r="AI134" i="61" a="1"/>
  <c r="AI134" i="61" s="1"/>
  <c r="AF134" i="61" a="1"/>
  <c r="AF134" i="61" s="1"/>
  <c r="AS134" i="61" a="1"/>
  <c r="AS134" i="61" s="1"/>
  <c r="AP134" i="61" a="1"/>
  <c r="AP134" i="61" s="1"/>
  <c r="AK134" i="61" a="1"/>
  <c r="AK134" i="61" s="1"/>
  <c r="AH134" i="61" a="1"/>
  <c r="AH134" i="61" s="1"/>
  <c r="AC134" i="61" a="1"/>
  <c r="AC134" i="61" s="1"/>
  <c r="AU134" i="61" a="1"/>
  <c r="AU134" i="61" s="1"/>
  <c r="AR134" i="61" a="1"/>
  <c r="AR134" i="61" s="1"/>
  <c r="AM134" i="61" a="1"/>
  <c r="AM134" i="61" s="1"/>
  <c r="AJ134" i="61" a="1"/>
  <c r="AJ134" i="61" s="1"/>
  <c r="AE134" i="61" a="1"/>
  <c r="AE134" i="61" s="1"/>
  <c r="AL134" i="61" a="1"/>
  <c r="AL134" i="61" s="1"/>
  <c r="AT134" i="61" a="1"/>
  <c r="AT134" i="61" s="1"/>
  <c r="AG134" i="61" a="1"/>
  <c r="AG134" i="61" s="1"/>
  <c r="AO134" i="61" a="1"/>
  <c r="AO134" i="61" s="1"/>
  <c r="AD134" i="61" a="1"/>
  <c r="AD134" i="6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<sst xmlns="http://schemas.openxmlformats.org/spreadsheetml/2006/main" count="3783" uniqueCount="189">
  <si>
    <t>NE Lys</t>
  </si>
  <si>
    <t>SE Lys</t>
  </si>
  <si>
    <t>NE</t>
  </si>
  <si>
    <t>SE</t>
  </si>
  <si>
    <t>Depth</t>
  </si>
  <si>
    <t>Year</t>
  </si>
  <si>
    <t>Depth (cm)</t>
  </si>
  <si>
    <t>Water content</t>
  </si>
  <si>
    <t>SHEET NAME</t>
  </si>
  <si>
    <t>CONTENTS</t>
  </si>
  <si>
    <t>Summary data of soil profile water content in mm for each tube and date of neutron probe reading for the entire season.</t>
  </si>
  <si>
    <t>Graphs of the water content profile for all dates when data were taken with one graph for each neutron probe access tube. Also contain summary data of profile water content at each tube location for each date when data were taken.</t>
  </si>
  <si>
    <t>Data in this spreadsheet are the result of a team effort at the USDA-ARS Conservation &amp; Production Research Laboratory, Soil and Water Management Research Unit (SWMRU).</t>
  </si>
  <si>
    <t>The scientists responsible for collecting these data, calibrating the instruments, quality control and data analysis are:</t>
  </si>
  <si>
    <t>Author</t>
  </si>
  <si>
    <t>Steven R. Evett, Research Soil Scientist (point of contact and responsible for this spreadsheet), Steve.Evett@usda.gov, 806-356-5775, srevett1948@gmail.com</t>
  </si>
  <si>
    <t>Paul D. Colaizzi, Research Agricultural Engineer, paul.colaizzi@usda.gov</t>
  </si>
  <si>
    <t>Karen S. Copeland, Soil Scientist, Karen.Copeland@usda.gov, 806-356-5735</t>
  </si>
  <si>
    <t>Brice B. Ruthardt, Biological Scientist, Brice.Ruthardt@usda.gov, 806-356-5780</t>
  </si>
  <si>
    <t>All are  or were employed in the</t>
  </si>
  <si>
    <t>USDA-ARS Conservation &amp; Production Research Laboratory</t>
  </si>
  <si>
    <t>300 Simmons Road, Unit 10</t>
  </si>
  <si>
    <t>Bushland, Texas 79012 USA</t>
  </si>
  <si>
    <t>Persons using these data for scientific research and publication are responsible for:</t>
  </si>
  <si>
    <r>
      <t xml:space="preserve">1. Contacting </t>
    </r>
    <r>
      <rPr>
        <b/>
        <sz val="11"/>
        <color rgb="FF000000"/>
        <rFont val="Calibri"/>
        <family val="2"/>
      </rPr>
      <t>all</t>
    </r>
    <r>
      <rPr>
        <sz val="11"/>
        <color rgb="FF000000"/>
        <rFont val="Calibri"/>
        <family val="2"/>
      </rPr>
      <t xml:space="preserve"> the scientists listed above and obtaining approval to use the data, </t>
    </r>
  </si>
  <si>
    <t xml:space="preserve">2. Inviting them to be involved in said research, and </t>
  </si>
  <si>
    <t>3. Inviting them to be involved as coauthors in the data analysis, drafting and critical review of any publications resulting from the research.</t>
  </si>
  <si>
    <t xml:space="preserve">Data contained herein are from experiments in the large weighing lysimeter fields at Bushland, Texas. Neutron count measurements were taken using a model 503DR1.5 HydroProbe manufactured by Campbell Pacific Nuclear, a division of Instrotek, Inc., Concord, California. Soil horizon-specific calibrations were established at field sites using methods described by Evett (2003) and Evett et al. (2008). </t>
  </si>
  <si>
    <t>REFERENCES:</t>
  </si>
  <si>
    <t>Evett, S.R. and J.L. Steiner. 1995. Precision of neutron scattering and capacitance type soil water content gauges from field calibration. Soil Sci. Soc. Am. J. 59(4):961-968. https://doi.org/10.2136/sssaj1995.03615995005900040001x</t>
  </si>
  <si>
    <t>Evett, S.R. 2003a. Soil Water Measurement by Neutron Thermalization. In B.A. Stewart and Terry A. Howell (editors). Encyclopedia of Water Science, Marcel Dekker, Inc. New York. Pp. 889-893.</t>
  </si>
  <si>
    <t>Evett, S.R., J.A. Tolk, and T.A. Howell. 2003b. A depth control stand for improved accuracy with the neutron probe. Vadose Zone J. 2(4): 642–649. https://doi.org/10.2136/vzj2003.6420</t>
  </si>
  <si>
    <t>Evett, S.R., L.K. Heng, P. Moutonnet and M.L. Nguyen. 2008. Field Estimation of Soil Water Content: A Practical Guide to Methods, Instrumentation, and Sensor Technology. 131 pp. IAEA-TCS-30. International Atomic Energy Agency, Vienna, Austria. ISSN 1018–5518. Available at http://www-pub.iaea.org/mtcd/publications/PubDetails.asp?pubId=7801</t>
  </si>
  <si>
    <t>CONVENTION</t>
  </si>
  <si>
    <t>EXPLANATION</t>
  </si>
  <si>
    <t>Water content data are in units of volume per unit volume of soil (m3/m3). The neutron probe was used to take readings of neutron counts at each depth in each access tube and to take standard count and Chi ratio statistics with the neutron probe locked within its shield, which was mounted on top of a depth control stand (Evett et al., 2003b). Count ratio data (count divided by long-term mean of standard counts) were converted to water content data using calibrations done in the field as described Evett and Steiner (1995) and Evett et al. (2003a, 2008). Methods for calibration and use of the neutron probe are given in the references (Evett et al., 2003a, 2008). The data have several significant digits after the decimal point but there are only approximately three significant digits after the decimal point. Accuracy of the 10-cm data were improved by use of a depth control stand and a separate calibration for that depth.</t>
  </si>
  <si>
    <t>Depths shown are the center depths of sensing with the neutron probe</t>
  </si>
  <si>
    <t>Porosity</t>
  </si>
  <si>
    <t>Soil porosity by depth as determined from prior research that determined soil bulk density and porosity values by depth. The porosity is the air-filled pore space as a volume fraction of a unit soil volume when the soil is completely dry. Calculated from dry bulk density (BD, Mg/m3) as: Porosity = 1 - BD/2.65, where 2.65 is the particle density (Mg/m3) of quartz sand. The porosity represents a quality control limit to soil water content data. Soil water content should not be larger than porosity. Notwithstanding its use as a limit, in the case of swelling soils the water content at saturation can be somewhat larger than the porosity that is calculated from dry bulk density.</t>
  </si>
  <si>
    <t>SYMBOL</t>
  </si>
  <si>
    <t>MEANING</t>
  </si>
  <si>
    <t>DAP</t>
  </si>
  <si>
    <t>Days after planting</t>
  </si>
  <si>
    <t>DOY</t>
  </si>
  <si>
    <t>day of year. January 1 is DOY 1, February 1 is DOY 32, etc.</t>
  </si>
  <si>
    <t>FC</t>
  </si>
  <si>
    <t>Soil profile water content in mm</t>
  </si>
  <si>
    <t>MAD</t>
  </si>
  <si>
    <t>Profile water content in mm at management allowed depletion</t>
  </si>
  <si>
    <t>northeast. Refers to NE field and weighing lysimeter</t>
  </si>
  <si>
    <t>PWP</t>
  </si>
  <si>
    <t>Profile water content in mm at permanent wilting point</t>
  </si>
  <si>
    <t>southeast. Refers to SE field and weighing lysimeter</t>
  </si>
  <si>
    <t>SW</t>
  </si>
  <si>
    <t>southwest. Refers to SW field and weighing lysimeter</t>
  </si>
  <si>
    <t>NW</t>
  </si>
  <si>
    <t>northwest. Refers to NW field and weighing lysimeter</t>
  </si>
  <si>
    <t>Fld</t>
  </si>
  <si>
    <t>field</t>
  </si>
  <si>
    <t>Lys</t>
  </si>
  <si>
    <t>lysimeter</t>
  </si>
  <si>
    <t>SDI</t>
  </si>
  <si>
    <t>Subsurface drip irrigation</t>
  </si>
  <si>
    <t>MESA</t>
  </si>
  <si>
    <t>Mid elevation spray application</t>
  </si>
  <si>
    <t>ΔS</t>
  </si>
  <si>
    <t>Change in mm of profile water storage from one neutron probe reading date to another neutron probe reading date</t>
  </si>
  <si>
    <t>PLANT &amp; HARVEST</t>
  </si>
  <si>
    <t>DAY OF YEAR</t>
  </si>
  <si>
    <t>Planted</t>
  </si>
  <si>
    <t>Harvested</t>
  </si>
  <si>
    <t>Spreadsheet tab</t>
  </si>
  <si>
    <t>Element or value display name</t>
  </si>
  <si>
    <t>Description</t>
  </si>
  <si>
    <t>Data type</t>
  </si>
  <si>
    <t>Character length</t>
  </si>
  <si>
    <t>Acceptable values</t>
  </si>
  <si>
    <t>Required?</t>
  </si>
  <si>
    <t>Accepts null value?</t>
  </si>
  <si>
    <t>Date</t>
  </si>
  <si>
    <t>Date in yyyy-mm-dd format</t>
  </si>
  <si>
    <t>Yes</t>
  </si>
  <si>
    <t>No</t>
  </si>
  <si>
    <t>integer</t>
  </si>
  <si>
    <t>Serial day of the year beginning with 1 for January 1.</t>
  </si>
  <si>
    <t>1 to 366</t>
  </si>
  <si>
    <t>Storage in top 1.5 m of soil in NE Lys</t>
  </si>
  <si>
    <t>Water in mm stored in top 1.5 m of soil in NE Lys</t>
  </si>
  <si>
    <t>decimal</t>
  </si>
  <si>
    <t>Yes, #N/A</t>
  </si>
  <si>
    <t>Storage in top 1.5 m of soil in NE Field</t>
  </si>
  <si>
    <t>Water in mm stored in top 1.5 m of soil in NE Field</t>
  </si>
  <si>
    <t>Storage in top 1.5 m of soil in SE Lys</t>
  </si>
  <si>
    <t>Water in mm stored in top 1.5 m of soil in SE Lys</t>
  </si>
  <si>
    <t>Storage in top 1.5 m of soil in SE Field</t>
  </si>
  <si>
    <t>Water in mm stored in top 1.5 m of soil in SE Field</t>
  </si>
  <si>
    <t>Water in mm stored in top 1.5 m of soil at field capacity</t>
  </si>
  <si>
    <t>Water in mm stored in top 1.5 m of soil at permanent wilting point</t>
  </si>
  <si>
    <t>Water in mm stored in top 1.5 m of soil at management allowed depletion</t>
  </si>
  <si>
    <t>Storage in top 2.4 m of NE field tubes 1-2</t>
  </si>
  <si>
    <t>Water in mm stored in top 2.4 m of NE field tubes 1-2</t>
  </si>
  <si>
    <t>Storage in top 2.4 m of NE field tubes 3-4</t>
  </si>
  <si>
    <t>Water in mm stored in top 2.4 m of NE field tubes 3-4</t>
  </si>
  <si>
    <t>Water (mm) stored in top 1.5 m of soil in NE Lys</t>
  </si>
  <si>
    <t>Water (mm) stored in top 1.5 m of soil in NE Field</t>
  </si>
  <si>
    <t>Water (mm) stored in top 1.5 m of soil in SE Lys</t>
  </si>
  <si>
    <t>Water (mm) stored in top 1.5 m of soil in SE Field</t>
  </si>
  <si>
    <t>Water stored (mm) in top 2.4 m of NE field tubes 1-2</t>
  </si>
  <si>
    <t>Water stored (mm) in top 2.4 m of NE field tubes 3-4</t>
  </si>
  <si>
    <t>year - yyyy</t>
  </si>
  <si>
    <t>date - year/month/day preferably ISO 8601: yyyy-mm-dd</t>
  </si>
  <si>
    <t>Time</t>
  </si>
  <si>
    <t>Depth in cm</t>
  </si>
  <si>
    <t>Center depth in cm below the soil surface of soil water content sensing</t>
  </si>
  <si>
    <t>Tube no.</t>
  </si>
  <si>
    <t>Number of the access tube in which the neutron probe was used to sense water content. The tube map gives the relative tube locations in the lysimeters and in the fields surrounding the lysimeters.</t>
  </si>
  <si>
    <t>1 to 20</t>
  </si>
  <si>
    <t>VWC</t>
  </si>
  <si>
    <t>Soil volumetric water content. This is a unitless fraction.</t>
  </si>
  <si>
    <t>Zero to &lt;1</t>
  </si>
  <si>
    <t>Location</t>
  </si>
  <si>
    <t>Indicates wether the access tube was in the field, indicated by Fld, or in a lysimeter, indicated by Lys, and what field it was in as indicated by the four intercardinal directions NW, SW, NE, and SE.</t>
  </si>
  <si>
    <t>varchar(6)</t>
  </si>
  <si>
    <t>NE Fld</t>
  </si>
  <si>
    <t>SE Fld</t>
  </si>
  <si>
    <t>Porosity (m3/m3)</t>
  </si>
  <si>
    <t>tube no.</t>
  </si>
  <si>
    <t>Planted corn on 22-23 May 2013, DOY 142-143</t>
  </si>
  <si>
    <t>Harvested 23 October 2013, DOY 296</t>
  </si>
  <si>
    <t>Storage in top 2.4 m of NE field tubes 7-8</t>
  </si>
  <si>
    <t>Water in mm stored in top 2.4 m of NE field tubes 7-8</t>
  </si>
  <si>
    <t>Storage in top 2.4 m of NE field tubes 9-10</t>
  </si>
  <si>
    <t>Water in mm stored in top 2.4 m of NE field tubes 9-10</t>
  </si>
  <si>
    <t>Storage in top 2.4 m of SE field tubes 11-12</t>
  </si>
  <si>
    <t>Water in mm stored in top 2.4 m of SE field tubes 11-12</t>
  </si>
  <si>
    <t>Storage in top 2.4 m of SE field tubes 13-14</t>
  </si>
  <si>
    <t>Water in mm stored in top 2.4 m of SE field tubes 13-14</t>
  </si>
  <si>
    <t>Storage in top 2.4 m of SE field tubes 17-18</t>
  </si>
  <si>
    <t>Water in mm stored in top 2.4 m of SE field tubes 17-18</t>
  </si>
  <si>
    <t>Storage in top 2.4 m of SE field tubes 19-20</t>
  </si>
  <si>
    <t>Water in mm stored in top 2.4 m of SE field tubes 19-20</t>
  </si>
  <si>
    <t>Water stored (mm) in top 2.4 m of NE field tubes 7-8</t>
  </si>
  <si>
    <t>Water stored (mm) in top 2.4 m of NE field tubes 9-10</t>
  </si>
  <si>
    <t>Water stored (mm) in top 2.4 m of SE field tubes 11-12</t>
  </si>
  <si>
    <t>Water stored (mm) in top 2.4 m of SE field tubes 13-14</t>
  </si>
  <si>
    <t>Water stored (mm) in top 2.4 m of SE field tubes 17-18</t>
  </si>
  <si>
    <t>Water stored (mm) in top 2.4 m of SE field tubes 19-20</t>
  </si>
  <si>
    <t>Time of day in hh:mm format</t>
  </si>
  <si>
    <t>time: hh:mm</t>
  </si>
  <si>
    <t>0 to 24:00</t>
  </si>
  <si>
    <t>Day of year</t>
  </si>
  <si>
    <t>VLOOKUP TABLE</t>
  </si>
  <si>
    <t>Copy columns aw and ax to bm and bn, then sort to eliminate blank lines.</t>
  </si>
  <si>
    <t>VLOOKUP TABLE will find values</t>
  </si>
  <si>
    <t>Water stored (mm) in top 2.0 m of NE Lys tubes 5-6</t>
  </si>
  <si>
    <t>Water stored (mm) in top 2.0 m of SE Lys tubes 15-16</t>
  </si>
  <si>
    <t>Storage in top 2.0 m of NE Lys tubes 5-6</t>
  </si>
  <si>
    <t>Water in mm stored in top 2.0 m of NE Lys tubes 5-6</t>
  </si>
  <si>
    <t>Water in mm stored in top 2.0 m of SE Lys tubes 15-16</t>
  </si>
  <si>
    <t>Storage in top 2.0 m of SE Lys tubes 15-16</t>
  </si>
  <si>
    <t>2013 E Maize VWC Introduction</t>
  </si>
  <si>
    <t>Explanation of sheet names and contents, authors of the data, key references to methods, symbols, conventions, where VWC stands for volumetric water content.</t>
  </si>
  <si>
    <t>2013 E Maize Profile WC</t>
  </si>
  <si>
    <t>Dic. 2013 E Maize Profile WC</t>
  </si>
  <si>
    <t>Soil water content (vol/vol) for each date of reading and each depth of reading in each access tube.</t>
  </si>
  <si>
    <t>2013 E Maize Soil VWC</t>
  </si>
  <si>
    <t>Dic. 2013 E Maize Soil VWC</t>
  </si>
  <si>
    <t>Data dictionary for sheet or CSV file named "2013 E Maize Soil VWC"</t>
  </si>
  <si>
    <t>2013 E Maize VWC Graphs</t>
  </si>
  <si>
    <t>Tube number</t>
  </si>
  <si>
    <t>Number of the access tube in which the neutron probe was used to sense water content.</t>
  </si>
  <si>
    <t>alphanumeric</t>
  </si>
  <si>
    <t>variable</t>
  </si>
  <si>
    <t>Latitude</t>
  </si>
  <si>
    <t>The latitude of the access tube in decimal degress</t>
  </si>
  <si>
    <t>Longitude</t>
  </si>
  <si>
    <t>The longitude of the access tube in decimal degrees</t>
  </si>
  <si>
    <t>2013 E Maize Tube Map</t>
  </si>
  <si>
    <t>Dic. 2013 E Maize Tube Map</t>
  </si>
  <si>
    <t>Mapping of tube locations within each field and lysimeter by latitude and longitude</t>
  </si>
  <si>
    <t>Data dictionary for sheet or CSV file named "2013 E Maize Tube Map"</t>
  </si>
  <si>
    <t>Volumetric water content in units of volume of water per unit volume of soil.</t>
  </si>
  <si>
    <t>WC</t>
  </si>
  <si>
    <t>Soil profile water content. Also known as soil profile water storage. Units are typically in depth of water, e.g., mm, in a soil profile from the soil surface to a defined depth.</t>
  </si>
  <si>
    <t>Data dictionary for sheet or CSV file named "2013 E Maize Profile WC" where WC stands for depth of water in a soil profile of defined depth.</t>
  </si>
  <si>
    <t>latitude</t>
  </si>
  <si>
    <t>longitude</t>
  </si>
  <si>
    <t>1 through 20</t>
  </si>
  <si>
    <t>Location of the access tube given as in the northeast (NE) field, NE lysimeter (NE Lys), southeast (SE) field, or SE lysimeter (SE Lys); northwest (NW) field, NW lysimeter (NW Lys), southwest (SW) field, or SW lysimeter (SW Lys)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</si>
</sst>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yyyy\-mm\-dd;@"/>
    <numFmt numFmtId="166" formatCode="h:mm;@"/>
  </numFmts>
  <fonts count="9" x14ac:knownFonts="1">
    <font>
      <sz val="10"/>
      <name val="Arial"/>
    </font>
    <font>
      <b/>
      <sz val="10"/>
      <name val="Arial"/>
      <family val="2"/>
    </font>
    <font>
      <sz val="10"/>
      <name val="Arial"/>
      <family val="2"/>
    </font>
    <font>
      <sz val="11"/>
      <name val="Calibri"/>
      <family val="2"/>
    </font>
    <font>
      <sz val="14"/>
      <color rgb="FF000000"/>
      <name val="Calibri"/>
      <family val="2"/>
    </font>
    <font>
      <sz val="11"/>
      <color rgb="FF000000"/>
      <name val="Calibri"/>
      <family val="2"/>
    </font>
    <font>
      <b/>
      <sz val="11"/>
      <color rgb="FF000000"/>
      <name val="Calibri"/>
      <family val="2"/>
    </font>
    <font>
      <b/>
      <sz val="11"/>
      <color rgb="FF000000"/>
      <name val="Arial"/>
      <family val="2"/>
    </font>
    <font>
      <sz val="11"/>
      <name val="Arial"/>
      <family val="2"/>
    </font>
  </fonts>
  <fills count="4">
    <fill>
      <patternFill patternType="none"/>
    </fill>
    <fill>
      <patternFill patternType="gray125"/>
    </fill>
    <fill>
      <patternFill patternType="solid">
        <fgColor rgb="FF92D050"/>
        <bgColor indexed="64"/>
      </patternFill>
    </fill>
    <fill>
      <patternFill patternType="solid">
        <fgColor rgb="FFEFEFEF"/>
        <bgColor rgb="FFEFEFE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4">
    <xf numFmtId="0" fontId="0" fillId="0" borderId="0"/>
    <xf numFmtId="0" fontId="2" fillId="0" borderId="0"/>
    <xf numFmtId="0" fontId="2" fillId="0" borderId="0"/>
    <xf numFmtId="0" fontId="2" fillId="0" borderId="0"/>
  </cellStyleXfs>
  <cellXfs count="41">
    <xf numFmtId="0" fontId="0" fillId="0" borderId="0" xfId="0"/>
    <xf numFmtId="0" fontId="0" fillId="0" borderId="0" xfId="0" applyAlignment="1">
      <alignment wrapText="1"/>
    </xf>
    <xf numFmtId="0" fontId="2" fillId="0" borderId="0" xfId="0" applyFont="1" applyAlignment="1">
      <alignment wrapText="1"/>
    </xf>
    <xf numFmtId="0" fontId="2" fillId="0" borderId="0" xfId="1" applyAlignment="1">
      <alignment vertical="top"/>
    </xf>
    <xf numFmtId="0" fontId="2" fillId="0" borderId="0" xfId="1"/>
    <xf numFmtId="0" fontId="4" fillId="0" borderId="0" xfId="1" applyFont="1" applyAlignment="1">
      <alignment horizontal="left" vertical="center" readingOrder="1"/>
    </xf>
    <xf numFmtId="0" fontId="5" fillId="0" borderId="0" xfId="1" applyFont="1" applyAlignment="1">
      <alignment horizontal="left" vertical="center" readingOrder="1"/>
    </xf>
    <xf numFmtId="0" fontId="3" fillId="0" borderId="0" xfId="1" applyFont="1" applyAlignment="1">
      <alignment vertical="center" readingOrder="1"/>
    </xf>
    <xf numFmtId="14" fontId="2" fillId="0" borderId="0" xfId="1" applyNumberFormat="1" applyAlignment="1">
      <alignment horizontal="left"/>
    </xf>
    <xf numFmtId="0" fontId="2" fillId="0" borderId="0" xfId="1" applyAlignment="1">
      <alignment horizontal="left"/>
    </xf>
    <xf numFmtId="0" fontId="7" fillId="3" borderId="1" xfId="1" applyFont="1" applyFill="1" applyBorder="1" applyAlignment="1">
      <alignment vertical="top" wrapText="1"/>
    </xf>
    <xf numFmtId="0" fontId="2" fillId="0" borderId="0" xfId="1" applyAlignment="1">
      <alignment wrapText="1"/>
    </xf>
    <xf numFmtId="0" fontId="5" fillId="0" borderId="0" xfId="1" applyFont="1" applyAlignment="1">
      <alignment vertical="center" wrapText="1"/>
    </xf>
    <xf numFmtId="164" fontId="2" fillId="0" borderId="0" xfId="1" applyNumberFormat="1" applyAlignment="1">
      <alignment horizontal="left"/>
    </xf>
    <xf numFmtId="0" fontId="2" fillId="0" borderId="0" xfId="1" applyAlignment="1">
      <alignment horizontal="center"/>
    </xf>
    <xf numFmtId="14" fontId="2" fillId="0" borderId="0" xfId="1" applyNumberFormat="1"/>
    <xf numFmtId="166" fontId="2" fillId="0" borderId="0" xfId="1" applyNumberFormat="1"/>
    <xf numFmtId="164" fontId="2" fillId="0" borderId="0" xfId="1" applyNumberFormat="1" applyAlignment="1">
      <alignment horizontal="center"/>
    </xf>
    <xf numFmtId="164" fontId="2" fillId="0" borderId="0" xfId="1" applyNumberFormat="1"/>
    <xf numFmtId="0" fontId="5" fillId="0" borderId="0" xfId="1" applyFont="1" applyAlignment="1">
      <alignment vertical="center"/>
    </xf>
    <xf numFmtId="165" fontId="2" fillId="0" borderId="0" xfId="1" applyNumberFormat="1"/>
    <xf numFmtId="0" fontId="8" fillId="0" borderId="0" xfId="0" applyFont="1" applyAlignment="1">
      <alignment wrapText="1"/>
    </xf>
    <xf numFmtId="0" fontId="2" fillId="0" borderId="0" xfId="1" applyNumberFormat="1"/>
    <xf numFmtId="0" fontId="2" fillId="0" borderId="0" xfId="1" applyNumberFormat="1" applyAlignment="1">
      <alignment horizontal="center"/>
    </xf>
    <xf numFmtId="0" fontId="2" fillId="2" borderId="0" xfId="1" applyFill="1"/>
    <xf numFmtId="0" fontId="2" fillId="0" borderId="0" xfId="1" applyFill="1" applyAlignment="1">
      <alignment horizontal="center"/>
    </xf>
    <xf numFmtId="165" fontId="2" fillId="0" borderId="0" xfId="1" applyNumberFormat="1" applyFill="1"/>
    <xf numFmtId="166" fontId="2" fillId="0" borderId="0" xfId="1" applyNumberFormat="1" applyFill="1"/>
    <xf numFmtId="0" fontId="2" fillId="0" borderId="0" xfId="1" applyNumberFormat="1" applyFill="1" applyAlignment="1">
      <alignment horizontal="center"/>
    </xf>
    <xf numFmtId="164" fontId="2" fillId="0" borderId="0" xfId="1" applyNumberFormat="1" applyFill="1" applyAlignment="1">
      <alignment horizontal="center"/>
    </xf>
    <xf numFmtId="0" fontId="2" fillId="0" borderId="0" xfId="1" applyFill="1"/>
    <xf numFmtId="0" fontId="2" fillId="0" borderId="0" xfId="2"/>
    <xf numFmtId="0" fontId="7" fillId="3" borderId="1" xfId="2" applyFont="1" applyFill="1" applyBorder="1" applyAlignment="1">
      <alignment vertical="top" wrapText="1"/>
    </xf>
    <xf numFmtId="0" fontId="2" fillId="0" borderId="0" xfId="2" applyAlignment="1">
      <alignment vertical="top"/>
    </xf>
    <xf numFmtId="0" fontId="1" fillId="0" borderId="0" xfId="2" applyFont="1" applyAlignment="1">
      <alignment horizontal="center" vertical="top" wrapText="1"/>
    </xf>
    <xf numFmtId="0" fontId="2" fillId="0" borderId="0" xfId="2" applyAlignment="1">
      <alignment vertical="top" wrapText="1"/>
    </xf>
    <xf numFmtId="0" fontId="1" fillId="0" borderId="0" xfId="2" applyFont="1" applyAlignment="1">
      <alignment wrapText="1"/>
    </xf>
    <xf numFmtId="0" fontId="1" fillId="0" borderId="0" xfId="2" applyFont="1" applyAlignment="1">
      <alignment horizontal="center" wrapText="1"/>
    </xf>
    <xf numFmtId="0" fontId="2" fillId="0" borderId="0" xfId="2" applyAlignment="1">
      <alignment horizontal="center"/>
    </xf>
    <xf numFmtId="0" fontId="2" fillId="0" borderId="0" xfId="2" applyAlignment="1">
      <alignment horizontal="center" wrapText="1"/>
    </xf>
    <xf numFmtId="0" fontId="2" fillId="0" borderId="0" xfId="3" applyAlignment="1">
      <alignment vertical="top" wrapText="1"/>
    </xf>
  </cellXfs>
  <cellStyles count="4">
    <cellStyle name="Normal" xfId="0" builtinId="0"/>
    <cellStyle name="Normal 2" xfId="1" xr:uid="{9379EFDD-916A-4BBE-994C-9B756025391A}"/>
    <cellStyle name="Normal 2 2" xfId="2" xr:uid="{792185EC-0EFD-41A5-98F5-41C129FAAB0C}"/>
    <cellStyle name="Normal 2 2 2" xfId="3" xr:uid="{C9F03729-C4BE-44F1-9C6B-BCDC6B1A244E}"/>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9.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_rels/chart17.xml.rels><?xml version="1.0" encoding="UTF-8" standalone="yes"?>
<Relationships xmlns="http://schemas.openxmlformats.org/package/2006/relationships"><Relationship Id="rId1" Type="http://schemas.openxmlformats.org/officeDocument/2006/relationships/chartUserShapes" Target="../drawings/drawing19.xml"/></Relationships>
</file>

<file path=xl/charts/_rels/chart18.xml.rels><?xml version="1.0" encoding="UTF-8" standalone="yes"?>
<Relationships xmlns="http://schemas.openxmlformats.org/package/2006/relationships"><Relationship Id="rId1" Type="http://schemas.openxmlformats.org/officeDocument/2006/relationships/chartUserShapes" Target="../drawings/drawing20.xml"/></Relationships>
</file>

<file path=xl/charts/_rels/chart19.xml.rels><?xml version="1.0" encoding="UTF-8" standalone="yes"?>
<Relationships xmlns="http://schemas.openxmlformats.org/package/2006/relationships"><Relationship Id="rId1" Type="http://schemas.openxmlformats.org/officeDocument/2006/relationships/chartUserShapes" Target="../drawings/drawing21.xml"/></Relationships>
</file>

<file path=xl/charts/_rels/chart20.xml.rels><?xml version="1.0" encoding="UTF-8" standalone="yes"?>
<Relationships xmlns="http://schemas.openxmlformats.org/package/2006/relationships"><Relationship Id="rId1" Type="http://schemas.openxmlformats.org/officeDocument/2006/relationships/chartUserShapes" Target="../drawings/drawing22.xml"/></Relationships>
</file>

<file path=xl/charts/_rels/chart21.xml.rels><?xml version="1.0" encoding="UTF-8" standalone="yes"?>
<Relationships xmlns="http://schemas.openxmlformats.org/package/2006/relationships"><Relationship Id="rId1" Type="http://schemas.openxmlformats.org/officeDocument/2006/relationships/chartUserShapes" Target="../drawings/drawing2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4046304991692551"/>
          <c:y val="0.10560168135505719"/>
          <c:w val="0.80092009738337022"/>
          <c:h val="0.76563525713132008"/>
        </c:manualLayout>
      </c:layout>
      <c:scatterChart>
        <c:scatterStyle val="lineMarker"/>
        <c:varyColors val="0"/>
        <c:ser>
          <c:idx val="0"/>
          <c:order val="0"/>
          <c:tx>
            <c:strRef>
              <c:f>'2013 E Maize Profile WC'!$C$1</c:f>
              <c:strCache>
                <c:ptCount val="1"/>
                <c:pt idx="0">
                  <c:v>Water (mm) stored in top 1.5 m of soil in NE Lys</c:v>
                </c:pt>
              </c:strCache>
            </c:strRef>
          </c:tx>
          <c:spPr>
            <a:ln w="19050" cap="rnd">
              <a:solidFill>
                <a:schemeClr val="accent1"/>
              </a:solidFill>
              <a:round/>
            </a:ln>
            <a:effectLst/>
          </c:spPr>
          <c:marker>
            <c:symbol val="square"/>
            <c:size val="7"/>
            <c:spPr>
              <a:noFill/>
              <a:ln w="12700">
                <a:solidFill>
                  <a:schemeClr val="tx1"/>
                </a:solidFill>
              </a:ln>
              <a:effectLst/>
            </c:spPr>
          </c:marker>
          <c:xVal>
            <c:numRef>
              <c:f>'2013 E Maize Profile WC'!$B$2:$B$14</c:f>
              <c:numCache>
                <c:formatCode>General</c:formatCode>
                <c:ptCount val="13"/>
                <c:pt idx="0">
                  <c:v>157</c:v>
                </c:pt>
                <c:pt idx="1">
                  <c:v>171</c:v>
                </c:pt>
                <c:pt idx="2">
                  <c:v>176</c:v>
                </c:pt>
                <c:pt idx="3">
                  <c:v>183</c:v>
                </c:pt>
                <c:pt idx="4">
                  <c:v>189</c:v>
                </c:pt>
                <c:pt idx="5">
                  <c:v>197</c:v>
                </c:pt>
                <c:pt idx="6">
                  <c:v>203</c:v>
                </c:pt>
                <c:pt idx="7">
                  <c:v>210</c:v>
                </c:pt>
                <c:pt idx="8">
                  <c:v>218</c:v>
                </c:pt>
                <c:pt idx="9">
                  <c:v>231</c:v>
                </c:pt>
                <c:pt idx="10">
                  <c:v>246</c:v>
                </c:pt>
                <c:pt idx="11">
                  <c:v>253</c:v>
                </c:pt>
                <c:pt idx="12">
                  <c:v>269</c:v>
                </c:pt>
              </c:numCache>
            </c:numRef>
          </c:xVal>
          <c:yVal>
            <c:numRef>
              <c:f>'2013 E Maize Profile WC'!$C$2:$C$14</c:f>
              <c:numCache>
                <c:formatCode>General</c:formatCode>
                <c:ptCount val="13"/>
                <c:pt idx="0">
                  <c:v>519.514057133488</c:v>
                </c:pt>
                <c:pt idx="1">
                  <c:v>491.36777381456818</c:v>
                </c:pt>
                <c:pt idx="2">
                  <c:v>475.36297006658594</c:v>
                </c:pt>
                <c:pt idx="3">
                  <c:v>456.07393048829692</c:v>
                </c:pt>
                <c:pt idx="4">
                  <c:v>459.89125556396283</c:v>
                </c:pt>
                <c:pt idx="5">
                  <c:v>445.7968167776433</c:v>
                </c:pt>
                <c:pt idx="6">
                  <c:v>487.84112848062961</c:v>
                </c:pt>
                <c:pt idx="7">
                  <c:v>441.97994689265533</c:v>
                </c:pt>
                <c:pt idx="8">
                  <c:v>437.10029073849876</c:v>
                </c:pt>
                <c:pt idx="9">
                  <c:v>480.21012481335754</c:v>
                </c:pt>
                <c:pt idx="10">
                  <c:v>439.53012602401122</c:v>
                </c:pt>
                <c:pt idx="11">
                  <c:v>427.98357819814368</c:v>
                </c:pt>
                <c:pt idx="12">
                  <c:v>436.86971938559321</c:v>
                </c:pt>
              </c:numCache>
            </c:numRef>
          </c:yVal>
          <c:smooth val="0"/>
          <c:extLst>
            <c:ext xmlns:c16="http://schemas.microsoft.com/office/drawing/2014/chart" uri="{C3380CC4-5D6E-409C-BE32-E72D297353CC}">
              <c16:uniqueId val="{00000000-62ED-47BD-9EFF-CDC113375309}"/>
            </c:ext>
          </c:extLst>
        </c:ser>
        <c:ser>
          <c:idx val="1"/>
          <c:order val="1"/>
          <c:tx>
            <c:strRef>
              <c:f>'2013 E Maize Profile WC'!$D$1</c:f>
              <c:strCache>
                <c:ptCount val="1"/>
                <c:pt idx="0">
                  <c:v>Water (mm) stored in top 1.5 m of soil in NE Field</c:v>
                </c:pt>
              </c:strCache>
            </c:strRef>
          </c:tx>
          <c:spPr>
            <a:ln w="19050" cap="rnd">
              <a:solidFill>
                <a:schemeClr val="accent2"/>
              </a:solidFill>
              <a:round/>
            </a:ln>
            <a:effectLst/>
          </c:spPr>
          <c:marker>
            <c:symbol val="x"/>
            <c:size val="7"/>
            <c:spPr>
              <a:noFill/>
              <a:ln w="12700">
                <a:solidFill>
                  <a:schemeClr val="tx1"/>
                </a:solidFill>
              </a:ln>
              <a:effectLst/>
            </c:spPr>
          </c:marker>
          <c:xVal>
            <c:numRef>
              <c:f>'2013 E Maize Profile WC'!$B$2:$B$14</c:f>
              <c:numCache>
                <c:formatCode>General</c:formatCode>
                <c:ptCount val="13"/>
                <c:pt idx="0">
                  <c:v>157</c:v>
                </c:pt>
                <c:pt idx="1">
                  <c:v>171</c:v>
                </c:pt>
                <c:pt idx="2">
                  <c:v>176</c:v>
                </c:pt>
                <c:pt idx="3">
                  <c:v>183</c:v>
                </c:pt>
                <c:pt idx="4">
                  <c:v>189</c:v>
                </c:pt>
                <c:pt idx="5">
                  <c:v>197</c:v>
                </c:pt>
                <c:pt idx="6">
                  <c:v>203</c:v>
                </c:pt>
                <c:pt idx="7">
                  <c:v>210</c:v>
                </c:pt>
                <c:pt idx="8">
                  <c:v>218</c:v>
                </c:pt>
                <c:pt idx="9">
                  <c:v>231</c:v>
                </c:pt>
                <c:pt idx="10">
                  <c:v>246</c:v>
                </c:pt>
                <c:pt idx="11">
                  <c:v>253</c:v>
                </c:pt>
                <c:pt idx="12">
                  <c:v>269</c:v>
                </c:pt>
              </c:numCache>
            </c:numRef>
          </c:xVal>
          <c:yVal>
            <c:numRef>
              <c:f>'2013 E Maize Profile WC'!$D$2:$D$14</c:f>
              <c:numCache>
                <c:formatCode>General</c:formatCode>
                <c:ptCount val="13"/>
                <c:pt idx="0">
                  <c:v>#N/A</c:v>
                </c:pt>
                <c:pt idx="1">
                  <c:v>498.84464141066383</c:v>
                </c:pt>
                <c:pt idx="2">
                  <c:v>488.56181724298824</c:v>
                </c:pt>
                <c:pt idx="3">
                  <c:v>480.07497609211049</c:v>
                </c:pt>
                <c:pt idx="4">
                  <c:v>493.56863118063956</c:v>
                </c:pt>
                <c:pt idx="5">
                  <c:v>485.0924860573042</c:v>
                </c:pt>
                <c:pt idx="6">
                  <c:v>502.7873047921712</c:v>
                </c:pt>
                <c:pt idx="7">
                  <c:v>462.97862539094024</c:v>
                </c:pt>
                <c:pt idx="8">
                  <c:v>457.46315780493342</c:v>
                </c:pt>
                <c:pt idx="9">
                  <c:v>482.14193553647118</c:v>
                </c:pt>
                <c:pt idx="10">
                  <c:v>432.73597193174948</c:v>
                </c:pt>
                <c:pt idx="11">
                  <c:v>420.81244861783699</c:v>
                </c:pt>
                <c:pt idx="12">
                  <c:v>428.87389596448742</c:v>
                </c:pt>
              </c:numCache>
            </c:numRef>
          </c:yVal>
          <c:smooth val="0"/>
          <c:extLst>
            <c:ext xmlns:c16="http://schemas.microsoft.com/office/drawing/2014/chart" uri="{C3380CC4-5D6E-409C-BE32-E72D297353CC}">
              <c16:uniqueId val="{00000001-62ED-47BD-9EFF-CDC113375309}"/>
            </c:ext>
          </c:extLst>
        </c:ser>
        <c:ser>
          <c:idx val="2"/>
          <c:order val="2"/>
          <c:tx>
            <c:strRef>
              <c:f>'2013 E Maize Profile WC'!$E$1</c:f>
              <c:strCache>
                <c:ptCount val="1"/>
                <c:pt idx="0">
                  <c:v>Water (mm) stored in top 1.5 m of soil in SE Lys</c:v>
                </c:pt>
              </c:strCache>
            </c:strRef>
          </c:tx>
          <c:spPr>
            <a:ln w="19050" cap="rnd">
              <a:solidFill>
                <a:schemeClr val="accent3"/>
              </a:solidFill>
              <a:round/>
            </a:ln>
            <a:effectLst/>
          </c:spPr>
          <c:marker>
            <c:symbol val="circle"/>
            <c:size val="7"/>
            <c:spPr>
              <a:noFill/>
              <a:ln w="12700">
                <a:solidFill>
                  <a:schemeClr val="tx1"/>
                </a:solidFill>
              </a:ln>
              <a:effectLst/>
            </c:spPr>
          </c:marker>
          <c:xVal>
            <c:numRef>
              <c:f>'2013 E Maize Profile WC'!$B$2:$B$14</c:f>
              <c:numCache>
                <c:formatCode>General</c:formatCode>
                <c:ptCount val="13"/>
                <c:pt idx="0">
                  <c:v>157</c:v>
                </c:pt>
                <c:pt idx="1">
                  <c:v>171</c:v>
                </c:pt>
                <c:pt idx="2">
                  <c:v>176</c:v>
                </c:pt>
                <c:pt idx="3">
                  <c:v>183</c:v>
                </c:pt>
                <c:pt idx="4">
                  <c:v>189</c:v>
                </c:pt>
                <c:pt idx="5">
                  <c:v>197</c:v>
                </c:pt>
                <c:pt idx="6">
                  <c:v>203</c:v>
                </c:pt>
                <c:pt idx="7">
                  <c:v>210</c:v>
                </c:pt>
                <c:pt idx="8">
                  <c:v>218</c:v>
                </c:pt>
                <c:pt idx="9">
                  <c:v>231</c:v>
                </c:pt>
                <c:pt idx="10">
                  <c:v>246</c:v>
                </c:pt>
                <c:pt idx="11">
                  <c:v>253</c:v>
                </c:pt>
                <c:pt idx="12">
                  <c:v>269</c:v>
                </c:pt>
              </c:numCache>
            </c:numRef>
          </c:xVal>
          <c:yVal>
            <c:numRef>
              <c:f>'2013 E Maize Profile WC'!$E$2:$E$14</c:f>
              <c:numCache>
                <c:formatCode>General</c:formatCode>
                <c:ptCount val="13"/>
                <c:pt idx="0">
                  <c:v>508.71275323378069</c:v>
                </c:pt>
                <c:pt idx="1">
                  <c:v>477.96338187550441</c:v>
                </c:pt>
                <c:pt idx="2">
                  <c:v>460.79909353813565</c:v>
                </c:pt>
                <c:pt idx="3">
                  <c:v>444.12669636803878</c:v>
                </c:pt>
                <c:pt idx="4">
                  <c:v>443.71050808615814</c:v>
                </c:pt>
                <c:pt idx="5">
                  <c:v>433.53709840597259</c:v>
                </c:pt>
                <c:pt idx="6">
                  <c:v>469.9871200363196</c:v>
                </c:pt>
                <c:pt idx="7">
                  <c:v>418.3402748032687</c:v>
                </c:pt>
                <c:pt idx="8">
                  <c:v>419.73272322437441</c:v>
                </c:pt>
                <c:pt idx="9">
                  <c:v>458.69813875100874</c:v>
                </c:pt>
                <c:pt idx="10">
                  <c:v>404.66965577582721</c:v>
                </c:pt>
                <c:pt idx="11">
                  <c:v>403.4166227956012</c:v>
                </c:pt>
                <c:pt idx="12">
                  <c:v>416.18995093825663</c:v>
                </c:pt>
              </c:numCache>
            </c:numRef>
          </c:yVal>
          <c:smooth val="0"/>
          <c:extLst>
            <c:ext xmlns:c16="http://schemas.microsoft.com/office/drawing/2014/chart" uri="{C3380CC4-5D6E-409C-BE32-E72D297353CC}">
              <c16:uniqueId val="{00000002-62ED-47BD-9EFF-CDC113375309}"/>
            </c:ext>
          </c:extLst>
        </c:ser>
        <c:ser>
          <c:idx val="3"/>
          <c:order val="3"/>
          <c:tx>
            <c:strRef>
              <c:f>'2013 E Maize Profile WC'!$F$1</c:f>
              <c:strCache>
                <c:ptCount val="1"/>
                <c:pt idx="0">
                  <c:v>Water (mm) stored in top 1.5 m of soil in SE Field</c:v>
                </c:pt>
              </c:strCache>
            </c:strRef>
          </c:tx>
          <c:spPr>
            <a:ln w="19050" cap="rnd">
              <a:solidFill>
                <a:schemeClr val="accent4"/>
              </a:solidFill>
              <a:round/>
            </a:ln>
            <a:effectLst/>
          </c:spPr>
          <c:marker>
            <c:symbol val="triangle"/>
            <c:size val="7"/>
            <c:spPr>
              <a:noFill/>
              <a:ln w="12700">
                <a:solidFill>
                  <a:schemeClr val="tx1"/>
                </a:solidFill>
              </a:ln>
              <a:effectLst/>
            </c:spPr>
          </c:marker>
          <c:xVal>
            <c:numRef>
              <c:f>'2013 E Maize Profile WC'!$B$2:$B$14</c:f>
              <c:numCache>
                <c:formatCode>General</c:formatCode>
                <c:ptCount val="13"/>
                <c:pt idx="0">
                  <c:v>157</c:v>
                </c:pt>
                <c:pt idx="1">
                  <c:v>171</c:v>
                </c:pt>
                <c:pt idx="2">
                  <c:v>176</c:v>
                </c:pt>
                <c:pt idx="3">
                  <c:v>183</c:v>
                </c:pt>
                <c:pt idx="4">
                  <c:v>189</c:v>
                </c:pt>
                <c:pt idx="5">
                  <c:v>197</c:v>
                </c:pt>
                <c:pt idx="6">
                  <c:v>203</c:v>
                </c:pt>
                <c:pt idx="7">
                  <c:v>210</c:v>
                </c:pt>
                <c:pt idx="8">
                  <c:v>218</c:v>
                </c:pt>
                <c:pt idx="9">
                  <c:v>231</c:v>
                </c:pt>
                <c:pt idx="10">
                  <c:v>246</c:v>
                </c:pt>
                <c:pt idx="11">
                  <c:v>253</c:v>
                </c:pt>
                <c:pt idx="12">
                  <c:v>269</c:v>
                </c:pt>
              </c:numCache>
            </c:numRef>
          </c:xVal>
          <c:yVal>
            <c:numRef>
              <c:f>'2013 E Maize Profile WC'!$F$2:$F$14</c:f>
              <c:numCache>
                <c:formatCode>General</c:formatCode>
                <c:ptCount val="13"/>
                <c:pt idx="0">
                  <c:v>#N/A</c:v>
                </c:pt>
                <c:pt idx="1">
                  <c:v>488.92374991046199</c:v>
                </c:pt>
                <c:pt idx="2">
                  <c:v>481.37142112843003</c:v>
                </c:pt>
                <c:pt idx="3">
                  <c:v>464.4346886085047</c:v>
                </c:pt>
                <c:pt idx="4">
                  <c:v>479.82985249949559</c:v>
                </c:pt>
                <c:pt idx="5">
                  <c:v>#N/A</c:v>
                </c:pt>
                <c:pt idx="6">
                  <c:v>488.64633949631752</c:v>
                </c:pt>
                <c:pt idx="7">
                  <c:v>446.60800122326464</c:v>
                </c:pt>
                <c:pt idx="8">
                  <c:v>446.92443830584148</c:v>
                </c:pt>
                <c:pt idx="9">
                  <c:v>473.03768557430379</c:v>
                </c:pt>
                <c:pt idx="10">
                  <c:v>419.18665073269767</c:v>
                </c:pt>
                <c:pt idx="11">
                  <c:v>414.43386972861168</c:v>
                </c:pt>
                <c:pt idx="12">
                  <c:v>418.99131176982434</c:v>
                </c:pt>
              </c:numCache>
            </c:numRef>
          </c:yVal>
          <c:smooth val="0"/>
          <c:extLst>
            <c:ext xmlns:c16="http://schemas.microsoft.com/office/drawing/2014/chart" uri="{C3380CC4-5D6E-409C-BE32-E72D297353CC}">
              <c16:uniqueId val="{00000003-62ED-47BD-9EFF-CDC113375309}"/>
            </c:ext>
          </c:extLst>
        </c:ser>
        <c:ser>
          <c:idx val="4"/>
          <c:order val="4"/>
          <c:tx>
            <c:strRef>
              <c:f>'2013 E Maize Profile WC'!$G$1</c:f>
              <c:strCache>
                <c:ptCount val="1"/>
                <c:pt idx="0">
                  <c:v>FC</c:v>
                </c:pt>
              </c:strCache>
            </c:strRef>
          </c:tx>
          <c:spPr>
            <a:ln w="19050" cap="rnd">
              <a:solidFill>
                <a:schemeClr val="tx1"/>
              </a:solidFill>
              <a:prstDash val="dash"/>
              <a:round/>
            </a:ln>
            <a:effectLst/>
          </c:spPr>
          <c:marker>
            <c:symbol val="none"/>
          </c:marker>
          <c:xVal>
            <c:numRef>
              <c:f>'2013 E Maize Profile WC'!$B$2:$B$14</c:f>
              <c:numCache>
                <c:formatCode>General</c:formatCode>
                <c:ptCount val="13"/>
                <c:pt idx="0">
                  <c:v>157</c:v>
                </c:pt>
                <c:pt idx="1">
                  <c:v>171</c:v>
                </c:pt>
                <c:pt idx="2">
                  <c:v>176</c:v>
                </c:pt>
                <c:pt idx="3">
                  <c:v>183</c:v>
                </c:pt>
                <c:pt idx="4">
                  <c:v>189</c:v>
                </c:pt>
                <c:pt idx="5">
                  <c:v>197</c:v>
                </c:pt>
                <c:pt idx="6">
                  <c:v>203</c:v>
                </c:pt>
                <c:pt idx="7">
                  <c:v>210</c:v>
                </c:pt>
                <c:pt idx="8">
                  <c:v>218</c:v>
                </c:pt>
                <c:pt idx="9">
                  <c:v>231</c:v>
                </c:pt>
                <c:pt idx="10">
                  <c:v>246</c:v>
                </c:pt>
                <c:pt idx="11">
                  <c:v>253</c:v>
                </c:pt>
                <c:pt idx="12">
                  <c:v>269</c:v>
                </c:pt>
              </c:numCache>
            </c:numRef>
          </c:xVal>
          <c:yVal>
            <c:numRef>
              <c:f>'2013 E Maize Profile WC'!$G$2:$G$14</c:f>
              <c:numCache>
                <c:formatCode>General</c:formatCode>
                <c:ptCount val="13"/>
                <c:pt idx="0">
                  <c:v>495</c:v>
                </c:pt>
                <c:pt idx="1">
                  <c:v>495</c:v>
                </c:pt>
                <c:pt idx="2">
                  <c:v>495</c:v>
                </c:pt>
                <c:pt idx="3">
                  <c:v>495</c:v>
                </c:pt>
                <c:pt idx="4">
                  <c:v>495</c:v>
                </c:pt>
                <c:pt idx="5">
                  <c:v>495</c:v>
                </c:pt>
                <c:pt idx="6">
                  <c:v>495</c:v>
                </c:pt>
                <c:pt idx="7">
                  <c:v>495</c:v>
                </c:pt>
                <c:pt idx="8">
                  <c:v>495</c:v>
                </c:pt>
                <c:pt idx="9">
                  <c:v>495</c:v>
                </c:pt>
                <c:pt idx="10">
                  <c:v>495</c:v>
                </c:pt>
                <c:pt idx="11">
                  <c:v>495</c:v>
                </c:pt>
                <c:pt idx="12">
                  <c:v>495</c:v>
                </c:pt>
              </c:numCache>
            </c:numRef>
          </c:yVal>
          <c:smooth val="0"/>
          <c:extLst>
            <c:ext xmlns:c16="http://schemas.microsoft.com/office/drawing/2014/chart" uri="{C3380CC4-5D6E-409C-BE32-E72D297353CC}">
              <c16:uniqueId val="{00000004-62ED-47BD-9EFF-CDC113375309}"/>
            </c:ext>
          </c:extLst>
        </c:ser>
        <c:ser>
          <c:idx val="5"/>
          <c:order val="5"/>
          <c:tx>
            <c:strRef>
              <c:f>'2013 E Maize Profile WC'!$H$1</c:f>
              <c:strCache>
                <c:ptCount val="1"/>
                <c:pt idx="0">
                  <c:v>PWP</c:v>
                </c:pt>
              </c:strCache>
            </c:strRef>
          </c:tx>
          <c:spPr>
            <a:ln w="19050" cap="rnd">
              <a:solidFill>
                <a:schemeClr val="tx1"/>
              </a:solidFill>
              <a:prstDash val="sysDash"/>
              <a:round/>
            </a:ln>
            <a:effectLst/>
          </c:spPr>
          <c:marker>
            <c:symbol val="none"/>
          </c:marker>
          <c:xVal>
            <c:numRef>
              <c:f>'2013 E Maize Profile WC'!$B$2:$B$14</c:f>
              <c:numCache>
                <c:formatCode>General</c:formatCode>
                <c:ptCount val="13"/>
                <c:pt idx="0">
                  <c:v>157</c:v>
                </c:pt>
                <c:pt idx="1">
                  <c:v>171</c:v>
                </c:pt>
                <c:pt idx="2">
                  <c:v>176</c:v>
                </c:pt>
                <c:pt idx="3">
                  <c:v>183</c:v>
                </c:pt>
                <c:pt idx="4">
                  <c:v>189</c:v>
                </c:pt>
                <c:pt idx="5">
                  <c:v>197</c:v>
                </c:pt>
                <c:pt idx="6">
                  <c:v>203</c:v>
                </c:pt>
                <c:pt idx="7">
                  <c:v>210</c:v>
                </c:pt>
                <c:pt idx="8">
                  <c:v>218</c:v>
                </c:pt>
                <c:pt idx="9">
                  <c:v>231</c:v>
                </c:pt>
                <c:pt idx="10">
                  <c:v>246</c:v>
                </c:pt>
                <c:pt idx="11">
                  <c:v>253</c:v>
                </c:pt>
                <c:pt idx="12">
                  <c:v>269</c:v>
                </c:pt>
              </c:numCache>
            </c:numRef>
          </c:xVal>
          <c:yVal>
            <c:numRef>
              <c:f>'2013 E Maize Profile WC'!$H$2:$H$14</c:f>
              <c:numCache>
                <c:formatCode>General</c:formatCode>
                <c:ptCount val="13"/>
                <c:pt idx="0">
                  <c:v>270</c:v>
                </c:pt>
                <c:pt idx="1">
                  <c:v>270</c:v>
                </c:pt>
                <c:pt idx="2">
                  <c:v>270</c:v>
                </c:pt>
                <c:pt idx="3">
                  <c:v>270</c:v>
                </c:pt>
                <c:pt idx="4">
                  <c:v>270</c:v>
                </c:pt>
                <c:pt idx="5">
                  <c:v>270</c:v>
                </c:pt>
                <c:pt idx="6">
                  <c:v>270</c:v>
                </c:pt>
                <c:pt idx="7">
                  <c:v>270</c:v>
                </c:pt>
                <c:pt idx="8">
                  <c:v>270</c:v>
                </c:pt>
                <c:pt idx="9">
                  <c:v>270</c:v>
                </c:pt>
                <c:pt idx="10">
                  <c:v>270</c:v>
                </c:pt>
                <c:pt idx="11">
                  <c:v>270</c:v>
                </c:pt>
                <c:pt idx="12">
                  <c:v>270</c:v>
                </c:pt>
              </c:numCache>
            </c:numRef>
          </c:yVal>
          <c:smooth val="0"/>
          <c:extLst>
            <c:ext xmlns:c16="http://schemas.microsoft.com/office/drawing/2014/chart" uri="{C3380CC4-5D6E-409C-BE32-E72D297353CC}">
              <c16:uniqueId val="{00000005-62ED-47BD-9EFF-CDC113375309}"/>
            </c:ext>
          </c:extLst>
        </c:ser>
        <c:ser>
          <c:idx val="6"/>
          <c:order val="6"/>
          <c:tx>
            <c:strRef>
              <c:f>'2013 E Maize Profile WC'!$I$1</c:f>
              <c:strCache>
                <c:ptCount val="1"/>
                <c:pt idx="0">
                  <c:v>MAD</c:v>
                </c:pt>
              </c:strCache>
            </c:strRef>
          </c:tx>
          <c:spPr>
            <a:ln w="19050" cap="rnd">
              <a:solidFill>
                <a:schemeClr val="tx1"/>
              </a:solidFill>
              <a:prstDash val="dashDot"/>
              <a:round/>
            </a:ln>
            <a:effectLst/>
          </c:spPr>
          <c:marker>
            <c:symbol val="none"/>
          </c:marker>
          <c:xVal>
            <c:numRef>
              <c:f>'2013 E Maize Profile WC'!$B$2:$B$14</c:f>
              <c:numCache>
                <c:formatCode>General</c:formatCode>
                <c:ptCount val="13"/>
                <c:pt idx="0">
                  <c:v>157</c:v>
                </c:pt>
                <c:pt idx="1">
                  <c:v>171</c:v>
                </c:pt>
                <c:pt idx="2">
                  <c:v>176</c:v>
                </c:pt>
                <c:pt idx="3">
                  <c:v>183</c:v>
                </c:pt>
                <c:pt idx="4">
                  <c:v>189</c:v>
                </c:pt>
                <c:pt idx="5">
                  <c:v>197</c:v>
                </c:pt>
                <c:pt idx="6">
                  <c:v>203</c:v>
                </c:pt>
                <c:pt idx="7">
                  <c:v>210</c:v>
                </c:pt>
                <c:pt idx="8">
                  <c:v>218</c:v>
                </c:pt>
                <c:pt idx="9">
                  <c:v>231</c:v>
                </c:pt>
                <c:pt idx="10">
                  <c:v>246</c:v>
                </c:pt>
                <c:pt idx="11">
                  <c:v>253</c:v>
                </c:pt>
                <c:pt idx="12">
                  <c:v>269</c:v>
                </c:pt>
              </c:numCache>
            </c:numRef>
          </c:xVal>
          <c:yVal>
            <c:numRef>
              <c:f>'2013 E Maize Profile WC'!$I$2:$I$14</c:f>
              <c:numCache>
                <c:formatCode>General</c:formatCode>
                <c:ptCount val="13"/>
                <c:pt idx="0">
                  <c:v>360</c:v>
                </c:pt>
                <c:pt idx="1">
                  <c:v>360</c:v>
                </c:pt>
                <c:pt idx="2">
                  <c:v>360</c:v>
                </c:pt>
                <c:pt idx="3">
                  <c:v>360</c:v>
                </c:pt>
                <c:pt idx="4">
                  <c:v>360</c:v>
                </c:pt>
                <c:pt idx="5">
                  <c:v>360</c:v>
                </c:pt>
                <c:pt idx="6">
                  <c:v>360</c:v>
                </c:pt>
                <c:pt idx="7">
                  <c:v>360</c:v>
                </c:pt>
                <c:pt idx="8">
                  <c:v>360</c:v>
                </c:pt>
                <c:pt idx="9">
                  <c:v>360</c:v>
                </c:pt>
                <c:pt idx="10">
                  <c:v>360</c:v>
                </c:pt>
                <c:pt idx="11">
                  <c:v>360</c:v>
                </c:pt>
                <c:pt idx="12">
                  <c:v>360</c:v>
                </c:pt>
              </c:numCache>
            </c:numRef>
          </c:yVal>
          <c:smooth val="0"/>
          <c:extLst>
            <c:ext xmlns:c16="http://schemas.microsoft.com/office/drawing/2014/chart" uri="{C3380CC4-5D6E-409C-BE32-E72D297353CC}">
              <c16:uniqueId val="{00000006-62ED-47BD-9EFF-CDC113375309}"/>
            </c:ext>
          </c:extLst>
        </c:ser>
        <c:dLbls>
          <c:showLegendKey val="0"/>
          <c:showVal val="0"/>
          <c:showCatName val="0"/>
          <c:showSerName val="0"/>
          <c:showPercent val="0"/>
          <c:showBubbleSize val="0"/>
        </c:dLbls>
        <c:axId val="-1232588752"/>
        <c:axId val="-1232599088"/>
      </c:scatterChart>
      <c:valAx>
        <c:axId val="-1232588752"/>
        <c:scaling>
          <c:orientation val="minMax"/>
          <c:max val="270"/>
          <c:min val="150"/>
        </c:scaling>
        <c:delete val="0"/>
        <c:axPos val="b"/>
        <c:title>
          <c:tx>
            <c:rich>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r>
                  <a:rPr lang="en-US"/>
                  <a:t>Day of year, 2013</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232599088"/>
        <c:crosses val="autoZero"/>
        <c:crossBetween val="midCat"/>
      </c:valAx>
      <c:valAx>
        <c:axId val="-1232599088"/>
        <c:scaling>
          <c:orientation val="minMax"/>
        </c:scaling>
        <c:delete val="0"/>
        <c:axPos val="l"/>
        <c:title>
          <c:tx>
            <c:rich>
              <a:bodyPr rot="-5400000" spcFirstLastPara="1" vertOverflow="ellipsis" vert="horz" wrap="square" anchor="ctr" anchorCtr="1"/>
              <a:lstStyle/>
              <a:p>
                <a:pPr>
                  <a:defRPr sz="1200" b="0" i="0" u="none" strike="noStrike" kern="1200" baseline="0">
                    <a:solidFill>
                      <a:schemeClr val="tx1"/>
                    </a:solidFill>
                    <a:latin typeface="+mn-lt"/>
                    <a:ea typeface="+mn-ea"/>
                    <a:cs typeface="+mn-cs"/>
                  </a:defRPr>
                </a:pPr>
                <a:r>
                  <a:rPr lang="en-US"/>
                  <a:t>Water storage to 1.5-m (mm)</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232588752"/>
        <c:crosses val="autoZero"/>
        <c:crossBetween val="midCat"/>
      </c:valAx>
      <c:spPr>
        <a:noFill/>
        <a:ln w="12700">
          <a:solidFill>
            <a:schemeClr val="tx1"/>
          </a:solidFill>
        </a:ln>
        <a:effectLst/>
      </c:spPr>
    </c:plotArea>
    <c:legend>
      <c:legendPos val="r"/>
      <c:layout>
        <c:manualLayout>
          <c:xMode val="edge"/>
          <c:yMode val="edge"/>
          <c:x val="0.15246001476377954"/>
          <c:y val="0.53772652119108821"/>
          <c:w val="0.77558086402152393"/>
          <c:h val="0.32524896186313507"/>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200">
          <a:solidFill>
            <a:schemeClr val="tx1"/>
          </a:solidFill>
        </a:defRPr>
      </a:pPr>
      <a:endParaRPr lang="en-US"/>
    </a:p>
  </c:txPr>
  <c:printSettings>
    <c:headerFooter/>
    <c:pageMargins b="0.75" l="0.7" r="0.7" t="0.75" header="0.3" footer="0.3"/>
    <c:pageSetup orientation="landscape"/>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'2013 E Maize VWC Graphs'!$Z$6</c:f>
              <c:strCache>
                <c:ptCount val="1"/>
                <c:pt idx="0">
                  <c:v>156</c:v>
                </c:pt>
              </c:strCache>
            </c:strRef>
          </c:tx>
          <c:spPr>
            <a:ln>
              <a:solidFill>
                <a:srgbClr val="FF0000"/>
              </a:solidFill>
            </a:ln>
          </c:spPr>
          <c:marker>
            <c:symbol val="triangle"/>
            <c:size val="8"/>
            <c:spPr>
              <a:solidFill>
                <a:srgbClr val="FFFF00"/>
              </a:solidFill>
              <a:ln>
                <a:solidFill>
                  <a:srgbClr val="FF0000"/>
                </a:solidFill>
              </a:ln>
            </c:spPr>
          </c:marker>
          <c:xVal>
            <c:numRef>
              <c:f>'2013 E Maize VWC Graphs'!$AC$6:$AC$17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593D-4368-8D96-65847238A8F1}"/>
            </c:ext>
          </c:extLst>
        </c:ser>
        <c:ser>
          <c:idx val="4"/>
          <c:order val="1"/>
          <c:tx>
            <c:strRef>
              <c:f>'2013 E Maize VWC Graphs'!$Z$19</c:f>
              <c:strCache>
                <c:ptCount val="1"/>
                <c:pt idx="0">
                  <c:v>157</c:v>
                </c:pt>
              </c:strCache>
            </c:strRef>
          </c:tx>
          <c:spPr>
            <a:ln>
              <a:solidFill>
                <a:srgbClr val="002060"/>
              </a:solidFill>
            </a:ln>
          </c:spPr>
          <c:marker>
            <c:symbol val="square"/>
            <c:size val="7"/>
            <c:spPr>
              <a:noFill/>
            </c:spPr>
          </c:marker>
          <c:xVal>
            <c:numRef>
              <c:f>'2013 E Maize VWC Graphs'!$AC$19:$AC$30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593D-4368-8D96-65847238A8F1}"/>
            </c:ext>
          </c:extLst>
        </c:ser>
        <c:ser>
          <c:idx val="0"/>
          <c:order val="2"/>
          <c:tx>
            <c:strRef>
              <c:f>'2013 E Maize VWC Graphs'!$Z$32</c:f>
              <c:strCache>
                <c:ptCount val="1"/>
                <c:pt idx="0">
                  <c:v>171</c:v>
                </c:pt>
              </c:strCache>
            </c:strRef>
          </c:tx>
          <c:xVal>
            <c:numRef>
              <c:f>'2013 E Maize VWC Graphs'!$AC$32:$AC$43</c:f>
              <c:numCache>
                <c:formatCode>General</c:formatCode>
                <c:ptCount val="12"/>
                <c:pt idx="0">
                  <c:v>0.30498044400726393</c:v>
                </c:pt>
                <c:pt idx="1">
                  <c:v>0.34776911723163839</c:v>
                </c:pt>
                <c:pt idx="2">
                  <c:v>0.35467780367231633</c:v>
                </c:pt>
                <c:pt idx="3">
                  <c:v>0.34682493008474574</c:v>
                </c:pt>
                <c:pt idx="4">
                  <c:v>0.33968595409604518</c:v>
                </c:pt>
                <c:pt idx="5">
                  <c:v>0.34166644420903952</c:v>
                </c:pt>
                <c:pt idx="6">
                  <c:v>0.30817103813559321</c:v>
                </c:pt>
                <c:pt idx="7">
                  <c:v>0.33637942725988701</c:v>
                </c:pt>
                <c:pt idx="8">
                  <c:v>0.27626286723163845</c:v>
                </c:pt>
                <c:pt idx="9">
                  <c:v>0.29309785310734465</c:v>
                </c:pt>
                <c:pt idx="10">
                  <c:v>0.30362950706214692</c:v>
                </c:pt>
                <c:pt idx="11">
                  <c:v>0.29652357697740112</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593D-4368-8D96-65847238A8F1}"/>
            </c:ext>
          </c:extLst>
        </c:ser>
        <c:ser>
          <c:idx val="1"/>
          <c:order val="3"/>
          <c:tx>
            <c:strRef>
              <c:f>'2013 E Maize VWC Graphs'!$Z$45</c:f>
              <c:strCache>
                <c:ptCount val="1"/>
                <c:pt idx="0">
                  <c:v>176</c:v>
                </c:pt>
              </c:strCache>
            </c:strRef>
          </c:tx>
          <c:marker>
            <c:symbol val="square"/>
            <c:size val="5"/>
          </c:marker>
          <c:xVal>
            <c:numRef>
              <c:f>'2013 E Maize VWC Graphs'!$AC$45:$AC$56</c:f>
              <c:numCache>
                <c:formatCode>General</c:formatCode>
                <c:ptCount val="12"/>
                <c:pt idx="0">
                  <c:v>0.26782624848668279</c:v>
                </c:pt>
                <c:pt idx="1">
                  <c:v>0.34733156709039548</c:v>
                </c:pt>
                <c:pt idx="2">
                  <c:v>0.34894359392655366</c:v>
                </c:pt>
                <c:pt idx="3">
                  <c:v>0.34677887217514125</c:v>
                </c:pt>
                <c:pt idx="4">
                  <c:v>0.34267971822033899</c:v>
                </c:pt>
                <c:pt idx="5">
                  <c:v>0.34627223516949152</c:v>
                </c:pt>
                <c:pt idx="6">
                  <c:v>0.30969793220338981</c:v>
                </c:pt>
                <c:pt idx="7">
                  <c:v>0.33422611511299438</c:v>
                </c:pt>
                <c:pt idx="8">
                  <c:v>0.27829872598870053</c:v>
                </c:pt>
                <c:pt idx="9">
                  <c:v>0.28646173658192092</c:v>
                </c:pt>
                <c:pt idx="10">
                  <c:v>0.30357078036723167</c:v>
                </c:pt>
                <c:pt idx="11">
                  <c:v>0.30039953884180792</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593D-4368-8D96-65847238A8F1}"/>
            </c:ext>
          </c:extLst>
        </c:ser>
        <c:ser>
          <c:idx val="2"/>
          <c:order val="4"/>
          <c:tx>
            <c:strRef>
              <c:f>'2013 E Maize VWC Graphs'!$Z$58</c:f>
              <c:strCache>
                <c:ptCount val="1"/>
                <c:pt idx="0">
                  <c:v>183</c:v>
                </c:pt>
              </c:strCache>
            </c:strRef>
          </c:tx>
          <c:marker>
            <c:spPr>
              <a:solidFill>
                <a:srgbClr val="00B050"/>
              </a:solidFill>
            </c:spPr>
          </c:marker>
          <c:xVal>
            <c:numRef>
              <c:f>'2013 E Maize VWC Graphs'!$AC$58:$AC$69</c:f>
              <c:numCache>
                <c:formatCode>General</c:formatCode>
                <c:ptCount val="12"/>
                <c:pt idx="0">
                  <c:v>0.19234111501210654</c:v>
                </c:pt>
                <c:pt idx="1">
                  <c:v>0.31278813488700563</c:v>
                </c:pt>
                <c:pt idx="2">
                  <c:v>0.34650252471751414</c:v>
                </c:pt>
                <c:pt idx="3">
                  <c:v>0.34972657838983046</c:v>
                </c:pt>
                <c:pt idx="4">
                  <c:v>0.34622617725988697</c:v>
                </c:pt>
                <c:pt idx="5">
                  <c:v>0.34390025282485875</c:v>
                </c:pt>
                <c:pt idx="6">
                  <c:v>0.31547272387005654</c:v>
                </c:pt>
                <c:pt idx="7">
                  <c:v>0.33894382627118647</c:v>
                </c:pt>
                <c:pt idx="8">
                  <c:v>0.27694801200564972</c:v>
                </c:pt>
                <c:pt idx="9">
                  <c:v>0.28475866242937853</c:v>
                </c:pt>
                <c:pt idx="10">
                  <c:v>0.3023375197740113</c:v>
                </c:pt>
                <c:pt idx="11">
                  <c:v>0.30077147457627118</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593D-4368-8D96-65847238A8F1}"/>
            </c:ext>
          </c:extLst>
        </c:ser>
        <c:ser>
          <c:idx val="5"/>
          <c:order val="5"/>
          <c:tx>
            <c:strRef>
              <c:f>'2013 E Maize VWC Graphs'!$Z$71</c:f>
              <c:strCache>
                <c:ptCount val="1"/>
                <c:pt idx="0">
                  <c:v>189</c:v>
                </c:pt>
              </c:strCache>
            </c:strRef>
          </c:tx>
          <c:marker>
            <c:spPr>
              <a:solidFill>
                <a:schemeClr val="accent6">
                  <a:lumMod val="60000"/>
                  <a:lumOff val="40000"/>
                </a:schemeClr>
              </a:solidFill>
            </c:spPr>
          </c:marker>
          <c:xVal>
            <c:numRef>
              <c:f>'2013 E Maize VWC Graphs'!$AC$71:$AC$82</c:f>
              <c:numCache>
                <c:formatCode>General</c:formatCode>
                <c:ptCount val="12"/>
                <c:pt idx="0">
                  <c:v>0.27947792766343826</c:v>
                </c:pt>
                <c:pt idx="1">
                  <c:v>0.30714604096045195</c:v>
                </c:pt>
                <c:pt idx="2">
                  <c:v>0.3448904978813559</c:v>
                </c:pt>
                <c:pt idx="3">
                  <c:v>0.34802243573446329</c:v>
                </c:pt>
                <c:pt idx="4">
                  <c:v>0.34825272528248585</c:v>
                </c:pt>
                <c:pt idx="5">
                  <c:v>0.34703219067796609</c:v>
                </c:pt>
                <c:pt idx="6">
                  <c:v>0.31263426694915253</c:v>
                </c:pt>
                <c:pt idx="7">
                  <c:v>0.33592918926553672</c:v>
                </c:pt>
                <c:pt idx="8">
                  <c:v>0.28015840466101699</c:v>
                </c:pt>
                <c:pt idx="9">
                  <c:v>0.2925497372881356</c:v>
                </c:pt>
                <c:pt idx="10">
                  <c:v>0.30384483827683617</c:v>
                </c:pt>
                <c:pt idx="11">
                  <c:v>0.30061487005649717</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593D-4368-8D96-65847238A8F1}"/>
            </c:ext>
          </c:extLst>
        </c:ser>
        <c:ser>
          <c:idx val="6"/>
          <c:order val="6"/>
          <c:tx>
            <c:strRef>
              <c:f>'2013 E Maize VWC Graphs'!$Z$84</c:f>
              <c:strCache>
                <c:ptCount val="1"/>
                <c:pt idx="0">
                  <c:v>197</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'2013 E Maize VWC Graphs'!$AC$84:$AC$95</c:f>
              <c:numCache>
                <c:formatCode>General</c:formatCode>
                <c:ptCount val="12"/>
                <c:pt idx="0">
                  <c:v>0.23892854085956416</c:v>
                </c:pt>
                <c:pt idx="1">
                  <c:v>0.31760118644067797</c:v>
                </c:pt>
                <c:pt idx="2">
                  <c:v>0.33563285805084747</c:v>
                </c:pt>
                <c:pt idx="3">
                  <c:v>0.34921994138418078</c:v>
                </c:pt>
                <c:pt idx="4">
                  <c:v>0.35214461864406776</c:v>
                </c:pt>
                <c:pt idx="5">
                  <c:v>0.34834484110169489</c:v>
                </c:pt>
                <c:pt idx="6">
                  <c:v>0.3193878368644068</c:v>
                </c:pt>
                <c:pt idx="7">
                  <c:v>0.34420965324858754</c:v>
                </c:pt>
                <c:pt idx="8">
                  <c:v>0.27890556850282489</c:v>
                </c:pt>
                <c:pt idx="9">
                  <c:v>0.28628555649717513</c:v>
                </c:pt>
                <c:pt idx="10">
                  <c:v>0.30525427895480228</c:v>
                </c:pt>
                <c:pt idx="11">
                  <c:v>0.29955778954802259</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593D-4368-8D96-65847238A8F1}"/>
            </c:ext>
          </c:extLst>
        </c:ser>
        <c:ser>
          <c:idx val="7"/>
          <c:order val="7"/>
          <c:tx>
            <c:strRef>
              <c:f>'2013 E Maize VWC Graphs'!$Z$97</c:f>
              <c:strCache>
                <c:ptCount val="1"/>
                <c:pt idx="0">
                  <c:v>203</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'2013 E Maize VWC Graphs'!$AC$97:$AC$108</c:f>
              <c:numCache>
                <c:formatCode>General</c:formatCode>
                <c:ptCount val="12"/>
                <c:pt idx="0">
                  <c:v>0.29145755145278451</c:v>
                </c:pt>
                <c:pt idx="1">
                  <c:v>0.32757272387005648</c:v>
                </c:pt>
                <c:pt idx="2">
                  <c:v>0.34728550918079099</c:v>
                </c:pt>
                <c:pt idx="3">
                  <c:v>0.35108528672316386</c:v>
                </c:pt>
                <c:pt idx="4">
                  <c:v>0.34746974081920906</c:v>
                </c:pt>
                <c:pt idx="5">
                  <c:v>0.34735459604519769</c:v>
                </c:pt>
                <c:pt idx="6">
                  <c:v>0.3160012641242938</c:v>
                </c:pt>
                <c:pt idx="7">
                  <c:v>0.33900255296610171</c:v>
                </c:pt>
                <c:pt idx="8">
                  <c:v>0.27839660381355935</c:v>
                </c:pt>
                <c:pt idx="9">
                  <c:v>0.28542423163841807</c:v>
                </c:pt>
                <c:pt idx="10">
                  <c:v>0.29932288276836161</c:v>
                </c:pt>
                <c:pt idx="11">
                  <c:v>0.29994930084745763</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593D-4368-8D96-65847238A8F1}"/>
            </c:ext>
          </c:extLst>
        </c:ser>
        <c:ser>
          <c:idx val="8"/>
          <c:order val="8"/>
          <c:tx>
            <c:strRef>
              <c:f>'2013 E Maize VWC Graphs'!$Z$110</c:f>
              <c:strCache>
                <c:ptCount val="1"/>
                <c:pt idx="0">
                  <c:v>210</c:v>
                </c:pt>
              </c:strCache>
            </c:strRef>
          </c:tx>
          <c:marker>
            <c:symbol val="circle"/>
            <c:size val="8"/>
            <c:spPr>
              <a:solidFill>
                <a:srgbClr val="FFFF99"/>
              </a:solidFill>
            </c:spPr>
          </c:marker>
          <c:xVal>
            <c:numRef>
              <c:f>'2013 E Maize VWC Graphs'!$AC$110:$AC$121</c:f>
              <c:numCache>
                <c:formatCode>General</c:formatCode>
                <c:ptCount val="12"/>
                <c:pt idx="0">
                  <c:v>0.19531190738498788</c:v>
                </c:pt>
                <c:pt idx="1">
                  <c:v>0.29249962570621468</c:v>
                </c:pt>
                <c:pt idx="2">
                  <c:v>0.31610430437853104</c:v>
                </c:pt>
                <c:pt idx="3">
                  <c:v>0.33286938347457623</c:v>
                </c:pt>
                <c:pt idx="4">
                  <c:v>0.33802786935028245</c:v>
                </c:pt>
                <c:pt idx="5">
                  <c:v>0.34523593220338983</c:v>
                </c:pt>
                <c:pt idx="6">
                  <c:v>0.31836990748587574</c:v>
                </c:pt>
                <c:pt idx="7">
                  <c:v>0.33612494491525424</c:v>
                </c:pt>
                <c:pt idx="8">
                  <c:v>0.27362016596045202</c:v>
                </c:pt>
                <c:pt idx="9">
                  <c:v>0.28327091949152544</c:v>
                </c:pt>
                <c:pt idx="10">
                  <c:v>0.30145661935028251</c:v>
                </c:pt>
                <c:pt idx="11">
                  <c:v>0.29844198234463276</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593D-4368-8D96-65847238A8F1}"/>
            </c:ext>
          </c:extLst>
        </c:ser>
        <c:ser>
          <c:idx val="9"/>
          <c:order val="9"/>
          <c:tx>
            <c:strRef>
              <c:f>'2013 E Maize VWC Graphs'!$Z$123</c:f>
              <c:strCache>
                <c:ptCount val="1"/>
                <c:pt idx="0">
                  <c:v>218</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'2013 E Maize VWC Graphs'!$AC$123:$AC$134</c:f>
              <c:numCache>
                <c:formatCode>General</c:formatCode>
                <c:ptCount val="12"/>
                <c:pt idx="0">
                  <c:v>0.19812837288135593</c:v>
                </c:pt>
                <c:pt idx="1">
                  <c:v>0.30189543926553675</c:v>
                </c:pt>
                <c:pt idx="2">
                  <c:v>0.32186154307909604</c:v>
                </c:pt>
                <c:pt idx="3">
                  <c:v>0.33332996257062147</c:v>
                </c:pt>
                <c:pt idx="4">
                  <c:v>0.33777455084745761</c:v>
                </c:pt>
                <c:pt idx="5">
                  <c:v>0.33968595409604518</c:v>
                </c:pt>
                <c:pt idx="6">
                  <c:v>0.31443521892655368</c:v>
                </c:pt>
                <c:pt idx="7">
                  <c:v>0.33189662288135596</c:v>
                </c:pt>
                <c:pt idx="8">
                  <c:v>0.26995953531073447</c:v>
                </c:pt>
                <c:pt idx="9">
                  <c:v>0.28317304166666668</c:v>
                </c:pt>
                <c:pt idx="10">
                  <c:v>0.29965566737288141</c:v>
                </c:pt>
                <c:pt idx="11">
                  <c:v>0.29509456073446333</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593D-4368-8D96-65847238A8F1}"/>
            </c:ext>
          </c:extLst>
        </c:ser>
        <c:ser>
          <c:idx val="10"/>
          <c:order val="10"/>
          <c:tx>
            <c:strRef>
              <c:f>'2013 E Maize VWC Graphs'!$Z$136</c:f>
              <c:strCache>
                <c:ptCount val="1"/>
                <c:pt idx="0">
                  <c:v>231</c:v>
                </c:pt>
              </c:strCache>
            </c:strRef>
          </c:tx>
          <c:xVal>
            <c:numRef>
              <c:f>'2013 E Maize VWC Graphs'!$AC$136:$AC$147</c:f>
              <c:numCache>
                <c:formatCode>General</c:formatCode>
                <c:ptCount val="12"/>
                <c:pt idx="0">
                  <c:v>0.26464325665859562</c:v>
                </c:pt>
                <c:pt idx="1">
                  <c:v>0.32437169915254238</c:v>
                </c:pt>
                <c:pt idx="2">
                  <c:v>0.33745214548022595</c:v>
                </c:pt>
                <c:pt idx="3">
                  <c:v>0.34157432838983048</c:v>
                </c:pt>
                <c:pt idx="4">
                  <c:v>0.34139009675141241</c:v>
                </c:pt>
                <c:pt idx="5">
                  <c:v>0.34189673375706214</c:v>
                </c:pt>
                <c:pt idx="6">
                  <c:v>0.31427861440677968</c:v>
                </c:pt>
                <c:pt idx="7">
                  <c:v>0.33170086723163839</c:v>
                </c:pt>
                <c:pt idx="8">
                  <c:v>0.2727588411016949</c:v>
                </c:pt>
                <c:pt idx="9">
                  <c:v>0.27808339477401128</c:v>
                </c:pt>
                <c:pt idx="10">
                  <c:v>0.29947948728813562</c:v>
                </c:pt>
                <c:pt idx="11">
                  <c:v>0.29728702401129942</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593D-4368-8D96-65847238A8F1}"/>
            </c:ext>
          </c:extLst>
        </c:ser>
        <c:ser>
          <c:idx val="11"/>
          <c:order val="11"/>
          <c:tx>
            <c:strRef>
              <c:f>'2013 E Maize VWC Graphs'!$Z$149</c:f>
              <c:strCache>
                <c:ptCount val="1"/>
                <c:pt idx="0">
                  <c:v>246</c:v>
                </c:pt>
              </c:strCache>
            </c:strRef>
          </c:tx>
          <c:xVal>
            <c:numRef>
              <c:f>'2013 E Maize VWC Graphs'!$AC$149:$AC$160</c:f>
              <c:numCache>
                <c:formatCode>General</c:formatCode>
                <c:ptCount val="12"/>
                <c:pt idx="0">
                  <c:v>0.23045985351089587</c:v>
                </c:pt>
                <c:pt idx="1">
                  <c:v>0.27456006991525422</c:v>
                </c:pt>
                <c:pt idx="2">
                  <c:v>0.284024970338983</c:v>
                </c:pt>
                <c:pt idx="3">
                  <c:v>0.29045004872881353</c:v>
                </c:pt>
                <c:pt idx="4">
                  <c:v>0.30716906991525422</c:v>
                </c:pt>
                <c:pt idx="5">
                  <c:v>0.33385962853107343</c:v>
                </c:pt>
                <c:pt idx="6">
                  <c:v>0.30456913418079096</c:v>
                </c:pt>
                <c:pt idx="7">
                  <c:v>0.32001425494350283</c:v>
                </c:pt>
                <c:pt idx="8">
                  <c:v>0.2624816694915254</c:v>
                </c:pt>
                <c:pt idx="9">
                  <c:v>0.27765273234463278</c:v>
                </c:pt>
                <c:pt idx="10">
                  <c:v>0.29591673446327688</c:v>
                </c:pt>
                <c:pt idx="11">
                  <c:v>0.29397875353107344</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593D-4368-8D96-65847238A8F1}"/>
            </c:ext>
          </c:extLst>
        </c:ser>
        <c:ser>
          <c:idx val="12"/>
          <c:order val="12"/>
          <c:tx>
            <c:strRef>
              <c:f>'2013 E Maize VWC Graphs'!$Z$162</c:f>
              <c:strCache>
                <c:ptCount val="1"/>
                <c:pt idx="0">
                  <c:v>253</c:v>
                </c:pt>
              </c:strCache>
            </c:strRef>
          </c:tx>
          <c:spPr>
            <a:ln>
              <a:solidFill>
                <a:srgbClr val="5449E1"/>
              </a:solidFill>
            </a:ln>
          </c:spPr>
          <c:marker>
            <c:symbol val="circle"/>
            <c:size val="8"/>
            <c:spPr>
              <a:solidFill>
                <a:srgbClr val="160B55"/>
              </a:solidFill>
              <a:ln>
                <a:solidFill>
                  <a:srgbClr val="7030A0"/>
                </a:solidFill>
              </a:ln>
            </c:spPr>
          </c:marker>
          <c:xVal>
            <c:numRef>
              <c:f>'2013 E Maize VWC Graphs'!$AC$162:$AC$173</c:f>
              <c:numCache>
                <c:formatCode>General</c:formatCode>
                <c:ptCount val="12"/>
                <c:pt idx="0">
                  <c:v>0.19481034503631961</c:v>
                </c:pt>
                <c:pt idx="1">
                  <c:v>0.28073182980225986</c:v>
                </c:pt>
                <c:pt idx="2">
                  <c:v>0.28612060522598864</c:v>
                </c:pt>
                <c:pt idx="3">
                  <c:v>0.28872287711864408</c:v>
                </c:pt>
                <c:pt idx="4">
                  <c:v>0.30212572881355931</c:v>
                </c:pt>
                <c:pt idx="5">
                  <c:v>0.32298996186440676</c:v>
                </c:pt>
                <c:pt idx="6">
                  <c:v>0.3045299830508475</c:v>
                </c:pt>
                <c:pt idx="7">
                  <c:v>0.3236553100282486</c:v>
                </c:pt>
                <c:pt idx="8">
                  <c:v>0.26197270480225987</c:v>
                </c:pt>
                <c:pt idx="9">
                  <c:v>0.27042934887005649</c:v>
                </c:pt>
                <c:pt idx="10">
                  <c:v>0.29805047104519777</c:v>
                </c:pt>
                <c:pt idx="11">
                  <c:v>0.29069005861581926</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593D-4368-8D96-65847238A8F1}"/>
            </c:ext>
          </c:extLst>
        </c:ser>
        <c:ser>
          <c:idx val="13"/>
          <c:order val="13"/>
          <c:tx>
            <c:strRef>
              <c:f>'2013 E Maize VWC Graphs'!$Z$175</c:f>
              <c:strCache>
                <c:ptCount val="1"/>
                <c:pt idx="0">
                  <c:v>269</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'2013 E Maize VWC Graphs'!$AC$175:$AC$186</c:f>
              <c:numCache>
                <c:formatCode>General</c:formatCode>
                <c:ptCount val="12"/>
                <c:pt idx="0">
                  <c:v>0.2566954225181598</c:v>
                </c:pt>
                <c:pt idx="1">
                  <c:v>0.27485944632768355</c:v>
                </c:pt>
                <c:pt idx="2">
                  <c:v>0.2804094244350282</c:v>
                </c:pt>
                <c:pt idx="3">
                  <c:v>0.27637935734463276</c:v>
                </c:pt>
                <c:pt idx="4">
                  <c:v>0.29001249858757061</c:v>
                </c:pt>
                <c:pt idx="5">
                  <c:v>0.32531588629943503</c:v>
                </c:pt>
                <c:pt idx="6">
                  <c:v>0.30090850353107346</c:v>
                </c:pt>
                <c:pt idx="7">
                  <c:v>0.31876141878531072</c:v>
                </c:pt>
                <c:pt idx="8">
                  <c:v>0.26109180437853108</c:v>
                </c:pt>
                <c:pt idx="9">
                  <c:v>0.27166260946327686</c:v>
                </c:pt>
                <c:pt idx="10">
                  <c:v>0.29114029661016949</c:v>
                </c:pt>
                <c:pt idx="11">
                  <c:v>0.29155138347457626</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593D-4368-8D96-65847238A8F1}"/>
            </c:ext>
          </c:extLst>
        </c:ser>
        <c:ser>
          <c:idx val="14"/>
          <c:order val="14"/>
          <c:tx>
            <c:strRef>
              <c:f>'2013 E Maize VWC Graphs'!$Z$188</c:f>
              <c:strCache>
                <c:ptCount val="1"/>
              </c:strCache>
            </c:strRef>
          </c:tx>
          <c:xVal>
            <c:numRef>
              <c:f>'2013 E Maize VWC Graphs'!$AC$188:$AC$199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593D-4368-8D96-65847238A8F1}"/>
            </c:ext>
          </c:extLst>
        </c:ser>
        <c:ser>
          <c:idx val="15"/>
          <c:order val="15"/>
          <c:tx>
            <c:v>Porosity</c:v>
          </c:tx>
          <c:spPr>
            <a:ln w="38100">
              <a:solidFill>
                <a:srgbClr val="000000"/>
              </a:solidFill>
              <a:prstDash val="solid"/>
            </a:ln>
          </c:spPr>
          <c:marker>
            <c:symbol val="none"/>
          </c:marker>
          <c:xVal>
            <c:numRef>
              <c:f>'2013 E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'2013 E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0F-593D-4368-8D96-65847238A8F1}"/>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NE tube 1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7659166794215517"/>
              <c:y val="3.5781110030568886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26826865765285313"/>
          <c:w val="0.11121338639365544"/>
          <c:h val="0.56563248695036716"/>
        </c:manualLayout>
      </c:layout>
      <c:overlay val="0"/>
      <c:spPr>
        <a:solidFill>
          <a:srgbClr val="FFFFFF"/>
        </a:solidFill>
        <a:ln w="3175">
          <a:noFill/>
          <a:prstDash val="solid"/>
        </a:ln>
      </c:spPr>
      <c:txPr>
        <a:bodyPr/>
        <a:lstStyle/>
        <a:p>
          <a:pPr>
            <a:defRPr sz="8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'2013 E Maize VWC Graphs'!$Z$6</c:f>
              <c:strCache>
                <c:ptCount val="1"/>
                <c:pt idx="0">
                  <c:v>156</c:v>
                </c:pt>
              </c:strCache>
            </c:strRef>
          </c:tx>
          <c:spPr>
            <a:ln>
              <a:solidFill>
                <a:srgbClr val="FF0000"/>
              </a:solidFill>
            </a:ln>
          </c:spPr>
          <c:marker>
            <c:symbol val="triangle"/>
            <c:size val="8"/>
            <c:spPr>
              <a:solidFill>
                <a:srgbClr val="FFFF00"/>
              </a:solidFill>
              <a:ln>
                <a:solidFill>
                  <a:srgbClr val="FF0000"/>
                </a:solidFill>
              </a:ln>
            </c:spPr>
          </c:marker>
          <c:xVal>
            <c:numRef>
              <c:f>'2013 E Maize VWC Graphs'!$AD$6:$AD$17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447B-454E-84B4-540102CAD1F0}"/>
            </c:ext>
          </c:extLst>
        </c:ser>
        <c:ser>
          <c:idx val="4"/>
          <c:order val="1"/>
          <c:tx>
            <c:strRef>
              <c:f>'2013 E Maize VWC Graphs'!$Z$19</c:f>
              <c:strCache>
                <c:ptCount val="1"/>
                <c:pt idx="0">
                  <c:v>157</c:v>
                </c:pt>
              </c:strCache>
            </c:strRef>
          </c:tx>
          <c:spPr>
            <a:ln>
              <a:solidFill>
                <a:srgbClr val="002060"/>
              </a:solidFill>
            </a:ln>
          </c:spPr>
          <c:marker>
            <c:symbol val="square"/>
            <c:size val="7"/>
            <c:spPr>
              <a:noFill/>
            </c:spPr>
          </c:marker>
          <c:xVal>
            <c:numRef>
              <c:f>'2013 E Maize VWC Graphs'!$AD$19:$AD$30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447B-454E-84B4-540102CAD1F0}"/>
            </c:ext>
          </c:extLst>
        </c:ser>
        <c:ser>
          <c:idx val="0"/>
          <c:order val="2"/>
          <c:tx>
            <c:strRef>
              <c:f>'2013 E Maize VWC Graphs'!$Z$32</c:f>
              <c:strCache>
                <c:ptCount val="1"/>
                <c:pt idx="0">
                  <c:v>171</c:v>
                </c:pt>
              </c:strCache>
            </c:strRef>
          </c:tx>
          <c:xVal>
            <c:numRef>
              <c:f>'2013 E Maize VWC Graphs'!$AD$32:$AD$43</c:f>
              <c:numCache>
                <c:formatCode>General</c:formatCode>
                <c:ptCount val="12"/>
                <c:pt idx="0">
                  <c:v>0.29487203359564162</c:v>
                </c:pt>
                <c:pt idx="1">
                  <c:v>0.33646190042372881</c:v>
                </c:pt>
                <c:pt idx="2">
                  <c:v>0.35780974152542372</c:v>
                </c:pt>
                <c:pt idx="3">
                  <c:v>0.35368755861581919</c:v>
                </c:pt>
                <c:pt idx="4">
                  <c:v>0.3395477803672316</c:v>
                </c:pt>
                <c:pt idx="5">
                  <c:v>0.33434323658192089</c:v>
                </c:pt>
                <c:pt idx="6">
                  <c:v>0.309051938559322</c:v>
                </c:pt>
                <c:pt idx="7">
                  <c:v>0.33015439759887005</c:v>
                </c:pt>
                <c:pt idx="8">
                  <c:v>0.27070340677966104</c:v>
                </c:pt>
                <c:pt idx="9">
                  <c:v>0.2914535056497175</c:v>
                </c:pt>
                <c:pt idx="10">
                  <c:v>0.29992972528248585</c:v>
                </c:pt>
                <c:pt idx="11">
                  <c:v>0.30169152612994349</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447B-454E-84B4-540102CAD1F0}"/>
            </c:ext>
          </c:extLst>
        </c:ser>
        <c:ser>
          <c:idx val="1"/>
          <c:order val="3"/>
          <c:tx>
            <c:strRef>
              <c:f>'2013 E Maize VWC Graphs'!$Z$45</c:f>
              <c:strCache>
                <c:ptCount val="1"/>
                <c:pt idx="0">
                  <c:v>176</c:v>
                </c:pt>
              </c:strCache>
            </c:strRef>
          </c:tx>
          <c:marker>
            <c:symbol val="square"/>
            <c:size val="5"/>
          </c:marker>
          <c:xVal>
            <c:numRef>
              <c:f>'2013 E Maize VWC Graphs'!$AD$45:$AD$56</c:f>
              <c:numCache>
                <c:formatCode>General</c:formatCode>
                <c:ptCount val="12"/>
                <c:pt idx="0">
                  <c:v>0.25264434200968522</c:v>
                </c:pt>
                <c:pt idx="1">
                  <c:v>0.33832724576271184</c:v>
                </c:pt>
                <c:pt idx="2">
                  <c:v>0.36220827189265531</c:v>
                </c:pt>
                <c:pt idx="3">
                  <c:v>0.35327303742937849</c:v>
                </c:pt>
                <c:pt idx="4">
                  <c:v>0.34827575423728813</c:v>
                </c:pt>
                <c:pt idx="5">
                  <c:v>0.33770546398305085</c:v>
                </c:pt>
                <c:pt idx="6">
                  <c:v>0.31312365607344633</c:v>
                </c:pt>
                <c:pt idx="7">
                  <c:v>0.32782490536723169</c:v>
                </c:pt>
                <c:pt idx="8">
                  <c:v>0.27356143926553672</c:v>
                </c:pt>
                <c:pt idx="9">
                  <c:v>0.29002448940677966</c:v>
                </c:pt>
                <c:pt idx="10">
                  <c:v>0.30045826553672317</c:v>
                </c:pt>
                <c:pt idx="11">
                  <c:v>0.30118256144067795</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447B-454E-84B4-540102CAD1F0}"/>
            </c:ext>
          </c:extLst>
        </c:ser>
        <c:ser>
          <c:idx val="2"/>
          <c:order val="4"/>
          <c:tx>
            <c:strRef>
              <c:f>'2013 E Maize VWC Graphs'!$Z$58</c:f>
              <c:strCache>
                <c:ptCount val="1"/>
                <c:pt idx="0">
                  <c:v>183</c:v>
                </c:pt>
              </c:strCache>
            </c:strRef>
          </c:tx>
          <c:marker>
            <c:spPr>
              <a:solidFill>
                <a:srgbClr val="00B050"/>
              </a:solidFill>
            </c:spPr>
          </c:marker>
          <c:xVal>
            <c:numRef>
              <c:f>'2013 E Maize VWC Graphs'!$AD$58:$AD$69</c:f>
              <c:numCache>
                <c:formatCode>General</c:formatCode>
                <c:ptCount val="12"/>
                <c:pt idx="0">
                  <c:v>0.21159339285714285</c:v>
                </c:pt>
                <c:pt idx="1">
                  <c:v>0.30592550635593219</c:v>
                </c:pt>
                <c:pt idx="2">
                  <c:v>0.359790231638418</c:v>
                </c:pt>
                <c:pt idx="3">
                  <c:v>0.35695767019774011</c:v>
                </c:pt>
                <c:pt idx="4">
                  <c:v>0.34539713488700563</c:v>
                </c:pt>
                <c:pt idx="5">
                  <c:v>0.34044590960451976</c:v>
                </c:pt>
                <c:pt idx="6">
                  <c:v>0.30850382274011301</c:v>
                </c:pt>
                <c:pt idx="7">
                  <c:v>0.32874495692090394</c:v>
                </c:pt>
                <c:pt idx="8">
                  <c:v>0.27064468008474574</c:v>
                </c:pt>
                <c:pt idx="9">
                  <c:v>0.29008321610169491</c:v>
                </c:pt>
                <c:pt idx="10">
                  <c:v>0.30421677401129948</c:v>
                </c:pt>
                <c:pt idx="11">
                  <c:v>0.29977312076271184</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447B-454E-84B4-540102CAD1F0}"/>
            </c:ext>
          </c:extLst>
        </c:ser>
        <c:ser>
          <c:idx val="5"/>
          <c:order val="5"/>
          <c:tx>
            <c:strRef>
              <c:f>'2013 E Maize VWC Graphs'!$Z$71</c:f>
              <c:strCache>
                <c:ptCount val="1"/>
                <c:pt idx="0">
                  <c:v>189</c:v>
                </c:pt>
              </c:strCache>
            </c:strRef>
          </c:tx>
          <c:marker>
            <c:spPr>
              <a:solidFill>
                <a:schemeClr val="accent6">
                  <a:lumMod val="60000"/>
                  <a:lumOff val="40000"/>
                </a:schemeClr>
              </a:solidFill>
            </c:spPr>
          </c:marker>
          <c:xVal>
            <c:numRef>
              <c:f>'2013 E Maize VWC Graphs'!$AD$71:$AD$82</c:f>
              <c:numCache>
                <c:formatCode>General</c:formatCode>
                <c:ptCount val="12"/>
                <c:pt idx="0">
                  <c:v>0.28813952360774819</c:v>
                </c:pt>
                <c:pt idx="1">
                  <c:v>0.30583339053672315</c:v>
                </c:pt>
                <c:pt idx="2">
                  <c:v>0.35691161228813556</c:v>
                </c:pt>
                <c:pt idx="3">
                  <c:v>0.3560134830508474</c:v>
                </c:pt>
                <c:pt idx="4">
                  <c:v>0.34892056497175139</c:v>
                </c:pt>
                <c:pt idx="5">
                  <c:v>0.3425876024011299</c:v>
                </c:pt>
                <c:pt idx="6">
                  <c:v>0.31052010593220336</c:v>
                </c:pt>
                <c:pt idx="7">
                  <c:v>0.33115275141242939</c:v>
                </c:pt>
                <c:pt idx="8">
                  <c:v>0.26851094350282484</c:v>
                </c:pt>
                <c:pt idx="9">
                  <c:v>0.29452686935028249</c:v>
                </c:pt>
                <c:pt idx="10">
                  <c:v>0.29897052259887003</c:v>
                </c:pt>
                <c:pt idx="11">
                  <c:v>0.30543045903954802</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447B-454E-84B4-540102CAD1F0}"/>
            </c:ext>
          </c:extLst>
        </c:ser>
        <c:ser>
          <c:idx val="6"/>
          <c:order val="6"/>
          <c:tx>
            <c:strRef>
              <c:f>'2013 E Maize VWC Graphs'!$Z$84</c:f>
              <c:strCache>
                <c:ptCount val="1"/>
                <c:pt idx="0">
                  <c:v>197</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'2013 E Maize VWC Graphs'!$AD$84:$AD$95</c:f>
              <c:numCache>
                <c:formatCode>General</c:formatCode>
                <c:ptCount val="12"/>
                <c:pt idx="0">
                  <c:v>0.27081633171912833</c:v>
                </c:pt>
                <c:pt idx="1">
                  <c:v>0.34076831497175142</c:v>
                </c:pt>
                <c:pt idx="2">
                  <c:v>0.35573713559322034</c:v>
                </c:pt>
                <c:pt idx="3">
                  <c:v>0.35516141172316384</c:v>
                </c:pt>
                <c:pt idx="4">
                  <c:v>0.35670435169491527</c:v>
                </c:pt>
                <c:pt idx="5">
                  <c:v>0.34369299223163841</c:v>
                </c:pt>
                <c:pt idx="6">
                  <c:v>0.31100949505649716</c:v>
                </c:pt>
                <c:pt idx="7">
                  <c:v>0.33577258474576271</c:v>
                </c:pt>
                <c:pt idx="8">
                  <c:v>0.27506875776836159</c:v>
                </c:pt>
                <c:pt idx="9">
                  <c:v>0.28886953107344632</c:v>
                </c:pt>
                <c:pt idx="10">
                  <c:v>0.30141746822033899</c:v>
                </c:pt>
                <c:pt idx="11">
                  <c:v>0.30186770621468928</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447B-454E-84B4-540102CAD1F0}"/>
            </c:ext>
          </c:extLst>
        </c:ser>
        <c:ser>
          <c:idx val="7"/>
          <c:order val="7"/>
          <c:tx>
            <c:strRef>
              <c:f>'2013 E Maize VWC Graphs'!$Z$97</c:f>
              <c:strCache>
                <c:ptCount val="1"/>
                <c:pt idx="0">
                  <c:v>203</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'2013 E Maize VWC Graphs'!$AD$97:$AD$108</c:f>
              <c:numCache>
                <c:formatCode>General</c:formatCode>
                <c:ptCount val="12"/>
                <c:pt idx="0">
                  <c:v>0.3082791809927361</c:v>
                </c:pt>
                <c:pt idx="1">
                  <c:v>0.32939201129943502</c:v>
                </c:pt>
                <c:pt idx="2">
                  <c:v>0.3558522803672316</c:v>
                </c:pt>
                <c:pt idx="3">
                  <c:v>0.35548381709039545</c:v>
                </c:pt>
                <c:pt idx="4">
                  <c:v>0.35285851624293785</c:v>
                </c:pt>
                <c:pt idx="5">
                  <c:v>0.3405380254237288</c:v>
                </c:pt>
                <c:pt idx="6">
                  <c:v>0.31147930861581918</c:v>
                </c:pt>
                <c:pt idx="7">
                  <c:v>0.33301243008474579</c:v>
                </c:pt>
                <c:pt idx="8">
                  <c:v>0.27164303389830513</c:v>
                </c:pt>
                <c:pt idx="9">
                  <c:v>0.29583843220338985</c:v>
                </c:pt>
                <c:pt idx="10">
                  <c:v>0.2975806574858757</c:v>
                </c:pt>
                <c:pt idx="11">
                  <c:v>0.30243539759887006</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447B-454E-84B4-540102CAD1F0}"/>
            </c:ext>
          </c:extLst>
        </c:ser>
        <c:ser>
          <c:idx val="8"/>
          <c:order val="8"/>
          <c:tx>
            <c:strRef>
              <c:f>'2013 E Maize VWC Graphs'!$Z$110</c:f>
              <c:strCache>
                <c:ptCount val="1"/>
                <c:pt idx="0">
                  <c:v>210</c:v>
                </c:pt>
              </c:strCache>
            </c:strRef>
          </c:tx>
          <c:marker>
            <c:symbol val="circle"/>
            <c:size val="8"/>
            <c:spPr>
              <a:solidFill>
                <a:srgbClr val="FFFF99"/>
              </a:solidFill>
            </c:spPr>
          </c:marker>
          <c:xVal>
            <c:numRef>
              <c:f>'2013 E Maize VWC Graphs'!$AD$110:$AD$121</c:f>
              <c:numCache>
                <c:formatCode>General</c:formatCode>
                <c:ptCount val="12"/>
                <c:pt idx="0">
                  <c:v>0.21626178087167069</c:v>
                </c:pt>
                <c:pt idx="1">
                  <c:v>0.27978764265536721</c:v>
                </c:pt>
                <c:pt idx="2">
                  <c:v>0.3181538813559322</c:v>
                </c:pt>
                <c:pt idx="3">
                  <c:v>0.32957624293785309</c:v>
                </c:pt>
                <c:pt idx="4">
                  <c:v>0.3359322344632768</c:v>
                </c:pt>
                <c:pt idx="5">
                  <c:v>0.33779757980225988</c:v>
                </c:pt>
                <c:pt idx="6">
                  <c:v>0.30742716666666664</c:v>
                </c:pt>
                <c:pt idx="7">
                  <c:v>0.32915604378531077</c:v>
                </c:pt>
                <c:pt idx="8">
                  <c:v>0.27348313700564975</c:v>
                </c:pt>
                <c:pt idx="9">
                  <c:v>0.28845844420903954</c:v>
                </c:pt>
                <c:pt idx="10">
                  <c:v>0.30216133968926556</c:v>
                </c:pt>
                <c:pt idx="11">
                  <c:v>0.29771768644067798</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447B-454E-84B4-540102CAD1F0}"/>
            </c:ext>
          </c:extLst>
        </c:ser>
        <c:ser>
          <c:idx val="9"/>
          <c:order val="9"/>
          <c:tx>
            <c:strRef>
              <c:f>'2013 E Maize VWC Graphs'!$Z$123</c:f>
              <c:strCache>
                <c:ptCount val="1"/>
                <c:pt idx="0">
                  <c:v>218</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'2013 E Maize VWC Graphs'!$AD$123:$AD$134</c:f>
              <c:numCache>
                <c:formatCode>General</c:formatCode>
                <c:ptCount val="12"/>
                <c:pt idx="0">
                  <c:v>0.22100733232445519</c:v>
                </c:pt>
                <c:pt idx="1">
                  <c:v>0.29788840112994353</c:v>
                </c:pt>
                <c:pt idx="2">
                  <c:v>0.32319722245762711</c:v>
                </c:pt>
                <c:pt idx="3">
                  <c:v>0.32688185522598867</c:v>
                </c:pt>
                <c:pt idx="4">
                  <c:v>0.33010590889830504</c:v>
                </c:pt>
                <c:pt idx="5">
                  <c:v>0.33597829237288135</c:v>
                </c:pt>
                <c:pt idx="6">
                  <c:v>0.30599815042372885</c:v>
                </c:pt>
                <c:pt idx="7">
                  <c:v>0.32882325918079097</c:v>
                </c:pt>
                <c:pt idx="8">
                  <c:v>0.26661211370056498</c:v>
                </c:pt>
                <c:pt idx="9">
                  <c:v>0.28501314477401135</c:v>
                </c:pt>
                <c:pt idx="10">
                  <c:v>0.29374384675141241</c:v>
                </c:pt>
                <c:pt idx="11">
                  <c:v>0.29636697245762711</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447B-454E-84B4-540102CAD1F0}"/>
            </c:ext>
          </c:extLst>
        </c:ser>
        <c:ser>
          <c:idx val="10"/>
          <c:order val="10"/>
          <c:tx>
            <c:strRef>
              <c:f>'2013 E Maize VWC Graphs'!$Z$136</c:f>
              <c:strCache>
                <c:ptCount val="1"/>
                <c:pt idx="0">
                  <c:v>231</c:v>
                </c:pt>
              </c:strCache>
            </c:strRef>
          </c:tx>
          <c:xVal>
            <c:numRef>
              <c:f>'2013 E Maize VWC Graphs'!$AD$136:$AD$147</c:f>
              <c:numCache>
                <c:formatCode>General</c:formatCode>
                <c:ptCount val="12"/>
                <c:pt idx="0">
                  <c:v>0.29790069854721551</c:v>
                </c:pt>
                <c:pt idx="1">
                  <c:v>0.32234515112994344</c:v>
                </c:pt>
                <c:pt idx="2">
                  <c:v>0.3365079583333333</c:v>
                </c:pt>
                <c:pt idx="3">
                  <c:v>0.32761878177966103</c:v>
                </c:pt>
                <c:pt idx="4">
                  <c:v>0.33385962853107343</c:v>
                </c:pt>
                <c:pt idx="5">
                  <c:v>0.33411294703389827</c:v>
                </c:pt>
                <c:pt idx="6">
                  <c:v>0.30564579025423727</c:v>
                </c:pt>
                <c:pt idx="7">
                  <c:v>0.32269610734463278</c:v>
                </c:pt>
                <c:pt idx="8">
                  <c:v>0.26694489830508478</c:v>
                </c:pt>
                <c:pt idx="9">
                  <c:v>0.28084354943502826</c:v>
                </c:pt>
                <c:pt idx="10">
                  <c:v>0.29842240677966103</c:v>
                </c:pt>
                <c:pt idx="11">
                  <c:v>0.29885306920903959</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447B-454E-84B4-540102CAD1F0}"/>
            </c:ext>
          </c:extLst>
        </c:ser>
        <c:ser>
          <c:idx val="11"/>
          <c:order val="11"/>
          <c:tx>
            <c:strRef>
              <c:f>'2013 E Maize VWC Graphs'!$Z$149</c:f>
              <c:strCache>
                <c:ptCount val="1"/>
                <c:pt idx="0">
                  <c:v>246</c:v>
                </c:pt>
              </c:strCache>
            </c:strRef>
          </c:tx>
          <c:xVal>
            <c:numRef>
              <c:f>'2013 E Maize VWC Graphs'!$AD$149:$AD$160</c:f>
              <c:numCache>
                <c:formatCode>General</c:formatCode>
                <c:ptCount val="12"/>
                <c:pt idx="0">
                  <c:v>0.23510895066585957</c:v>
                </c:pt>
                <c:pt idx="1">
                  <c:v>0.26977004731638415</c:v>
                </c:pt>
                <c:pt idx="2">
                  <c:v>0.29167058333333329</c:v>
                </c:pt>
                <c:pt idx="3">
                  <c:v>0.28273534887005652</c:v>
                </c:pt>
                <c:pt idx="4">
                  <c:v>0.27614906779661014</c:v>
                </c:pt>
                <c:pt idx="5">
                  <c:v>0.31299539548022598</c:v>
                </c:pt>
                <c:pt idx="6">
                  <c:v>0.30032123658192095</c:v>
                </c:pt>
                <c:pt idx="7">
                  <c:v>0.3144743700564972</c:v>
                </c:pt>
                <c:pt idx="8">
                  <c:v>0.25852740536723162</c:v>
                </c:pt>
                <c:pt idx="9">
                  <c:v>0.28462163347457625</c:v>
                </c:pt>
                <c:pt idx="10">
                  <c:v>0.29388087570621468</c:v>
                </c:pt>
                <c:pt idx="11">
                  <c:v>0.29932288276836161</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447B-454E-84B4-540102CAD1F0}"/>
            </c:ext>
          </c:extLst>
        </c:ser>
        <c:ser>
          <c:idx val="12"/>
          <c:order val="12"/>
          <c:tx>
            <c:strRef>
              <c:f>'2013 E Maize VWC Graphs'!$Z$162</c:f>
              <c:strCache>
                <c:ptCount val="1"/>
                <c:pt idx="0">
                  <c:v>253</c:v>
                </c:pt>
              </c:strCache>
            </c:strRef>
          </c:tx>
          <c:spPr>
            <a:ln>
              <a:solidFill>
                <a:srgbClr val="5449E1"/>
              </a:solidFill>
            </a:ln>
          </c:spPr>
          <c:marker>
            <c:symbol val="circle"/>
            <c:size val="8"/>
            <c:spPr>
              <a:solidFill>
                <a:srgbClr val="160B55"/>
              </a:solidFill>
              <a:ln>
                <a:solidFill>
                  <a:srgbClr val="7030A0"/>
                </a:solidFill>
              </a:ln>
            </c:spPr>
          </c:marker>
          <c:xVal>
            <c:numRef>
              <c:f>'2013 E Maize VWC Graphs'!$AD$162:$AD$173</c:f>
              <c:numCache>
                <c:formatCode>General</c:formatCode>
                <c:ptCount val="12"/>
                <c:pt idx="0">
                  <c:v>0.20839111016949152</c:v>
                </c:pt>
                <c:pt idx="1">
                  <c:v>0.2781065289548022</c:v>
                </c:pt>
                <c:pt idx="2">
                  <c:v>0.29503281073446325</c:v>
                </c:pt>
                <c:pt idx="3">
                  <c:v>0.27591877824858757</c:v>
                </c:pt>
                <c:pt idx="4">
                  <c:v>0.27018456850282485</c:v>
                </c:pt>
                <c:pt idx="5">
                  <c:v>0.3050504060734463</c:v>
                </c:pt>
                <c:pt idx="6">
                  <c:v>0.29006364053672318</c:v>
                </c:pt>
                <c:pt idx="7">
                  <c:v>0.31510078813559322</c:v>
                </c:pt>
                <c:pt idx="8">
                  <c:v>0.25747032485875704</c:v>
                </c:pt>
                <c:pt idx="9">
                  <c:v>0.27508833333333338</c:v>
                </c:pt>
                <c:pt idx="10">
                  <c:v>0.29170798799435033</c:v>
                </c:pt>
                <c:pt idx="11">
                  <c:v>0.29613206567796613</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447B-454E-84B4-540102CAD1F0}"/>
            </c:ext>
          </c:extLst>
        </c:ser>
        <c:ser>
          <c:idx val="13"/>
          <c:order val="13"/>
          <c:tx>
            <c:strRef>
              <c:f>'2013 E Maize VWC Graphs'!$Z$175</c:f>
              <c:strCache>
                <c:ptCount val="1"/>
                <c:pt idx="0">
                  <c:v>269</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'2013 E Maize VWC Graphs'!$AD$175:$AD$186</c:f>
              <c:numCache>
                <c:formatCode>General</c:formatCode>
                <c:ptCount val="12"/>
                <c:pt idx="0">
                  <c:v>0.27367137893462468</c:v>
                </c:pt>
                <c:pt idx="1">
                  <c:v>0.26267712923728814</c:v>
                </c:pt>
                <c:pt idx="2">
                  <c:v>0.28342621751412428</c:v>
                </c:pt>
                <c:pt idx="3">
                  <c:v>0.27534305437853107</c:v>
                </c:pt>
                <c:pt idx="4">
                  <c:v>0.26369040324858756</c:v>
                </c:pt>
                <c:pt idx="5">
                  <c:v>0.30355352401129942</c:v>
                </c:pt>
                <c:pt idx="6">
                  <c:v>0.29192331920903958</c:v>
                </c:pt>
                <c:pt idx="7">
                  <c:v>0.31120525070621474</c:v>
                </c:pt>
                <c:pt idx="8">
                  <c:v>0.2481132048022599</c:v>
                </c:pt>
                <c:pt idx="9">
                  <c:v>0.27397252612994349</c:v>
                </c:pt>
                <c:pt idx="10">
                  <c:v>0.29115987217514122</c:v>
                </c:pt>
                <c:pt idx="11">
                  <c:v>0.29262803954802258</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447B-454E-84B4-540102CAD1F0}"/>
            </c:ext>
          </c:extLst>
        </c:ser>
        <c:ser>
          <c:idx val="14"/>
          <c:order val="14"/>
          <c:tx>
            <c:strRef>
              <c:f>'2013 E Maize VWC Graphs'!$Z$188</c:f>
              <c:strCache>
                <c:ptCount val="1"/>
              </c:strCache>
            </c:strRef>
          </c:tx>
          <c:xVal>
            <c:numRef>
              <c:f>'2013 E Maize VWC Graphs'!$AD$188:$AD$199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447B-454E-84B4-540102CAD1F0}"/>
            </c:ext>
          </c:extLst>
        </c:ser>
        <c:ser>
          <c:idx val="15"/>
          <c:order val="15"/>
          <c:tx>
            <c:v>Porosity</c:v>
          </c:tx>
          <c:spPr>
            <a:ln w="38100">
              <a:solidFill>
                <a:srgbClr val="000000"/>
              </a:solidFill>
              <a:prstDash val="solid"/>
            </a:ln>
          </c:spPr>
          <c:marker>
            <c:symbol val="none"/>
          </c:marker>
          <c:xVal>
            <c:numRef>
              <c:f>'2013 E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'2013 E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0F-447B-454E-84B4-540102CAD1F0}"/>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NE tube 2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7659166794215517"/>
              <c:y val="3.5781110030568886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26826865765285313"/>
          <c:w val="0.11121338639365544"/>
          <c:h val="0.56563248695036716"/>
        </c:manualLayout>
      </c:layout>
      <c:overlay val="0"/>
      <c:spPr>
        <a:solidFill>
          <a:srgbClr val="FFFFFF"/>
        </a:solidFill>
        <a:ln w="3175">
          <a:noFill/>
          <a:prstDash val="solid"/>
        </a:ln>
      </c:spPr>
      <c:txPr>
        <a:bodyPr/>
        <a:lstStyle/>
        <a:p>
          <a:pPr>
            <a:defRPr sz="8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'2013 E Maize VWC Graphs'!$Z$6</c:f>
              <c:strCache>
                <c:ptCount val="1"/>
                <c:pt idx="0">
                  <c:v>156</c:v>
                </c:pt>
              </c:strCache>
            </c:strRef>
          </c:tx>
          <c:spPr>
            <a:ln>
              <a:solidFill>
                <a:srgbClr val="FF0000"/>
              </a:solidFill>
            </a:ln>
          </c:spPr>
          <c:marker>
            <c:symbol val="triangle"/>
            <c:size val="8"/>
            <c:spPr>
              <a:solidFill>
                <a:srgbClr val="FFFF00"/>
              </a:solidFill>
              <a:ln>
                <a:solidFill>
                  <a:srgbClr val="FF0000"/>
                </a:solidFill>
              </a:ln>
            </c:spPr>
          </c:marker>
          <c:xVal>
            <c:numRef>
              <c:f>'2013 E Maize VWC Graphs'!$AE$6:$AE$17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03F7-44DB-B1BF-F139780F94D9}"/>
            </c:ext>
          </c:extLst>
        </c:ser>
        <c:ser>
          <c:idx val="4"/>
          <c:order val="1"/>
          <c:tx>
            <c:strRef>
              <c:f>'2013 E Maize VWC Graphs'!$Z$19</c:f>
              <c:strCache>
                <c:ptCount val="1"/>
                <c:pt idx="0">
                  <c:v>157</c:v>
                </c:pt>
              </c:strCache>
            </c:strRef>
          </c:tx>
          <c:spPr>
            <a:ln>
              <a:solidFill>
                <a:srgbClr val="002060"/>
              </a:solidFill>
            </a:ln>
          </c:spPr>
          <c:marker>
            <c:symbol val="square"/>
            <c:size val="7"/>
            <c:spPr>
              <a:noFill/>
            </c:spPr>
          </c:marker>
          <c:xVal>
            <c:numRef>
              <c:f>'2013 E Maize VWC Graphs'!$AE$19:$AE$30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03F7-44DB-B1BF-F139780F94D9}"/>
            </c:ext>
          </c:extLst>
        </c:ser>
        <c:ser>
          <c:idx val="0"/>
          <c:order val="2"/>
          <c:tx>
            <c:strRef>
              <c:f>'2013 E Maize VWC Graphs'!$Z$32</c:f>
              <c:strCache>
                <c:ptCount val="1"/>
                <c:pt idx="0">
                  <c:v>171</c:v>
                </c:pt>
              </c:strCache>
            </c:strRef>
          </c:tx>
          <c:xVal>
            <c:numRef>
              <c:f>'2013 E Maize VWC Graphs'!$AE$32:$AE$43</c:f>
              <c:numCache>
                <c:formatCode>General</c:formatCode>
                <c:ptCount val="12"/>
                <c:pt idx="0">
                  <c:v>0.30719889285714286</c:v>
                </c:pt>
                <c:pt idx="1">
                  <c:v>0.35472386158192093</c:v>
                </c:pt>
                <c:pt idx="2">
                  <c:v>0.35633588841807906</c:v>
                </c:pt>
                <c:pt idx="3">
                  <c:v>0.34820666737288131</c:v>
                </c:pt>
                <c:pt idx="4">
                  <c:v>0.33871873799435026</c:v>
                </c:pt>
                <c:pt idx="5">
                  <c:v>0.3283787372881356</c:v>
                </c:pt>
                <c:pt idx="6">
                  <c:v>0.30674202189265537</c:v>
                </c:pt>
                <c:pt idx="7">
                  <c:v>0.3133781384180791</c:v>
                </c:pt>
                <c:pt idx="8">
                  <c:v>0.29317615536723168</c:v>
                </c:pt>
                <c:pt idx="9">
                  <c:v>0.29437026483050849</c:v>
                </c:pt>
                <c:pt idx="10">
                  <c:v>0.27536239124293782</c:v>
                </c:pt>
                <c:pt idx="11">
                  <c:v>0.28990703601694917</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03F7-44DB-B1BF-F139780F94D9}"/>
            </c:ext>
          </c:extLst>
        </c:ser>
        <c:ser>
          <c:idx val="1"/>
          <c:order val="3"/>
          <c:tx>
            <c:strRef>
              <c:f>'2013 E Maize VWC Graphs'!$Z$45</c:f>
              <c:strCache>
                <c:ptCount val="1"/>
                <c:pt idx="0">
                  <c:v>176</c:v>
                </c:pt>
              </c:strCache>
            </c:strRef>
          </c:tx>
          <c:marker>
            <c:symbol val="square"/>
            <c:size val="5"/>
          </c:marker>
          <c:xVal>
            <c:numRef>
              <c:f>'2013 E Maize VWC Graphs'!$AE$45:$AE$56</c:f>
              <c:numCache>
                <c:formatCode>General</c:formatCode>
                <c:ptCount val="12"/>
                <c:pt idx="0">
                  <c:v>0.25671471337772395</c:v>
                </c:pt>
                <c:pt idx="1">
                  <c:v>0.35361847175141242</c:v>
                </c:pt>
                <c:pt idx="2">
                  <c:v>0.35792488629943497</c:v>
                </c:pt>
                <c:pt idx="3">
                  <c:v>0.3499338389830508</c:v>
                </c:pt>
                <c:pt idx="4">
                  <c:v>0.33639281355932205</c:v>
                </c:pt>
                <c:pt idx="5">
                  <c:v>0.3283787372881356</c:v>
                </c:pt>
                <c:pt idx="6">
                  <c:v>0.30417762288135591</c:v>
                </c:pt>
                <c:pt idx="7">
                  <c:v>0.31026562358757065</c:v>
                </c:pt>
                <c:pt idx="8">
                  <c:v>0.29141435451977404</c:v>
                </c:pt>
                <c:pt idx="9">
                  <c:v>0.29546649646892659</c:v>
                </c:pt>
                <c:pt idx="10">
                  <c:v>0.27933623093220339</c:v>
                </c:pt>
                <c:pt idx="11">
                  <c:v>0.28826268855932208</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03F7-44DB-B1BF-F139780F94D9}"/>
            </c:ext>
          </c:extLst>
        </c:ser>
        <c:ser>
          <c:idx val="2"/>
          <c:order val="4"/>
          <c:tx>
            <c:strRef>
              <c:f>'2013 E Maize VWC Graphs'!$Z$58</c:f>
              <c:strCache>
                <c:ptCount val="1"/>
                <c:pt idx="0">
                  <c:v>183</c:v>
                </c:pt>
              </c:strCache>
            </c:strRef>
          </c:tx>
          <c:marker>
            <c:spPr>
              <a:solidFill>
                <a:srgbClr val="00B050"/>
              </a:solidFill>
            </c:spPr>
          </c:marker>
          <c:xVal>
            <c:numRef>
              <c:f>'2013 E Maize VWC Graphs'!$AE$58:$AE$69</c:f>
              <c:numCache>
                <c:formatCode>General</c:formatCode>
                <c:ptCount val="12"/>
                <c:pt idx="0">
                  <c:v>0.20968359776029055</c:v>
                </c:pt>
                <c:pt idx="1">
                  <c:v>0.32600675494350284</c:v>
                </c:pt>
                <c:pt idx="2">
                  <c:v>0.35576016454802256</c:v>
                </c:pt>
                <c:pt idx="3">
                  <c:v>0.34604194562146889</c:v>
                </c:pt>
                <c:pt idx="4">
                  <c:v>0.34136706779661019</c:v>
                </c:pt>
                <c:pt idx="5">
                  <c:v>0.33001379307909601</c:v>
                </c:pt>
                <c:pt idx="6">
                  <c:v>0.30400144279661018</c:v>
                </c:pt>
                <c:pt idx="7">
                  <c:v>0.31390667867231636</c:v>
                </c:pt>
                <c:pt idx="8">
                  <c:v>0.29164926129943503</c:v>
                </c:pt>
                <c:pt idx="9">
                  <c:v>0.28998533827683615</c:v>
                </c:pt>
                <c:pt idx="10">
                  <c:v>0.27557772245762713</c:v>
                </c:pt>
                <c:pt idx="11">
                  <c:v>0.2865400388418079</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03F7-44DB-B1BF-F139780F94D9}"/>
            </c:ext>
          </c:extLst>
        </c:ser>
        <c:ser>
          <c:idx val="5"/>
          <c:order val="5"/>
          <c:tx>
            <c:strRef>
              <c:f>'2013 E Maize VWC Graphs'!$Z$71</c:f>
              <c:strCache>
                <c:ptCount val="1"/>
                <c:pt idx="0">
                  <c:v>189</c:v>
                </c:pt>
              </c:strCache>
            </c:strRef>
          </c:tx>
          <c:marker>
            <c:spPr>
              <a:solidFill>
                <a:schemeClr val="accent6">
                  <a:lumMod val="60000"/>
                  <a:lumOff val="40000"/>
                </a:schemeClr>
              </a:solidFill>
            </c:spPr>
          </c:marker>
          <c:xVal>
            <c:numRef>
              <c:f>'2013 E Maize VWC Graphs'!$AE$71:$AE$82</c:f>
              <c:numCache>
                <c:formatCode>General</c:formatCode>
                <c:ptCount val="12"/>
                <c:pt idx="0">
                  <c:v>0.29780424424939467</c:v>
                </c:pt>
                <c:pt idx="1">
                  <c:v>0.31668002824858754</c:v>
                </c:pt>
                <c:pt idx="2">
                  <c:v>0.35055562076271185</c:v>
                </c:pt>
                <c:pt idx="3">
                  <c:v>0.34859815960451979</c:v>
                </c:pt>
                <c:pt idx="4">
                  <c:v>0.33710671115819207</c:v>
                </c:pt>
                <c:pt idx="5">
                  <c:v>0.33208639901129938</c:v>
                </c:pt>
                <c:pt idx="6">
                  <c:v>0.30623305720338984</c:v>
                </c:pt>
                <c:pt idx="7">
                  <c:v>0.30930642090395483</c:v>
                </c:pt>
                <c:pt idx="8">
                  <c:v>0.30063444562146896</c:v>
                </c:pt>
                <c:pt idx="9">
                  <c:v>0.29464432274011298</c:v>
                </c:pt>
                <c:pt idx="10">
                  <c:v>0.27679140748587572</c:v>
                </c:pt>
                <c:pt idx="11">
                  <c:v>0.28943722245762715</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03F7-44DB-B1BF-F139780F94D9}"/>
            </c:ext>
          </c:extLst>
        </c:ser>
        <c:ser>
          <c:idx val="6"/>
          <c:order val="6"/>
          <c:tx>
            <c:strRef>
              <c:f>'2013 E Maize VWC Graphs'!$Z$84</c:f>
              <c:strCache>
                <c:ptCount val="1"/>
                <c:pt idx="0">
                  <c:v>197</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'2013 E Maize VWC Graphs'!$AE$84:$AE$95</c:f>
              <c:numCache>
                <c:formatCode>General</c:formatCode>
                <c:ptCount val="12"/>
                <c:pt idx="0">
                  <c:v>0.25858592675544795</c:v>
                </c:pt>
                <c:pt idx="1">
                  <c:v>0.3143771327683616</c:v>
                </c:pt>
                <c:pt idx="2">
                  <c:v>0.33395174435028246</c:v>
                </c:pt>
                <c:pt idx="3">
                  <c:v>0.34546622175141239</c:v>
                </c:pt>
                <c:pt idx="4">
                  <c:v>0.33611646610169488</c:v>
                </c:pt>
                <c:pt idx="5">
                  <c:v>0.32619098658192092</c:v>
                </c:pt>
                <c:pt idx="6">
                  <c:v>0.30668329519774012</c:v>
                </c:pt>
                <c:pt idx="7">
                  <c:v>0.31036350141242935</c:v>
                </c:pt>
                <c:pt idx="8">
                  <c:v>0.28552210946327683</c:v>
                </c:pt>
                <c:pt idx="9">
                  <c:v>0.29521201412429376</c:v>
                </c:pt>
                <c:pt idx="10">
                  <c:v>0.27176048728813557</c:v>
                </c:pt>
                <c:pt idx="11">
                  <c:v>0.28417139548022596</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03F7-44DB-B1BF-F139780F94D9}"/>
            </c:ext>
          </c:extLst>
        </c:ser>
        <c:ser>
          <c:idx val="7"/>
          <c:order val="7"/>
          <c:tx>
            <c:strRef>
              <c:f>'2013 E Maize VWC Graphs'!$Z$97</c:f>
              <c:strCache>
                <c:ptCount val="1"/>
                <c:pt idx="0">
                  <c:v>203</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'2013 E Maize VWC Graphs'!$AE$97:$AE$108</c:f>
              <c:numCache>
                <c:formatCode>General</c:formatCode>
                <c:ptCount val="12"/>
                <c:pt idx="0">
                  <c:v>0.32620038952784508</c:v>
                </c:pt>
                <c:pt idx="1">
                  <c:v>0.35032533121468928</c:v>
                </c:pt>
                <c:pt idx="2">
                  <c:v>0.35571410663841807</c:v>
                </c:pt>
                <c:pt idx="3">
                  <c:v>0.35117740254237284</c:v>
                </c:pt>
                <c:pt idx="4">
                  <c:v>0.33802786935028245</c:v>
                </c:pt>
                <c:pt idx="5">
                  <c:v>0.33132644350282481</c:v>
                </c:pt>
                <c:pt idx="6">
                  <c:v>0.30799485805084748</c:v>
                </c:pt>
                <c:pt idx="7">
                  <c:v>0.31306492937853109</c:v>
                </c:pt>
                <c:pt idx="8">
                  <c:v>0.29401790466101696</c:v>
                </c:pt>
                <c:pt idx="9">
                  <c:v>0.29356766666666667</c:v>
                </c:pt>
                <c:pt idx="10">
                  <c:v>0.28080439830508475</c:v>
                </c:pt>
                <c:pt idx="11">
                  <c:v>0.29298039971751416</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03F7-44DB-B1BF-F139780F94D9}"/>
            </c:ext>
          </c:extLst>
        </c:ser>
        <c:ser>
          <c:idx val="8"/>
          <c:order val="8"/>
          <c:tx>
            <c:strRef>
              <c:f>'2013 E Maize VWC Graphs'!$Z$110</c:f>
              <c:strCache>
                <c:ptCount val="1"/>
                <c:pt idx="0">
                  <c:v>210</c:v>
                </c:pt>
              </c:strCache>
            </c:strRef>
          </c:tx>
          <c:marker>
            <c:symbol val="circle"/>
            <c:size val="8"/>
            <c:spPr>
              <a:solidFill>
                <a:srgbClr val="FFFF99"/>
              </a:solidFill>
            </c:spPr>
          </c:marker>
          <c:xVal>
            <c:numRef>
              <c:f>'2013 E Maize VWC Graphs'!$AE$110:$AE$121</c:f>
              <c:numCache>
                <c:formatCode>General</c:formatCode>
                <c:ptCount val="12"/>
                <c:pt idx="0">
                  <c:v>0.23036339921307503</c:v>
                </c:pt>
                <c:pt idx="1">
                  <c:v>0.31115307909604517</c:v>
                </c:pt>
                <c:pt idx="2">
                  <c:v>0.32835570833333333</c:v>
                </c:pt>
                <c:pt idx="3">
                  <c:v>0.32176942725988694</c:v>
                </c:pt>
                <c:pt idx="4">
                  <c:v>0.3272272895480226</c:v>
                </c:pt>
                <c:pt idx="5">
                  <c:v>0.3243947281073446</c:v>
                </c:pt>
                <c:pt idx="6">
                  <c:v>0.30570451694915257</c:v>
                </c:pt>
                <c:pt idx="7">
                  <c:v>0.30821018926553673</c:v>
                </c:pt>
                <c:pt idx="8">
                  <c:v>0.28883037994350286</c:v>
                </c:pt>
                <c:pt idx="9">
                  <c:v>0.29229525494350284</c:v>
                </c:pt>
                <c:pt idx="10">
                  <c:v>0.27426615960451978</c:v>
                </c:pt>
                <c:pt idx="11">
                  <c:v>0.28544380720338985</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03F7-44DB-B1BF-F139780F94D9}"/>
            </c:ext>
          </c:extLst>
        </c:ser>
        <c:ser>
          <c:idx val="9"/>
          <c:order val="9"/>
          <c:tx>
            <c:strRef>
              <c:f>'2013 E Maize VWC Graphs'!$Z$123</c:f>
              <c:strCache>
                <c:ptCount val="1"/>
                <c:pt idx="0">
                  <c:v>218</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'2013 E Maize VWC Graphs'!$AE$123:$AE$134</c:f>
              <c:numCache>
                <c:formatCode>General</c:formatCode>
                <c:ptCount val="12"/>
                <c:pt idx="0">
                  <c:v>0.22575288377723968</c:v>
                </c:pt>
                <c:pt idx="1">
                  <c:v>0.31138336864406779</c:v>
                </c:pt>
                <c:pt idx="2">
                  <c:v>0.32271361440677965</c:v>
                </c:pt>
                <c:pt idx="3">
                  <c:v>0.30974831285310733</c:v>
                </c:pt>
                <c:pt idx="4">
                  <c:v>0.31186697669491525</c:v>
                </c:pt>
                <c:pt idx="5">
                  <c:v>0.3216082245762712</c:v>
                </c:pt>
                <c:pt idx="6">
                  <c:v>0.301730677259887</c:v>
                </c:pt>
                <c:pt idx="7">
                  <c:v>0.30212218855932205</c:v>
                </c:pt>
                <c:pt idx="8">
                  <c:v>0.28430842443502824</c:v>
                </c:pt>
                <c:pt idx="9">
                  <c:v>0.29217780155367234</c:v>
                </c:pt>
                <c:pt idx="10">
                  <c:v>0.27082086016949153</c:v>
                </c:pt>
                <c:pt idx="11">
                  <c:v>0.2841322443502825</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03F7-44DB-B1BF-F139780F94D9}"/>
            </c:ext>
          </c:extLst>
        </c:ser>
        <c:ser>
          <c:idx val="10"/>
          <c:order val="10"/>
          <c:tx>
            <c:strRef>
              <c:f>'2013 E Maize VWC Graphs'!$Z$136</c:f>
              <c:strCache>
                <c:ptCount val="1"/>
                <c:pt idx="0">
                  <c:v>231</c:v>
                </c:pt>
              </c:strCache>
            </c:strRef>
          </c:tx>
          <c:xVal>
            <c:numRef>
              <c:f>'2013 E Maize VWC Graphs'!$AE$136:$AE$147</c:f>
              <c:numCache>
                <c:formatCode>General</c:formatCode>
                <c:ptCount val="12"/>
                <c:pt idx="0">
                  <c:v>0.30690952996368037</c:v>
                </c:pt>
                <c:pt idx="1">
                  <c:v>0.33945566454802262</c:v>
                </c:pt>
                <c:pt idx="2">
                  <c:v>0.3351953079096045</c:v>
                </c:pt>
                <c:pt idx="3">
                  <c:v>0.32388809110169486</c:v>
                </c:pt>
                <c:pt idx="4">
                  <c:v>0.32432564124293783</c:v>
                </c:pt>
                <c:pt idx="5">
                  <c:v>0.32326630932203387</c:v>
                </c:pt>
                <c:pt idx="6">
                  <c:v>0.30116298587570622</c:v>
                </c:pt>
                <c:pt idx="7">
                  <c:v>0.30202431073446329</c:v>
                </c:pt>
                <c:pt idx="8">
                  <c:v>0.28642258545197741</c:v>
                </c:pt>
                <c:pt idx="9">
                  <c:v>0.28485654025423729</c:v>
                </c:pt>
                <c:pt idx="10">
                  <c:v>0.26892203036723167</c:v>
                </c:pt>
                <c:pt idx="11">
                  <c:v>0.27908174858757062</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03F7-44DB-B1BF-F139780F94D9}"/>
            </c:ext>
          </c:extLst>
        </c:ser>
        <c:ser>
          <c:idx val="11"/>
          <c:order val="11"/>
          <c:tx>
            <c:strRef>
              <c:f>'2013 E Maize VWC Graphs'!$Z$149</c:f>
              <c:strCache>
                <c:ptCount val="1"/>
                <c:pt idx="0">
                  <c:v>246</c:v>
                </c:pt>
              </c:strCache>
            </c:strRef>
          </c:tx>
          <c:xVal>
            <c:numRef>
              <c:f>'2013 E Maize VWC Graphs'!$AE$149:$AE$160</c:f>
              <c:numCache>
                <c:formatCode>General</c:formatCode>
                <c:ptCount val="12"/>
                <c:pt idx="0">
                  <c:v>0.25194987106537531</c:v>
                </c:pt>
                <c:pt idx="1">
                  <c:v>0.2988095593220339</c:v>
                </c:pt>
                <c:pt idx="2">
                  <c:v>0.30799811228813562</c:v>
                </c:pt>
                <c:pt idx="3">
                  <c:v>0.27601089406779655</c:v>
                </c:pt>
                <c:pt idx="4">
                  <c:v>0.27094452401129943</c:v>
                </c:pt>
                <c:pt idx="5">
                  <c:v>0.31106096327683613</c:v>
                </c:pt>
                <c:pt idx="6">
                  <c:v>0.29624951906779662</c:v>
                </c:pt>
                <c:pt idx="7">
                  <c:v>0.29080751200564969</c:v>
                </c:pt>
                <c:pt idx="8">
                  <c:v>0.28530677824858758</c:v>
                </c:pt>
                <c:pt idx="9">
                  <c:v>0.27594965819209039</c:v>
                </c:pt>
                <c:pt idx="10">
                  <c:v>0.26322554096045198</c:v>
                </c:pt>
                <c:pt idx="11">
                  <c:v>0.2814112408192091</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03F7-44DB-B1BF-F139780F94D9}"/>
            </c:ext>
          </c:extLst>
        </c:ser>
        <c:ser>
          <c:idx val="12"/>
          <c:order val="12"/>
          <c:tx>
            <c:strRef>
              <c:f>'2013 E Maize VWC Graphs'!$Z$162</c:f>
              <c:strCache>
                <c:ptCount val="1"/>
                <c:pt idx="0">
                  <c:v>253</c:v>
                </c:pt>
              </c:strCache>
            </c:strRef>
          </c:tx>
          <c:spPr>
            <a:ln>
              <a:solidFill>
                <a:srgbClr val="5449E1"/>
              </a:solidFill>
            </a:ln>
          </c:spPr>
          <c:marker>
            <c:symbol val="circle"/>
            <c:size val="8"/>
            <c:spPr>
              <a:solidFill>
                <a:srgbClr val="160B55"/>
              </a:solidFill>
              <a:ln>
                <a:solidFill>
                  <a:srgbClr val="7030A0"/>
                </a:solidFill>
              </a:ln>
            </c:spPr>
          </c:marker>
          <c:xVal>
            <c:numRef>
              <c:f>'2013 E Maize VWC Graphs'!$AE$162:$AE$173</c:f>
              <c:numCache>
                <c:formatCode>General</c:formatCode>
                <c:ptCount val="12"/>
                <c:pt idx="0">
                  <c:v>0.2170912878329298</c:v>
                </c:pt>
                <c:pt idx="1">
                  <c:v>0.29222327824858757</c:v>
                </c:pt>
                <c:pt idx="2">
                  <c:v>0.30230996045197739</c:v>
                </c:pt>
                <c:pt idx="3">
                  <c:v>0.27552728601694915</c:v>
                </c:pt>
                <c:pt idx="4">
                  <c:v>0.25705806426553668</c:v>
                </c:pt>
                <c:pt idx="5">
                  <c:v>0.30189543926553675</c:v>
                </c:pt>
                <c:pt idx="6">
                  <c:v>0.29313700423728817</c:v>
                </c:pt>
                <c:pt idx="7">
                  <c:v>0.29256931285310733</c:v>
                </c:pt>
                <c:pt idx="8">
                  <c:v>0.27516663559322035</c:v>
                </c:pt>
                <c:pt idx="9">
                  <c:v>0.28060864265536728</c:v>
                </c:pt>
                <c:pt idx="10">
                  <c:v>0.26226633827683615</c:v>
                </c:pt>
                <c:pt idx="11">
                  <c:v>0.27569517584745762</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03F7-44DB-B1BF-F139780F94D9}"/>
            </c:ext>
          </c:extLst>
        </c:ser>
        <c:ser>
          <c:idx val="13"/>
          <c:order val="13"/>
          <c:tx>
            <c:strRef>
              <c:f>'2013 E Maize VWC Graphs'!$Z$175</c:f>
              <c:strCache>
                <c:ptCount val="1"/>
                <c:pt idx="0">
                  <c:v>269</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'2013 E Maize VWC Graphs'!$AE$175:$AE$186</c:f>
              <c:numCache>
                <c:formatCode>General</c:formatCode>
                <c:ptCount val="12"/>
                <c:pt idx="0">
                  <c:v>0.27714373365617434</c:v>
                </c:pt>
                <c:pt idx="1">
                  <c:v>0.29141726483050845</c:v>
                </c:pt>
                <c:pt idx="2">
                  <c:v>0.29187784392655364</c:v>
                </c:pt>
                <c:pt idx="3">
                  <c:v>0.26682234110169489</c:v>
                </c:pt>
                <c:pt idx="4">
                  <c:v>0.25860100423728816</c:v>
                </c:pt>
                <c:pt idx="5">
                  <c:v>0.30099731002824859</c:v>
                </c:pt>
                <c:pt idx="6">
                  <c:v>0.287792875</c:v>
                </c:pt>
                <c:pt idx="7">
                  <c:v>0.28317304166666668</c:v>
                </c:pt>
                <c:pt idx="8">
                  <c:v>0.27696758757062145</c:v>
                </c:pt>
                <c:pt idx="9">
                  <c:v>0.26896118149717513</c:v>
                </c:pt>
                <c:pt idx="10">
                  <c:v>0.25664815112994349</c:v>
                </c:pt>
                <c:pt idx="11">
                  <c:v>0.2748925776836158</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03F7-44DB-B1BF-F139780F94D9}"/>
            </c:ext>
          </c:extLst>
        </c:ser>
        <c:ser>
          <c:idx val="14"/>
          <c:order val="14"/>
          <c:tx>
            <c:strRef>
              <c:f>'2013 E Maize VWC Graphs'!$Z$188</c:f>
              <c:strCache>
                <c:ptCount val="1"/>
              </c:strCache>
            </c:strRef>
          </c:tx>
          <c:xVal>
            <c:numRef>
              <c:f>'2013 E Maize VWC Graphs'!$AE$188:$AE$199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03F7-44DB-B1BF-F139780F94D9}"/>
            </c:ext>
          </c:extLst>
        </c:ser>
        <c:ser>
          <c:idx val="15"/>
          <c:order val="15"/>
          <c:tx>
            <c:v>Porosity</c:v>
          </c:tx>
          <c:spPr>
            <a:ln w="38100">
              <a:solidFill>
                <a:srgbClr val="000000"/>
              </a:solidFill>
              <a:prstDash val="solid"/>
            </a:ln>
          </c:spPr>
          <c:marker>
            <c:symbol val="none"/>
          </c:marker>
          <c:xVal>
            <c:numRef>
              <c:f>'2013 E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'2013 E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0F-03F7-44DB-B1BF-F139780F94D9}"/>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NE tube 3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7659166794215517"/>
              <c:y val="3.5781110030568886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26826865765285313"/>
          <c:w val="0.11121338639365544"/>
          <c:h val="0.56563248695036716"/>
        </c:manualLayout>
      </c:layout>
      <c:overlay val="0"/>
      <c:spPr>
        <a:solidFill>
          <a:srgbClr val="FFFFFF"/>
        </a:solidFill>
        <a:ln w="3175">
          <a:noFill/>
          <a:prstDash val="solid"/>
        </a:ln>
      </c:spPr>
      <c:txPr>
        <a:bodyPr/>
        <a:lstStyle/>
        <a:p>
          <a:pPr>
            <a:defRPr sz="8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'2013 E Maize VWC Graphs'!$Z$6</c:f>
              <c:strCache>
                <c:ptCount val="1"/>
                <c:pt idx="0">
                  <c:v>156</c:v>
                </c:pt>
              </c:strCache>
            </c:strRef>
          </c:tx>
          <c:spPr>
            <a:ln>
              <a:solidFill>
                <a:srgbClr val="FF0000"/>
              </a:solidFill>
            </a:ln>
          </c:spPr>
          <c:marker>
            <c:symbol val="triangle"/>
            <c:size val="8"/>
            <c:spPr>
              <a:solidFill>
                <a:srgbClr val="FFFF00"/>
              </a:solidFill>
              <a:ln>
                <a:solidFill>
                  <a:srgbClr val="FF0000"/>
                </a:solidFill>
              </a:ln>
            </c:spPr>
          </c:marker>
          <c:xVal>
            <c:numRef>
              <c:f>'2013 E Maize VWC Graphs'!$AF$6:$AF$17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7B97-4675-85DE-2AFE022B9425}"/>
            </c:ext>
          </c:extLst>
        </c:ser>
        <c:ser>
          <c:idx val="4"/>
          <c:order val="1"/>
          <c:tx>
            <c:strRef>
              <c:f>'2013 E Maize VWC Graphs'!$Z$19</c:f>
              <c:strCache>
                <c:ptCount val="1"/>
                <c:pt idx="0">
                  <c:v>157</c:v>
                </c:pt>
              </c:strCache>
            </c:strRef>
          </c:tx>
          <c:spPr>
            <a:ln>
              <a:solidFill>
                <a:srgbClr val="002060"/>
              </a:solidFill>
            </a:ln>
          </c:spPr>
          <c:marker>
            <c:symbol val="square"/>
            <c:size val="7"/>
            <c:spPr>
              <a:noFill/>
            </c:spPr>
          </c:marker>
          <c:xVal>
            <c:numRef>
              <c:f>'2013 E Maize VWC Graphs'!$AF$19:$AF$30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7B97-4675-85DE-2AFE022B9425}"/>
            </c:ext>
          </c:extLst>
        </c:ser>
        <c:ser>
          <c:idx val="0"/>
          <c:order val="2"/>
          <c:tx>
            <c:strRef>
              <c:f>'2013 E Maize VWC Graphs'!$Z$32</c:f>
              <c:strCache>
                <c:ptCount val="1"/>
                <c:pt idx="0">
                  <c:v>171</c:v>
                </c:pt>
              </c:strCache>
            </c:strRef>
          </c:tx>
          <c:xVal>
            <c:numRef>
              <c:f>'2013 E Maize VWC Graphs'!$AF$32:$AF$43</c:f>
              <c:numCache>
                <c:formatCode>General</c:formatCode>
                <c:ptCount val="12"/>
                <c:pt idx="0">
                  <c:v>0.25017511198547215</c:v>
                </c:pt>
                <c:pt idx="1">
                  <c:v>0.32702002895480226</c:v>
                </c:pt>
                <c:pt idx="2">
                  <c:v>0.34512078742937852</c:v>
                </c:pt>
                <c:pt idx="3">
                  <c:v>0.33759031920903954</c:v>
                </c:pt>
                <c:pt idx="4">
                  <c:v>0.33501107627118643</c:v>
                </c:pt>
                <c:pt idx="5">
                  <c:v>0.33326087570621465</c:v>
                </c:pt>
                <c:pt idx="6">
                  <c:v>0.3035903559322034</c:v>
                </c:pt>
                <c:pt idx="7">
                  <c:v>0.30235709533898303</c:v>
                </c:pt>
                <c:pt idx="8">
                  <c:v>0.29619079237288137</c:v>
                </c:pt>
                <c:pt idx="9">
                  <c:v>0.29808962217514123</c:v>
                </c:pt>
                <c:pt idx="10">
                  <c:v>0.29176671468926552</c:v>
                </c:pt>
                <c:pt idx="11">
                  <c:v>0.2868728234463277</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7B97-4675-85DE-2AFE022B9425}"/>
            </c:ext>
          </c:extLst>
        </c:ser>
        <c:ser>
          <c:idx val="1"/>
          <c:order val="3"/>
          <c:tx>
            <c:strRef>
              <c:f>'2013 E Maize VWC Graphs'!$Z$45</c:f>
              <c:strCache>
                <c:ptCount val="1"/>
                <c:pt idx="0">
                  <c:v>176</c:v>
                </c:pt>
              </c:strCache>
            </c:strRef>
          </c:tx>
          <c:marker>
            <c:symbol val="square"/>
            <c:size val="5"/>
          </c:marker>
          <c:xVal>
            <c:numRef>
              <c:f>'2013 E Maize VWC Graphs'!$AF$45:$AF$56</c:f>
              <c:numCache>
                <c:formatCode>General</c:formatCode>
                <c:ptCount val="12"/>
                <c:pt idx="0">
                  <c:v>0.22283996398305084</c:v>
                </c:pt>
                <c:pt idx="1">
                  <c:v>0.32425655437853101</c:v>
                </c:pt>
                <c:pt idx="2">
                  <c:v>0.34641040889830504</c:v>
                </c:pt>
                <c:pt idx="3">
                  <c:v>0.34000835946327684</c:v>
                </c:pt>
                <c:pt idx="4">
                  <c:v>0.34115980720338984</c:v>
                </c:pt>
                <c:pt idx="5">
                  <c:v>0.33607040819209039</c:v>
                </c:pt>
                <c:pt idx="6">
                  <c:v>0.30672244632768364</c:v>
                </c:pt>
                <c:pt idx="7">
                  <c:v>0.29695423940677967</c:v>
                </c:pt>
                <c:pt idx="8">
                  <c:v>0.29767853531073446</c:v>
                </c:pt>
                <c:pt idx="9">
                  <c:v>0.29955778954802259</c:v>
                </c:pt>
                <c:pt idx="10">
                  <c:v>0.29127732556497177</c:v>
                </c:pt>
                <c:pt idx="11">
                  <c:v>0.28513059816384179</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7B97-4675-85DE-2AFE022B9425}"/>
            </c:ext>
          </c:extLst>
        </c:ser>
        <c:ser>
          <c:idx val="2"/>
          <c:order val="4"/>
          <c:tx>
            <c:strRef>
              <c:f>'2013 E Maize VWC Graphs'!$Z$58</c:f>
              <c:strCache>
                <c:ptCount val="1"/>
                <c:pt idx="0">
                  <c:v>183</c:v>
                </c:pt>
              </c:strCache>
            </c:strRef>
          </c:tx>
          <c:marker>
            <c:spPr>
              <a:solidFill>
                <a:srgbClr val="00B050"/>
              </a:solidFill>
            </c:spPr>
          </c:marker>
          <c:xVal>
            <c:numRef>
              <c:f>'2013 E Maize VWC Graphs'!$AF$58:$AF$69</c:f>
              <c:numCache>
                <c:formatCode>General</c:formatCode>
                <c:ptCount val="12"/>
                <c:pt idx="0">
                  <c:v>0.19064351937046004</c:v>
                </c:pt>
                <c:pt idx="1">
                  <c:v>0.30049067302259885</c:v>
                </c:pt>
                <c:pt idx="2">
                  <c:v>0.34500564265536721</c:v>
                </c:pt>
                <c:pt idx="3">
                  <c:v>0.34459112146892656</c:v>
                </c:pt>
                <c:pt idx="4">
                  <c:v>0.33802786935028245</c:v>
                </c:pt>
                <c:pt idx="5">
                  <c:v>0.33927143290960449</c:v>
                </c:pt>
                <c:pt idx="6">
                  <c:v>0.30783825353107347</c:v>
                </c:pt>
                <c:pt idx="7">
                  <c:v>0.29783513983050847</c:v>
                </c:pt>
                <c:pt idx="8">
                  <c:v>0.29489880508474575</c:v>
                </c:pt>
                <c:pt idx="9">
                  <c:v>0.29360681779661019</c:v>
                </c:pt>
                <c:pt idx="10">
                  <c:v>0.29108156991525425</c:v>
                </c:pt>
                <c:pt idx="11">
                  <c:v>0.28477823799435026</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7B97-4675-85DE-2AFE022B9425}"/>
            </c:ext>
          </c:extLst>
        </c:ser>
        <c:ser>
          <c:idx val="5"/>
          <c:order val="5"/>
          <c:tx>
            <c:strRef>
              <c:f>'2013 E Maize VWC Graphs'!$Z$71</c:f>
              <c:strCache>
                <c:ptCount val="1"/>
                <c:pt idx="0">
                  <c:v>189</c:v>
                </c:pt>
              </c:strCache>
            </c:strRef>
          </c:tx>
          <c:marker>
            <c:spPr>
              <a:solidFill>
                <a:schemeClr val="accent6">
                  <a:lumMod val="60000"/>
                  <a:lumOff val="40000"/>
                </a:schemeClr>
              </a:solidFill>
            </c:spPr>
          </c:marker>
          <c:xVal>
            <c:numRef>
              <c:f>'2013 E Maize VWC Graphs'!$AF$71:$AF$82</c:f>
              <c:numCache>
                <c:formatCode>General</c:formatCode>
                <c:ptCount val="12"/>
                <c:pt idx="0">
                  <c:v>0.25621315102905567</c:v>
                </c:pt>
                <c:pt idx="1">
                  <c:v>0.30233298940677966</c:v>
                </c:pt>
                <c:pt idx="2">
                  <c:v>0.34364693432203391</c:v>
                </c:pt>
                <c:pt idx="3">
                  <c:v>0.34074528601694914</c:v>
                </c:pt>
                <c:pt idx="4">
                  <c:v>0.34323241313559316</c:v>
                </c:pt>
                <c:pt idx="5">
                  <c:v>0.34104466242937853</c:v>
                </c:pt>
                <c:pt idx="6">
                  <c:v>0.30897363629943503</c:v>
                </c:pt>
                <c:pt idx="7">
                  <c:v>0.30084977683615821</c:v>
                </c:pt>
                <c:pt idx="8">
                  <c:v>0.29875519138418077</c:v>
                </c:pt>
                <c:pt idx="9">
                  <c:v>0.29773726200564976</c:v>
                </c:pt>
                <c:pt idx="10">
                  <c:v>0.29591673446327688</c:v>
                </c:pt>
                <c:pt idx="11">
                  <c:v>0.28636385875706216</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7B97-4675-85DE-2AFE022B9425}"/>
            </c:ext>
          </c:extLst>
        </c:ser>
        <c:ser>
          <c:idx val="6"/>
          <c:order val="6"/>
          <c:tx>
            <c:strRef>
              <c:f>'2013 E Maize VWC Graphs'!$Z$84</c:f>
              <c:strCache>
                <c:ptCount val="1"/>
                <c:pt idx="0">
                  <c:v>197</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'2013 E Maize VWC Graphs'!$AF$84:$AF$95</c:f>
              <c:numCache>
                <c:formatCode>General</c:formatCode>
                <c:ptCount val="12"/>
                <c:pt idx="0">
                  <c:v>0.24392487348668279</c:v>
                </c:pt>
                <c:pt idx="1">
                  <c:v>0.28492309957627115</c:v>
                </c:pt>
                <c:pt idx="2">
                  <c:v>0.32759575282485875</c:v>
                </c:pt>
                <c:pt idx="3">
                  <c:v>0.33374448375706212</c:v>
                </c:pt>
                <c:pt idx="4">
                  <c:v>0.3378206087570621</c:v>
                </c:pt>
                <c:pt idx="5">
                  <c:v>0.33913325918079096</c:v>
                </c:pt>
                <c:pt idx="6">
                  <c:v>0.30809273587570618</c:v>
                </c:pt>
                <c:pt idx="7">
                  <c:v>0.29638654802259889</c:v>
                </c:pt>
                <c:pt idx="8">
                  <c:v>0.29262803954802258</c:v>
                </c:pt>
                <c:pt idx="9">
                  <c:v>0.29716957062146893</c:v>
                </c:pt>
                <c:pt idx="10">
                  <c:v>0.28969170480225986</c:v>
                </c:pt>
                <c:pt idx="11">
                  <c:v>0.28738178813559323</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7B97-4675-85DE-2AFE022B9425}"/>
            </c:ext>
          </c:extLst>
        </c:ser>
        <c:ser>
          <c:idx val="7"/>
          <c:order val="7"/>
          <c:tx>
            <c:strRef>
              <c:f>'2013 E Maize VWC Graphs'!$Z$97</c:f>
              <c:strCache>
                <c:ptCount val="1"/>
                <c:pt idx="0">
                  <c:v>203</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'2013 E Maize VWC Graphs'!$AF$97:$AF$108</c:f>
              <c:numCache>
                <c:formatCode>General</c:formatCode>
                <c:ptCount val="12"/>
                <c:pt idx="0">
                  <c:v>0.29525785078692496</c:v>
                </c:pt>
                <c:pt idx="1">
                  <c:v>0.3363467556497175</c:v>
                </c:pt>
                <c:pt idx="2">
                  <c:v>0.33779757980225988</c:v>
                </c:pt>
                <c:pt idx="3">
                  <c:v>0.34166644420903952</c:v>
                </c:pt>
                <c:pt idx="4">
                  <c:v>0.34320938418079094</c:v>
                </c:pt>
                <c:pt idx="5">
                  <c:v>0.33855753531073446</c:v>
                </c:pt>
                <c:pt idx="6">
                  <c:v>0.30846467161016949</c:v>
                </c:pt>
                <c:pt idx="7">
                  <c:v>0.29728702401129942</c:v>
                </c:pt>
                <c:pt idx="8">
                  <c:v>0.2914535056497175</c:v>
                </c:pt>
                <c:pt idx="9">
                  <c:v>0.29615164124293786</c:v>
                </c:pt>
                <c:pt idx="10">
                  <c:v>0.29098369209039548</c:v>
                </c:pt>
                <c:pt idx="11">
                  <c:v>0.28608980084745761</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7B97-4675-85DE-2AFE022B9425}"/>
            </c:ext>
          </c:extLst>
        </c:ser>
        <c:ser>
          <c:idx val="8"/>
          <c:order val="8"/>
          <c:tx>
            <c:strRef>
              <c:f>'2013 E Maize VWC Graphs'!$Z$110</c:f>
              <c:strCache>
                <c:ptCount val="1"/>
                <c:pt idx="0">
                  <c:v>210</c:v>
                </c:pt>
              </c:strCache>
            </c:strRef>
          </c:tx>
          <c:marker>
            <c:symbol val="circle"/>
            <c:size val="8"/>
            <c:spPr>
              <a:solidFill>
                <a:srgbClr val="FFFF99"/>
              </a:solidFill>
            </c:spPr>
          </c:marker>
          <c:xVal>
            <c:numRef>
              <c:f>'2013 E Maize VWC Graphs'!$AF$110:$AF$121</c:f>
              <c:numCache>
                <c:formatCode>General</c:formatCode>
                <c:ptCount val="12"/>
                <c:pt idx="0">
                  <c:v>0.21568305508474578</c:v>
                </c:pt>
                <c:pt idx="1">
                  <c:v>0.2881701822033898</c:v>
                </c:pt>
                <c:pt idx="2">
                  <c:v>0.31534434887005647</c:v>
                </c:pt>
                <c:pt idx="3">
                  <c:v>0.31849931567796608</c:v>
                </c:pt>
                <c:pt idx="4">
                  <c:v>0.32879325847457624</c:v>
                </c:pt>
                <c:pt idx="5">
                  <c:v>0.33851147740112991</c:v>
                </c:pt>
                <c:pt idx="6">
                  <c:v>0.31118567514124296</c:v>
                </c:pt>
                <c:pt idx="7">
                  <c:v>0.2968759371468927</c:v>
                </c:pt>
                <c:pt idx="8">
                  <c:v>0.29182544138418076</c:v>
                </c:pt>
                <c:pt idx="9">
                  <c:v>0.2960537634180791</c:v>
                </c:pt>
                <c:pt idx="10">
                  <c:v>0.29270634180790961</c:v>
                </c:pt>
                <c:pt idx="11">
                  <c:v>0.28154826977401132</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7B97-4675-85DE-2AFE022B9425}"/>
            </c:ext>
          </c:extLst>
        </c:ser>
        <c:ser>
          <c:idx val="9"/>
          <c:order val="9"/>
          <c:tx>
            <c:strRef>
              <c:f>'2013 E Maize VWC Graphs'!$Z$123</c:f>
              <c:strCache>
                <c:ptCount val="1"/>
                <c:pt idx="0">
                  <c:v>218</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'2013 E Maize VWC Graphs'!$AF$123:$AF$134</c:f>
              <c:numCache>
                <c:formatCode>General</c:formatCode>
                <c:ptCount val="12"/>
                <c:pt idx="0">
                  <c:v>0.2097607611985472</c:v>
                </c:pt>
                <c:pt idx="1">
                  <c:v>0.27981067161016948</c:v>
                </c:pt>
                <c:pt idx="2">
                  <c:v>0.30857383615819212</c:v>
                </c:pt>
                <c:pt idx="3">
                  <c:v>0.30737633050847457</c:v>
                </c:pt>
                <c:pt idx="4">
                  <c:v>0.32658247881355934</c:v>
                </c:pt>
                <c:pt idx="5">
                  <c:v>0.33729094279661015</c:v>
                </c:pt>
                <c:pt idx="6">
                  <c:v>0.30936514759887007</c:v>
                </c:pt>
                <c:pt idx="7">
                  <c:v>0.29294124858757059</c:v>
                </c:pt>
                <c:pt idx="8">
                  <c:v>0.28836056638418078</c:v>
                </c:pt>
                <c:pt idx="9">
                  <c:v>0.29366554449152543</c:v>
                </c:pt>
                <c:pt idx="10">
                  <c:v>0.28814523516949153</c:v>
                </c:pt>
                <c:pt idx="11">
                  <c:v>0.28313389053672317</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7B97-4675-85DE-2AFE022B9425}"/>
            </c:ext>
          </c:extLst>
        </c:ser>
        <c:ser>
          <c:idx val="10"/>
          <c:order val="10"/>
          <c:tx>
            <c:strRef>
              <c:f>'2013 E Maize VWC Graphs'!$Z$136</c:f>
              <c:strCache>
                <c:ptCount val="1"/>
                <c:pt idx="0">
                  <c:v>231</c:v>
                </c:pt>
              </c:strCache>
            </c:strRef>
          </c:tx>
          <c:xVal>
            <c:numRef>
              <c:f>'2013 E Maize VWC Graphs'!$AF$136:$AF$147</c:f>
              <c:numCache>
                <c:formatCode>General</c:formatCode>
                <c:ptCount val="12"/>
                <c:pt idx="0">
                  <c:v>0.27272612681598063</c:v>
                </c:pt>
                <c:pt idx="1">
                  <c:v>0.31628853601694912</c:v>
                </c:pt>
                <c:pt idx="2">
                  <c:v>0.31502194350282481</c:v>
                </c:pt>
                <c:pt idx="3">
                  <c:v>0.31997316878531074</c:v>
                </c:pt>
                <c:pt idx="4">
                  <c:v>0.32605281285310733</c:v>
                </c:pt>
                <c:pt idx="5">
                  <c:v>0.33775152189265534</c:v>
                </c:pt>
                <c:pt idx="6">
                  <c:v>0.30437337853107349</c:v>
                </c:pt>
                <c:pt idx="7">
                  <c:v>0.29251058615819209</c:v>
                </c:pt>
                <c:pt idx="8">
                  <c:v>0.28644216101694914</c:v>
                </c:pt>
                <c:pt idx="9">
                  <c:v>0.28935892019774012</c:v>
                </c:pt>
                <c:pt idx="10">
                  <c:v>0.28787117725988703</c:v>
                </c:pt>
                <c:pt idx="11">
                  <c:v>0.28190062994350285</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7B97-4675-85DE-2AFE022B9425}"/>
            </c:ext>
          </c:extLst>
        </c:ser>
        <c:ser>
          <c:idx val="11"/>
          <c:order val="11"/>
          <c:tx>
            <c:strRef>
              <c:f>'2013 E Maize VWC Graphs'!$Z$149</c:f>
              <c:strCache>
                <c:ptCount val="1"/>
                <c:pt idx="0">
                  <c:v>246</c:v>
                </c:pt>
              </c:strCache>
            </c:strRef>
          </c:tx>
          <c:xVal>
            <c:numRef>
              <c:f>'2013 E Maize VWC Graphs'!$AF$149:$AF$160</c:f>
              <c:numCache>
                <c:formatCode>General</c:formatCode>
                <c:ptCount val="12"/>
                <c:pt idx="0">
                  <c:v>0.21705270611380145</c:v>
                </c:pt>
                <c:pt idx="1">
                  <c:v>0.26979307627118643</c:v>
                </c:pt>
                <c:pt idx="2">
                  <c:v>0.28793989265536724</c:v>
                </c:pt>
                <c:pt idx="3">
                  <c:v>0.27078332132768357</c:v>
                </c:pt>
                <c:pt idx="4">
                  <c:v>0.27888951341807905</c:v>
                </c:pt>
                <c:pt idx="5">
                  <c:v>0.31886777895480223</c:v>
                </c:pt>
                <c:pt idx="6">
                  <c:v>0.29695423940677967</c:v>
                </c:pt>
                <c:pt idx="7">
                  <c:v>0.28076524717514129</c:v>
                </c:pt>
                <c:pt idx="8">
                  <c:v>0.28591362076271187</c:v>
                </c:pt>
                <c:pt idx="9">
                  <c:v>0.28802778177966104</c:v>
                </c:pt>
                <c:pt idx="10">
                  <c:v>0.2813525141242938</c:v>
                </c:pt>
                <c:pt idx="11">
                  <c:v>0.27749612782485877</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7B97-4675-85DE-2AFE022B9425}"/>
            </c:ext>
          </c:extLst>
        </c:ser>
        <c:ser>
          <c:idx val="12"/>
          <c:order val="12"/>
          <c:tx>
            <c:strRef>
              <c:f>'2013 E Maize VWC Graphs'!$Z$162</c:f>
              <c:strCache>
                <c:ptCount val="1"/>
                <c:pt idx="0">
                  <c:v>253</c:v>
                </c:pt>
              </c:strCache>
            </c:strRef>
          </c:tx>
          <c:spPr>
            <a:ln>
              <a:solidFill>
                <a:srgbClr val="5449E1"/>
              </a:solidFill>
            </a:ln>
          </c:spPr>
          <c:marker>
            <c:symbol val="circle"/>
            <c:size val="8"/>
            <c:spPr>
              <a:solidFill>
                <a:srgbClr val="160B55"/>
              </a:solidFill>
              <a:ln>
                <a:solidFill>
                  <a:srgbClr val="7030A0"/>
                </a:solidFill>
              </a:ln>
            </c:spPr>
          </c:marker>
          <c:xVal>
            <c:numRef>
              <c:f>'2013 E Maize VWC Graphs'!$AF$162:$AF$173</c:f>
              <c:numCache>
                <c:formatCode>General</c:formatCode>
                <c:ptCount val="12"/>
                <c:pt idx="0">
                  <c:v>0.18474051634382566</c:v>
                </c:pt>
                <c:pt idx="1">
                  <c:v>0.25903855437853107</c:v>
                </c:pt>
                <c:pt idx="2">
                  <c:v>0.2840710282485876</c:v>
                </c:pt>
                <c:pt idx="3">
                  <c:v>0.26405886652542371</c:v>
                </c:pt>
                <c:pt idx="4">
                  <c:v>0.27181962429378531</c:v>
                </c:pt>
                <c:pt idx="5">
                  <c:v>0.31714060734463273</c:v>
                </c:pt>
                <c:pt idx="6">
                  <c:v>0.29940118502824858</c:v>
                </c:pt>
                <c:pt idx="7">
                  <c:v>0.27972774223163843</c:v>
                </c:pt>
                <c:pt idx="8">
                  <c:v>0.28399521539548023</c:v>
                </c:pt>
                <c:pt idx="9">
                  <c:v>0.28765584604519778</c:v>
                </c:pt>
                <c:pt idx="10">
                  <c:v>0.28534592937853109</c:v>
                </c:pt>
                <c:pt idx="11">
                  <c:v>0.27747655225988699</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7B97-4675-85DE-2AFE022B9425}"/>
            </c:ext>
          </c:extLst>
        </c:ser>
        <c:ser>
          <c:idx val="13"/>
          <c:order val="13"/>
          <c:tx>
            <c:strRef>
              <c:f>'2013 E Maize VWC Graphs'!$Z$175</c:f>
              <c:strCache>
                <c:ptCount val="1"/>
                <c:pt idx="0">
                  <c:v>269</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'2013 E Maize VWC Graphs'!$AF$175:$AF$186</c:f>
              <c:numCache>
                <c:formatCode>General</c:formatCode>
                <c:ptCount val="12"/>
                <c:pt idx="0">
                  <c:v>0.26138310139225179</c:v>
                </c:pt>
                <c:pt idx="1">
                  <c:v>0.26159476836158191</c:v>
                </c:pt>
                <c:pt idx="2">
                  <c:v>0.2789355713276836</c:v>
                </c:pt>
                <c:pt idx="3">
                  <c:v>0.26099601553672314</c:v>
                </c:pt>
                <c:pt idx="4">
                  <c:v>0.26702960169491524</c:v>
                </c:pt>
                <c:pt idx="5">
                  <c:v>0.31066947104519771</c:v>
                </c:pt>
                <c:pt idx="6">
                  <c:v>0.2913556278248588</c:v>
                </c:pt>
                <c:pt idx="7">
                  <c:v>0.27438361299435027</c:v>
                </c:pt>
                <c:pt idx="8">
                  <c:v>0.27935580649717517</c:v>
                </c:pt>
                <c:pt idx="9">
                  <c:v>0.28088270056497178</c:v>
                </c:pt>
                <c:pt idx="10">
                  <c:v>0.27651734957627117</c:v>
                </c:pt>
                <c:pt idx="11">
                  <c:v>0.27097746468926553</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7B97-4675-85DE-2AFE022B9425}"/>
            </c:ext>
          </c:extLst>
        </c:ser>
        <c:ser>
          <c:idx val="14"/>
          <c:order val="14"/>
          <c:tx>
            <c:strRef>
              <c:f>'2013 E Maize VWC Graphs'!$Z$188</c:f>
              <c:strCache>
                <c:ptCount val="1"/>
              </c:strCache>
            </c:strRef>
          </c:tx>
          <c:xVal>
            <c:numRef>
              <c:f>'2013 E Maize VWC Graphs'!$AF$188:$AF$199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7B97-4675-85DE-2AFE022B9425}"/>
            </c:ext>
          </c:extLst>
        </c:ser>
        <c:ser>
          <c:idx val="15"/>
          <c:order val="15"/>
          <c:tx>
            <c:v>Porosity</c:v>
          </c:tx>
          <c:spPr>
            <a:ln w="38100">
              <a:solidFill>
                <a:srgbClr val="000000"/>
              </a:solidFill>
              <a:prstDash val="solid"/>
            </a:ln>
          </c:spPr>
          <c:marker>
            <c:symbol val="none"/>
          </c:marker>
          <c:xVal>
            <c:numRef>
              <c:f>'2013 E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'2013 E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0F-7B97-4675-85DE-2AFE022B9425}"/>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NE tube 4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7659166794215517"/>
              <c:y val="3.5781110030568886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26826865765285313"/>
          <c:w val="0.11121338639365544"/>
          <c:h val="0.56563248695036716"/>
        </c:manualLayout>
      </c:layout>
      <c:overlay val="0"/>
      <c:spPr>
        <a:solidFill>
          <a:srgbClr val="FFFFFF"/>
        </a:solidFill>
        <a:ln w="3175">
          <a:noFill/>
          <a:prstDash val="solid"/>
        </a:ln>
      </c:spPr>
      <c:txPr>
        <a:bodyPr/>
        <a:lstStyle/>
        <a:p>
          <a:pPr>
            <a:defRPr sz="8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'2013 E Maize VWC Graphs'!$Z$6</c:f>
              <c:strCache>
                <c:ptCount val="1"/>
                <c:pt idx="0">
                  <c:v>156</c:v>
                </c:pt>
              </c:strCache>
            </c:strRef>
          </c:tx>
          <c:spPr>
            <a:ln>
              <a:solidFill>
                <a:srgbClr val="FF0000"/>
              </a:solidFill>
            </a:ln>
          </c:spPr>
          <c:marker>
            <c:symbol val="triangle"/>
            <c:size val="8"/>
            <c:spPr>
              <a:solidFill>
                <a:srgbClr val="FFFF00"/>
              </a:solidFill>
              <a:ln>
                <a:solidFill>
                  <a:srgbClr val="FF0000"/>
                </a:solidFill>
              </a:ln>
            </c:spPr>
          </c:marker>
          <c:xVal>
            <c:numRef>
              <c:f>'2013 E Maize VWC Graphs'!$AG$6:$AG$17</c:f>
              <c:numCache>
                <c:formatCode>General</c:formatCode>
                <c:ptCount val="12"/>
                <c:pt idx="0">
                  <c:v>0.28186999424939468</c:v>
                </c:pt>
                <c:pt idx="1">
                  <c:v>0.35414813771186437</c:v>
                </c:pt>
                <c:pt idx="2">
                  <c:v>0.36121802683615817</c:v>
                </c:pt>
                <c:pt idx="3">
                  <c:v>0.36220827189265531</c:v>
                </c:pt>
                <c:pt idx="4">
                  <c:v>0.35221370550847453</c:v>
                </c:pt>
                <c:pt idx="5">
                  <c:v>0.34926599929378527</c:v>
                </c:pt>
                <c:pt idx="6">
                  <c:v>0.32060152189265539</c:v>
                </c:pt>
                <c:pt idx="7">
                  <c:v>0.36339370692090395</c:v>
                </c:pt>
                <c:pt idx="8">
                  <c:v>0.32506475070621471</c:v>
                </c:pt>
                <c:pt idx="9">
                  <c:v>0.32060152189265539</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9BC1-4A39-B9C9-EEBDCBB3BA1C}"/>
            </c:ext>
          </c:extLst>
        </c:ser>
        <c:ser>
          <c:idx val="4"/>
          <c:order val="1"/>
          <c:tx>
            <c:strRef>
              <c:f>'2013 E Maize VWC Graphs'!$Z$19</c:f>
              <c:strCache>
                <c:ptCount val="1"/>
                <c:pt idx="0">
                  <c:v>157</c:v>
                </c:pt>
              </c:strCache>
            </c:strRef>
          </c:tx>
          <c:spPr>
            <a:ln>
              <a:solidFill>
                <a:srgbClr val="002060"/>
              </a:solidFill>
            </a:ln>
          </c:spPr>
          <c:marker>
            <c:symbol val="square"/>
            <c:size val="7"/>
            <c:spPr>
              <a:noFill/>
            </c:spPr>
          </c:marker>
          <c:xVal>
            <c:numRef>
              <c:f>'2013 E Maize VWC Graphs'!$AG$19:$AG$30</c:f>
              <c:numCache>
                <c:formatCode>General</c:formatCode>
                <c:ptCount val="12"/>
                <c:pt idx="0">
                  <c:v>0.29291755665422259</c:v>
                </c:pt>
                <c:pt idx="1">
                  <c:v>0.36712889002118859</c:v>
                </c:pt>
                <c:pt idx="2">
                  <c:v>0.37384312420542831</c:v>
                </c:pt>
                <c:pt idx="3">
                  <c:v>0.36642084350721421</c:v>
                </c:pt>
                <c:pt idx="4">
                  <c:v>0.36080530218948648</c:v>
                </c:pt>
                <c:pt idx="5">
                  <c:v>0.36031699424881447</c:v>
                </c:pt>
                <c:pt idx="6">
                  <c:v>0.3314810568055695</c:v>
                </c:pt>
                <c:pt idx="7">
                  <c:v>0.36301536262738376</c:v>
                </c:pt>
                <c:pt idx="8">
                  <c:v>0.32480680567046716</c:v>
                </c:pt>
                <c:pt idx="9">
                  <c:v>0.32646006053879528</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9BC1-4A39-B9C9-EEBDCBB3BA1C}"/>
            </c:ext>
          </c:extLst>
        </c:ser>
        <c:ser>
          <c:idx val="0"/>
          <c:order val="2"/>
          <c:tx>
            <c:strRef>
              <c:f>'2013 E Maize VWC Graphs'!$Z$32</c:f>
              <c:strCache>
                <c:ptCount val="1"/>
                <c:pt idx="0">
                  <c:v>171</c:v>
                </c:pt>
              </c:strCache>
            </c:strRef>
          </c:tx>
          <c:xVal>
            <c:numRef>
              <c:f>'2013 E Maize VWC Graphs'!$AG$32:$AG$43</c:f>
              <c:numCache>
                <c:formatCode>General</c:formatCode>
                <c:ptCount val="12"/>
                <c:pt idx="0">
                  <c:v>0.27388357838983046</c:v>
                </c:pt>
                <c:pt idx="1">
                  <c:v>0.35175312641242934</c:v>
                </c:pt>
                <c:pt idx="2">
                  <c:v>0.35573713559322034</c:v>
                </c:pt>
                <c:pt idx="3">
                  <c:v>0.34813758050847454</c:v>
                </c:pt>
                <c:pt idx="4">
                  <c:v>0.34346270268361584</c:v>
                </c:pt>
                <c:pt idx="5">
                  <c:v>0.34194279166666663</c:v>
                </c:pt>
                <c:pt idx="6">
                  <c:v>0.31290832485875708</c:v>
                </c:pt>
                <c:pt idx="7">
                  <c:v>0.3552502718926554</c:v>
                </c:pt>
                <c:pt idx="8">
                  <c:v>0.32187393361581923</c:v>
                </c:pt>
                <c:pt idx="9">
                  <c:v>0.32512347740112996</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9BC1-4A39-B9C9-EEBDCBB3BA1C}"/>
            </c:ext>
          </c:extLst>
        </c:ser>
        <c:ser>
          <c:idx val="1"/>
          <c:order val="3"/>
          <c:tx>
            <c:strRef>
              <c:f>'2013 E Maize VWC Graphs'!$Z$45</c:f>
              <c:strCache>
                <c:ptCount val="1"/>
                <c:pt idx="0">
                  <c:v>176</c:v>
                </c:pt>
              </c:strCache>
            </c:strRef>
          </c:tx>
          <c:marker>
            <c:symbol val="square"/>
            <c:size val="5"/>
          </c:marker>
          <c:xVal>
            <c:numRef>
              <c:f>'2013 E Maize VWC Graphs'!$AG$45:$AG$56</c:f>
              <c:numCache>
                <c:formatCode>General</c:formatCode>
                <c:ptCount val="12"/>
                <c:pt idx="0">
                  <c:v>0.21718774213075059</c:v>
                </c:pt>
                <c:pt idx="1">
                  <c:v>0.33190216737288131</c:v>
                </c:pt>
                <c:pt idx="2">
                  <c:v>0.33887994067796612</c:v>
                </c:pt>
                <c:pt idx="3">
                  <c:v>0.34233428389830506</c:v>
                </c:pt>
                <c:pt idx="4">
                  <c:v>0.34191976271186442</c:v>
                </c:pt>
                <c:pt idx="5">
                  <c:v>0.34049196751412425</c:v>
                </c:pt>
                <c:pt idx="6">
                  <c:v>0.31909420338983052</c:v>
                </c:pt>
                <c:pt idx="7">
                  <c:v>0.35495663841807912</c:v>
                </c:pt>
                <c:pt idx="8">
                  <c:v>0.32758999858757065</c:v>
                </c:pt>
                <c:pt idx="9">
                  <c:v>0.33040887994350288</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9BC1-4A39-B9C9-EEBDCBB3BA1C}"/>
            </c:ext>
          </c:extLst>
        </c:ser>
        <c:ser>
          <c:idx val="2"/>
          <c:order val="4"/>
          <c:tx>
            <c:strRef>
              <c:f>'2013 E Maize VWC Graphs'!$Z$58</c:f>
              <c:strCache>
                <c:ptCount val="1"/>
                <c:pt idx="0">
                  <c:v>183</c:v>
                </c:pt>
              </c:strCache>
            </c:strRef>
          </c:tx>
          <c:marker>
            <c:spPr>
              <a:solidFill>
                <a:srgbClr val="00B050"/>
              </a:solidFill>
            </c:spPr>
          </c:marker>
          <c:xVal>
            <c:numRef>
              <c:f>'2013 E Maize VWC Graphs'!$AG$58:$AG$69</c:f>
              <c:numCache>
                <c:formatCode>General</c:formatCode>
                <c:ptCount val="12"/>
                <c:pt idx="0">
                  <c:v>0.20360697699757868</c:v>
                </c:pt>
                <c:pt idx="1">
                  <c:v>0.28764051624293785</c:v>
                </c:pt>
                <c:pt idx="2">
                  <c:v>0.30382987146892654</c:v>
                </c:pt>
                <c:pt idx="3">
                  <c:v>0.32087129802259884</c:v>
                </c:pt>
                <c:pt idx="4">
                  <c:v>0.33595526341807908</c:v>
                </c:pt>
                <c:pt idx="5">
                  <c:v>0.33657704519774012</c:v>
                </c:pt>
                <c:pt idx="6">
                  <c:v>0.31699961793785314</c:v>
                </c:pt>
                <c:pt idx="7">
                  <c:v>0.35742315960451976</c:v>
                </c:pt>
                <c:pt idx="8">
                  <c:v>0.3220696892655367</c:v>
                </c:pt>
                <c:pt idx="9">
                  <c:v>0.33193577401129948</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9BC1-4A39-B9C9-EEBDCBB3BA1C}"/>
            </c:ext>
          </c:extLst>
        </c:ser>
        <c:ser>
          <c:idx val="5"/>
          <c:order val="5"/>
          <c:tx>
            <c:strRef>
              <c:f>'2013 E Maize VWC Graphs'!$Z$71</c:f>
              <c:strCache>
                <c:ptCount val="1"/>
                <c:pt idx="0">
                  <c:v>189</c:v>
                </c:pt>
              </c:strCache>
            </c:strRef>
          </c:tx>
          <c:marker>
            <c:spPr>
              <a:solidFill>
                <a:schemeClr val="accent6">
                  <a:lumMod val="60000"/>
                  <a:lumOff val="40000"/>
                </a:schemeClr>
              </a:solidFill>
            </c:spPr>
          </c:marker>
          <c:xVal>
            <c:numRef>
              <c:f>'2013 E Maize VWC Graphs'!$AG$71:$AG$82</c:f>
              <c:numCache>
                <c:formatCode>General</c:formatCode>
                <c:ptCount val="12"/>
                <c:pt idx="0">
                  <c:v>0.26570425393462466</c:v>
                </c:pt>
                <c:pt idx="1">
                  <c:v>0.28093909039548021</c:v>
                </c:pt>
                <c:pt idx="2">
                  <c:v>0.2933516970338983</c:v>
                </c:pt>
                <c:pt idx="3">
                  <c:v>0.30737633050847457</c:v>
                </c:pt>
                <c:pt idx="4">
                  <c:v>0.33098100918079099</c:v>
                </c:pt>
                <c:pt idx="5">
                  <c:v>0.33825815889830507</c:v>
                </c:pt>
                <c:pt idx="6">
                  <c:v>0.32618055790960454</c:v>
                </c:pt>
                <c:pt idx="7">
                  <c:v>0.35797127542372881</c:v>
                </c:pt>
                <c:pt idx="8">
                  <c:v>0.32369446115819211</c:v>
                </c:pt>
                <c:pt idx="9">
                  <c:v>0.33953109322033903</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9BC1-4A39-B9C9-EEBDCBB3BA1C}"/>
            </c:ext>
          </c:extLst>
        </c:ser>
        <c:ser>
          <c:idx val="6"/>
          <c:order val="6"/>
          <c:tx>
            <c:strRef>
              <c:f>'2013 E Maize VWC Graphs'!$Z$84</c:f>
              <c:strCache>
                <c:ptCount val="1"/>
                <c:pt idx="0">
                  <c:v>197</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'2013 E Maize VWC Graphs'!$AG$84:$AG$95</c:f>
              <c:numCache>
                <c:formatCode>General</c:formatCode>
                <c:ptCount val="12"/>
                <c:pt idx="0">
                  <c:v>0.24020173759079899</c:v>
                </c:pt>
                <c:pt idx="1">
                  <c:v>0.27426069350282484</c:v>
                </c:pt>
                <c:pt idx="2">
                  <c:v>0.28787080579096042</c:v>
                </c:pt>
                <c:pt idx="3">
                  <c:v>0.30072096257062142</c:v>
                </c:pt>
                <c:pt idx="4">
                  <c:v>0.3188908079096045</c:v>
                </c:pt>
                <c:pt idx="5">
                  <c:v>0.33102706709039548</c:v>
                </c:pt>
                <c:pt idx="6">
                  <c:v>0.31611871751412429</c:v>
                </c:pt>
                <c:pt idx="7">
                  <c:v>0.35485876059322036</c:v>
                </c:pt>
                <c:pt idx="8">
                  <c:v>0.32015128389830511</c:v>
                </c:pt>
                <c:pt idx="9">
                  <c:v>0.3325034653954802</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9BC1-4A39-B9C9-EEBDCBB3BA1C}"/>
            </c:ext>
          </c:extLst>
        </c:ser>
        <c:ser>
          <c:idx val="7"/>
          <c:order val="7"/>
          <c:tx>
            <c:strRef>
              <c:f>'2013 E Maize VWC Graphs'!$Z$97</c:f>
              <c:strCache>
                <c:ptCount val="1"/>
                <c:pt idx="0">
                  <c:v>203</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'2013 E Maize VWC Graphs'!$AG$97:$AG$108</c:f>
              <c:numCache>
                <c:formatCode>General</c:formatCode>
                <c:ptCount val="12"/>
                <c:pt idx="0">
                  <c:v>0.29759204479418888</c:v>
                </c:pt>
                <c:pt idx="1">
                  <c:v>0.34717036440677962</c:v>
                </c:pt>
                <c:pt idx="2">
                  <c:v>0.34401539759887007</c:v>
                </c:pt>
                <c:pt idx="3">
                  <c:v>0.33694550847457627</c:v>
                </c:pt>
                <c:pt idx="4">
                  <c:v>0.33565588700564969</c:v>
                </c:pt>
                <c:pt idx="5">
                  <c:v>0.33556377118644065</c:v>
                </c:pt>
                <c:pt idx="6">
                  <c:v>0.32408597245762716</c:v>
                </c:pt>
                <c:pt idx="7">
                  <c:v>0.35742315960451976</c:v>
                </c:pt>
                <c:pt idx="8">
                  <c:v>0.32715933615819215</c:v>
                </c:pt>
                <c:pt idx="9">
                  <c:v>0.33677093855932205</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9BC1-4A39-B9C9-EEBDCBB3BA1C}"/>
            </c:ext>
          </c:extLst>
        </c:ser>
        <c:ser>
          <c:idx val="8"/>
          <c:order val="8"/>
          <c:tx>
            <c:strRef>
              <c:f>'2013 E Maize VWC Graphs'!$Z$110</c:f>
              <c:strCache>
                <c:ptCount val="1"/>
                <c:pt idx="0">
                  <c:v>210</c:v>
                </c:pt>
              </c:strCache>
            </c:strRef>
          </c:tx>
          <c:marker>
            <c:symbol val="circle"/>
            <c:size val="8"/>
            <c:spPr>
              <a:solidFill>
                <a:srgbClr val="FFFF99"/>
              </a:solidFill>
            </c:spPr>
          </c:marker>
          <c:xVal>
            <c:numRef>
              <c:f>'2013 E Maize VWC Graphs'!$AG$110:$AG$121</c:f>
              <c:numCache>
                <c:formatCode>General</c:formatCode>
                <c:ptCount val="12"/>
                <c:pt idx="0">
                  <c:v>0.21446773093220339</c:v>
                </c:pt>
                <c:pt idx="1">
                  <c:v>0.29966163064971751</c:v>
                </c:pt>
                <c:pt idx="2">
                  <c:v>0.31083067372881351</c:v>
                </c:pt>
                <c:pt idx="3">
                  <c:v>0.30795205437853107</c:v>
                </c:pt>
                <c:pt idx="4">
                  <c:v>0.30138880225988701</c:v>
                </c:pt>
                <c:pt idx="5">
                  <c:v>0.32153913771186438</c:v>
                </c:pt>
                <c:pt idx="6">
                  <c:v>0.31296705155367233</c:v>
                </c:pt>
                <c:pt idx="7">
                  <c:v>0.36135784816384181</c:v>
                </c:pt>
                <c:pt idx="8">
                  <c:v>0.32479069279661016</c:v>
                </c:pt>
                <c:pt idx="9">
                  <c:v>0.33242516313559323</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9BC1-4A39-B9C9-EEBDCBB3BA1C}"/>
            </c:ext>
          </c:extLst>
        </c:ser>
        <c:ser>
          <c:idx val="9"/>
          <c:order val="9"/>
          <c:tx>
            <c:strRef>
              <c:f>'2013 E Maize VWC Graphs'!$Z$123</c:f>
              <c:strCache>
                <c:ptCount val="1"/>
                <c:pt idx="0">
                  <c:v>218</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'2013 E Maize VWC Graphs'!$AG$123:$AG$134</c:f>
              <c:numCache>
                <c:formatCode>General</c:formatCode>
                <c:ptCount val="12"/>
                <c:pt idx="0">
                  <c:v>0.21109183050847458</c:v>
                </c:pt>
                <c:pt idx="1">
                  <c:v>0.29666786652542371</c:v>
                </c:pt>
                <c:pt idx="2">
                  <c:v>0.29597699788135595</c:v>
                </c:pt>
                <c:pt idx="3">
                  <c:v>0.29556247669491525</c:v>
                </c:pt>
                <c:pt idx="4">
                  <c:v>0.29494069491525421</c:v>
                </c:pt>
                <c:pt idx="5">
                  <c:v>0.31686425988700562</c:v>
                </c:pt>
                <c:pt idx="6">
                  <c:v>0.31357389406779662</c:v>
                </c:pt>
                <c:pt idx="7">
                  <c:v>0.35172667019774012</c:v>
                </c:pt>
                <c:pt idx="8">
                  <c:v>0.32050364406779663</c:v>
                </c:pt>
                <c:pt idx="9">
                  <c:v>0.32878410805084751</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9BC1-4A39-B9C9-EEBDCBB3BA1C}"/>
            </c:ext>
          </c:extLst>
        </c:ser>
        <c:ser>
          <c:idx val="10"/>
          <c:order val="10"/>
          <c:tx>
            <c:strRef>
              <c:f>'2013 E Maize VWC Graphs'!$Z$136</c:f>
              <c:strCache>
                <c:ptCount val="1"/>
                <c:pt idx="0">
                  <c:v>231</c:v>
                </c:pt>
              </c:strCache>
            </c:strRef>
          </c:tx>
          <c:xVal>
            <c:numRef>
              <c:f>'2013 E Maize VWC Graphs'!$AG$136:$AG$147</c:f>
              <c:numCache>
                <c:formatCode>General</c:formatCode>
                <c:ptCount val="12"/>
                <c:pt idx="0">
                  <c:v>0.27839763952784508</c:v>
                </c:pt>
                <c:pt idx="1">
                  <c:v>0.33968595409604518</c:v>
                </c:pt>
                <c:pt idx="2">
                  <c:v>0.33616252401129942</c:v>
                </c:pt>
                <c:pt idx="3">
                  <c:v>0.32609887076271182</c:v>
                </c:pt>
                <c:pt idx="4">
                  <c:v>0.32064100847457627</c:v>
                </c:pt>
                <c:pt idx="5">
                  <c:v>0.32932292443502825</c:v>
                </c:pt>
                <c:pt idx="6">
                  <c:v>0.31717579802259888</c:v>
                </c:pt>
                <c:pt idx="7">
                  <c:v>0.35597456779661019</c:v>
                </c:pt>
                <c:pt idx="8">
                  <c:v>0.3195052902542373</c:v>
                </c:pt>
                <c:pt idx="9">
                  <c:v>0.33005651977401129</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9BC1-4A39-B9C9-EEBDCBB3BA1C}"/>
            </c:ext>
          </c:extLst>
        </c:ser>
        <c:ser>
          <c:idx val="11"/>
          <c:order val="11"/>
          <c:tx>
            <c:strRef>
              <c:f>'2013 E Maize VWC Graphs'!$Z$149</c:f>
              <c:strCache>
                <c:ptCount val="1"/>
                <c:pt idx="0">
                  <c:v>246</c:v>
                </c:pt>
              </c:strCache>
            </c:strRef>
          </c:tx>
          <c:xVal>
            <c:numRef>
              <c:f>'2013 E Maize VWC Graphs'!$AG$149:$AG$160</c:f>
              <c:numCache>
                <c:formatCode>General</c:formatCode>
                <c:ptCount val="12"/>
                <c:pt idx="0">
                  <c:v>0.25806507354721547</c:v>
                </c:pt>
                <c:pt idx="1">
                  <c:v>0.30631699858757061</c:v>
                </c:pt>
                <c:pt idx="2">
                  <c:v>0.30062884675141244</c:v>
                </c:pt>
                <c:pt idx="3">
                  <c:v>0.29084154096045195</c:v>
                </c:pt>
                <c:pt idx="4">
                  <c:v>0.28211356709039542</c:v>
                </c:pt>
                <c:pt idx="5">
                  <c:v>0.30254024999999996</c:v>
                </c:pt>
                <c:pt idx="6">
                  <c:v>0.31807627401129945</c:v>
                </c:pt>
                <c:pt idx="7">
                  <c:v>0.34438583333333334</c:v>
                </c:pt>
                <c:pt idx="8">
                  <c:v>0.32066024858757064</c:v>
                </c:pt>
                <c:pt idx="9">
                  <c:v>0.33937448870056502</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9BC1-4A39-B9C9-EEBDCBB3BA1C}"/>
            </c:ext>
          </c:extLst>
        </c:ser>
        <c:ser>
          <c:idx val="12"/>
          <c:order val="12"/>
          <c:tx>
            <c:strRef>
              <c:f>'2013 E Maize VWC Graphs'!$Z$162</c:f>
              <c:strCache>
                <c:ptCount val="1"/>
                <c:pt idx="0">
                  <c:v>253</c:v>
                </c:pt>
              </c:strCache>
            </c:strRef>
          </c:tx>
          <c:spPr>
            <a:ln>
              <a:solidFill>
                <a:srgbClr val="5449E1"/>
              </a:solidFill>
            </a:ln>
          </c:spPr>
          <c:marker>
            <c:symbol val="circle"/>
            <c:size val="8"/>
            <c:spPr>
              <a:solidFill>
                <a:srgbClr val="160B55"/>
              </a:solidFill>
              <a:ln>
                <a:solidFill>
                  <a:srgbClr val="7030A0"/>
                </a:solidFill>
              </a:ln>
            </c:spPr>
          </c:marker>
          <c:xVal>
            <c:numRef>
              <c:f>'2013 E Maize VWC Graphs'!$AG$162:$AG$173</c:f>
              <c:numCache>
                <c:formatCode>General</c:formatCode>
                <c:ptCount val="12"/>
                <c:pt idx="0">
                  <c:v>0.22521273970944311</c:v>
                </c:pt>
                <c:pt idx="1">
                  <c:v>0.29961557274011297</c:v>
                </c:pt>
                <c:pt idx="2">
                  <c:v>0.29832595127118644</c:v>
                </c:pt>
                <c:pt idx="3">
                  <c:v>0.28384073870056492</c:v>
                </c:pt>
                <c:pt idx="4">
                  <c:v>0.27679387853107346</c:v>
                </c:pt>
                <c:pt idx="5">
                  <c:v>0.29337472598870057</c:v>
                </c:pt>
                <c:pt idx="6">
                  <c:v>0.31555102612994351</c:v>
                </c:pt>
                <c:pt idx="7">
                  <c:v>0.34902524223163844</c:v>
                </c:pt>
                <c:pt idx="8">
                  <c:v>0.31574678177966103</c:v>
                </c:pt>
                <c:pt idx="9">
                  <c:v>0.32939095056497175</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9BC1-4A39-B9C9-EEBDCBB3BA1C}"/>
            </c:ext>
          </c:extLst>
        </c:ser>
        <c:ser>
          <c:idx val="13"/>
          <c:order val="13"/>
          <c:tx>
            <c:strRef>
              <c:f>'2013 E Maize VWC Graphs'!$Z$175</c:f>
              <c:strCache>
                <c:ptCount val="1"/>
                <c:pt idx="0">
                  <c:v>269</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'2013 E Maize VWC Graphs'!$AG$175:$AG$186</c:f>
              <c:numCache>
                <c:formatCode>General</c:formatCode>
                <c:ptCount val="12"/>
                <c:pt idx="0">
                  <c:v>0.28738718008474579</c:v>
                </c:pt>
                <c:pt idx="1">
                  <c:v>0.29887864618644067</c:v>
                </c:pt>
                <c:pt idx="2">
                  <c:v>0.29114091737288134</c:v>
                </c:pt>
                <c:pt idx="3">
                  <c:v>0.28153784322033892</c:v>
                </c:pt>
                <c:pt idx="4">
                  <c:v>0.27115178460451977</c:v>
                </c:pt>
                <c:pt idx="5">
                  <c:v>0.30330020550847459</c:v>
                </c:pt>
                <c:pt idx="6">
                  <c:v>0.31564890395480227</c:v>
                </c:pt>
                <c:pt idx="7">
                  <c:v>0.3478115572033898</c:v>
                </c:pt>
                <c:pt idx="8">
                  <c:v>0.32028831285310733</c:v>
                </c:pt>
                <c:pt idx="9">
                  <c:v>0.3284121723163842</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9BC1-4A39-B9C9-EEBDCBB3BA1C}"/>
            </c:ext>
          </c:extLst>
        </c:ser>
        <c:ser>
          <c:idx val="14"/>
          <c:order val="14"/>
          <c:tx>
            <c:strRef>
              <c:f>'2013 E Maize VWC Graphs'!$Z$188</c:f>
              <c:strCache>
                <c:ptCount val="1"/>
              </c:strCache>
            </c:strRef>
          </c:tx>
          <c:xVal>
            <c:numRef>
              <c:f>'2013 E Maize VWC Graphs'!$AG$188:$AG$199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9BC1-4A39-B9C9-EEBDCBB3BA1C}"/>
            </c:ext>
          </c:extLst>
        </c:ser>
        <c:ser>
          <c:idx val="15"/>
          <c:order val="15"/>
          <c:tx>
            <c:v>Porosity</c:v>
          </c:tx>
          <c:spPr>
            <a:ln w="38100">
              <a:solidFill>
                <a:srgbClr val="000000"/>
              </a:solidFill>
              <a:prstDash val="solid"/>
            </a:ln>
          </c:spPr>
          <c:marker>
            <c:symbol val="none"/>
          </c:marker>
          <c:xVal>
            <c:numRef>
              <c:f>'2013 E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'2013 E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0F-9BC1-4A39-B9C9-EEBDCBB3BA1C}"/>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NE tube 5 (lysimeter)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17040016326252955"/>
              <c:y val="3.7945597709377235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26826865765285313"/>
          <c:w val="0.11121338639365544"/>
          <c:h val="0.56563248695036716"/>
        </c:manualLayout>
      </c:layout>
      <c:overlay val="0"/>
      <c:spPr>
        <a:solidFill>
          <a:srgbClr val="FFFFFF"/>
        </a:solidFill>
        <a:ln w="3175">
          <a:noFill/>
          <a:prstDash val="solid"/>
        </a:ln>
      </c:spPr>
      <c:txPr>
        <a:bodyPr/>
        <a:lstStyle/>
        <a:p>
          <a:pPr>
            <a:defRPr sz="8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'2013 E Maize VWC Graphs'!$Z$6</c:f>
              <c:strCache>
                <c:ptCount val="1"/>
                <c:pt idx="0">
                  <c:v>156</c:v>
                </c:pt>
              </c:strCache>
            </c:strRef>
          </c:tx>
          <c:spPr>
            <a:ln>
              <a:solidFill>
                <a:srgbClr val="FF0000"/>
              </a:solidFill>
            </a:ln>
          </c:spPr>
          <c:marker>
            <c:symbol val="triangle"/>
            <c:size val="8"/>
            <c:spPr>
              <a:solidFill>
                <a:srgbClr val="FFFF00"/>
              </a:solidFill>
              <a:ln>
                <a:solidFill>
                  <a:srgbClr val="FF0000"/>
                </a:solidFill>
              </a:ln>
            </c:spPr>
          </c:marker>
          <c:xVal>
            <c:numRef>
              <c:f>'2013 E Maize VWC Graphs'!$AH$6:$AH$17</c:f>
              <c:numCache>
                <c:formatCode>General</c:formatCode>
                <c:ptCount val="12"/>
                <c:pt idx="0">
                  <c:v>0.26859788286924935</c:v>
                </c:pt>
                <c:pt idx="1">
                  <c:v>0.34569651129943502</c:v>
                </c:pt>
                <c:pt idx="2">
                  <c:v>0.36253067725988697</c:v>
                </c:pt>
                <c:pt idx="3">
                  <c:v>0.35472386158192093</c:v>
                </c:pt>
                <c:pt idx="4">
                  <c:v>0.34546622175141239</c:v>
                </c:pt>
                <c:pt idx="5">
                  <c:v>0.34058408333333334</c:v>
                </c:pt>
                <c:pt idx="6">
                  <c:v>0.31314323163841806</c:v>
                </c:pt>
                <c:pt idx="7">
                  <c:v>0.35090449646892657</c:v>
                </c:pt>
                <c:pt idx="8">
                  <c:v>0.32340082768361583</c:v>
                </c:pt>
                <c:pt idx="9">
                  <c:v>0.33293412782485876</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F188-4B45-AC73-CA5BF510E208}"/>
            </c:ext>
          </c:extLst>
        </c:ser>
        <c:ser>
          <c:idx val="4"/>
          <c:order val="1"/>
          <c:tx>
            <c:strRef>
              <c:f>'2013 E Maize VWC Graphs'!$Z$19</c:f>
              <c:strCache>
                <c:ptCount val="1"/>
                <c:pt idx="0">
                  <c:v>157</c:v>
                </c:pt>
              </c:strCache>
            </c:strRef>
          </c:tx>
          <c:spPr>
            <a:ln>
              <a:solidFill>
                <a:srgbClr val="002060"/>
              </a:solidFill>
            </a:ln>
          </c:spPr>
          <c:marker>
            <c:symbol val="square"/>
            <c:size val="7"/>
            <c:spPr>
              <a:noFill/>
            </c:spPr>
          </c:marker>
          <c:xVal>
            <c:numRef>
              <c:f>'2013 E Maize VWC Graphs'!$AH$19:$AH$30</c:f>
              <c:numCache>
                <c:formatCode>General</c:formatCode>
                <c:ptCount val="12"/>
                <c:pt idx="0">
                  <c:v>0.27552781999798204</c:v>
                </c:pt>
                <c:pt idx="1">
                  <c:v>0.35487236071032185</c:v>
                </c:pt>
                <c:pt idx="2">
                  <c:v>0.37044938401775807</c:v>
                </c:pt>
                <c:pt idx="3">
                  <c:v>0.36139127171829277</c:v>
                </c:pt>
                <c:pt idx="4">
                  <c:v>0.3543352219755827</c:v>
                </c:pt>
                <c:pt idx="5">
                  <c:v>0.34808488033498136</c:v>
                </c:pt>
                <c:pt idx="6">
                  <c:v>0.31968375663404303</c:v>
                </c:pt>
                <c:pt idx="7">
                  <c:v>0.35274885400060541</c:v>
                </c:pt>
                <c:pt idx="8">
                  <c:v>0.32878686368681265</c:v>
                </c:pt>
                <c:pt idx="9">
                  <c:v>0.33946158339219046</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F188-4B45-AC73-CA5BF510E208}"/>
            </c:ext>
          </c:extLst>
        </c:ser>
        <c:ser>
          <c:idx val="0"/>
          <c:order val="2"/>
          <c:tx>
            <c:strRef>
              <c:f>'2013 E Maize VWC Graphs'!$Z$32</c:f>
              <c:strCache>
                <c:ptCount val="1"/>
                <c:pt idx="0">
                  <c:v>171</c:v>
                </c:pt>
              </c:strCache>
            </c:strRef>
          </c:tx>
          <c:xVal>
            <c:numRef>
              <c:f>'2013 E Maize VWC Graphs'!$AH$32:$AH$43</c:f>
              <c:numCache>
                <c:formatCode>General</c:formatCode>
                <c:ptCount val="12"/>
                <c:pt idx="0">
                  <c:v>0.25339668553268768</c:v>
                </c:pt>
                <c:pt idx="1">
                  <c:v>0.3365079583333333</c:v>
                </c:pt>
                <c:pt idx="2">
                  <c:v>0.34947325988700562</c:v>
                </c:pt>
                <c:pt idx="3">
                  <c:v>0.33768243502824857</c:v>
                </c:pt>
                <c:pt idx="4">
                  <c:v>0.33118826977401128</c:v>
                </c:pt>
                <c:pt idx="5">
                  <c:v>0.32515468361581917</c:v>
                </c:pt>
                <c:pt idx="6">
                  <c:v>0.30306181567796614</c:v>
                </c:pt>
                <c:pt idx="7">
                  <c:v>0.34352450847457633</c:v>
                </c:pt>
                <c:pt idx="8">
                  <c:v>0.32819684110169495</c:v>
                </c:pt>
                <c:pt idx="9">
                  <c:v>0.33859146610169494</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F188-4B45-AC73-CA5BF510E208}"/>
            </c:ext>
          </c:extLst>
        </c:ser>
        <c:ser>
          <c:idx val="1"/>
          <c:order val="3"/>
          <c:tx>
            <c:strRef>
              <c:f>'2013 E Maize VWC Graphs'!$Z$45</c:f>
              <c:strCache>
                <c:ptCount val="1"/>
                <c:pt idx="0">
                  <c:v>176</c:v>
                </c:pt>
              </c:strCache>
            </c:strRef>
          </c:tx>
          <c:marker>
            <c:symbol val="square"/>
            <c:size val="5"/>
          </c:marker>
          <c:xVal>
            <c:numRef>
              <c:f>'2013 E Maize VWC Graphs'!$AH$45:$AH$56</c:f>
              <c:numCache>
                <c:formatCode>General</c:formatCode>
                <c:ptCount val="12"/>
                <c:pt idx="0">
                  <c:v>0.20997296065375304</c:v>
                </c:pt>
                <c:pt idx="1">
                  <c:v>0.32121673234463277</c:v>
                </c:pt>
                <c:pt idx="2">
                  <c:v>0.34562742443502825</c:v>
                </c:pt>
                <c:pt idx="3">
                  <c:v>0.3365079583333333</c:v>
                </c:pt>
                <c:pt idx="4">
                  <c:v>0.32803330296610167</c:v>
                </c:pt>
                <c:pt idx="5">
                  <c:v>0.32704305790960453</c:v>
                </c:pt>
                <c:pt idx="6">
                  <c:v>0.3024941242937853</c:v>
                </c:pt>
                <c:pt idx="7">
                  <c:v>0.34689150564971755</c:v>
                </c:pt>
                <c:pt idx="8">
                  <c:v>0.33170086723163839</c:v>
                </c:pt>
                <c:pt idx="9">
                  <c:v>0.34223252118644071</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F188-4B45-AC73-CA5BF510E208}"/>
            </c:ext>
          </c:extLst>
        </c:ser>
        <c:ser>
          <c:idx val="2"/>
          <c:order val="4"/>
          <c:tx>
            <c:strRef>
              <c:f>'2013 E Maize VWC Graphs'!$Z$58</c:f>
              <c:strCache>
                <c:ptCount val="1"/>
                <c:pt idx="0">
                  <c:v>183</c:v>
                </c:pt>
              </c:strCache>
            </c:strRef>
          </c:tx>
          <c:marker>
            <c:spPr>
              <a:solidFill>
                <a:srgbClr val="00B050"/>
              </a:solidFill>
            </c:spPr>
          </c:marker>
          <c:xVal>
            <c:numRef>
              <c:f>'2013 E Maize VWC Graphs'!$AH$58:$AH$69</c:f>
              <c:numCache>
                <c:formatCode>General</c:formatCode>
                <c:ptCount val="12"/>
                <c:pt idx="0">
                  <c:v>0.19849489921307506</c:v>
                </c:pt>
                <c:pt idx="1">
                  <c:v>0.28556791031073442</c:v>
                </c:pt>
                <c:pt idx="2">
                  <c:v>0.32402626483050845</c:v>
                </c:pt>
                <c:pt idx="3">
                  <c:v>0.33432020762711862</c:v>
                </c:pt>
                <c:pt idx="4">
                  <c:v>0.33243183333333332</c:v>
                </c:pt>
                <c:pt idx="5">
                  <c:v>0.32492439406779661</c:v>
                </c:pt>
                <c:pt idx="6">
                  <c:v>0.30476488983050848</c:v>
                </c:pt>
                <c:pt idx="7">
                  <c:v>0.34403347316384181</c:v>
                </c:pt>
                <c:pt idx="8">
                  <c:v>0.33177916949152542</c:v>
                </c:pt>
                <c:pt idx="9">
                  <c:v>0.34137119632768365</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F188-4B45-AC73-CA5BF510E208}"/>
            </c:ext>
          </c:extLst>
        </c:ser>
        <c:ser>
          <c:idx val="5"/>
          <c:order val="5"/>
          <c:tx>
            <c:strRef>
              <c:f>'2013 E Maize VWC Graphs'!$Z$71</c:f>
              <c:strCache>
                <c:ptCount val="1"/>
                <c:pt idx="0">
                  <c:v>189</c:v>
                </c:pt>
              </c:strCache>
            </c:strRef>
          </c:tx>
          <c:marker>
            <c:spPr>
              <a:solidFill>
                <a:schemeClr val="accent6">
                  <a:lumMod val="60000"/>
                  <a:lumOff val="40000"/>
                </a:schemeClr>
              </a:solidFill>
            </c:spPr>
          </c:marker>
          <c:xVal>
            <c:numRef>
              <c:f>'2013 E Maize VWC Graphs'!$AH$71:$AH$82</c:f>
              <c:numCache>
                <c:formatCode>General</c:formatCode>
                <c:ptCount val="12"/>
                <c:pt idx="0">
                  <c:v>0.24461934443099276</c:v>
                </c:pt>
                <c:pt idx="1">
                  <c:v>0.28192933545197735</c:v>
                </c:pt>
                <c:pt idx="2">
                  <c:v>0.30553401412429376</c:v>
                </c:pt>
                <c:pt idx="3">
                  <c:v>0.31900595268361581</c:v>
                </c:pt>
                <c:pt idx="4">
                  <c:v>0.32455593079096046</c:v>
                </c:pt>
                <c:pt idx="5">
                  <c:v>0.3253849731638418</c:v>
                </c:pt>
                <c:pt idx="6">
                  <c:v>0.30294436228813559</c:v>
                </c:pt>
                <c:pt idx="7">
                  <c:v>0.34632381426553677</c:v>
                </c:pt>
                <c:pt idx="8">
                  <c:v>0.3302131242937853</c:v>
                </c:pt>
                <c:pt idx="9">
                  <c:v>0.34469904237288135</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F188-4B45-AC73-CA5BF510E208}"/>
            </c:ext>
          </c:extLst>
        </c:ser>
        <c:ser>
          <c:idx val="6"/>
          <c:order val="6"/>
          <c:tx>
            <c:strRef>
              <c:f>'2013 E Maize VWC Graphs'!$Z$84</c:f>
              <c:strCache>
                <c:ptCount val="1"/>
                <c:pt idx="0">
                  <c:v>197</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'2013 E Maize VWC Graphs'!$AH$84:$AH$95</c:f>
              <c:numCache>
                <c:formatCode>General</c:formatCode>
                <c:ptCount val="12"/>
                <c:pt idx="0">
                  <c:v>0.21525865617433415</c:v>
                </c:pt>
                <c:pt idx="1">
                  <c:v>0.28063971398305088</c:v>
                </c:pt>
                <c:pt idx="2">
                  <c:v>0.29404256567796611</c:v>
                </c:pt>
                <c:pt idx="3">
                  <c:v>0.30323111864406782</c:v>
                </c:pt>
                <c:pt idx="4">
                  <c:v>0.32229909322033895</c:v>
                </c:pt>
                <c:pt idx="5">
                  <c:v>0.32216091949152537</c:v>
                </c:pt>
                <c:pt idx="6">
                  <c:v>0.30274860663841813</c:v>
                </c:pt>
                <c:pt idx="7">
                  <c:v>0.34213464336158195</c:v>
                </c:pt>
                <c:pt idx="8">
                  <c:v>0.32753127189265541</c:v>
                </c:pt>
                <c:pt idx="9">
                  <c:v>0.34146907415254241</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F188-4B45-AC73-CA5BF510E208}"/>
            </c:ext>
          </c:extLst>
        </c:ser>
        <c:ser>
          <c:idx val="7"/>
          <c:order val="7"/>
          <c:tx>
            <c:strRef>
              <c:f>'2013 E Maize VWC Graphs'!$Z$97</c:f>
              <c:strCache>
                <c:ptCount val="1"/>
                <c:pt idx="0">
                  <c:v>203</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'2013 E Maize VWC Graphs'!$AH$97:$AH$108</c:f>
              <c:numCache>
                <c:formatCode>General</c:formatCode>
                <c:ptCount val="12"/>
                <c:pt idx="0">
                  <c:v>0.28362546246973364</c:v>
                </c:pt>
                <c:pt idx="1">
                  <c:v>0.3360934371468926</c:v>
                </c:pt>
                <c:pt idx="2">
                  <c:v>0.320617979519774</c:v>
                </c:pt>
                <c:pt idx="3">
                  <c:v>0.31801570762711862</c:v>
                </c:pt>
                <c:pt idx="4">
                  <c:v>0.31898292372881354</c:v>
                </c:pt>
                <c:pt idx="5">
                  <c:v>0.32467107556497177</c:v>
                </c:pt>
                <c:pt idx="6">
                  <c:v>0.30239624646892654</c:v>
                </c:pt>
                <c:pt idx="7">
                  <c:v>0.34853585310734464</c:v>
                </c:pt>
                <c:pt idx="8">
                  <c:v>0.33383460381355934</c:v>
                </c:pt>
                <c:pt idx="9">
                  <c:v>0.34272191031073451</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F188-4B45-AC73-CA5BF510E208}"/>
            </c:ext>
          </c:extLst>
        </c:ser>
        <c:ser>
          <c:idx val="8"/>
          <c:order val="8"/>
          <c:tx>
            <c:strRef>
              <c:f>'2013 E Maize VWC Graphs'!$Z$110</c:f>
              <c:strCache>
                <c:ptCount val="1"/>
                <c:pt idx="0">
                  <c:v>210</c:v>
                </c:pt>
              </c:strCache>
            </c:strRef>
          </c:tx>
          <c:marker>
            <c:symbol val="circle"/>
            <c:size val="8"/>
            <c:spPr>
              <a:solidFill>
                <a:srgbClr val="FFFF99"/>
              </a:solidFill>
            </c:spPr>
          </c:marker>
          <c:xVal>
            <c:numRef>
              <c:f>'2013 E Maize VWC Graphs'!$AH$110:$AH$121</c:f>
              <c:numCache>
                <c:formatCode>General</c:formatCode>
                <c:ptCount val="12"/>
                <c:pt idx="0">
                  <c:v>0.20744585805084742</c:v>
                </c:pt>
                <c:pt idx="1">
                  <c:v>0.29012764336158192</c:v>
                </c:pt>
                <c:pt idx="2">
                  <c:v>0.30581036158192088</c:v>
                </c:pt>
                <c:pt idx="3">
                  <c:v>0.29215419138418081</c:v>
                </c:pt>
                <c:pt idx="4">
                  <c:v>0.28823926906779657</c:v>
                </c:pt>
                <c:pt idx="5">
                  <c:v>0.31246572951977403</c:v>
                </c:pt>
                <c:pt idx="6">
                  <c:v>0.30108468361581919</c:v>
                </c:pt>
                <c:pt idx="7">
                  <c:v>0.34597145409604524</c:v>
                </c:pt>
                <c:pt idx="8">
                  <c:v>0.33064378672316386</c:v>
                </c:pt>
                <c:pt idx="9">
                  <c:v>0.34058817372881361</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F188-4B45-AC73-CA5BF510E208}"/>
            </c:ext>
          </c:extLst>
        </c:ser>
        <c:ser>
          <c:idx val="9"/>
          <c:order val="9"/>
          <c:tx>
            <c:strRef>
              <c:f>'2013 E Maize VWC Graphs'!$Z$123</c:f>
              <c:strCache>
                <c:ptCount val="1"/>
                <c:pt idx="0">
                  <c:v>218</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'2013 E Maize VWC Graphs'!$AH$123:$AH$134</c:f>
              <c:numCache>
                <c:formatCode>General</c:formatCode>
                <c:ptCount val="12"/>
                <c:pt idx="0">
                  <c:v>0.20165860018159804</c:v>
                </c:pt>
                <c:pt idx="1">
                  <c:v>0.29199298870056495</c:v>
                </c:pt>
                <c:pt idx="2">
                  <c:v>0.31352506144067793</c:v>
                </c:pt>
                <c:pt idx="3">
                  <c:v>0.29604608474576272</c:v>
                </c:pt>
                <c:pt idx="4">
                  <c:v>0.28936768785310729</c:v>
                </c:pt>
                <c:pt idx="5">
                  <c:v>0.31133731073446325</c:v>
                </c:pt>
                <c:pt idx="6">
                  <c:v>0.29664103036723166</c:v>
                </c:pt>
                <c:pt idx="7">
                  <c:v>0.3397855755649718</c:v>
                </c:pt>
                <c:pt idx="8">
                  <c:v>0.32621970903954806</c:v>
                </c:pt>
                <c:pt idx="9">
                  <c:v>0.34013793573446333</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F188-4B45-AC73-CA5BF510E208}"/>
            </c:ext>
          </c:extLst>
        </c:ser>
        <c:ser>
          <c:idx val="10"/>
          <c:order val="10"/>
          <c:tx>
            <c:strRef>
              <c:f>'2013 E Maize VWC Graphs'!$Z$136</c:f>
              <c:strCache>
                <c:ptCount val="1"/>
                <c:pt idx="0">
                  <c:v>231</c:v>
                </c:pt>
              </c:strCache>
            </c:strRef>
          </c:tx>
          <c:xVal>
            <c:numRef>
              <c:f>'2013 E Maize VWC Graphs'!$AH$136:$AH$147</c:f>
              <c:numCache>
                <c:formatCode>General</c:formatCode>
                <c:ptCount val="12"/>
                <c:pt idx="0">
                  <c:v>0.27708586107748184</c:v>
                </c:pt>
                <c:pt idx="1">
                  <c:v>0.32909263488700563</c:v>
                </c:pt>
                <c:pt idx="2">
                  <c:v>0.34081437288135591</c:v>
                </c:pt>
                <c:pt idx="3">
                  <c:v>0.3255461758474576</c:v>
                </c:pt>
                <c:pt idx="4">
                  <c:v>0.31405472740112994</c:v>
                </c:pt>
                <c:pt idx="5">
                  <c:v>0.31426198799435023</c:v>
                </c:pt>
                <c:pt idx="6">
                  <c:v>0.30251369985875709</c:v>
                </c:pt>
                <c:pt idx="7">
                  <c:v>0.34651956991525423</c:v>
                </c:pt>
                <c:pt idx="8">
                  <c:v>0.32931264830508478</c:v>
                </c:pt>
                <c:pt idx="9">
                  <c:v>0.33839571045197742</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F188-4B45-AC73-CA5BF510E208}"/>
            </c:ext>
          </c:extLst>
        </c:ser>
        <c:ser>
          <c:idx val="11"/>
          <c:order val="11"/>
          <c:tx>
            <c:strRef>
              <c:f>'2013 E Maize VWC Graphs'!$Z$149</c:f>
              <c:strCache>
                <c:ptCount val="1"/>
                <c:pt idx="0">
                  <c:v>246</c:v>
                </c:pt>
              </c:strCache>
            </c:strRef>
          </c:tx>
          <c:xVal>
            <c:numRef>
              <c:f>'2013 E Maize VWC Graphs'!$AH$149:$AH$160</c:f>
              <c:numCache>
                <c:formatCode>General</c:formatCode>
                <c:ptCount val="12"/>
                <c:pt idx="0">
                  <c:v>0.24432998153753027</c:v>
                </c:pt>
                <c:pt idx="1">
                  <c:v>0.28780171892655365</c:v>
                </c:pt>
                <c:pt idx="2">
                  <c:v>0.30601762217514122</c:v>
                </c:pt>
                <c:pt idx="3">
                  <c:v>0.28782474788135592</c:v>
                </c:pt>
                <c:pt idx="4">
                  <c:v>0.26880283121468923</c:v>
                </c:pt>
                <c:pt idx="5">
                  <c:v>0.3016881786723164</c:v>
                </c:pt>
                <c:pt idx="6">
                  <c:v>0.29703254166666665</c:v>
                </c:pt>
                <c:pt idx="7">
                  <c:v>0.34205634110169497</c:v>
                </c:pt>
                <c:pt idx="8">
                  <c:v>0.31793924505649718</c:v>
                </c:pt>
                <c:pt idx="9">
                  <c:v>0.33778886793785312</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F188-4B45-AC73-CA5BF510E208}"/>
            </c:ext>
          </c:extLst>
        </c:ser>
        <c:ser>
          <c:idx val="12"/>
          <c:order val="12"/>
          <c:tx>
            <c:strRef>
              <c:f>'2013 E Maize VWC Graphs'!$Z$162</c:f>
              <c:strCache>
                <c:ptCount val="1"/>
                <c:pt idx="0">
                  <c:v>253</c:v>
                </c:pt>
              </c:strCache>
            </c:strRef>
          </c:tx>
          <c:spPr>
            <a:ln>
              <a:solidFill>
                <a:srgbClr val="5449E1"/>
              </a:solidFill>
            </a:ln>
          </c:spPr>
          <c:marker>
            <c:symbol val="circle"/>
            <c:size val="8"/>
            <c:spPr>
              <a:solidFill>
                <a:srgbClr val="160B55"/>
              </a:solidFill>
              <a:ln>
                <a:solidFill>
                  <a:srgbClr val="7030A0"/>
                </a:solidFill>
              </a:ln>
            </c:spPr>
          </c:marker>
          <c:xVal>
            <c:numRef>
              <c:f>'2013 E Maize VWC Graphs'!$AH$162:$AH$173</c:f>
              <c:numCache>
                <c:formatCode>General</c:formatCode>
                <c:ptCount val="12"/>
                <c:pt idx="0">
                  <c:v>0.20368414043583533</c:v>
                </c:pt>
                <c:pt idx="1">
                  <c:v>0.28948283262711866</c:v>
                </c:pt>
                <c:pt idx="2">
                  <c:v>0.30189543926553675</c:v>
                </c:pt>
                <c:pt idx="3">
                  <c:v>0.28545276553672316</c:v>
                </c:pt>
                <c:pt idx="4">
                  <c:v>0.26518728531073443</c:v>
                </c:pt>
                <c:pt idx="5">
                  <c:v>0.29682906920903951</c:v>
                </c:pt>
                <c:pt idx="6">
                  <c:v>0.30188728177966101</c:v>
                </c:pt>
                <c:pt idx="7">
                  <c:v>0.33637942725988701</c:v>
                </c:pt>
                <c:pt idx="8">
                  <c:v>0.32122793997175142</c:v>
                </c:pt>
                <c:pt idx="9">
                  <c:v>0.33311030790960455</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F188-4B45-AC73-CA5BF510E208}"/>
            </c:ext>
          </c:extLst>
        </c:ser>
        <c:ser>
          <c:idx val="13"/>
          <c:order val="13"/>
          <c:tx>
            <c:strRef>
              <c:f>'2013 E Maize VWC Graphs'!$Z$175</c:f>
              <c:strCache>
                <c:ptCount val="1"/>
                <c:pt idx="0">
                  <c:v>269</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'2013 E Maize VWC Graphs'!$AH$175:$AH$186</c:f>
              <c:numCache>
                <c:formatCode>General</c:formatCode>
                <c:ptCount val="12"/>
                <c:pt idx="0">
                  <c:v>0.25740918432203391</c:v>
                </c:pt>
                <c:pt idx="1">
                  <c:v>0.28236688559322032</c:v>
                </c:pt>
                <c:pt idx="2">
                  <c:v>0.29738176412429379</c:v>
                </c:pt>
                <c:pt idx="3">
                  <c:v>0.27658661793785305</c:v>
                </c:pt>
                <c:pt idx="4">
                  <c:v>0.26260804237288132</c:v>
                </c:pt>
                <c:pt idx="5">
                  <c:v>0.3060406511299435</c:v>
                </c:pt>
                <c:pt idx="6">
                  <c:v>0.29456602048022601</c:v>
                </c:pt>
                <c:pt idx="7">
                  <c:v>0.33757353672316387</c:v>
                </c:pt>
                <c:pt idx="8">
                  <c:v>0.31273214477401129</c:v>
                </c:pt>
                <c:pt idx="9">
                  <c:v>0.33375630155367231</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F188-4B45-AC73-CA5BF510E208}"/>
            </c:ext>
          </c:extLst>
        </c:ser>
        <c:ser>
          <c:idx val="14"/>
          <c:order val="14"/>
          <c:tx>
            <c:strRef>
              <c:f>'2013 E Maize VWC Graphs'!$Z$188</c:f>
              <c:strCache>
                <c:ptCount val="1"/>
              </c:strCache>
            </c:strRef>
          </c:tx>
          <c:xVal>
            <c:numRef>
              <c:f>'2013 E Maize VWC Graphs'!$AH$188:$AH$199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F188-4B45-AC73-CA5BF510E208}"/>
            </c:ext>
          </c:extLst>
        </c:ser>
        <c:ser>
          <c:idx val="15"/>
          <c:order val="15"/>
          <c:tx>
            <c:v>Porosity</c:v>
          </c:tx>
          <c:spPr>
            <a:ln w="38100">
              <a:solidFill>
                <a:srgbClr val="000000"/>
              </a:solidFill>
              <a:prstDash val="solid"/>
            </a:ln>
          </c:spPr>
          <c:marker>
            <c:symbol val="none"/>
          </c:marker>
          <c:xVal>
            <c:numRef>
              <c:f>'2013 E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'2013 E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0F-F188-4B45-AC73-CA5BF510E208}"/>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NE tube 6 (lysimeter)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17040016326252955"/>
              <c:y val="3.7945597709377235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26826865765285313"/>
          <c:w val="0.11121338639365544"/>
          <c:h val="0.56563248695036716"/>
        </c:manualLayout>
      </c:layout>
      <c:overlay val="0"/>
      <c:spPr>
        <a:solidFill>
          <a:srgbClr val="FFFFFF"/>
        </a:solidFill>
        <a:ln w="3175">
          <a:noFill/>
          <a:prstDash val="solid"/>
        </a:ln>
      </c:spPr>
      <c:txPr>
        <a:bodyPr/>
        <a:lstStyle/>
        <a:p>
          <a:pPr>
            <a:defRPr sz="8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'2013 E Maize VWC Graphs'!$Z$6</c:f>
              <c:strCache>
                <c:ptCount val="1"/>
                <c:pt idx="0">
                  <c:v>156</c:v>
                </c:pt>
              </c:strCache>
            </c:strRef>
          </c:tx>
          <c:spPr>
            <a:ln>
              <a:solidFill>
                <a:srgbClr val="FF0000"/>
              </a:solidFill>
            </a:ln>
          </c:spPr>
          <c:marker>
            <c:symbol val="triangle"/>
            <c:size val="8"/>
            <c:spPr>
              <a:solidFill>
                <a:srgbClr val="FFFF00"/>
              </a:solidFill>
              <a:ln>
                <a:solidFill>
                  <a:srgbClr val="FF0000"/>
                </a:solidFill>
              </a:ln>
            </c:spPr>
          </c:marker>
          <c:xVal>
            <c:numRef>
              <c:f>'2013 E Maize VWC Graphs'!$AI$6:$AI$17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7CCC-4311-A0DB-3BADB49A2B63}"/>
            </c:ext>
          </c:extLst>
        </c:ser>
        <c:ser>
          <c:idx val="4"/>
          <c:order val="1"/>
          <c:tx>
            <c:strRef>
              <c:f>'2013 E Maize VWC Graphs'!$Z$19</c:f>
              <c:strCache>
                <c:ptCount val="1"/>
                <c:pt idx="0">
                  <c:v>157</c:v>
                </c:pt>
              </c:strCache>
            </c:strRef>
          </c:tx>
          <c:spPr>
            <a:ln>
              <a:solidFill>
                <a:srgbClr val="002060"/>
              </a:solidFill>
            </a:ln>
          </c:spPr>
          <c:marker>
            <c:symbol val="square"/>
            <c:size val="7"/>
            <c:spPr>
              <a:noFill/>
            </c:spPr>
          </c:marker>
          <c:xVal>
            <c:numRef>
              <c:f>'2013 E Maize VWC Graphs'!$AI$19:$AI$30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7CCC-4311-A0DB-3BADB49A2B63}"/>
            </c:ext>
          </c:extLst>
        </c:ser>
        <c:ser>
          <c:idx val="0"/>
          <c:order val="2"/>
          <c:tx>
            <c:strRef>
              <c:f>'2013 E Maize VWC Graphs'!$Z$32</c:f>
              <c:strCache>
                <c:ptCount val="1"/>
                <c:pt idx="0">
                  <c:v>171</c:v>
                </c:pt>
              </c:strCache>
            </c:strRef>
          </c:tx>
          <c:xVal>
            <c:numRef>
              <c:f>'2013 E Maize VWC Graphs'!$AI$32:$AI$43</c:f>
              <c:numCache>
                <c:formatCode>General</c:formatCode>
                <c:ptCount val="12"/>
                <c:pt idx="0">
                  <c:v>0.30660087621065374</c:v>
                </c:pt>
                <c:pt idx="1">
                  <c:v>0.34196582062146891</c:v>
                </c:pt>
                <c:pt idx="2">
                  <c:v>0.35942176836158191</c:v>
                </c:pt>
                <c:pt idx="3">
                  <c:v>0.35037138912429378</c:v>
                </c:pt>
                <c:pt idx="4">
                  <c:v>0.34581165607344633</c:v>
                </c:pt>
                <c:pt idx="5">
                  <c:v>0.34454506355932202</c:v>
                </c:pt>
                <c:pt idx="6">
                  <c:v>0.314807154661017</c:v>
                </c:pt>
                <c:pt idx="7">
                  <c:v>0.32755084745762714</c:v>
                </c:pt>
                <c:pt idx="8">
                  <c:v>0.29996887641242942</c:v>
                </c:pt>
                <c:pt idx="9">
                  <c:v>0.28616810310734464</c:v>
                </c:pt>
                <c:pt idx="10">
                  <c:v>0.28507187146892654</c:v>
                </c:pt>
                <c:pt idx="11">
                  <c:v>0.28608980084745761</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7CCC-4311-A0DB-3BADB49A2B63}"/>
            </c:ext>
          </c:extLst>
        </c:ser>
        <c:ser>
          <c:idx val="1"/>
          <c:order val="3"/>
          <c:tx>
            <c:strRef>
              <c:f>'2013 E Maize VWC Graphs'!$Z$45</c:f>
              <c:strCache>
                <c:ptCount val="1"/>
                <c:pt idx="0">
                  <c:v>176</c:v>
                </c:pt>
              </c:strCache>
            </c:strRef>
          </c:tx>
          <c:marker>
            <c:symbol val="square"/>
            <c:size val="5"/>
          </c:marker>
          <c:xVal>
            <c:numRef>
              <c:f>'2013 E Maize VWC Graphs'!$AI$45:$AI$56</c:f>
              <c:numCache>
                <c:formatCode>General</c:formatCode>
                <c:ptCount val="12"/>
                <c:pt idx="0">
                  <c:v>0.22882013044794186</c:v>
                </c:pt>
                <c:pt idx="1">
                  <c:v>0.33993927259887002</c:v>
                </c:pt>
                <c:pt idx="2">
                  <c:v>0.3632906327683616</c:v>
                </c:pt>
                <c:pt idx="3">
                  <c:v>0.35258216878531068</c:v>
                </c:pt>
                <c:pt idx="4">
                  <c:v>0.34767700141242935</c:v>
                </c:pt>
                <c:pt idx="5">
                  <c:v>0.34765397245762714</c:v>
                </c:pt>
                <c:pt idx="6">
                  <c:v>0.31378922528248587</c:v>
                </c:pt>
                <c:pt idx="7">
                  <c:v>0.33113317584745766</c:v>
                </c:pt>
                <c:pt idx="8">
                  <c:v>0.30257242655367234</c:v>
                </c:pt>
                <c:pt idx="9">
                  <c:v>0.28822353742937851</c:v>
                </c:pt>
                <c:pt idx="10">
                  <c:v>0.28691197457627116</c:v>
                </c:pt>
                <c:pt idx="11">
                  <c:v>0.28881080437853107</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7CCC-4311-A0DB-3BADB49A2B63}"/>
            </c:ext>
          </c:extLst>
        </c:ser>
        <c:ser>
          <c:idx val="2"/>
          <c:order val="4"/>
          <c:tx>
            <c:strRef>
              <c:f>'2013 E Maize VWC Graphs'!$Z$58</c:f>
              <c:strCache>
                <c:ptCount val="1"/>
                <c:pt idx="0">
                  <c:v>183</c:v>
                </c:pt>
              </c:strCache>
            </c:strRef>
          </c:tx>
          <c:marker>
            <c:spPr>
              <a:solidFill>
                <a:srgbClr val="00B050"/>
              </a:solidFill>
            </c:spPr>
          </c:marker>
          <c:xVal>
            <c:numRef>
              <c:f>'2013 E Maize VWC Graphs'!$AI$58:$AI$69</c:f>
              <c:numCache>
                <c:formatCode>General</c:formatCode>
                <c:ptCount val="12"/>
                <c:pt idx="0">
                  <c:v>0.23520540496368036</c:v>
                </c:pt>
                <c:pt idx="1">
                  <c:v>0.32713517372881351</c:v>
                </c:pt>
                <c:pt idx="2">
                  <c:v>0.35932965254237287</c:v>
                </c:pt>
                <c:pt idx="3">
                  <c:v>0.35338818220338986</c:v>
                </c:pt>
                <c:pt idx="4">
                  <c:v>0.34855210169491524</c:v>
                </c:pt>
                <c:pt idx="5">
                  <c:v>0.34790729096045198</c:v>
                </c:pt>
                <c:pt idx="6">
                  <c:v>0.31206657556497175</c:v>
                </c:pt>
                <c:pt idx="7">
                  <c:v>0.32715933615819215</c:v>
                </c:pt>
                <c:pt idx="8">
                  <c:v>0.29720872175141244</c:v>
                </c:pt>
                <c:pt idx="9">
                  <c:v>0.28258577471751417</c:v>
                </c:pt>
                <c:pt idx="10">
                  <c:v>0.28272280367231639</c:v>
                </c:pt>
                <c:pt idx="11">
                  <c:v>0.28742093926553669</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7CCC-4311-A0DB-3BADB49A2B63}"/>
            </c:ext>
          </c:extLst>
        </c:ser>
        <c:ser>
          <c:idx val="5"/>
          <c:order val="5"/>
          <c:tx>
            <c:strRef>
              <c:f>'2013 E Maize VWC Graphs'!$Z$71</c:f>
              <c:strCache>
                <c:ptCount val="1"/>
                <c:pt idx="0">
                  <c:v>189</c:v>
                </c:pt>
              </c:strCache>
            </c:strRef>
          </c:tx>
          <c:marker>
            <c:spPr>
              <a:solidFill>
                <a:schemeClr val="accent6">
                  <a:lumMod val="60000"/>
                  <a:lumOff val="40000"/>
                </a:schemeClr>
              </a:solidFill>
            </c:spPr>
          </c:marker>
          <c:xVal>
            <c:numRef>
              <c:f>'2013 E Maize VWC Graphs'!$AI$71:$AI$82</c:f>
              <c:numCache>
                <c:formatCode>General</c:formatCode>
                <c:ptCount val="12"/>
                <c:pt idx="0">
                  <c:v>0.30247263226392251</c:v>
                </c:pt>
                <c:pt idx="1">
                  <c:v>0.32729637641242937</c:v>
                </c:pt>
                <c:pt idx="2">
                  <c:v>0.35502323799435026</c:v>
                </c:pt>
                <c:pt idx="3">
                  <c:v>0.35021018644067797</c:v>
                </c:pt>
                <c:pt idx="4">
                  <c:v>0.35106225776836153</c:v>
                </c:pt>
                <c:pt idx="5">
                  <c:v>0.34491352683615817</c:v>
                </c:pt>
                <c:pt idx="6">
                  <c:v>0.31899632556497176</c:v>
                </c:pt>
                <c:pt idx="7">
                  <c:v>0.32988033968926556</c:v>
                </c:pt>
                <c:pt idx="8">
                  <c:v>0.30088892796610167</c:v>
                </c:pt>
                <c:pt idx="9">
                  <c:v>0.28832141525423732</c:v>
                </c:pt>
                <c:pt idx="10">
                  <c:v>0.28642258545197741</c:v>
                </c:pt>
                <c:pt idx="11">
                  <c:v>0.29023982062146897</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7CCC-4311-A0DB-3BADB49A2B63}"/>
            </c:ext>
          </c:extLst>
        </c:ser>
        <c:ser>
          <c:idx val="6"/>
          <c:order val="6"/>
          <c:tx>
            <c:strRef>
              <c:f>'2013 E Maize VWC Graphs'!$Z$84</c:f>
              <c:strCache>
                <c:ptCount val="1"/>
                <c:pt idx="0">
                  <c:v>197</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'2013 E Maize VWC Graphs'!$AI$84:$AI$95</c:f>
              <c:numCache>
                <c:formatCode>General</c:formatCode>
                <c:ptCount val="12"/>
                <c:pt idx="0">
                  <c:v>0.28636476452784504</c:v>
                </c:pt>
                <c:pt idx="1">
                  <c:v>0.35198341596045196</c:v>
                </c:pt>
                <c:pt idx="2">
                  <c:v>0.34396933968926552</c:v>
                </c:pt>
                <c:pt idx="3">
                  <c:v>0.34539713488700563</c:v>
                </c:pt>
                <c:pt idx="4">
                  <c:v>0.34553530861581921</c:v>
                </c:pt>
                <c:pt idx="5">
                  <c:v>0.34005441737288133</c:v>
                </c:pt>
                <c:pt idx="6">
                  <c:v>0.31421988771186443</c:v>
                </c:pt>
                <c:pt idx="7">
                  <c:v>0.3302718509887006</c:v>
                </c:pt>
                <c:pt idx="8">
                  <c:v>0.29718914618644066</c:v>
                </c:pt>
                <c:pt idx="9">
                  <c:v>0.2814112408192091</c:v>
                </c:pt>
                <c:pt idx="10">
                  <c:v>0.27957113771186443</c:v>
                </c:pt>
                <c:pt idx="11">
                  <c:v>0.28383861087570622</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7CCC-4311-A0DB-3BADB49A2B63}"/>
            </c:ext>
          </c:extLst>
        </c:ser>
        <c:ser>
          <c:idx val="7"/>
          <c:order val="7"/>
          <c:tx>
            <c:strRef>
              <c:f>'2013 E Maize VWC Graphs'!$Z$97</c:f>
              <c:strCache>
                <c:ptCount val="1"/>
                <c:pt idx="0">
                  <c:v>203</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'2013 E Maize VWC Graphs'!$AI$97:$AI$108</c:f>
              <c:numCache>
                <c:formatCode>General</c:formatCode>
                <c:ptCount val="12"/>
                <c:pt idx="0">
                  <c:v>0.30876145248184023</c:v>
                </c:pt>
                <c:pt idx="1">
                  <c:v>0.33319178884180789</c:v>
                </c:pt>
                <c:pt idx="2">
                  <c:v>0.35384876129943499</c:v>
                </c:pt>
                <c:pt idx="3">
                  <c:v>0.34910479661016947</c:v>
                </c:pt>
                <c:pt idx="4">
                  <c:v>0.34717036440677962</c:v>
                </c:pt>
                <c:pt idx="5">
                  <c:v>0.3418506758474576</c:v>
                </c:pt>
                <c:pt idx="6">
                  <c:v>0.31895717443502825</c:v>
                </c:pt>
                <c:pt idx="7">
                  <c:v>0.32453621045197739</c:v>
                </c:pt>
                <c:pt idx="8">
                  <c:v>0.29961651624293784</c:v>
                </c:pt>
                <c:pt idx="9">
                  <c:v>0.2831534661016949</c:v>
                </c:pt>
                <c:pt idx="10">
                  <c:v>0.28162657203389835</c:v>
                </c:pt>
                <c:pt idx="11">
                  <c:v>0.28456290677966101</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7CCC-4311-A0DB-3BADB49A2B63}"/>
            </c:ext>
          </c:extLst>
        </c:ser>
        <c:ser>
          <c:idx val="8"/>
          <c:order val="8"/>
          <c:tx>
            <c:strRef>
              <c:f>'2013 E Maize VWC Graphs'!$Z$110</c:f>
              <c:strCache>
                <c:ptCount val="1"/>
                <c:pt idx="0">
                  <c:v>210</c:v>
                </c:pt>
              </c:strCache>
            </c:strRef>
          </c:tx>
          <c:marker>
            <c:symbol val="circle"/>
            <c:size val="8"/>
            <c:spPr>
              <a:solidFill>
                <a:srgbClr val="FFFF99"/>
              </a:solidFill>
            </c:spPr>
          </c:marker>
          <c:xVal>
            <c:numRef>
              <c:f>'2013 E Maize VWC Graphs'!$AI$110:$AI$121</c:f>
              <c:numCache>
                <c:formatCode>General</c:formatCode>
                <c:ptCount val="12"/>
                <c:pt idx="0">
                  <c:v>0.23231177602905567</c:v>
                </c:pt>
                <c:pt idx="1">
                  <c:v>0.29477949223163835</c:v>
                </c:pt>
                <c:pt idx="2">
                  <c:v>0.32450987288135591</c:v>
                </c:pt>
                <c:pt idx="3">
                  <c:v>0.32971441666666668</c:v>
                </c:pt>
                <c:pt idx="4">
                  <c:v>0.33332996257062147</c:v>
                </c:pt>
                <c:pt idx="5">
                  <c:v>0.33920234604519772</c:v>
                </c:pt>
                <c:pt idx="6">
                  <c:v>0.30948260098870056</c:v>
                </c:pt>
                <c:pt idx="7">
                  <c:v>0.3233225254237288</c:v>
                </c:pt>
                <c:pt idx="8">
                  <c:v>0.29644527471751414</c:v>
                </c:pt>
                <c:pt idx="9">
                  <c:v>0.28266407697740115</c:v>
                </c:pt>
                <c:pt idx="10">
                  <c:v>0.2782791504237288</c:v>
                </c:pt>
                <c:pt idx="11">
                  <c:v>0.27990392231638417</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7CCC-4311-A0DB-3BADB49A2B63}"/>
            </c:ext>
          </c:extLst>
        </c:ser>
        <c:ser>
          <c:idx val="9"/>
          <c:order val="9"/>
          <c:tx>
            <c:strRef>
              <c:f>'2013 E Maize VWC Graphs'!$Z$123</c:f>
              <c:strCache>
                <c:ptCount val="1"/>
                <c:pt idx="0">
                  <c:v>218</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'2013 E Maize VWC Graphs'!$AI$123:$AI$134</c:f>
              <c:numCache>
                <c:formatCode>General</c:formatCode>
                <c:ptCount val="12"/>
                <c:pt idx="0">
                  <c:v>0.24064542736077482</c:v>
                </c:pt>
                <c:pt idx="1">
                  <c:v>0.3038989583333333</c:v>
                </c:pt>
                <c:pt idx="2">
                  <c:v>0.32043374788135587</c:v>
                </c:pt>
                <c:pt idx="3">
                  <c:v>0.31364020621468924</c:v>
                </c:pt>
                <c:pt idx="4">
                  <c:v>0.30979437076271188</c:v>
                </c:pt>
                <c:pt idx="5">
                  <c:v>0.33247789124293781</c:v>
                </c:pt>
                <c:pt idx="6">
                  <c:v>0.30654626624293785</c:v>
                </c:pt>
                <c:pt idx="7">
                  <c:v>0.32338125211864405</c:v>
                </c:pt>
                <c:pt idx="8">
                  <c:v>0.2928825218926554</c:v>
                </c:pt>
                <c:pt idx="9">
                  <c:v>0.27606711158192093</c:v>
                </c:pt>
                <c:pt idx="10">
                  <c:v>0.26958759957627121</c:v>
                </c:pt>
                <c:pt idx="11">
                  <c:v>0.27683055861581918</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7CCC-4311-A0DB-3BADB49A2B63}"/>
            </c:ext>
          </c:extLst>
        </c:ser>
        <c:ser>
          <c:idx val="10"/>
          <c:order val="10"/>
          <c:tx>
            <c:strRef>
              <c:f>'2013 E Maize VWC Graphs'!$Z$136</c:f>
              <c:strCache>
                <c:ptCount val="1"/>
                <c:pt idx="0">
                  <c:v>231</c:v>
                </c:pt>
              </c:strCache>
            </c:strRef>
          </c:tx>
          <c:xVal>
            <c:numRef>
              <c:f>'2013 E Maize VWC Graphs'!$AI$136:$AI$147</c:f>
              <c:numCache>
                <c:formatCode>General</c:formatCode>
                <c:ptCount val="12"/>
                <c:pt idx="0">
                  <c:v>0.29948254903147703</c:v>
                </c:pt>
                <c:pt idx="1">
                  <c:v>0.3202034583333333</c:v>
                </c:pt>
                <c:pt idx="2">
                  <c:v>0.33033619844632767</c:v>
                </c:pt>
                <c:pt idx="3">
                  <c:v>0.3114985134180791</c:v>
                </c:pt>
                <c:pt idx="4">
                  <c:v>0.31308751129943502</c:v>
                </c:pt>
                <c:pt idx="5">
                  <c:v>0.32697397104519776</c:v>
                </c:pt>
                <c:pt idx="6">
                  <c:v>0.30932599646892656</c:v>
                </c:pt>
                <c:pt idx="7">
                  <c:v>0.32298974081920906</c:v>
                </c:pt>
                <c:pt idx="8">
                  <c:v>0.2923931327683616</c:v>
                </c:pt>
                <c:pt idx="9">
                  <c:v>0.27181921398305087</c:v>
                </c:pt>
                <c:pt idx="10">
                  <c:v>0.26794325211864406</c:v>
                </c:pt>
                <c:pt idx="11">
                  <c:v>0.27455979307909606</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7CCC-4311-A0DB-3BADB49A2B63}"/>
            </c:ext>
          </c:extLst>
        </c:ser>
        <c:ser>
          <c:idx val="11"/>
          <c:order val="11"/>
          <c:tx>
            <c:strRef>
              <c:f>'2013 E Maize VWC Graphs'!$Z$149</c:f>
              <c:strCache>
                <c:ptCount val="1"/>
                <c:pt idx="0">
                  <c:v>246</c:v>
                </c:pt>
              </c:strCache>
            </c:strRef>
          </c:tx>
          <c:xVal>
            <c:numRef>
              <c:f>'2013 E Maize VWC Graphs'!$AI$149:$AI$160</c:f>
              <c:numCache>
                <c:formatCode>General</c:formatCode>
                <c:ptCount val="12"/>
                <c:pt idx="0">
                  <c:v>0.24994362167070217</c:v>
                </c:pt>
                <c:pt idx="1">
                  <c:v>0.28510733121468923</c:v>
                </c:pt>
                <c:pt idx="2">
                  <c:v>0.29321352330508471</c:v>
                </c:pt>
                <c:pt idx="3">
                  <c:v>0.28070880084745758</c:v>
                </c:pt>
                <c:pt idx="4">
                  <c:v>0.27456006991525422</c:v>
                </c:pt>
                <c:pt idx="5">
                  <c:v>0.32052586370056496</c:v>
                </c:pt>
                <c:pt idx="6">
                  <c:v>0.30977623446327684</c:v>
                </c:pt>
                <c:pt idx="7">
                  <c:v>0.31396540536723161</c:v>
                </c:pt>
                <c:pt idx="8">
                  <c:v>0.2914535056497175</c:v>
                </c:pt>
                <c:pt idx="9">
                  <c:v>0.26855009463276841</c:v>
                </c:pt>
                <c:pt idx="10">
                  <c:v>0.26210973375706215</c:v>
                </c:pt>
                <c:pt idx="11">
                  <c:v>0.27340483474576271</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7CCC-4311-A0DB-3BADB49A2B63}"/>
            </c:ext>
          </c:extLst>
        </c:ser>
        <c:ser>
          <c:idx val="12"/>
          <c:order val="12"/>
          <c:tx>
            <c:strRef>
              <c:f>'2013 E Maize VWC Graphs'!$Z$162</c:f>
              <c:strCache>
                <c:ptCount val="1"/>
                <c:pt idx="0">
                  <c:v>253</c:v>
                </c:pt>
              </c:strCache>
            </c:strRef>
          </c:tx>
          <c:spPr>
            <a:ln>
              <a:solidFill>
                <a:srgbClr val="5449E1"/>
              </a:solidFill>
            </a:ln>
          </c:spPr>
          <c:marker>
            <c:symbol val="circle"/>
            <c:size val="8"/>
            <c:spPr>
              <a:solidFill>
                <a:srgbClr val="160B55"/>
              </a:solidFill>
              <a:ln>
                <a:solidFill>
                  <a:srgbClr val="7030A0"/>
                </a:solidFill>
              </a:ln>
            </c:spPr>
          </c:marker>
          <c:xVal>
            <c:numRef>
              <c:f>'2013 E Maize VWC Graphs'!$AI$162:$AI$173</c:f>
              <c:numCache>
                <c:formatCode>General</c:formatCode>
                <c:ptCount val="12"/>
                <c:pt idx="0">
                  <c:v>0.22127740435835352</c:v>
                </c:pt>
                <c:pt idx="1">
                  <c:v>0.29275294420903952</c:v>
                </c:pt>
                <c:pt idx="2">
                  <c:v>0.29742782203389828</c:v>
                </c:pt>
                <c:pt idx="3">
                  <c:v>0.27748474717514121</c:v>
                </c:pt>
                <c:pt idx="4">
                  <c:v>0.2675132097457627</c:v>
                </c:pt>
                <c:pt idx="5">
                  <c:v>0.31948956073446327</c:v>
                </c:pt>
                <c:pt idx="6">
                  <c:v>0.30196558403954804</c:v>
                </c:pt>
                <c:pt idx="7">
                  <c:v>0.3158446596045198</c:v>
                </c:pt>
                <c:pt idx="8">
                  <c:v>0.29209949929378531</c:v>
                </c:pt>
                <c:pt idx="9">
                  <c:v>0.26823688559322034</c:v>
                </c:pt>
                <c:pt idx="10">
                  <c:v>0.26124840889830508</c:v>
                </c:pt>
                <c:pt idx="11">
                  <c:v>0.26694489830508478</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7CCC-4311-A0DB-3BADB49A2B63}"/>
            </c:ext>
          </c:extLst>
        </c:ser>
        <c:ser>
          <c:idx val="13"/>
          <c:order val="13"/>
          <c:tx>
            <c:strRef>
              <c:f>'2013 E Maize VWC Graphs'!$Z$175</c:f>
              <c:strCache>
                <c:ptCount val="1"/>
                <c:pt idx="0">
                  <c:v>269</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'2013 E Maize VWC Graphs'!$AI$175:$AI$186</c:f>
              <c:numCache>
                <c:formatCode>General</c:formatCode>
                <c:ptCount val="12"/>
                <c:pt idx="0">
                  <c:v>0.28813952360774819</c:v>
                </c:pt>
                <c:pt idx="1">
                  <c:v>0.27518185169491521</c:v>
                </c:pt>
                <c:pt idx="2">
                  <c:v>0.28595940254237284</c:v>
                </c:pt>
                <c:pt idx="3">
                  <c:v>0.27200385593220339</c:v>
                </c:pt>
                <c:pt idx="4">
                  <c:v>0.26380554802259887</c:v>
                </c:pt>
                <c:pt idx="5">
                  <c:v>0.31753209957627115</c:v>
                </c:pt>
                <c:pt idx="6">
                  <c:v>0.30642881285310736</c:v>
                </c:pt>
                <c:pt idx="7">
                  <c:v>0.31132270409604518</c:v>
                </c:pt>
                <c:pt idx="8">
                  <c:v>0.28558083615819208</c:v>
                </c:pt>
                <c:pt idx="9">
                  <c:v>0.26363662782485875</c:v>
                </c:pt>
                <c:pt idx="10">
                  <c:v>0.25519955932203386</c:v>
                </c:pt>
                <c:pt idx="11">
                  <c:v>0.26676871822033899</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7CCC-4311-A0DB-3BADB49A2B63}"/>
            </c:ext>
          </c:extLst>
        </c:ser>
        <c:ser>
          <c:idx val="14"/>
          <c:order val="14"/>
          <c:tx>
            <c:strRef>
              <c:f>'2013 E Maize VWC Graphs'!$Z$188</c:f>
              <c:strCache>
                <c:ptCount val="1"/>
              </c:strCache>
            </c:strRef>
          </c:tx>
          <c:xVal>
            <c:numRef>
              <c:f>'2013 E Maize VWC Graphs'!$AI$188:$AI$199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7CCC-4311-A0DB-3BADB49A2B63}"/>
            </c:ext>
          </c:extLst>
        </c:ser>
        <c:ser>
          <c:idx val="15"/>
          <c:order val="15"/>
          <c:tx>
            <c:v>Porosity</c:v>
          </c:tx>
          <c:spPr>
            <a:ln w="38100">
              <a:solidFill>
                <a:srgbClr val="000000"/>
              </a:solidFill>
              <a:prstDash val="solid"/>
            </a:ln>
          </c:spPr>
          <c:marker>
            <c:symbol val="none"/>
          </c:marker>
          <c:xVal>
            <c:numRef>
              <c:f>'2013 E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'2013 E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0F-7CCC-4311-A0DB-3BADB49A2B63}"/>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NE tube 7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2439584360810191"/>
              <c:y val="3.5781095544875074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26826865765285313"/>
          <c:w val="0.11121338639365544"/>
          <c:h val="0.56563248695036716"/>
        </c:manualLayout>
      </c:layout>
      <c:overlay val="0"/>
      <c:spPr>
        <a:solidFill>
          <a:srgbClr val="FFFFFF"/>
        </a:solidFill>
        <a:ln w="3175">
          <a:noFill/>
          <a:prstDash val="solid"/>
        </a:ln>
      </c:spPr>
      <c:txPr>
        <a:bodyPr/>
        <a:lstStyle/>
        <a:p>
          <a:pPr>
            <a:defRPr sz="8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'2013 E Maize VWC Graphs'!$Z$6</c:f>
              <c:strCache>
                <c:ptCount val="1"/>
                <c:pt idx="0">
                  <c:v>156</c:v>
                </c:pt>
              </c:strCache>
            </c:strRef>
          </c:tx>
          <c:spPr>
            <a:ln>
              <a:solidFill>
                <a:srgbClr val="FF0000"/>
              </a:solidFill>
            </a:ln>
          </c:spPr>
          <c:marker>
            <c:symbol val="triangle"/>
            <c:size val="8"/>
            <c:spPr>
              <a:solidFill>
                <a:srgbClr val="FFFF00"/>
              </a:solidFill>
              <a:ln>
                <a:solidFill>
                  <a:srgbClr val="FF0000"/>
                </a:solidFill>
              </a:ln>
            </c:spPr>
          </c:marker>
          <c:xVal>
            <c:numRef>
              <c:f>'2013 E Maize VWC Graphs'!$AJ$6:$AJ$17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7EB6-4591-9D58-701BD0F51096}"/>
            </c:ext>
          </c:extLst>
        </c:ser>
        <c:ser>
          <c:idx val="4"/>
          <c:order val="1"/>
          <c:tx>
            <c:strRef>
              <c:f>'2013 E Maize VWC Graphs'!$Z$19</c:f>
              <c:strCache>
                <c:ptCount val="1"/>
                <c:pt idx="0">
                  <c:v>157</c:v>
                </c:pt>
              </c:strCache>
            </c:strRef>
          </c:tx>
          <c:spPr>
            <a:ln>
              <a:solidFill>
                <a:srgbClr val="002060"/>
              </a:solidFill>
            </a:ln>
          </c:spPr>
          <c:marker>
            <c:symbol val="square"/>
            <c:size val="7"/>
            <c:spPr>
              <a:noFill/>
            </c:spPr>
          </c:marker>
          <c:xVal>
            <c:numRef>
              <c:f>'2013 E Maize VWC Graphs'!$AJ$19:$AJ$30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7EB6-4591-9D58-701BD0F51096}"/>
            </c:ext>
          </c:extLst>
        </c:ser>
        <c:ser>
          <c:idx val="0"/>
          <c:order val="2"/>
          <c:tx>
            <c:strRef>
              <c:f>'2013 E Maize VWC Graphs'!$Z$32</c:f>
              <c:strCache>
                <c:ptCount val="1"/>
                <c:pt idx="0">
                  <c:v>171</c:v>
                </c:pt>
              </c:strCache>
            </c:strRef>
          </c:tx>
          <c:xVal>
            <c:numRef>
              <c:f>'2013 E Maize VWC Graphs'!$AJ$32:$AJ$43</c:f>
              <c:numCache>
                <c:formatCode>General</c:formatCode>
                <c:ptCount val="12"/>
                <c:pt idx="0">
                  <c:v>0.27324698002421305</c:v>
                </c:pt>
                <c:pt idx="1">
                  <c:v>0.34249548658192092</c:v>
                </c:pt>
                <c:pt idx="2">
                  <c:v>0.34470626624293782</c:v>
                </c:pt>
                <c:pt idx="3">
                  <c:v>0.33966292514124291</c:v>
                </c:pt>
                <c:pt idx="4">
                  <c:v>0.34129798093220337</c:v>
                </c:pt>
                <c:pt idx="5">
                  <c:v>0.34263366031073444</c:v>
                </c:pt>
                <c:pt idx="6">
                  <c:v>0.33958981991525428</c:v>
                </c:pt>
                <c:pt idx="7">
                  <c:v>0.34023581355932203</c:v>
                </c:pt>
                <c:pt idx="8">
                  <c:v>0.30883660734463275</c:v>
                </c:pt>
                <c:pt idx="9">
                  <c:v>0.29859858686440677</c:v>
                </c:pt>
                <c:pt idx="10">
                  <c:v>0.30223964194915254</c:v>
                </c:pt>
                <c:pt idx="11">
                  <c:v>0.31134227966101696</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7EB6-4591-9D58-701BD0F51096}"/>
            </c:ext>
          </c:extLst>
        </c:ser>
        <c:ser>
          <c:idx val="1"/>
          <c:order val="3"/>
          <c:tx>
            <c:strRef>
              <c:f>'2013 E Maize VWC Graphs'!$Z$45</c:f>
              <c:strCache>
                <c:ptCount val="1"/>
                <c:pt idx="0">
                  <c:v>176</c:v>
                </c:pt>
              </c:strCache>
            </c:strRef>
          </c:tx>
          <c:marker>
            <c:symbol val="square"/>
            <c:size val="5"/>
          </c:marker>
          <c:xVal>
            <c:numRef>
              <c:f>'2013 E Maize VWC Graphs'!$AJ$45:$AJ$56</c:f>
              <c:numCache>
                <c:formatCode>General</c:formatCode>
                <c:ptCount val="12"/>
                <c:pt idx="0">
                  <c:v>0.20856472790556901</c:v>
                </c:pt>
                <c:pt idx="1">
                  <c:v>0.33422809180790958</c:v>
                </c:pt>
                <c:pt idx="2">
                  <c:v>0.34740065395480224</c:v>
                </c:pt>
                <c:pt idx="3">
                  <c:v>0.3425876024011299</c:v>
                </c:pt>
                <c:pt idx="4">
                  <c:v>0.34081437288135591</c:v>
                </c:pt>
                <c:pt idx="5">
                  <c:v>0.34314029731638418</c:v>
                </c:pt>
                <c:pt idx="6">
                  <c:v>0.33346266807909603</c:v>
                </c:pt>
                <c:pt idx="7">
                  <c:v>0.34616720974576271</c:v>
                </c:pt>
                <c:pt idx="8">
                  <c:v>0.31003071680790961</c:v>
                </c:pt>
                <c:pt idx="9">
                  <c:v>0.29779598870056495</c:v>
                </c:pt>
                <c:pt idx="10">
                  <c:v>0.30474531426553675</c:v>
                </c:pt>
                <c:pt idx="11">
                  <c:v>0.31050053036723163</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7EB6-4591-9D58-701BD0F51096}"/>
            </c:ext>
          </c:extLst>
        </c:ser>
        <c:ser>
          <c:idx val="2"/>
          <c:order val="4"/>
          <c:tx>
            <c:strRef>
              <c:f>'2013 E Maize VWC Graphs'!$Z$58</c:f>
              <c:strCache>
                <c:ptCount val="1"/>
                <c:pt idx="0">
                  <c:v>183</c:v>
                </c:pt>
              </c:strCache>
            </c:strRef>
          </c:tx>
          <c:marker>
            <c:spPr>
              <a:solidFill>
                <a:srgbClr val="00B050"/>
              </a:solidFill>
            </c:spPr>
          </c:marker>
          <c:xVal>
            <c:numRef>
              <c:f>'2013 E Maize VWC Graphs'!$AJ$58:$AJ$69</c:f>
              <c:numCache>
                <c:formatCode>General</c:formatCode>
                <c:ptCount val="12"/>
                <c:pt idx="0">
                  <c:v>0.23512824152542372</c:v>
                </c:pt>
                <c:pt idx="1">
                  <c:v>0.32923080861581916</c:v>
                </c:pt>
                <c:pt idx="2">
                  <c:v>0.34624920621468924</c:v>
                </c:pt>
                <c:pt idx="3">
                  <c:v>0.34581165607344633</c:v>
                </c:pt>
                <c:pt idx="4">
                  <c:v>0.34811455155367232</c:v>
                </c:pt>
                <c:pt idx="5">
                  <c:v>0.34449900564971747</c:v>
                </c:pt>
                <c:pt idx="6">
                  <c:v>0.34702853460451982</c:v>
                </c:pt>
                <c:pt idx="7">
                  <c:v>0.3384152860169492</c:v>
                </c:pt>
                <c:pt idx="8">
                  <c:v>0.30822976483050846</c:v>
                </c:pt>
                <c:pt idx="9">
                  <c:v>0.29683678601694913</c:v>
                </c:pt>
                <c:pt idx="10">
                  <c:v>0.30546961016949153</c:v>
                </c:pt>
                <c:pt idx="11">
                  <c:v>0.31343686511299435</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7EB6-4591-9D58-701BD0F51096}"/>
            </c:ext>
          </c:extLst>
        </c:ser>
        <c:ser>
          <c:idx val="5"/>
          <c:order val="5"/>
          <c:tx>
            <c:strRef>
              <c:f>'2013 E Maize VWC Graphs'!$Z$71</c:f>
              <c:strCache>
                <c:ptCount val="1"/>
                <c:pt idx="0">
                  <c:v>189</c:v>
                </c:pt>
              </c:strCache>
            </c:strRef>
          </c:tx>
          <c:marker>
            <c:spPr>
              <a:solidFill>
                <a:schemeClr val="accent6">
                  <a:lumMod val="60000"/>
                  <a:lumOff val="40000"/>
                </a:schemeClr>
              </a:solidFill>
            </c:spPr>
          </c:marker>
          <c:xVal>
            <c:numRef>
              <c:f>'2013 E Maize VWC Graphs'!$AJ$71:$AJ$82</c:f>
              <c:numCache>
                <c:formatCode>General</c:formatCode>
                <c:ptCount val="12"/>
                <c:pt idx="0">
                  <c:v>0.2935409642857143</c:v>
                </c:pt>
                <c:pt idx="1">
                  <c:v>0.32706608686440675</c:v>
                </c:pt>
                <c:pt idx="2">
                  <c:v>0.3430021235875706</c:v>
                </c:pt>
                <c:pt idx="3">
                  <c:v>0.3490357097457627</c:v>
                </c:pt>
                <c:pt idx="4">
                  <c:v>0.35170706850282485</c:v>
                </c:pt>
                <c:pt idx="5">
                  <c:v>0.3448904978813559</c:v>
                </c:pt>
                <c:pt idx="6">
                  <c:v>0.35209860593220343</c:v>
                </c:pt>
                <c:pt idx="7">
                  <c:v>0.3368296652542373</c:v>
                </c:pt>
                <c:pt idx="8">
                  <c:v>0.30621348163841811</c:v>
                </c:pt>
                <c:pt idx="9">
                  <c:v>0.29799174435028247</c:v>
                </c:pt>
                <c:pt idx="10">
                  <c:v>0.30932599646892656</c:v>
                </c:pt>
                <c:pt idx="11">
                  <c:v>0.31012859463276837</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7EB6-4591-9D58-701BD0F51096}"/>
            </c:ext>
          </c:extLst>
        </c:ser>
        <c:ser>
          <c:idx val="6"/>
          <c:order val="6"/>
          <c:tx>
            <c:strRef>
              <c:f>'2013 E Maize VWC Graphs'!$Z$84</c:f>
              <c:strCache>
                <c:ptCount val="1"/>
                <c:pt idx="0">
                  <c:v>197</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'2013 E Maize VWC Graphs'!$AJ$84:$AJ$95</c:f>
              <c:numCache>
                <c:formatCode>General</c:formatCode>
                <c:ptCount val="12"/>
                <c:pt idx="0">
                  <c:v>0.27994090829297819</c:v>
                </c:pt>
                <c:pt idx="1">
                  <c:v>0.32796421610169491</c:v>
                </c:pt>
                <c:pt idx="2">
                  <c:v>0.33600132132768362</c:v>
                </c:pt>
                <c:pt idx="3">
                  <c:v>0.34380813700564972</c:v>
                </c:pt>
                <c:pt idx="4">
                  <c:v>0.3405380254237288</c:v>
                </c:pt>
                <c:pt idx="5">
                  <c:v>0.34650252471751414</c:v>
                </c:pt>
                <c:pt idx="6">
                  <c:v>0.33900255296610171</c:v>
                </c:pt>
                <c:pt idx="7">
                  <c:v>0.34109713841807909</c:v>
                </c:pt>
                <c:pt idx="8">
                  <c:v>0.30873872951977399</c:v>
                </c:pt>
                <c:pt idx="9">
                  <c:v>0.29538819420903956</c:v>
                </c:pt>
                <c:pt idx="10">
                  <c:v>0.30729013771186442</c:v>
                </c:pt>
                <c:pt idx="11">
                  <c:v>0.31179251765536725</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7EB6-4591-9D58-701BD0F51096}"/>
            </c:ext>
          </c:extLst>
        </c:ser>
        <c:ser>
          <c:idx val="7"/>
          <c:order val="7"/>
          <c:tx>
            <c:strRef>
              <c:f>'2013 E Maize VWC Graphs'!$Z$97</c:f>
              <c:strCache>
                <c:ptCount val="1"/>
                <c:pt idx="0">
                  <c:v>203</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'2013 E Maize VWC Graphs'!$AJ$97:$AJ$108</c:f>
              <c:numCache>
                <c:formatCode>General</c:formatCode>
                <c:ptCount val="12"/>
                <c:pt idx="0">
                  <c:v>0.32074107627118642</c:v>
                </c:pt>
                <c:pt idx="1">
                  <c:v>0.33936354872881352</c:v>
                </c:pt>
                <c:pt idx="2">
                  <c:v>0.35205250282485878</c:v>
                </c:pt>
                <c:pt idx="3">
                  <c:v>0.34581165607344633</c:v>
                </c:pt>
                <c:pt idx="4">
                  <c:v>0.34839089901129938</c:v>
                </c:pt>
                <c:pt idx="5">
                  <c:v>0.34309423940677963</c:v>
                </c:pt>
                <c:pt idx="6">
                  <c:v>0.35182454802259888</c:v>
                </c:pt>
                <c:pt idx="7">
                  <c:v>0.3357921603107345</c:v>
                </c:pt>
                <c:pt idx="8">
                  <c:v>0.3121840289548023</c:v>
                </c:pt>
                <c:pt idx="9">
                  <c:v>0.29384172457627122</c:v>
                </c:pt>
                <c:pt idx="10">
                  <c:v>0.311577186440678</c:v>
                </c:pt>
                <c:pt idx="11">
                  <c:v>0.31367177189265538</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7EB6-4591-9D58-701BD0F51096}"/>
            </c:ext>
          </c:extLst>
        </c:ser>
        <c:ser>
          <c:idx val="8"/>
          <c:order val="8"/>
          <c:tx>
            <c:strRef>
              <c:f>'2013 E Maize VWC Graphs'!$Z$110</c:f>
              <c:strCache>
                <c:ptCount val="1"/>
                <c:pt idx="0">
                  <c:v>210</c:v>
                </c:pt>
              </c:strCache>
            </c:strRef>
          </c:tx>
          <c:marker>
            <c:symbol val="circle"/>
            <c:size val="8"/>
            <c:spPr>
              <a:solidFill>
                <a:srgbClr val="FFFF99"/>
              </a:solidFill>
            </c:spPr>
          </c:marker>
          <c:xVal>
            <c:numRef>
              <c:f>'2013 E Maize VWC Graphs'!$AJ$110:$AJ$121</c:f>
              <c:numCache>
                <c:formatCode>General</c:formatCode>
                <c:ptCount val="12"/>
                <c:pt idx="0">
                  <c:v>0.23885137742130752</c:v>
                </c:pt>
                <c:pt idx="1">
                  <c:v>0.31205120833333333</c:v>
                </c:pt>
                <c:pt idx="2">
                  <c:v>0.31925927118644065</c:v>
                </c:pt>
                <c:pt idx="3">
                  <c:v>0.32602978389830506</c:v>
                </c:pt>
                <c:pt idx="4">
                  <c:v>0.33556377118644065</c:v>
                </c:pt>
                <c:pt idx="5">
                  <c:v>0.34320938418079094</c:v>
                </c:pt>
                <c:pt idx="6">
                  <c:v>0.34219337005649714</c:v>
                </c:pt>
                <c:pt idx="7">
                  <c:v>0.33753438559322035</c:v>
                </c:pt>
                <c:pt idx="8">
                  <c:v>0.30754462005649719</c:v>
                </c:pt>
                <c:pt idx="9">
                  <c:v>0.29656272810734469</c:v>
                </c:pt>
                <c:pt idx="10">
                  <c:v>0.30411889618644067</c:v>
                </c:pt>
                <c:pt idx="11">
                  <c:v>0.31281044703389832</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7EB6-4591-9D58-701BD0F51096}"/>
            </c:ext>
          </c:extLst>
        </c:ser>
        <c:ser>
          <c:idx val="9"/>
          <c:order val="9"/>
          <c:tx>
            <c:strRef>
              <c:f>'2013 E Maize VWC Graphs'!$Z$123</c:f>
              <c:strCache>
                <c:ptCount val="1"/>
                <c:pt idx="0">
                  <c:v>218</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'2013 E Maize VWC Graphs'!$AJ$123:$AJ$134</c:f>
              <c:numCache>
                <c:formatCode>General</c:formatCode>
                <c:ptCount val="12"/>
                <c:pt idx="0">
                  <c:v>0.23937223062953994</c:v>
                </c:pt>
                <c:pt idx="1">
                  <c:v>0.32043374788135587</c:v>
                </c:pt>
                <c:pt idx="2">
                  <c:v>0.31919018432203389</c:v>
                </c:pt>
                <c:pt idx="3">
                  <c:v>0.31649579661016947</c:v>
                </c:pt>
                <c:pt idx="4">
                  <c:v>0.32043374788135587</c:v>
                </c:pt>
                <c:pt idx="5">
                  <c:v>0.33860359322033895</c:v>
                </c:pt>
                <c:pt idx="6">
                  <c:v>0.34049029590395485</c:v>
                </c:pt>
                <c:pt idx="7">
                  <c:v>0.3391200063559322</c:v>
                </c:pt>
                <c:pt idx="8">
                  <c:v>0.30826891596045203</c:v>
                </c:pt>
                <c:pt idx="9">
                  <c:v>0.29356766666666667</c:v>
                </c:pt>
                <c:pt idx="10">
                  <c:v>0.30347290254237291</c:v>
                </c:pt>
                <c:pt idx="11">
                  <c:v>0.31112694844632771</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7EB6-4591-9D58-701BD0F51096}"/>
            </c:ext>
          </c:extLst>
        </c:ser>
        <c:ser>
          <c:idx val="10"/>
          <c:order val="10"/>
          <c:tx>
            <c:strRef>
              <c:f>'2013 E Maize VWC Graphs'!$Z$136</c:f>
              <c:strCache>
                <c:ptCount val="1"/>
                <c:pt idx="0">
                  <c:v>231</c:v>
                </c:pt>
              </c:strCache>
            </c:strRef>
          </c:tx>
          <c:xVal>
            <c:numRef>
              <c:f>'2013 E Maize VWC Graphs'!$AJ$136:$AJ$147</c:f>
              <c:numCache>
                <c:formatCode>General</c:formatCode>
                <c:ptCount val="12"/>
                <c:pt idx="0">
                  <c:v>0.31379636682808715</c:v>
                </c:pt>
                <c:pt idx="1">
                  <c:v>0.34339361581920902</c:v>
                </c:pt>
                <c:pt idx="2">
                  <c:v>0.33639281355932205</c:v>
                </c:pt>
                <c:pt idx="3">
                  <c:v>0.32833267937853106</c:v>
                </c:pt>
                <c:pt idx="4">
                  <c:v>0.33245486228813559</c:v>
                </c:pt>
                <c:pt idx="5">
                  <c:v>0.34168947316384179</c:v>
                </c:pt>
                <c:pt idx="6">
                  <c:v>0.33312988347457628</c:v>
                </c:pt>
                <c:pt idx="7">
                  <c:v>0.33305158121468931</c:v>
                </c:pt>
                <c:pt idx="8">
                  <c:v>0.30423634957627121</c:v>
                </c:pt>
                <c:pt idx="9">
                  <c:v>0.291022843220339</c:v>
                </c:pt>
                <c:pt idx="10">
                  <c:v>0.30155449717514127</c:v>
                </c:pt>
                <c:pt idx="11">
                  <c:v>0.30883660734463275</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7EB6-4591-9D58-701BD0F51096}"/>
            </c:ext>
          </c:extLst>
        </c:ser>
        <c:ser>
          <c:idx val="11"/>
          <c:order val="11"/>
          <c:tx>
            <c:strRef>
              <c:f>'2013 E Maize VWC Graphs'!$Z$149</c:f>
              <c:strCache>
                <c:ptCount val="1"/>
                <c:pt idx="0">
                  <c:v>246</c:v>
                </c:pt>
              </c:strCache>
            </c:strRef>
          </c:tx>
          <c:xVal>
            <c:numRef>
              <c:f>'2013 E Maize VWC Graphs'!$AJ$149:$AJ$160</c:f>
              <c:numCache>
                <c:formatCode>General</c:formatCode>
                <c:ptCount val="12"/>
                <c:pt idx="0">
                  <c:v>0.25625173274818397</c:v>
                </c:pt>
                <c:pt idx="1">
                  <c:v>0.29977677542372883</c:v>
                </c:pt>
                <c:pt idx="2">
                  <c:v>0.2963454611581921</c:v>
                </c:pt>
                <c:pt idx="3">
                  <c:v>0.27707022598870057</c:v>
                </c:pt>
                <c:pt idx="4">
                  <c:v>0.29259174152542372</c:v>
                </c:pt>
                <c:pt idx="5">
                  <c:v>0.32953018502824855</c:v>
                </c:pt>
                <c:pt idx="6">
                  <c:v>0.3436028107344633</c:v>
                </c:pt>
                <c:pt idx="7">
                  <c:v>0.32894071257062146</c:v>
                </c:pt>
                <c:pt idx="8">
                  <c:v>0.29936203389830512</c:v>
                </c:pt>
                <c:pt idx="9">
                  <c:v>0.28697070127118646</c:v>
                </c:pt>
                <c:pt idx="10">
                  <c:v>0.30208303742937859</c:v>
                </c:pt>
                <c:pt idx="11">
                  <c:v>0.31001114124293788</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7EB6-4591-9D58-701BD0F51096}"/>
            </c:ext>
          </c:extLst>
        </c:ser>
        <c:ser>
          <c:idx val="12"/>
          <c:order val="12"/>
          <c:tx>
            <c:strRef>
              <c:f>'2013 E Maize VWC Graphs'!$Z$162</c:f>
              <c:strCache>
                <c:ptCount val="1"/>
                <c:pt idx="0">
                  <c:v>253</c:v>
                </c:pt>
              </c:strCache>
            </c:strRef>
          </c:tx>
          <c:spPr>
            <a:ln>
              <a:solidFill>
                <a:srgbClr val="5449E1"/>
              </a:solidFill>
            </a:ln>
          </c:spPr>
          <c:marker>
            <c:symbol val="circle"/>
            <c:size val="8"/>
            <c:spPr>
              <a:solidFill>
                <a:srgbClr val="160B55"/>
              </a:solidFill>
              <a:ln>
                <a:solidFill>
                  <a:srgbClr val="7030A0"/>
                </a:solidFill>
              </a:ln>
            </c:spPr>
          </c:marker>
          <c:xVal>
            <c:numRef>
              <c:f>'2013 E Maize VWC Graphs'!$AJ$162:$AJ$173</c:f>
              <c:numCache>
                <c:formatCode>General</c:formatCode>
                <c:ptCount val="12"/>
                <c:pt idx="0">
                  <c:v>0.22031286138014528</c:v>
                </c:pt>
                <c:pt idx="1">
                  <c:v>0.29917802259887</c:v>
                </c:pt>
                <c:pt idx="2">
                  <c:v>0.28964403531073446</c:v>
                </c:pt>
                <c:pt idx="3">
                  <c:v>0.27430675141242938</c:v>
                </c:pt>
                <c:pt idx="4">
                  <c:v>0.27564243079096046</c:v>
                </c:pt>
                <c:pt idx="5">
                  <c:v>0.32467107556497177</c:v>
                </c:pt>
                <c:pt idx="6">
                  <c:v>0.33187704731638423</c:v>
                </c:pt>
                <c:pt idx="7">
                  <c:v>0.32676782485875705</c:v>
                </c:pt>
                <c:pt idx="8">
                  <c:v>0.29726744844632769</c:v>
                </c:pt>
                <c:pt idx="9">
                  <c:v>0.28513059816384179</c:v>
                </c:pt>
                <c:pt idx="10">
                  <c:v>0.29752193079096045</c:v>
                </c:pt>
                <c:pt idx="11">
                  <c:v>0.30848424717514128</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7EB6-4591-9D58-701BD0F51096}"/>
            </c:ext>
          </c:extLst>
        </c:ser>
        <c:ser>
          <c:idx val="13"/>
          <c:order val="13"/>
          <c:tx>
            <c:strRef>
              <c:f>'2013 E Maize VWC Graphs'!$Z$175</c:f>
              <c:strCache>
                <c:ptCount val="1"/>
                <c:pt idx="0">
                  <c:v>269</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'2013 E Maize VWC Graphs'!$AJ$175:$AJ$186</c:f>
              <c:numCache>
                <c:formatCode>General</c:formatCode>
                <c:ptCount val="12"/>
                <c:pt idx="0">
                  <c:v>0.29394607233656173</c:v>
                </c:pt>
                <c:pt idx="1">
                  <c:v>0.29307534957627118</c:v>
                </c:pt>
                <c:pt idx="2">
                  <c:v>0.28303472528248586</c:v>
                </c:pt>
                <c:pt idx="3">
                  <c:v>0.26647690677966102</c:v>
                </c:pt>
                <c:pt idx="4">
                  <c:v>0.27644844420903952</c:v>
                </c:pt>
                <c:pt idx="5">
                  <c:v>0.32607584180790961</c:v>
                </c:pt>
                <c:pt idx="6">
                  <c:v>0.34164525423728814</c:v>
                </c:pt>
                <c:pt idx="7">
                  <c:v>0.31928995903954804</c:v>
                </c:pt>
                <c:pt idx="8">
                  <c:v>0.29760023305084748</c:v>
                </c:pt>
                <c:pt idx="9">
                  <c:v>0.28346667514124296</c:v>
                </c:pt>
                <c:pt idx="10">
                  <c:v>0.29773726200564976</c:v>
                </c:pt>
                <c:pt idx="11">
                  <c:v>0.31210572669491526</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7EB6-4591-9D58-701BD0F51096}"/>
            </c:ext>
          </c:extLst>
        </c:ser>
        <c:ser>
          <c:idx val="14"/>
          <c:order val="14"/>
          <c:tx>
            <c:strRef>
              <c:f>'2013 E Maize VWC Graphs'!$Z$188</c:f>
              <c:strCache>
                <c:ptCount val="1"/>
              </c:strCache>
            </c:strRef>
          </c:tx>
          <c:xVal>
            <c:numRef>
              <c:f>'2013 E Maize VWC Graphs'!$AJ$188:$AJ$199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7EB6-4591-9D58-701BD0F51096}"/>
            </c:ext>
          </c:extLst>
        </c:ser>
        <c:ser>
          <c:idx val="15"/>
          <c:order val="15"/>
          <c:tx>
            <c:v>Porosity</c:v>
          </c:tx>
          <c:spPr>
            <a:ln w="38100">
              <a:solidFill>
                <a:srgbClr val="000000"/>
              </a:solidFill>
              <a:prstDash val="solid"/>
            </a:ln>
          </c:spPr>
          <c:marker>
            <c:symbol val="none"/>
          </c:marker>
          <c:xVal>
            <c:numRef>
              <c:f>'2013 E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'2013 E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0F-7EB6-4591-9D58-701BD0F51096}"/>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NE tube 8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4599411574633084"/>
              <c:y val="3.7945597709377235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26826865765285313"/>
          <c:w val="0.11121338639365544"/>
          <c:h val="0.56563248695036716"/>
        </c:manualLayout>
      </c:layout>
      <c:overlay val="0"/>
      <c:spPr>
        <a:solidFill>
          <a:srgbClr val="FFFFFF"/>
        </a:solidFill>
        <a:ln w="3175">
          <a:noFill/>
          <a:prstDash val="solid"/>
        </a:ln>
      </c:spPr>
      <c:txPr>
        <a:bodyPr/>
        <a:lstStyle/>
        <a:p>
          <a:pPr>
            <a:defRPr sz="8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'2013 E Maize VWC Graphs'!$Z$6</c:f>
              <c:strCache>
                <c:ptCount val="1"/>
                <c:pt idx="0">
                  <c:v>156</c:v>
                </c:pt>
              </c:strCache>
            </c:strRef>
          </c:tx>
          <c:spPr>
            <a:ln>
              <a:solidFill>
                <a:srgbClr val="FF0000"/>
              </a:solidFill>
            </a:ln>
          </c:spPr>
          <c:marker>
            <c:symbol val="triangle"/>
            <c:size val="8"/>
            <c:spPr>
              <a:solidFill>
                <a:srgbClr val="FFFF00"/>
              </a:solidFill>
              <a:ln>
                <a:solidFill>
                  <a:srgbClr val="FF0000"/>
                </a:solidFill>
              </a:ln>
            </c:spPr>
          </c:marker>
          <c:xVal>
            <c:numRef>
              <c:f>'2013 E Maize VWC Graphs'!$AK$6:$AK$17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B7C9-4E82-B737-DF94F43697AB}"/>
            </c:ext>
          </c:extLst>
        </c:ser>
        <c:ser>
          <c:idx val="4"/>
          <c:order val="1"/>
          <c:tx>
            <c:strRef>
              <c:f>'2013 E Maize VWC Graphs'!$Z$19</c:f>
              <c:strCache>
                <c:ptCount val="1"/>
                <c:pt idx="0">
                  <c:v>157</c:v>
                </c:pt>
              </c:strCache>
            </c:strRef>
          </c:tx>
          <c:spPr>
            <a:ln>
              <a:solidFill>
                <a:srgbClr val="002060"/>
              </a:solidFill>
            </a:ln>
          </c:spPr>
          <c:marker>
            <c:symbol val="square"/>
            <c:size val="7"/>
            <c:spPr>
              <a:noFill/>
            </c:spPr>
          </c:marker>
          <c:xVal>
            <c:numRef>
              <c:f>'2013 E Maize VWC Graphs'!$AK$19:$AK$30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B7C9-4E82-B737-DF94F43697AB}"/>
            </c:ext>
          </c:extLst>
        </c:ser>
        <c:ser>
          <c:idx val="0"/>
          <c:order val="2"/>
          <c:tx>
            <c:strRef>
              <c:f>'2013 E Maize VWC Graphs'!$Z$32</c:f>
              <c:strCache>
                <c:ptCount val="1"/>
                <c:pt idx="0">
                  <c:v>171</c:v>
                </c:pt>
              </c:strCache>
            </c:strRef>
          </c:tx>
          <c:xVal>
            <c:numRef>
              <c:f>'2013 E Maize VWC Graphs'!$AK$32:$AK$43</c:f>
              <c:numCache>
                <c:formatCode>General</c:formatCode>
                <c:ptCount val="12"/>
                <c:pt idx="0">
                  <c:v>0.31599552481840193</c:v>
                </c:pt>
                <c:pt idx="1">
                  <c:v>0.35555290395480227</c:v>
                </c:pt>
                <c:pt idx="2">
                  <c:v>0.3588921024011299</c:v>
                </c:pt>
                <c:pt idx="3">
                  <c:v>0.34307121045197742</c:v>
                </c:pt>
                <c:pt idx="4">
                  <c:v>0.33625463983050846</c:v>
                </c:pt>
                <c:pt idx="5">
                  <c:v>0.33321481779661016</c:v>
                </c:pt>
                <c:pt idx="6">
                  <c:v>0.30421677401129948</c:v>
                </c:pt>
                <c:pt idx="7">
                  <c:v>0.33504828884180793</c:v>
                </c:pt>
                <c:pt idx="8">
                  <c:v>0.2989509470338983</c:v>
                </c:pt>
                <c:pt idx="9">
                  <c:v>0.29397875353107344</c:v>
                </c:pt>
                <c:pt idx="10">
                  <c:v>0.30143704378531078</c:v>
                </c:pt>
                <c:pt idx="11">
                  <c:v>0.30660499293785309</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B7C9-4E82-B737-DF94F43697AB}"/>
            </c:ext>
          </c:extLst>
        </c:ser>
        <c:ser>
          <c:idx val="1"/>
          <c:order val="3"/>
          <c:tx>
            <c:strRef>
              <c:f>'2013 E Maize VWC Graphs'!$Z$45</c:f>
              <c:strCache>
                <c:ptCount val="1"/>
                <c:pt idx="0">
                  <c:v>176</c:v>
                </c:pt>
              </c:strCache>
            </c:strRef>
          </c:tx>
          <c:marker>
            <c:symbol val="square"/>
            <c:size val="5"/>
          </c:marker>
          <c:xVal>
            <c:numRef>
              <c:f>'2013 E Maize VWC Graphs'!$AK$45:$AK$56</c:f>
              <c:numCache>
                <c:formatCode>General</c:formatCode>
                <c:ptCount val="12"/>
                <c:pt idx="0">
                  <c:v>0.22409386985472152</c:v>
                </c:pt>
                <c:pt idx="1">
                  <c:v>0.35108528672316386</c:v>
                </c:pt>
                <c:pt idx="2">
                  <c:v>0.35944479731638418</c:v>
                </c:pt>
                <c:pt idx="3">
                  <c:v>0.34537410593220341</c:v>
                </c:pt>
                <c:pt idx="4">
                  <c:v>0.34261063135593217</c:v>
                </c:pt>
                <c:pt idx="5">
                  <c:v>0.3372448848870056</c:v>
                </c:pt>
                <c:pt idx="6">
                  <c:v>0.30789698022598871</c:v>
                </c:pt>
                <c:pt idx="7">
                  <c:v>0.33134850706214691</c:v>
                </c:pt>
                <c:pt idx="8">
                  <c:v>0.30683989971751413</c:v>
                </c:pt>
                <c:pt idx="9">
                  <c:v>0.29438984039548022</c:v>
                </c:pt>
                <c:pt idx="10">
                  <c:v>0.29711084392655368</c:v>
                </c:pt>
                <c:pt idx="11">
                  <c:v>0.30707480649717517</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B7C9-4E82-B737-DF94F43697AB}"/>
            </c:ext>
          </c:extLst>
        </c:ser>
        <c:ser>
          <c:idx val="2"/>
          <c:order val="4"/>
          <c:tx>
            <c:strRef>
              <c:f>'2013 E Maize VWC Graphs'!$Z$58</c:f>
              <c:strCache>
                <c:ptCount val="1"/>
                <c:pt idx="0">
                  <c:v>183</c:v>
                </c:pt>
              </c:strCache>
            </c:strRef>
          </c:tx>
          <c:marker>
            <c:spPr>
              <a:solidFill>
                <a:srgbClr val="00B050"/>
              </a:solidFill>
            </c:spPr>
          </c:marker>
          <c:xVal>
            <c:numRef>
              <c:f>'2013 E Maize VWC Graphs'!$AK$58:$AK$69</c:f>
              <c:numCache>
                <c:formatCode>General</c:formatCode>
                <c:ptCount val="12"/>
                <c:pt idx="0">
                  <c:v>0.21549014648910414</c:v>
                </c:pt>
                <c:pt idx="1">
                  <c:v>0.32904657697740108</c:v>
                </c:pt>
                <c:pt idx="2">
                  <c:v>0.36057321610169496</c:v>
                </c:pt>
                <c:pt idx="3">
                  <c:v>0.34942720197740113</c:v>
                </c:pt>
                <c:pt idx="4">
                  <c:v>0.34081437288135591</c:v>
                </c:pt>
                <c:pt idx="5">
                  <c:v>0.33323784675141238</c:v>
                </c:pt>
                <c:pt idx="6">
                  <c:v>0.3038644138418079</c:v>
                </c:pt>
                <c:pt idx="7">
                  <c:v>0.33506786440677966</c:v>
                </c:pt>
                <c:pt idx="8">
                  <c:v>0.30212218855932205</c:v>
                </c:pt>
                <c:pt idx="9">
                  <c:v>0.29209949929378531</c:v>
                </c:pt>
                <c:pt idx="10">
                  <c:v>0.29597546115819212</c:v>
                </c:pt>
                <c:pt idx="11">
                  <c:v>0.30954132768361581</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B7C9-4E82-B737-DF94F43697AB}"/>
            </c:ext>
          </c:extLst>
        </c:ser>
        <c:ser>
          <c:idx val="5"/>
          <c:order val="5"/>
          <c:tx>
            <c:strRef>
              <c:f>'2013 E Maize VWC Graphs'!$Z$71</c:f>
              <c:strCache>
                <c:ptCount val="1"/>
                <c:pt idx="0">
                  <c:v>189</c:v>
                </c:pt>
              </c:strCache>
            </c:strRef>
          </c:tx>
          <c:marker>
            <c:spPr>
              <a:solidFill>
                <a:schemeClr val="accent6">
                  <a:lumMod val="60000"/>
                  <a:lumOff val="40000"/>
                </a:schemeClr>
              </a:solidFill>
            </c:spPr>
          </c:marker>
          <c:xVal>
            <c:numRef>
              <c:f>'2013 E Maize VWC Graphs'!$AK$71:$AK$82</c:f>
              <c:numCache>
                <c:formatCode>General</c:formatCode>
                <c:ptCount val="12"/>
                <c:pt idx="0">
                  <c:v>0.28181212167070219</c:v>
                </c:pt>
                <c:pt idx="1">
                  <c:v>0.32310510663841802</c:v>
                </c:pt>
                <c:pt idx="2">
                  <c:v>0.35103922881355931</c:v>
                </c:pt>
                <c:pt idx="3">
                  <c:v>0.34991081002824853</c:v>
                </c:pt>
                <c:pt idx="4">
                  <c:v>0.33883388276836157</c:v>
                </c:pt>
                <c:pt idx="5">
                  <c:v>0.34007744632768361</c:v>
                </c:pt>
                <c:pt idx="6">
                  <c:v>0.30627220833333335</c:v>
                </c:pt>
                <c:pt idx="7">
                  <c:v>0.33040887994350288</c:v>
                </c:pt>
                <c:pt idx="8">
                  <c:v>0.29844198234463276</c:v>
                </c:pt>
                <c:pt idx="9">
                  <c:v>0.29319573093220341</c:v>
                </c:pt>
                <c:pt idx="10">
                  <c:v>0.30251369985875709</c:v>
                </c:pt>
                <c:pt idx="11">
                  <c:v>0.30926726977401131</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B7C9-4E82-B737-DF94F43697AB}"/>
            </c:ext>
          </c:extLst>
        </c:ser>
        <c:ser>
          <c:idx val="6"/>
          <c:order val="6"/>
          <c:tx>
            <c:strRef>
              <c:f>'2013 E Maize VWC Graphs'!$Z$84</c:f>
              <c:strCache>
                <c:ptCount val="1"/>
                <c:pt idx="0">
                  <c:v>197</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'2013 E Maize VWC Graphs'!$AK$84:$AK$95</c:f>
              <c:numCache>
                <c:formatCode>General</c:formatCode>
                <c:ptCount val="12"/>
                <c:pt idx="0">
                  <c:v>0.22731544340193705</c:v>
                </c:pt>
                <c:pt idx="1">
                  <c:v>0.30903441525423725</c:v>
                </c:pt>
                <c:pt idx="2">
                  <c:v>0.32874720056497175</c:v>
                </c:pt>
                <c:pt idx="3">
                  <c:v>0.34601891666666662</c:v>
                </c:pt>
                <c:pt idx="4">
                  <c:v>0.34097557556497177</c:v>
                </c:pt>
                <c:pt idx="5">
                  <c:v>0.336922479519774</c:v>
                </c:pt>
                <c:pt idx="6">
                  <c:v>0.30754462005649719</c:v>
                </c:pt>
                <c:pt idx="7">
                  <c:v>0.33080039124293786</c:v>
                </c:pt>
                <c:pt idx="8">
                  <c:v>0.30615475494350286</c:v>
                </c:pt>
                <c:pt idx="9">
                  <c:v>0.29061175635593223</c:v>
                </c:pt>
                <c:pt idx="10">
                  <c:v>0.29341106214689266</c:v>
                </c:pt>
                <c:pt idx="11">
                  <c:v>0.30821018926553673</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B7C9-4E82-B737-DF94F43697AB}"/>
            </c:ext>
          </c:extLst>
        </c:ser>
        <c:ser>
          <c:idx val="7"/>
          <c:order val="7"/>
          <c:tx>
            <c:strRef>
              <c:f>'2013 E Maize VWC Graphs'!$Z$97</c:f>
              <c:strCache>
                <c:ptCount val="1"/>
                <c:pt idx="0">
                  <c:v>203</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'2013 E Maize VWC Graphs'!$AK$97:$AK$108</c:f>
              <c:numCache>
                <c:formatCode>General</c:formatCode>
                <c:ptCount val="12"/>
                <c:pt idx="0">
                  <c:v>0.32319101543583534</c:v>
                </c:pt>
                <c:pt idx="1">
                  <c:v>0.34286394985875707</c:v>
                </c:pt>
                <c:pt idx="2">
                  <c:v>0.34046893855932203</c:v>
                </c:pt>
                <c:pt idx="3">
                  <c:v>0.34314029731638418</c:v>
                </c:pt>
                <c:pt idx="4">
                  <c:v>0.34339361581920902</c:v>
                </c:pt>
                <c:pt idx="5">
                  <c:v>0.33540256850282485</c:v>
                </c:pt>
                <c:pt idx="6">
                  <c:v>0.30723141101694917</c:v>
                </c:pt>
                <c:pt idx="7">
                  <c:v>0.33363884816384182</c:v>
                </c:pt>
                <c:pt idx="8">
                  <c:v>0.29945991172316383</c:v>
                </c:pt>
                <c:pt idx="9">
                  <c:v>0.29237355720338987</c:v>
                </c:pt>
                <c:pt idx="10">
                  <c:v>0.29728702401129942</c:v>
                </c:pt>
                <c:pt idx="11">
                  <c:v>0.30723141101694917</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B7C9-4E82-B737-DF94F43697AB}"/>
            </c:ext>
          </c:extLst>
        </c:ser>
        <c:ser>
          <c:idx val="8"/>
          <c:order val="8"/>
          <c:tx>
            <c:strRef>
              <c:f>'2013 E Maize VWC Graphs'!$Z$110</c:f>
              <c:strCache>
                <c:ptCount val="1"/>
                <c:pt idx="0">
                  <c:v>210</c:v>
                </c:pt>
              </c:strCache>
            </c:strRef>
          </c:tx>
          <c:marker>
            <c:symbol val="circle"/>
            <c:size val="8"/>
            <c:spPr>
              <a:solidFill>
                <a:srgbClr val="FFFF99"/>
              </a:solidFill>
            </c:spPr>
          </c:marker>
          <c:xVal>
            <c:numRef>
              <c:f>'2013 E Maize VWC Graphs'!$AK$110:$AK$121</c:f>
              <c:numCache>
                <c:formatCode>General</c:formatCode>
                <c:ptCount val="12"/>
                <c:pt idx="0">
                  <c:v>0.22428677845036316</c:v>
                </c:pt>
                <c:pt idx="1">
                  <c:v>0.31877566313559319</c:v>
                </c:pt>
                <c:pt idx="2">
                  <c:v>0.31909806850282479</c:v>
                </c:pt>
                <c:pt idx="3">
                  <c:v>0.31260390324858756</c:v>
                </c:pt>
                <c:pt idx="4">
                  <c:v>0.32540800211864401</c:v>
                </c:pt>
                <c:pt idx="5">
                  <c:v>0.33563285805084747</c:v>
                </c:pt>
                <c:pt idx="6">
                  <c:v>0.30300308898305084</c:v>
                </c:pt>
                <c:pt idx="7">
                  <c:v>0.32980203742937853</c:v>
                </c:pt>
                <c:pt idx="8">
                  <c:v>0.29934245833333334</c:v>
                </c:pt>
                <c:pt idx="9">
                  <c:v>0.2899266115819209</c:v>
                </c:pt>
                <c:pt idx="10">
                  <c:v>0.29527074081920907</c:v>
                </c:pt>
                <c:pt idx="11">
                  <c:v>0.3060568771186441</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B7C9-4E82-B737-DF94F43697AB}"/>
            </c:ext>
          </c:extLst>
        </c:ser>
        <c:ser>
          <c:idx val="9"/>
          <c:order val="9"/>
          <c:tx>
            <c:strRef>
              <c:f>'2013 E Maize VWC Graphs'!$Z$123</c:f>
              <c:strCache>
                <c:ptCount val="1"/>
                <c:pt idx="0">
                  <c:v>218</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'2013 E Maize VWC Graphs'!$AK$123:$AK$134</c:f>
              <c:numCache>
                <c:formatCode>General</c:formatCode>
                <c:ptCount val="12"/>
                <c:pt idx="0">
                  <c:v>0.22488479509685227</c:v>
                </c:pt>
                <c:pt idx="1">
                  <c:v>0.31221241101694919</c:v>
                </c:pt>
                <c:pt idx="2">
                  <c:v>0.31016283403954803</c:v>
                </c:pt>
                <c:pt idx="3">
                  <c:v>0.29652969279661018</c:v>
                </c:pt>
                <c:pt idx="4">
                  <c:v>0.31041615254237287</c:v>
                </c:pt>
                <c:pt idx="5">
                  <c:v>0.32531588629943503</c:v>
                </c:pt>
                <c:pt idx="6">
                  <c:v>0.29540776977401129</c:v>
                </c:pt>
                <c:pt idx="7">
                  <c:v>0.32653291807909607</c:v>
                </c:pt>
                <c:pt idx="8">
                  <c:v>0.29781556426553674</c:v>
                </c:pt>
                <c:pt idx="9">
                  <c:v>0.28556126059322035</c:v>
                </c:pt>
                <c:pt idx="10">
                  <c:v>0.28941764689265537</c:v>
                </c:pt>
                <c:pt idx="11">
                  <c:v>0.30568494138418084</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B7C9-4E82-B737-DF94F43697AB}"/>
            </c:ext>
          </c:extLst>
        </c:ser>
        <c:ser>
          <c:idx val="10"/>
          <c:order val="10"/>
          <c:tx>
            <c:strRef>
              <c:f>'2013 E Maize VWC Graphs'!$Z$136</c:f>
              <c:strCache>
                <c:ptCount val="1"/>
                <c:pt idx="0">
                  <c:v>231</c:v>
                </c:pt>
              </c:strCache>
            </c:strRef>
          </c:tx>
          <c:xVal>
            <c:numRef>
              <c:f>'2013 E Maize VWC Graphs'!$AK$136:$AK$147</c:f>
              <c:numCache>
                <c:formatCode>General</c:formatCode>
                <c:ptCount val="12"/>
                <c:pt idx="0">
                  <c:v>0.31292827814769975</c:v>
                </c:pt>
                <c:pt idx="1">
                  <c:v>0.33436626553672316</c:v>
                </c:pt>
                <c:pt idx="2">
                  <c:v>0.31732483898305081</c:v>
                </c:pt>
                <c:pt idx="3">
                  <c:v>0.31087673163841806</c:v>
                </c:pt>
                <c:pt idx="4">
                  <c:v>0.31488376977401128</c:v>
                </c:pt>
                <c:pt idx="5">
                  <c:v>0.32978350353107344</c:v>
                </c:pt>
                <c:pt idx="6">
                  <c:v>0.2991662782485876</c:v>
                </c:pt>
                <c:pt idx="7">
                  <c:v>0.32457536158192091</c:v>
                </c:pt>
                <c:pt idx="8">
                  <c:v>0.29435068926553676</c:v>
                </c:pt>
                <c:pt idx="9">
                  <c:v>0.27759400564971753</c:v>
                </c:pt>
                <c:pt idx="10">
                  <c:v>0.28624640536723162</c:v>
                </c:pt>
                <c:pt idx="11">
                  <c:v>0.30644838841807909</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B7C9-4E82-B737-DF94F43697AB}"/>
            </c:ext>
          </c:extLst>
        </c:ser>
        <c:ser>
          <c:idx val="11"/>
          <c:order val="11"/>
          <c:tx>
            <c:strRef>
              <c:f>'2013 E Maize VWC Graphs'!$Z$149</c:f>
              <c:strCache>
                <c:ptCount val="1"/>
                <c:pt idx="0">
                  <c:v>246</c:v>
                </c:pt>
              </c:strCache>
            </c:strRef>
          </c:tx>
          <c:xVal>
            <c:numRef>
              <c:f>'2013 E Maize VWC Graphs'!$AK$149:$AK$160</c:f>
              <c:numCache>
                <c:formatCode>General</c:formatCode>
                <c:ptCount val="12"/>
                <c:pt idx="0">
                  <c:v>0.25999415950363197</c:v>
                </c:pt>
                <c:pt idx="1">
                  <c:v>0.29199298870056495</c:v>
                </c:pt>
                <c:pt idx="2">
                  <c:v>0.29323655225988698</c:v>
                </c:pt>
                <c:pt idx="3">
                  <c:v>0.26569392231638417</c:v>
                </c:pt>
                <c:pt idx="4">
                  <c:v>0.27234929025423726</c:v>
                </c:pt>
                <c:pt idx="5">
                  <c:v>0.32342751200564968</c:v>
                </c:pt>
                <c:pt idx="6">
                  <c:v>0.29462474717514125</c:v>
                </c:pt>
                <c:pt idx="7">
                  <c:v>0.32187393361581923</c:v>
                </c:pt>
                <c:pt idx="8">
                  <c:v>0.28947637358757061</c:v>
                </c:pt>
                <c:pt idx="9">
                  <c:v>0.27620414053672321</c:v>
                </c:pt>
                <c:pt idx="10">
                  <c:v>0.29155138347457626</c:v>
                </c:pt>
                <c:pt idx="11">
                  <c:v>0.30206346186440675</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B7C9-4E82-B737-DF94F43697AB}"/>
            </c:ext>
          </c:extLst>
        </c:ser>
        <c:ser>
          <c:idx val="12"/>
          <c:order val="12"/>
          <c:tx>
            <c:strRef>
              <c:f>'2013 E Maize VWC Graphs'!$Z$162</c:f>
              <c:strCache>
                <c:ptCount val="1"/>
                <c:pt idx="0">
                  <c:v>253</c:v>
                </c:pt>
              </c:strCache>
            </c:strRef>
          </c:tx>
          <c:spPr>
            <a:ln>
              <a:solidFill>
                <a:srgbClr val="5449E1"/>
              </a:solidFill>
            </a:ln>
          </c:spPr>
          <c:marker>
            <c:symbol val="circle"/>
            <c:size val="8"/>
            <c:spPr>
              <a:solidFill>
                <a:srgbClr val="160B55"/>
              </a:solidFill>
              <a:ln>
                <a:solidFill>
                  <a:srgbClr val="7030A0"/>
                </a:solidFill>
              </a:ln>
            </c:spPr>
          </c:marker>
          <c:xVal>
            <c:numRef>
              <c:f>'2013 E Maize VWC Graphs'!$AK$162:$AK$173</c:f>
              <c:numCache>
                <c:formatCode>General</c:formatCode>
                <c:ptCount val="12"/>
                <c:pt idx="0">
                  <c:v>0.21439056749394675</c:v>
                </c:pt>
                <c:pt idx="1">
                  <c:v>0.28556791031073442</c:v>
                </c:pt>
                <c:pt idx="2">
                  <c:v>0.2887459060734463</c:v>
                </c:pt>
                <c:pt idx="3">
                  <c:v>0.26532545903954802</c:v>
                </c:pt>
                <c:pt idx="4">
                  <c:v>0.26728292019774008</c:v>
                </c:pt>
                <c:pt idx="5">
                  <c:v>0.3151140593220339</c:v>
                </c:pt>
                <c:pt idx="6">
                  <c:v>0.29211907485875704</c:v>
                </c:pt>
                <c:pt idx="7">
                  <c:v>0.32105175988700568</c:v>
                </c:pt>
                <c:pt idx="8">
                  <c:v>0.29010279166666669</c:v>
                </c:pt>
                <c:pt idx="9">
                  <c:v>0.27307205014124292</c:v>
                </c:pt>
                <c:pt idx="10">
                  <c:v>0.28910443785310735</c:v>
                </c:pt>
                <c:pt idx="11">
                  <c:v>0.30051699223163841</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B7C9-4E82-B737-DF94F43697AB}"/>
            </c:ext>
          </c:extLst>
        </c:ser>
        <c:ser>
          <c:idx val="13"/>
          <c:order val="13"/>
          <c:tx>
            <c:strRef>
              <c:f>'2013 E Maize VWC Graphs'!$Z$175</c:f>
              <c:strCache>
                <c:ptCount val="1"/>
                <c:pt idx="0">
                  <c:v>269</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'2013 E Maize VWC Graphs'!$AK$175:$AK$186</c:f>
              <c:numCache>
                <c:formatCode>General</c:formatCode>
                <c:ptCount val="12"/>
                <c:pt idx="0">
                  <c:v>0.27847480296610166</c:v>
                </c:pt>
                <c:pt idx="1">
                  <c:v>0.27923494774011298</c:v>
                </c:pt>
                <c:pt idx="2">
                  <c:v>0.27939615042372878</c:v>
                </c:pt>
                <c:pt idx="3">
                  <c:v>0.26023606002824856</c:v>
                </c:pt>
                <c:pt idx="4">
                  <c:v>0.26643084887005647</c:v>
                </c:pt>
                <c:pt idx="5">
                  <c:v>0.31497588559322032</c:v>
                </c:pt>
                <c:pt idx="6">
                  <c:v>0.28585489406779663</c:v>
                </c:pt>
                <c:pt idx="7">
                  <c:v>0.31326068502824861</c:v>
                </c:pt>
                <c:pt idx="8">
                  <c:v>0.28655961440677968</c:v>
                </c:pt>
                <c:pt idx="9">
                  <c:v>0.27322865466101692</c:v>
                </c:pt>
                <c:pt idx="10">
                  <c:v>0.28873250211864404</c:v>
                </c:pt>
                <c:pt idx="11">
                  <c:v>0.30247454872881357</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B7C9-4E82-B737-DF94F43697AB}"/>
            </c:ext>
          </c:extLst>
        </c:ser>
        <c:ser>
          <c:idx val="14"/>
          <c:order val="14"/>
          <c:tx>
            <c:strRef>
              <c:f>'2013 E Maize VWC Graphs'!$Z$188</c:f>
              <c:strCache>
                <c:ptCount val="1"/>
              </c:strCache>
            </c:strRef>
          </c:tx>
          <c:xVal>
            <c:numRef>
              <c:f>'2013 E Maize VWC Graphs'!$AK$188:$AK$199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B7C9-4E82-B737-DF94F43697AB}"/>
            </c:ext>
          </c:extLst>
        </c:ser>
        <c:ser>
          <c:idx val="15"/>
          <c:order val="15"/>
          <c:tx>
            <c:v>Porosity</c:v>
          </c:tx>
          <c:spPr>
            <a:ln w="38100">
              <a:solidFill>
                <a:srgbClr val="000000"/>
              </a:solidFill>
              <a:prstDash val="solid"/>
            </a:ln>
          </c:spPr>
          <c:marker>
            <c:symbol val="none"/>
          </c:marker>
          <c:xVal>
            <c:numRef>
              <c:f>'2013 E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'2013 E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0F-B7C9-4E82-B737-DF94F43697AB}"/>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NE tube 9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4599411574633084"/>
              <c:y val="3.7945597709377235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26826865765285313"/>
          <c:w val="0.11121338639365544"/>
          <c:h val="0.56563248695036716"/>
        </c:manualLayout>
      </c:layout>
      <c:overlay val="0"/>
      <c:spPr>
        <a:solidFill>
          <a:srgbClr val="FFFFFF"/>
        </a:solidFill>
        <a:ln w="3175">
          <a:noFill/>
          <a:prstDash val="solid"/>
        </a:ln>
      </c:spPr>
      <c:txPr>
        <a:bodyPr/>
        <a:lstStyle/>
        <a:p>
          <a:pPr>
            <a:defRPr sz="8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'2013 E Maize VWC Graphs'!$Z$6</c:f>
              <c:strCache>
                <c:ptCount val="1"/>
                <c:pt idx="0">
                  <c:v>156</c:v>
                </c:pt>
              </c:strCache>
            </c:strRef>
          </c:tx>
          <c:spPr>
            <a:ln>
              <a:solidFill>
                <a:srgbClr val="FF0000"/>
              </a:solidFill>
            </a:ln>
          </c:spPr>
          <c:marker>
            <c:symbol val="triangle"/>
            <c:size val="8"/>
            <c:spPr>
              <a:solidFill>
                <a:srgbClr val="FFFF00"/>
              </a:solidFill>
              <a:ln>
                <a:solidFill>
                  <a:srgbClr val="FF0000"/>
                </a:solidFill>
              </a:ln>
            </c:spPr>
          </c:marker>
          <c:xVal>
            <c:numRef>
              <c:f>'2013 E Maize VWC Graphs'!$AL$6:$AL$17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D096-4224-B2AD-F3D29C7A577A}"/>
            </c:ext>
          </c:extLst>
        </c:ser>
        <c:ser>
          <c:idx val="4"/>
          <c:order val="1"/>
          <c:tx>
            <c:strRef>
              <c:f>'2013 E Maize VWC Graphs'!$Z$19</c:f>
              <c:strCache>
                <c:ptCount val="1"/>
                <c:pt idx="0">
                  <c:v>157</c:v>
                </c:pt>
              </c:strCache>
            </c:strRef>
          </c:tx>
          <c:spPr>
            <a:ln>
              <a:solidFill>
                <a:srgbClr val="002060"/>
              </a:solidFill>
            </a:ln>
          </c:spPr>
          <c:marker>
            <c:symbol val="square"/>
            <c:size val="7"/>
            <c:spPr>
              <a:noFill/>
            </c:spPr>
          </c:marker>
          <c:xVal>
            <c:numRef>
              <c:f>'2013 E Maize VWC Graphs'!$AL$19:$AL$30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D096-4224-B2AD-F3D29C7A577A}"/>
            </c:ext>
          </c:extLst>
        </c:ser>
        <c:ser>
          <c:idx val="0"/>
          <c:order val="2"/>
          <c:tx>
            <c:strRef>
              <c:f>'2013 E Maize VWC Graphs'!$Z$32</c:f>
              <c:strCache>
                <c:ptCount val="1"/>
                <c:pt idx="0">
                  <c:v>171</c:v>
                </c:pt>
              </c:strCache>
            </c:strRef>
          </c:tx>
          <c:xVal>
            <c:numRef>
              <c:f>'2013 E Maize VWC Graphs'!$AL$32:$AL$43</c:f>
              <c:numCache>
                <c:formatCode>General</c:formatCode>
                <c:ptCount val="12"/>
                <c:pt idx="0">
                  <c:v>0.27857125726392251</c:v>
                </c:pt>
                <c:pt idx="1">
                  <c:v>0.36303731426553665</c:v>
                </c:pt>
                <c:pt idx="2">
                  <c:v>0.36865637923728811</c:v>
                </c:pt>
                <c:pt idx="3">
                  <c:v>0.35633588841807906</c:v>
                </c:pt>
                <c:pt idx="4">
                  <c:v>0.34092951765536716</c:v>
                </c:pt>
                <c:pt idx="5">
                  <c:v>0.34106769138418075</c:v>
                </c:pt>
                <c:pt idx="6">
                  <c:v>0.31042222810734466</c:v>
                </c:pt>
                <c:pt idx="7">
                  <c:v>0.35247054166666675</c:v>
                </c:pt>
                <c:pt idx="8">
                  <c:v>0.31251681355932204</c:v>
                </c:pt>
                <c:pt idx="9">
                  <c:v>0.29942076059322037</c:v>
                </c:pt>
                <c:pt idx="10">
                  <c:v>0.27307205014124292</c:v>
                </c:pt>
                <c:pt idx="11">
                  <c:v>0.2723281786723164</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D096-4224-B2AD-F3D29C7A577A}"/>
            </c:ext>
          </c:extLst>
        </c:ser>
        <c:ser>
          <c:idx val="1"/>
          <c:order val="3"/>
          <c:tx>
            <c:strRef>
              <c:f>'2013 E Maize VWC Graphs'!$Z$45</c:f>
              <c:strCache>
                <c:ptCount val="1"/>
                <c:pt idx="0">
                  <c:v>176</c:v>
                </c:pt>
              </c:strCache>
            </c:strRef>
          </c:tx>
          <c:marker>
            <c:symbol val="square"/>
            <c:size val="5"/>
          </c:marker>
          <c:xVal>
            <c:numRef>
              <c:f>'2013 E Maize VWC Graphs'!$AL$45:$AL$56</c:f>
              <c:numCache>
                <c:formatCode>General</c:formatCode>
                <c:ptCount val="12"/>
                <c:pt idx="0">
                  <c:v>0.21234573638014526</c:v>
                </c:pt>
                <c:pt idx="1">
                  <c:v>0.35219067655367231</c:v>
                </c:pt>
                <c:pt idx="2">
                  <c:v>0.3691169583333333</c:v>
                </c:pt>
                <c:pt idx="3">
                  <c:v>0.355529875</c:v>
                </c:pt>
                <c:pt idx="4">
                  <c:v>0.34493655579096039</c:v>
                </c:pt>
                <c:pt idx="5">
                  <c:v>0.34565045338983047</c:v>
                </c:pt>
                <c:pt idx="6">
                  <c:v>0.31576635734463282</c:v>
                </c:pt>
                <c:pt idx="7">
                  <c:v>0.35315568644067796</c:v>
                </c:pt>
                <c:pt idx="8">
                  <c:v>0.31412200988700562</c:v>
                </c:pt>
                <c:pt idx="9">
                  <c:v>0.29622994350282489</c:v>
                </c:pt>
                <c:pt idx="10">
                  <c:v>0.27283714336158194</c:v>
                </c:pt>
                <c:pt idx="11">
                  <c:v>0.26410644138418077</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D096-4224-B2AD-F3D29C7A577A}"/>
            </c:ext>
          </c:extLst>
        </c:ser>
        <c:ser>
          <c:idx val="2"/>
          <c:order val="4"/>
          <c:tx>
            <c:strRef>
              <c:f>'2013 E Maize VWC Graphs'!$Z$58</c:f>
              <c:strCache>
                <c:ptCount val="1"/>
                <c:pt idx="0">
                  <c:v>183</c:v>
                </c:pt>
              </c:strCache>
            </c:strRef>
          </c:tx>
          <c:marker>
            <c:spPr>
              <a:solidFill>
                <a:srgbClr val="00B050"/>
              </a:solidFill>
            </c:spPr>
          </c:marker>
          <c:xVal>
            <c:numRef>
              <c:f>'2013 E Maize VWC Graphs'!$AL$58:$AL$69</c:f>
              <c:numCache>
                <c:formatCode>General</c:formatCode>
                <c:ptCount val="12"/>
                <c:pt idx="0">
                  <c:v>0.20366484957627118</c:v>
                </c:pt>
                <c:pt idx="1">
                  <c:v>0.32904657697740108</c:v>
                </c:pt>
                <c:pt idx="2">
                  <c:v>0.36658377330508474</c:v>
                </c:pt>
                <c:pt idx="3">
                  <c:v>0.3596750868644068</c:v>
                </c:pt>
                <c:pt idx="4">
                  <c:v>0.34466020833333333</c:v>
                </c:pt>
                <c:pt idx="5">
                  <c:v>0.33966292514124291</c:v>
                </c:pt>
                <c:pt idx="6">
                  <c:v>0.31903547669491528</c:v>
                </c:pt>
                <c:pt idx="7">
                  <c:v>0.34843797528248588</c:v>
                </c:pt>
                <c:pt idx="8">
                  <c:v>0.30954132768361581</c:v>
                </c:pt>
                <c:pt idx="9">
                  <c:v>0.29773726200564976</c:v>
                </c:pt>
                <c:pt idx="10">
                  <c:v>0.27199539406779666</c:v>
                </c:pt>
                <c:pt idx="11">
                  <c:v>0.26578993997175143</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D096-4224-B2AD-F3D29C7A577A}"/>
            </c:ext>
          </c:extLst>
        </c:ser>
        <c:ser>
          <c:idx val="5"/>
          <c:order val="5"/>
          <c:tx>
            <c:strRef>
              <c:f>'2013 E Maize VWC Graphs'!$Z$71</c:f>
              <c:strCache>
                <c:ptCount val="1"/>
                <c:pt idx="0">
                  <c:v>189</c:v>
                </c:pt>
              </c:strCache>
            </c:strRef>
          </c:tx>
          <c:marker>
            <c:spPr>
              <a:solidFill>
                <a:schemeClr val="accent6">
                  <a:lumMod val="60000"/>
                  <a:lumOff val="40000"/>
                </a:schemeClr>
              </a:solidFill>
            </c:spPr>
          </c:marker>
          <c:xVal>
            <c:numRef>
              <c:f>'2013 E Maize VWC Graphs'!$AL$71:$AL$82</c:f>
              <c:numCache>
                <c:formatCode>General</c:formatCode>
                <c:ptCount val="12"/>
                <c:pt idx="0">
                  <c:v>0.26688099636803875</c:v>
                </c:pt>
                <c:pt idx="1">
                  <c:v>0.31532131991525425</c:v>
                </c:pt>
                <c:pt idx="2">
                  <c:v>0.35900724717514121</c:v>
                </c:pt>
                <c:pt idx="3">
                  <c:v>0.35502323799435026</c:v>
                </c:pt>
                <c:pt idx="4">
                  <c:v>0.35000292584745762</c:v>
                </c:pt>
                <c:pt idx="5">
                  <c:v>0.34523593220338983</c:v>
                </c:pt>
                <c:pt idx="6">
                  <c:v>0.31398498093220339</c:v>
                </c:pt>
                <c:pt idx="7">
                  <c:v>0.35221605932203387</c:v>
                </c:pt>
                <c:pt idx="8">
                  <c:v>0.31482673022598873</c:v>
                </c:pt>
                <c:pt idx="9">
                  <c:v>0.2957797055084746</c:v>
                </c:pt>
                <c:pt idx="10">
                  <c:v>0.26900033262711864</c:v>
                </c:pt>
                <c:pt idx="11">
                  <c:v>0.26874585028248588</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D096-4224-B2AD-F3D29C7A577A}"/>
            </c:ext>
          </c:extLst>
        </c:ser>
        <c:ser>
          <c:idx val="6"/>
          <c:order val="6"/>
          <c:tx>
            <c:strRef>
              <c:f>'2013 E Maize VWC Graphs'!$Z$84</c:f>
              <c:strCache>
                <c:ptCount val="1"/>
                <c:pt idx="0">
                  <c:v>197</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'2013 E Maize VWC Graphs'!$AL$84:$AL$95</c:f>
              <c:numCache>
                <c:formatCode>General</c:formatCode>
                <c:ptCount val="12"/>
                <c:pt idx="0">
                  <c:v>0.2613252288135593</c:v>
                </c:pt>
                <c:pt idx="1">
                  <c:v>0.30657031709039545</c:v>
                </c:pt>
                <c:pt idx="2">
                  <c:v>0.34044590960451976</c:v>
                </c:pt>
                <c:pt idx="3">
                  <c:v>0.34901268079096043</c:v>
                </c:pt>
                <c:pt idx="4">
                  <c:v>0.34360087641242931</c:v>
                </c:pt>
                <c:pt idx="5">
                  <c:v>0.33977806991525422</c:v>
                </c:pt>
                <c:pt idx="6">
                  <c:v>0.31420031214689265</c:v>
                </c:pt>
                <c:pt idx="7">
                  <c:v>0.34943632909604522</c:v>
                </c:pt>
                <c:pt idx="8">
                  <c:v>0.31114652401129944</c:v>
                </c:pt>
                <c:pt idx="9">
                  <c:v>0.29906840042372884</c:v>
                </c:pt>
                <c:pt idx="10">
                  <c:v>0.27015529096045199</c:v>
                </c:pt>
                <c:pt idx="11">
                  <c:v>0.26786494985875708</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D096-4224-B2AD-F3D29C7A577A}"/>
            </c:ext>
          </c:extLst>
        </c:ser>
        <c:ser>
          <c:idx val="7"/>
          <c:order val="7"/>
          <c:tx>
            <c:strRef>
              <c:f>'2013 E Maize VWC Graphs'!$Z$97</c:f>
              <c:strCache>
                <c:ptCount val="1"/>
                <c:pt idx="0">
                  <c:v>203</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'2013 E Maize VWC Graphs'!$AL$97:$AL$108</c:f>
              <c:numCache>
                <c:formatCode>General</c:formatCode>
                <c:ptCount val="12"/>
                <c:pt idx="0">
                  <c:v>0.30110298123486684</c:v>
                </c:pt>
                <c:pt idx="1">
                  <c:v>0.35281245833333336</c:v>
                </c:pt>
                <c:pt idx="2">
                  <c:v>0.35394087711864403</c:v>
                </c:pt>
                <c:pt idx="3">
                  <c:v>0.35272034251412426</c:v>
                </c:pt>
                <c:pt idx="4">
                  <c:v>0.35037138912429378</c:v>
                </c:pt>
                <c:pt idx="5">
                  <c:v>0.33952475141242933</c:v>
                </c:pt>
                <c:pt idx="6">
                  <c:v>0.31451352118644071</c:v>
                </c:pt>
                <c:pt idx="7">
                  <c:v>0.34861415536723162</c:v>
                </c:pt>
                <c:pt idx="8">
                  <c:v>0.30668329519774012</c:v>
                </c:pt>
                <c:pt idx="9">
                  <c:v>0.29591673446327688</c:v>
                </c:pt>
                <c:pt idx="10">
                  <c:v>0.26526139971751411</c:v>
                </c:pt>
                <c:pt idx="11">
                  <c:v>0.26633805579096048</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D096-4224-B2AD-F3D29C7A577A}"/>
            </c:ext>
          </c:extLst>
        </c:ser>
        <c:ser>
          <c:idx val="8"/>
          <c:order val="8"/>
          <c:tx>
            <c:strRef>
              <c:f>'2013 E Maize VWC Graphs'!$Z$110</c:f>
              <c:strCache>
                <c:ptCount val="1"/>
                <c:pt idx="0">
                  <c:v>210</c:v>
                </c:pt>
              </c:strCache>
            </c:strRef>
          </c:tx>
          <c:marker>
            <c:symbol val="circle"/>
            <c:size val="8"/>
            <c:spPr>
              <a:solidFill>
                <a:srgbClr val="FFFF99"/>
              </a:solidFill>
            </c:spPr>
          </c:marker>
          <c:xVal>
            <c:numRef>
              <c:f>'2013 E Maize VWC Graphs'!$AL$110:$AL$121</c:f>
              <c:numCache>
                <c:formatCode>General</c:formatCode>
                <c:ptCount val="12"/>
                <c:pt idx="0">
                  <c:v>0.21842235714285713</c:v>
                </c:pt>
                <c:pt idx="1">
                  <c:v>0.30691575141242938</c:v>
                </c:pt>
                <c:pt idx="2">
                  <c:v>0.33275423870056497</c:v>
                </c:pt>
                <c:pt idx="3">
                  <c:v>0.33201731214689262</c:v>
                </c:pt>
                <c:pt idx="4">
                  <c:v>0.3321554858757062</c:v>
                </c:pt>
                <c:pt idx="5">
                  <c:v>0.3353565105932203</c:v>
                </c:pt>
                <c:pt idx="6">
                  <c:v>0.3091106652542373</c:v>
                </c:pt>
                <c:pt idx="7">
                  <c:v>0.34818349293785311</c:v>
                </c:pt>
                <c:pt idx="8">
                  <c:v>0.30654626624293785</c:v>
                </c:pt>
                <c:pt idx="9">
                  <c:v>0.29386130014124295</c:v>
                </c:pt>
                <c:pt idx="10">
                  <c:v>0.26845221680790959</c:v>
                </c:pt>
                <c:pt idx="11">
                  <c:v>0.25878188771186439</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D096-4224-B2AD-F3D29C7A577A}"/>
            </c:ext>
          </c:extLst>
        </c:ser>
        <c:ser>
          <c:idx val="9"/>
          <c:order val="9"/>
          <c:tx>
            <c:strRef>
              <c:f>'2013 E Maize VWC Graphs'!$Z$123</c:f>
              <c:strCache>
                <c:ptCount val="1"/>
                <c:pt idx="0">
                  <c:v>218</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'2013 E Maize VWC Graphs'!$AL$123:$AL$134</c:f>
              <c:numCache>
                <c:formatCode>General</c:formatCode>
                <c:ptCount val="12"/>
                <c:pt idx="0">
                  <c:v>0.20796671125907989</c:v>
                </c:pt>
                <c:pt idx="1">
                  <c:v>0.3120742372881356</c:v>
                </c:pt>
                <c:pt idx="2">
                  <c:v>0.32446381497175136</c:v>
                </c:pt>
                <c:pt idx="3">
                  <c:v>0.32372688841807912</c:v>
                </c:pt>
                <c:pt idx="4">
                  <c:v>0.32658247881355934</c:v>
                </c:pt>
                <c:pt idx="5">
                  <c:v>0.33077374858757058</c:v>
                </c:pt>
                <c:pt idx="6">
                  <c:v>0.31149888418079097</c:v>
                </c:pt>
                <c:pt idx="7">
                  <c:v>0.33982472669491531</c:v>
                </c:pt>
                <c:pt idx="8">
                  <c:v>0.30713353319209041</c:v>
                </c:pt>
                <c:pt idx="9">
                  <c:v>0.29505540960451976</c:v>
                </c:pt>
                <c:pt idx="10">
                  <c:v>0.26514394632768362</c:v>
                </c:pt>
                <c:pt idx="11">
                  <c:v>0.25788141172316387</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D096-4224-B2AD-F3D29C7A577A}"/>
            </c:ext>
          </c:extLst>
        </c:ser>
        <c:ser>
          <c:idx val="10"/>
          <c:order val="10"/>
          <c:tx>
            <c:strRef>
              <c:f>'2013 E Maize VWC Graphs'!$Z$136</c:f>
              <c:strCache>
                <c:ptCount val="1"/>
                <c:pt idx="0">
                  <c:v>231</c:v>
                </c:pt>
              </c:strCache>
            </c:strRef>
          </c:tx>
          <c:xVal>
            <c:numRef>
              <c:f>'2013 E Maize VWC Graphs'!$AL$136:$AL$147</c:f>
              <c:numCache>
                <c:formatCode>General</c:formatCode>
                <c:ptCount val="12"/>
                <c:pt idx="0">
                  <c:v>0.28846746822033897</c:v>
                </c:pt>
                <c:pt idx="1">
                  <c:v>0.33139553036723163</c:v>
                </c:pt>
                <c:pt idx="2">
                  <c:v>0.33752123234463277</c:v>
                </c:pt>
                <c:pt idx="3">
                  <c:v>0.33321481779661016</c:v>
                </c:pt>
                <c:pt idx="4">
                  <c:v>0.33323784675141238</c:v>
                </c:pt>
                <c:pt idx="5">
                  <c:v>0.33471169985875704</c:v>
                </c:pt>
                <c:pt idx="6">
                  <c:v>0.31216445338983051</c:v>
                </c:pt>
                <c:pt idx="7">
                  <c:v>0.34154737641242938</c:v>
                </c:pt>
                <c:pt idx="8">
                  <c:v>0.30666371963276839</c:v>
                </c:pt>
                <c:pt idx="9">
                  <c:v>0.29174713912429379</c:v>
                </c:pt>
                <c:pt idx="10">
                  <c:v>0.26774749646892659</c:v>
                </c:pt>
                <c:pt idx="11">
                  <c:v>0.25533658827683614</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D096-4224-B2AD-F3D29C7A577A}"/>
            </c:ext>
          </c:extLst>
        </c:ser>
        <c:ser>
          <c:idx val="11"/>
          <c:order val="11"/>
          <c:tx>
            <c:strRef>
              <c:f>'2013 E Maize VWC Graphs'!$Z$149</c:f>
              <c:strCache>
                <c:ptCount val="1"/>
                <c:pt idx="0">
                  <c:v>246</c:v>
                </c:pt>
              </c:strCache>
            </c:strRef>
          </c:tx>
          <c:xVal>
            <c:numRef>
              <c:f>'2013 E Maize VWC Graphs'!$AL$149:$AL$160</c:f>
              <c:numCache>
                <c:formatCode>General</c:formatCode>
                <c:ptCount val="12"/>
                <c:pt idx="0">
                  <c:v>0.23053701694915252</c:v>
                </c:pt>
                <c:pt idx="1">
                  <c:v>0.28987432485875703</c:v>
                </c:pt>
                <c:pt idx="2">
                  <c:v>0.30516555084745761</c:v>
                </c:pt>
                <c:pt idx="3">
                  <c:v>0.29210813347457626</c:v>
                </c:pt>
                <c:pt idx="4">
                  <c:v>0.27812955790960453</c:v>
                </c:pt>
                <c:pt idx="5">
                  <c:v>0.30583339053672315</c:v>
                </c:pt>
                <c:pt idx="6">
                  <c:v>0.30153492161016948</c:v>
                </c:pt>
                <c:pt idx="7">
                  <c:v>0.32672867372881359</c:v>
                </c:pt>
                <c:pt idx="8">
                  <c:v>0.29865731355932201</c:v>
                </c:pt>
                <c:pt idx="9">
                  <c:v>0.28442587782485879</c:v>
                </c:pt>
                <c:pt idx="10">
                  <c:v>0.25488635028248591</c:v>
                </c:pt>
                <c:pt idx="11">
                  <c:v>0.25952575918079096</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D096-4224-B2AD-F3D29C7A577A}"/>
            </c:ext>
          </c:extLst>
        </c:ser>
        <c:ser>
          <c:idx val="12"/>
          <c:order val="12"/>
          <c:tx>
            <c:strRef>
              <c:f>'2013 E Maize VWC Graphs'!$Z$162</c:f>
              <c:strCache>
                <c:ptCount val="1"/>
                <c:pt idx="0">
                  <c:v>253</c:v>
                </c:pt>
              </c:strCache>
            </c:strRef>
          </c:tx>
          <c:spPr>
            <a:ln>
              <a:solidFill>
                <a:srgbClr val="5449E1"/>
              </a:solidFill>
            </a:ln>
          </c:spPr>
          <c:marker>
            <c:symbol val="circle"/>
            <c:size val="8"/>
            <c:spPr>
              <a:solidFill>
                <a:srgbClr val="160B55"/>
              </a:solidFill>
              <a:ln>
                <a:solidFill>
                  <a:srgbClr val="7030A0"/>
                </a:solidFill>
              </a:ln>
            </c:spPr>
          </c:marker>
          <c:xVal>
            <c:numRef>
              <c:f>'2013 E Maize VWC Graphs'!$AL$162:$AL$173</c:f>
              <c:numCache>
                <c:formatCode>General</c:formatCode>
                <c:ptCount val="12"/>
                <c:pt idx="0">
                  <c:v>0.19737602935835352</c:v>
                </c:pt>
                <c:pt idx="1">
                  <c:v>0.28215962500000002</c:v>
                </c:pt>
                <c:pt idx="2">
                  <c:v>0.30136577330508474</c:v>
                </c:pt>
                <c:pt idx="3">
                  <c:v>0.28998946963276834</c:v>
                </c:pt>
                <c:pt idx="4">
                  <c:v>0.27670176271186436</c:v>
                </c:pt>
                <c:pt idx="5">
                  <c:v>0.29383530508474576</c:v>
                </c:pt>
                <c:pt idx="6">
                  <c:v>0.29466389830508477</c:v>
                </c:pt>
                <c:pt idx="7">
                  <c:v>0.32933222387005651</c:v>
                </c:pt>
                <c:pt idx="8">
                  <c:v>0.29660187923728815</c:v>
                </c:pt>
                <c:pt idx="9">
                  <c:v>0.28280110593220342</c:v>
                </c:pt>
                <c:pt idx="10">
                  <c:v>0.25341818290960455</c:v>
                </c:pt>
                <c:pt idx="11">
                  <c:v>0.24889622740112999</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D096-4224-B2AD-F3D29C7A577A}"/>
            </c:ext>
          </c:extLst>
        </c:ser>
        <c:ser>
          <c:idx val="13"/>
          <c:order val="13"/>
          <c:tx>
            <c:strRef>
              <c:f>'2013 E Maize VWC Graphs'!$Z$175</c:f>
              <c:strCache>
                <c:ptCount val="1"/>
                <c:pt idx="0">
                  <c:v>269</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'2013 E Maize VWC Graphs'!$AL$175:$AL$186</c:f>
              <c:numCache>
                <c:formatCode>General</c:formatCode>
                <c:ptCount val="12"/>
                <c:pt idx="0">
                  <c:v>0.28505298607748186</c:v>
                </c:pt>
                <c:pt idx="1">
                  <c:v>0.28356439124293786</c:v>
                </c:pt>
                <c:pt idx="2">
                  <c:v>0.29272991525423731</c:v>
                </c:pt>
                <c:pt idx="3">
                  <c:v>0.2858672867231638</c:v>
                </c:pt>
                <c:pt idx="4">
                  <c:v>0.27025365536723162</c:v>
                </c:pt>
                <c:pt idx="5">
                  <c:v>0.29401953672316383</c:v>
                </c:pt>
                <c:pt idx="6">
                  <c:v>0.2951728629943503</c:v>
                </c:pt>
                <c:pt idx="7">
                  <c:v>0.32551498870056494</c:v>
                </c:pt>
                <c:pt idx="8">
                  <c:v>0.29237355720338987</c:v>
                </c:pt>
                <c:pt idx="9">
                  <c:v>0.27759400564971753</c:v>
                </c:pt>
                <c:pt idx="10">
                  <c:v>0.24838726271186445</c:v>
                </c:pt>
                <c:pt idx="11">
                  <c:v>0.25036439477401129</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D096-4224-B2AD-F3D29C7A577A}"/>
            </c:ext>
          </c:extLst>
        </c:ser>
        <c:ser>
          <c:idx val="14"/>
          <c:order val="14"/>
          <c:tx>
            <c:strRef>
              <c:f>'2013 E Maize VWC Graphs'!$Z$188</c:f>
              <c:strCache>
                <c:ptCount val="1"/>
              </c:strCache>
            </c:strRef>
          </c:tx>
          <c:xVal>
            <c:numRef>
              <c:f>'2013 E Maize VWC Graphs'!$AL$188:$AL$199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D096-4224-B2AD-F3D29C7A577A}"/>
            </c:ext>
          </c:extLst>
        </c:ser>
        <c:ser>
          <c:idx val="15"/>
          <c:order val="15"/>
          <c:tx>
            <c:v>Porosity</c:v>
          </c:tx>
          <c:spPr>
            <a:ln w="38100">
              <a:solidFill>
                <a:srgbClr val="000000"/>
              </a:solidFill>
              <a:prstDash val="solid"/>
            </a:ln>
          </c:spPr>
          <c:marker>
            <c:symbol val="none"/>
          </c:marker>
          <c:xVal>
            <c:numRef>
              <c:f>'2013 E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'2013 E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0F-D096-4224-B2AD-F3D29C7A577A}"/>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NE tube 10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4599411574633084"/>
              <c:y val="3.7945597709377235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26826865765285313"/>
          <c:w val="0.11121338639365544"/>
          <c:h val="0.56563248695036716"/>
        </c:manualLayout>
      </c:layout>
      <c:overlay val="0"/>
      <c:spPr>
        <a:solidFill>
          <a:srgbClr val="FFFFFF"/>
        </a:solidFill>
        <a:ln w="3175">
          <a:noFill/>
          <a:prstDash val="solid"/>
        </a:ln>
      </c:spPr>
      <c:txPr>
        <a:bodyPr/>
        <a:lstStyle/>
        <a:p>
          <a:pPr>
            <a:defRPr sz="8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'2013 E Maize VWC Graphs'!$Z$6</c:f>
              <c:strCache>
                <c:ptCount val="1"/>
                <c:pt idx="0">
                  <c:v>156</c:v>
                </c:pt>
              </c:strCache>
            </c:strRef>
          </c:tx>
          <c:spPr>
            <a:ln>
              <a:solidFill>
                <a:srgbClr val="FF0000"/>
              </a:solidFill>
            </a:ln>
          </c:spPr>
          <c:marker>
            <c:symbol val="triangle"/>
            <c:size val="8"/>
            <c:spPr>
              <a:solidFill>
                <a:srgbClr val="FFFF00"/>
              </a:solidFill>
              <a:ln>
                <a:solidFill>
                  <a:srgbClr val="FF0000"/>
                </a:solidFill>
              </a:ln>
            </c:spPr>
          </c:marker>
          <c:xVal>
            <c:numRef>
              <c:f>'2013 E Maize VWC Graphs'!$AM$6:$AM$17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7813-4A3D-A718-43CD6C9975C3}"/>
            </c:ext>
          </c:extLst>
        </c:ser>
        <c:ser>
          <c:idx val="4"/>
          <c:order val="1"/>
          <c:tx>
            <c:strRef>
              <c:f>'2013 E Maize VWC Graphs'!$Z$19</c:f>
              <c:strCache>
                <c:ptCount val="1"/>
                <c:pt idx="0">
                  <c:v>157</c:v>
                </c:pt>
              </c:strCache>
            </c:strRef>
          </c:tx>
          <c:spPr>
            <a:ln>
              <a:solidFill>
                <a:srgbClr val="002060"/>
              </a:solidFill>
            </a:ln>
          </c:spPr>
          <c:marker>
            <c:symbol val="square"/>
            <c:size val="7"/>
            <c:spPr>
              <a:noFill/>
            </c:spPr>
          </c:marker>
          <c:xVal>
            <c:numRef>
              <c:f>'2013 E Maize VWC Graphs'!$AM$19:$AM$30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7813-4A3D-A718-43CD6C9975C3}"/>
            </c:ext>
          </c:extLst>
        </c:ser>
        <c:ser>
          <c:idx val="0"/>
          <c:order val="2"/>
          <c:tx>
            <c:strRef>
              <c:f>'2013 E Maize VWC Graphs'!$Z$32</c:f>
              <c:strCache>
                <c:ptCount val="1"/>
                <c:pt idx="0">
                  <c:v>171</c:v>
                </c:pt>
              </c:strCache>
            </c:strRef>
          </c:tx>
          <c:xVal>
            <c:numRef>
              <c:f>'2013 E Maize VWC Graphs'!$AM$32:$AM$43</c:f>
              <c:numCache>
                <c:formatCode>General</c:formatCode>
                <c:ptCount val="12"/>
                <c:pt idx="0">
                  <c:v>0.24228515042372878</c:v>
                </c:pt>
                <c:pt idx="1">
                  <c:v>0.33455049717514124</c:v>
                </c:pt>
                <c:pt idx="2">
                  <c:v>0.35407905084745761</c:v>
                </c:pt>
                <c:pt idx="3">
                  <c:v>0.35483900635593218</c:v>
                </c:pt>
                <c:pt idx="4">
                  <c:v>0.34171250211864407</c:v>
                </c:pt>
                <c:pt idx="5">
                  <c:v>0.33632372669491523</c:v>
                </c:pt>
                <c:pt idx="6">
                  <c:v>0.30476488983050848</c:v>
                </c:pt>
                <c:pt idx="7">
                  <c:v>0.33888509957627122</c:v>
                </c:pt>
                <c:pt idx="8">
                  <c:v>0.32582819774011301</c:v>
                </c:pt>
                <c:pt idx="9">
                  <c:v>0.30960005437853111</c:v>
                </c:pt>
                <c:pt idx="10">
                  <c:v>0.30382526271186439</c:v>
                </c:pt>
                <c:pt idx="11">
                  <c:v>0.29630824576271186</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7813-4A3D-A718-43CD6C9975C3}"/>
            </c:ext>
          </c:extLst>
        </c:ser>
        <c:ser>
          <c:idx val="1"/>
          <c:order val="3"/>
          <c:tx>
            <c:strRef>
              <c:f>'2013 E Maize VWC Graphs'!$Z$45</c:f>
              <c:strCache>
                <c:ptCount val="1"/>
                <c:pt idx="0">
                  <c:v>176</c:v>
                </c:pt>
              </c:strCache>
            </c:strRef>
          </c:tx>
          <c:marker>
            <c:symbol val="square"/>
            <c:size val="5"/>
          </c:marker>
          <c:xVal>
            <c:numRef>
              <c:f>'2013 E Maize VWC Graphs'!$AM$45:$AM$56</c:f>
              <c:numCache>
                <c:formatCode>General</c:formatCode>
                <c:ptCount val="12"/>
                <c:pt idx="0">
                  <c:v>0.21836448456416463</c:v>
                </c:pt>
                <c:pt idx="1">
                  <c:v>0.33662310310734461</c:v>
                </c:pt>
                <c:pt idx="2">
                  <c:v>0.35787882838983048</c:v>
                </c:pt>
                <c:pt idx="3">
                  <c:v>0.35336515324858753</c:v>
                </c:pt>
                <c:pt idx="4">
                  <c:v>0.34608800353107338</c:v>
                </c:pt>
                <c:pt idx="5">
                  <c:v>0.33098100918079099</c:v>
                </c:pt>
                <c:pt idx="6">
                  <c:v>0.30920854307909607</c:v>
                </c:pt>
                <c:pt idx="7">
                  <c:v>0.33866976836158191</c:v>
                </c:pt>
                <c:pt idx="8">
                  <c:v>0.3247515416666667</c:v>
                </c:pt>
                <c:pt idx="9">
                  <c:v>0.31373049858757063</c:v>
                </c:pt>
                <c:pt idx="10">
                  <c:v>0.30750546892655367</c:v>
                </c:pt>
                <c:pt idx="11">
                  <c:v>0.29644527471751414</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7813-4A3D-A718-43CD6C9975C3}"/>
            </c:ext>
          </c:extLst>
        </c:ser>
        <c:ser>
          <c:idx val="2"/>
          <c:order val="4"/>
          <c:tx>
            <c:strRef>
              <c:f>'2013 E Maize VWC Graphs'!$Z$58</c:f>
              <c:strCache>
                <c:ptCount val="1"/>
                <c:pt idx="0">
                  <c:v>183</c:v>
                </c:pt>
              </c:strCache>
            </c:strRef>
          </c:tx>
          <c:marker>
            <c:spPr>
              <a:solidFill>
                <a:srgbClr val="00B050"/>
              </a:solidFill>
            </c:spPr>
          </c:marker>
          <c:xVal>
            <c:numRef>
              <c:f>'2013 E Maize VWC Graphs'!$AM$58:$AM$69</c:f>
              <c:numCache>
                <c:formatCode>General</c:formatCode>
                <c:ptCount val="12"/>
                <c:pt idx="0">
                  <c:v>0.17928120308716705</c:v>
                </c:pt>
                <c:pt idx="1">
                  <c:v>0.30974831285310733</c:v>
                </c:pt>
                <c:pt idx="2">
                  <c:v>0.35571410663841807</c:v>
                </c:pt>
                <c:pt idx="3">
                  <c:v>0.35622074364406775</c:v>
                </c:pt>
                <c:pt idx="4">
                  <c:v>0.3499338389830508</c:v>
                </c:pt>
                <c:pt idx="5">
                  <c:v>0.33837330367231638</c:v>
                </c:pt>
                <c:pt idx="6">
                  <c:v>0.31112694844632771</c:v>
                </c:pt>
                <c:pt idx="7">
                  <c:v>0.33853273940677964</c:v>
                </c:pt>
                <c:pt idx="8">
                  <c:v>0.32610225564971751</c:v>
                </c:pt>
                <c:pt idx="9">
                  <c:v>0.31081373940677964</c:v>
                </c:pt>
                <c:pt idx="10">
                  <c:v>0.30893448516949157</c:v>
                </c:pt>
                <c:pt idx="11">
                  <c:v>0.30059529449152544</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7813-4A3D-A718-43CD6C9975C3}"/>
            </c:ext>
          </c:extLst>
        </c:ser>
        <c:ser>
          <c:idx val="5"/>
          <c:order val="5"/>
          <c:tx>
            <c:strRef>
              <c:f>'2013 E Maize VWC Graphs'!$Z$71</c:f>
              <c:strCache>
                <c:ptCount val="1"/>
                <c:pt idx="0">
                  <c:v>189</c:v>
                </c:pt>
              </c:strCache>
            </c:strRef>
          </c:tx>
          <c:marker>
            <c:spPr>
              <a:solidFill>
                <a:schemeClr val="accent6">
                  <a:lumMod val="60000"/>
                  <a:lumOff val="40000"/>
                </a:schemeClr>
              </a:solidFill>
            </c:spPr>
          </c:marker>
          <c:xVal>
            <c:numRef>
              <c:f>'2013 E Maize VWC Graphs'!$AM$71:$AM$82</c:f>
              <c:numCache>
                <c:formatCode>General</c:formatCode>
                <c:ptCount val="12"/>
                <c:pt idx="0">
                  <c:v>0.2428252944915254</c:v>
                </c:pt>
                <c:pt idx="1">
                  <c:v>0.29894773305084743</c:v>
                </c:pt>
                <c:pt idx="2">
                  <c:v>0.35124648940677961</c:v>
                </c:pt>
                <c:pt idx="3">
                  <c:v>0.35850061016949147</c:v>
                </c:pt>
                <c:pt idx="4">
                  <c:v>0.34728550918079099</c:v>
                </c:pt>
                <c:pt idx="5">
                  <c:v>0.3351953079096045</c:v>
                </c:pt>
                <c:pt idx="6">
                  <c:v>0.31069628601694915</c:v>
                </c:pt>
                <c:pt idx="7">
                  <c:v>0.34146907415254241</c:v>
                </c:pt>
                <c:pt idx="8">
                  <c:v>0.32864707909604524</c:v>
                </c:pt>
                <c:pt idx="9">
                  <c:v>0.31065713488700564</c:v>
                </c:pt>
                <c:pt idx="10">
                  <c:v>0.3055674879943503</c:v>
                </c:pt>
                <c:pt idx="11">
                  <c:v>0.29992972528248585</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7813-4A3D-A718-43CD6C9975C3}"/>
            </c:ext>
          </c:extLst>
        </c:ser>
        <c:ser>
          <c:idx val="6"/>
          <c:order val="6"/>
          <c:tx>
            <c:strRef>
              <c:f>'2013 E Maize VWC Graphs'!$Z$84</c:f>
              <c:strCache>
                <c:ptCount val="1"/>
                <c:pt idx="0">
                  <c:v>197</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'2013 E Maize VWC Graphs'!$AM$84:$AM$95</c:f>
              <c:numCache>
                <c:formatCode>General</c:formatCode>
                <c:ptCount val="12"/>
                <c:pt idx="0">
                  <c:v>0.25081171035108962</c:v>
                </c:pt>
                <c:pt idx="1">
                  <c:v>0.33151067514124288</c:v>
                </c:pt>
                <c:pt idx="2">
                  <c:v>0.34908176765536719</c:v>
                </c:pt>
                <c:pt idx="3">
                  <c:v>0.35532261440677965</c:v>
                </c:pt>
                <c:pt idx="4">
                  <c:v>0.35009504166666661</c:v>
                </c:pt>
                <c:pt idx="5">
                  <c:v>0.34452203460451974</c:v>
                </c:pt>
                <c:pt idx="6">
                  <c:v>0.31439606779661017</c:v>
                </c:pt>
                <c:pt idx="7">
                  <c:v>0.33908085522598874</c:v>
                </c:pt>
                <c:pt idx="8">
                  <c:v>0.3316421405367232</c:v>
                </c:pt>
                <c:pt idx="9">
                  <c:v>0.31373049858757063</c:v>
                </c:pt>
                <c:pt idx="10">
                  <c:v>0.30958047881355938</c:v>
                </c:pt>
                <c:pt idx="11">
                  <c:v>0.30171110169491527</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7813-4A3D-A718-43CD6C9975C3}"/>
            </c:ext>
          </c:extLst>
        </c:ser>
        <c:ser>
          <c:idx val="7"/>
          <c:order val="7"/>
          <c:tx>
            <c:strRef>
              <c:f>'2013 E Maize VWC Graphs'!$Z$97</c:f>
              <c:strCache>
                <c:ptCount val="1"/>
                <c:pt idx="0">
                  <c:v>203</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'2013 E Maize VWC Graphs'!$AM$97:$AM$108</c:f>
              <c:numCache>
                <c:formatCode>General</c:formatCode>
                <c:ptCount val="12"/>
                <c:pt idx="0">
                  <c:v>0.26362084110169487</c:v>
                </c:pt>
                <c:pt idx="1">
                  <c:v>0.320617979519774</c:v>
                </c:pt>
                <c:pt idx="2">
                  <c:v>0.34802243573446329</c:v>
                </c:pt>
                <c:pt idx="3">
                  <c:v>0.34696310381355933</c:v>
                </c:pt>
                <c:pt idx="4">
                  <c:v>0.34675584322033898</c:v>
                </c:pt>
                <c:pt idx="5">
                  <c:v>0.3395477803672316</c:v>
                </c:pt>
                <c:pt idx="6">
                  <c:v>0.31508121257062144</c:v>
                </c:pt>
                <c:pt idx="7">
                  <c:v>0.34620636087570622</c:v>
                </c:pt>
                <c:pt idx="8">
                  <c:v>0.32770745197740114</c:v>
                </c:pt>
                <c:pt idx="9">
                  <c:v>0.311577186440678</c:v>
                </c:pt>
                <c:pt idx="10">
                  <c:v>0.30664414406779666</c:v>
                </c:pt>
                <c:pt idx="11">
                  <c:v>0.29822665112994351</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7813-4A3D-A718-43CD6C9975C3}"/>
            </c:ext>
          </c:extLst>
        </c:ser>
        <c:ser>
          <c:idx val="8"/>
          <c:order val="8"/>
          <c:tx>
            <c:strRef>
              <c:f>'2013 E Maize VWC Graphs'!$Z$110</c:f>
              <c:strCache>
                <c:ptCount val="1"/>
                <c:pt idx="0">
                  <c:v>210</c:v>
                </c:pt>
              </c:strCache>
            </c:strRef>
          </c:tx>
          <c:marker>
            <c:symbol val="circle"/>
            <c:size val="8"/>
            <c:spPr>
              <a:solidFill>
                <a:srgbClr val="FFFF99"/>
              </a:solidFill>
            </c:spPr>
          </c:marker>
          <c:xVal>
            <c:numRef>
              <c:f>'2013 E Maize VWC Graphs'!$AM$110:$AM$121</c:f>
              <c:numCache>
                <c:formatCode>General</c:formatCode>
                <c:ptCount val="12"/>
                <c:pt idx="0">
                  <c:v>0.18564718674334141</c:v>
                </c:pt>
                <c:pt idx="1">
                  <c:v>0.27882042655367228</c:v>
                </c:pt>
                <c:pt idx="2">
                  <c:v>0.31110702118644068</c:v>
                </c:pt>
                <c:pt idx="3">
                  <c:v>0.32427958333333334</c:v>
                </c:pt>
                <c:pt idx="4">
                  <c:v>0.32916172175141239</c:v>
                </c:pt>
                <c:pt idx="5">
                  <c:v>0.32939201129943502</c:v>
                </c:pt>
                <c:pt idx="6">
                  <c:v>0.30909108968926557</c:v>
                </c:pt>
                <c:pt idx="7">
                  <c:v>0.33555725353107346</c:v>
                </c:pt>
                <c:pt idx="8">
                  <c:v>0.33005651977401129</c:v>
                </c:pt>
                <c:pt idx="9">
                  <c:v>0.3097175077683616</c:v>
                </c:pt>
                <c:pt idx="10">
                  <c:v>0.30546961016949153</c:v>
                </c:pt>
                <c:pt idx="11">
                  <c:v>0.29812877330508475</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7813-4A3D-A718-43CD6C9975C3}"/>
            </c:ext>
          </c:extLst>
        </c:ser>
        <c:ser>
          <c:idx val="9"/>
          <c:order val="9"/>
          <c:tx>
            <c:strRef>
              <c:f>'2013 E Maize VWC Graphs'!$Z$123</c:f>
              <c:strCache>
                <c:ptCount val="1"/>
                <c:pt idx="0">
                  <c:v>218</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'2013 E Maize VWC Graphs'!$AM$123:$AM$134</c:f>
              <c:numCache>
                <c:formatCode>General</c:formatCode>
                <c:ptCount val="12"/>
                <c:pt idx="0">
                  <c:v>0.19124153601694915</c:v>
                </c:pt>
                <c:pt idx="1">
                  <c:v>0.28335713064971751</c:v>
                </c:pt>
                <c:pt idx="2">
                  <c:v>0.31235058474576266</c:v>
                </c:pt>
                <c:pt idx="3">
                  <c:v>0.31826902612994346</c:v>
                </c:pt>
                <c:pt idx="4">
                  <c:v>0.33457352612994345</c:v>
                </c:pt>
                <c:pt idx="5">
                  <c:v>0.32582252330508477</c:v>
                </c:pt>
                <c:pt idx="6">
                  <c:v>0.30801443361581921</c:v>
                </c:pt>
                <c:pt idx="7">
                  <c:v>0.33244473870056496</c:v>
                </c:pt>
                <c:pt idx="8">
                  <c:v>0.32265695621468926</c:v>
                </c:pt>
                <c:pt idx="9">
                  <c:v>0.30891490960451978</c:v>
                </c:pt>
                <c:pt idx="10">
                  <c:v>0.30652669067796612</c:v>
                </c:pt>
                <c:pt idx="11">
                  <c:v>0.2973065995762712</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7813-4A3D-A718-43CD6C9975C3}"/>
            </c:ext>
          </c:extLst>
        </c:ser>
        <c:ser>
          <c:idx val="10"/>
          <c:order val="10"/>
          <c:tx>
            <c:strRef>
              <c:f>'2013 E Maize VWC Graphs'!$Z$136</c:f>
              <c:strCache>
                <c:ptCount val="1"/>
                <c:pt idx="0">
                  <c:v>231</c:v>
                </c:pt>
              </c:strCache>
            </c:strRef>
          </c:tx>
          <c:xVal>
            <c:numRef>
              <c:f>'2013 E Maize VWC Graphs'!$AM$136:$AM$147</c:f>
              <c:numCache>
                <c:formatCode>General</c:formatCode>
                <c:ptCount val="12"/>
                <c:pt idx="0">
                  <c:v>0.2649133286924939</c:v>
                </c:pt>
                <c:pt idx="1">
                  <c:v>0.31359414830508475</c:v>
                </c:pt>
                <c:pt idx="2">
                  <c:v>0.3274345501412429</c:v>
                </c:pt>
                <c:pt idx="3">
                  <c:v>0.33160279096045198</c:v>
                </c:pt>
                <c:pt idx="4">
                  <c:v>0.33054345903954802</c:v>
                </c:pt>
                <c:pt idx="5">
                  <c:v>0.3268588262711864</c:v>
                </c:pt>
                <c:pt idx="6">
                  <c:v>0.31057883262711866</c:v>
                </c:pt>
                <c:pt idx="7">
                  <c:v>0.32923434604519775</c:v>
                </c:pt>
                <c:pt idx="8">
                  <c:v>0.3247515416666667</c:v>
                </c:pt>
                <c:pt idx="9">
                  <c:v>0.3067615974576271</c:v>
                </c:pt>
                <c:pt idx="10">
                  <c:v>0.3057240925141243</c:v>
                </c:pt>
                <c:pt idx="11">
                  <c:v>0.29989057415254239</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7813-4A3D-A718-43CD6C9975C3}"/>
            </c:ext>
          </c:extLst>
        </c:ser>
        <c:ser>
          <c:idx val="11"/>
          <c:order val="11"/>
          <c:tx>
            <c:strRef>
              <c:f>'2013 E Maize VWC Graphs'!$Z$149</c:f>
              <c:strCache>
                <c:ptCount val="1"/>
                <c:pt idx="0">
                  <c:v>246</c:v>
                </c:pt>
              </c:strCache>
            </c:strRef>
          </c:tx>
          <c:xVal>
            <c:numRef>
              <c:f>'2013 E Maize VWC Graphs'!$AM$149:$AM$160</c:f>
              <c:numCache>
                <c:formatCode>General</c:formatCode>
                <c:ptCount val="12"/>
                <c:pt idx="0">
                  <c:v>0.22017782536319613</c:v>
                </c:pt>
                <c:pt idx="1">
                  <c:v>0.27336256426553673</c:v>
                </c:pt>
                <c:pt idx="2">
                  <c:v>0.28706479237288135</c:v>
                </c:pt>
                <c:pt idx="3">
                  <c:v>0.28174510381355927</c:v>
                </c:pt>
                <c:pt idx="4">
                  <c:v>0.27598786511299433</c:v>
                </c:pt>
                <c:pt idx="5">
                  <c:v>0.29993797810734457</c:v>
                </c:pt>
                <c:pt idx="6">
                  <c:v>0.29403748022598869</c:v>
                </c:pt>
                <c:pt idx="7">
                  <c:v>0.33111360028248588</c:v>
                </c:pt>
                <c:pt idx="8">
                  <c:v>0.3211887888418079</c:v>
                </c:pt>
                <c:pt idx="9">
                  <c:v>0.30235709533898303</c:v>
                </c:pt>
                <c:pt idx="10">
                  <c:v>0.30061487005649717</c:v>
                </c:pt>
                <c:pt idx="11">
                  <c:v>0.2931565798022599</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7813-4A3D-A718-43CD6C9975C3}"/>
            </c:ext>
          </c:extLst>
        </c:ser>
        <c:ser>
          <c:idx val="12"/>
          <c:order val="12"/>
          <c:tx>
            <c:strRef>
              <c:f>'2013 E Maize VWC Graphs'!$Z$162</c:f>
              <c:strCache>
                <c:ptCount val="1"/>
                <c:pt idx="0">
                  <c:v>253</c:v>
                </c:pt>
              </c:strCache>
            </c:strRef>
          </c:tx>
          <c:spPr>
            <a:ln>
              <a:solidFill>
                <a:srgbClr val="5449E1"/>
              </a:solidFill>
            </a:ln>
          </c:spPr>
          <c:marker>
            <c:symbol val="circle"/>
            <c:size val="8"/>
            <c:spPr>
              <a:solidFill>
                <a:srgbClr val="160B55"/>
              </a:solidFill>
              <a:ln>
                <a:solidFill>
                  <a:srgbClr val="7030A0"/>
                </a:solidFill>
              </a:ln>
            </c:spPr>
          </c:marker>
          <c:xVal>
            <c:numRef>
              <c:f>'2013 E Maize VWC Graphs'!$AM$162:$AM$173</c:f>
              <c:numCache>
                <c:formatCode>General</c:formatCode>
                <c:ptCount val="12"/>
                <c:pt idx="0">
                  <c:v>0.18479838892251815</c:v>
                </c:pt>
                <c:pt idx="1">
                  <c:v>0.28252808827683612</c:v>
                </c:pt>
                <c:pt idx="2">
                  <c:v>0.29450314477401129</c:v>
                </c:pt>
                <c:pt idx="3">
                  <c:v>0.2897361511299435</c:v>
                </c:pt>
                <c:pt idx="4">
                  <c:v>0.27152024788135593</c:v>
                </c:pt>
                <c:pt idx="5">
                  <c:v>0.29243053884180786</c:v>
                </c:pt>
                <c:pt idx="6">
                  <c:v>0.29370469562146895</c:v>
                </c:pt>
                <c:pt idx="7">
                  <c:v>0.32903859039548022</c:v>
                </c:pt>
                <c:pt idx="8">
                  <c:v>0.32030788841807911</c:v>
                </c:pt>
                <c:pt idx="9">
                  <c:v>0.30114341031073449</c:v>
                </c:pt>
                <c:pt idx="10">
                  <c:v>0.30175025282485873</c:v>
                </c:pt>
                <c:pt idx="11">
                  <c:v>0.28851717090395479</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7813-4A3D-A718-43CD6C9975C3}"/>
            </c:ext>
          </c:extLst>
        </c:ser>
        <c:ser>
          <c:idx val="13"/>
          <c:order val="13"/>
          <c:tx>
            <c:strRef>
              <c:f>'2013 E Maize VWC Graphs'!$Z$175</c:f>
              <c:strCache>
                <c:ptCount val="1"/>
                <c:pt idx="0">
                  <c:v>269</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'2013 E Maize VWC Graphs'!$AM$175:$AM$186</c:f>
              <c:numCache>
                <c:formatCode>General</c:formatCode>
                <c:ptCount val="12"/>
                <c:pt idx="0">
                  <c:v>0.26628297972154963</c:v>
                </c:pt>
                <c:pt idx="1">
                  <c:v>0.27527396751412431</c:v>
                </c:pt>
                <c:pt idx="2">
                  <c:v>0.28243597245762708</c:v>
                </c:pt>
                <c:pt idx="3">
                  <c:v>0.28278140677966102</c:v>
                </c:pt>
                <c:pt idx="4">
                  <c:v>0.26613147245762708</c:v>
                </c:pt>
                <c:pt idx="5">
                  <c:v>0.28070880084745758</c:v>
                </c:pt>
                <c:pt idx="6">
                  <c:v>0.29051387853107341</c:v>
                </c:pt>
                <c:pt idx="7">
                  <c:v>0.32571074435028252</c:v>
                </c:pt>
                <c:pt idx="8">
                  <c:v>0.31382837641242939</c:v>
                </c:pt>
                <c:pt idx="9">
                  <c:v>0.29897052259887003</c:v>
                </c:pt>
                <c:pt idx="10">
                  <c:v>0.29734575070621466</c:v>
                </c:pt>
                <c:pt idx="11">
                  <c:v>0.28918274011299433</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7813-4A3D-A718-43CD6C9975C3}"/>
            </c:ext>
          </c:extLst>
        </c:ser>
        <c:ser>
          <c:idx val="14"/>
          <c:order val="14"/>
          <c:tx>
            <c:strRef>
              <c:f>'2013 E Maize VWC Graphs'!$Z$188</c:f>
              <c:strCache>
                <c:ptCount val="1"/>
              </c:strCache>
            </c:strRef>
          </c:tx>
          <c:xVal>
            <c:numRef>
              <c:f>'2013 E Maize VWC Graphs'!$AM$188:$AM$199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7813-4A3D-A718-43CD6C9975C3}"/>
            </c:ext>
          </c:extLst>
        </c:ser>
        <c:ser>
          <c:idx val="15"/>
          <c:order val="15"/>
          <c:tx>
            <c:v>Porosity</c:v>
          </c:tx>
          <c:spPr>
            <a:ln w="38100">
              <a:solidFill>
                <a:srgbClr val="000000"/>
              </a:solidFill>
              <a:prstDash val="solid"/>
            </a:ln>
          </c:spPr>
          <c:marker>
            <c:symbol val="none"/>
          </c:marker>
          <c:xVal>
            <c:numRef>
              <c:f>'2013 E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'2013 E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0F-7813-4A3D-A718-43CD6C9975C3}"/>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SE tube 11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3879469170025452"/>
              <c:y val="3.7945597709377235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26826865765285313"/>
          <c:w val="0.11121338639365544"/>
          <c:h val="0.56563248695036716"/>
        </c:manualLayout>
      </c:layout>
      <c:overlay val="0"/>
      <c:spPr>
        <a:solidFill>
          <a:srgbClr val="FFFFFF"/>
        </a:solidFill>
        <a:ln w="3175">
          <a:noFill/>
          <a:prstDash val="solid"/>
        </a:ln>
      </c:spPr>
      <c:txPr>
        <a:bodyPr/>
        <a:lstStyle/>
        <a:p>
          <a:pPr>
            <a:defRPr sz="8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'2013 E Maize VWC Graphs'!$Z$6</c:f>
              <c:strCache>
                <c:ptCount val="1"/>
                <c:pt idx="0">
                  <c:v>156</c:v>
                </c:pt>
              </c:strCache>
            </c:strRef>
          </c:tx>
          <c:spPr>
            <a:ln>
              <a:solidFill>
                <a:srgbClr val="FF0000"/>
              </a:solidFill>
            </a:ln>
          </c:spPr>
          <c:marker>
            <c:symbol val="triangle"/>
            <c:size val="8"/>
            <c:spPr>
              <a:solidFill>
                <a:srgbClr val="FFFF00"/>
              </a:solidFill>
              <a:ln>
                <a:solidFill>
                  <a:srgbClr val="FF0000"/>
                </a:solidFill>
              </a:ln>
            </c:spPr>
          </c:marker>
          <c:xVal>
            <c:numRef>
              <c:f>'2013 E Maize VWC Graphs'!$AN$6:$AN$17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560A-41C2-AE31-44F39D2CF184}"/>
            </c:ext>
          </c:extLst>
        </c:ser>
        <c:ser>
          <c:idx val="4"/>
          <c:order val="1"/>
          <c:tx>
            <c:strRef>
              <c:f>'2013 E Maize VWC Graphs'!$Z$19</c:f>
              <c:strCache>
                <c:ptCount val="1"/>
                <c:pt idx="0">
                  <c:v>157</c:v>
                </c:pt>
              </c:strCache>
            </c:strRef>
          </c:tx>
          <c:spPr>
            <a:ln>
              <a:solidFill>
                <a:srgbClr val="002060"/>
              </a:solidFill>
            </a:ln>
          </c:spPr>
          <c:marker>
            <c:symbol val="square"/>
            <c:size val="7"/>
            <c:spPr>
              <a:noFill/>
            </c:spPr>
          </c:marker>
          <c:xVal>
            <c:numRef>
              <c:f>'2013 E Maize VWC Graphs'!$AN$19:$AN$30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560A-41C2-AE31-44F39D2CF184}"/>
            </c:ext>
          </c:extLst>
        </c:ser>
        <c:ser>
          <c:idx val="0"/>
          <c:order val="2"/>
          <c:tx>
            <c:strRef>
              <c:f>'2013 E Maize VWC Graphs'!$Z$32</c:f>
              <c:strCache>
                <c:ptCount val="1"/>
                <c:pt idx="0">
                  <c:v>171</c:v>
                </c:pt>
              </c:strCache>
            </c:strRef>
          </c:tx>
          <c:xVal>
            <c:numRef>
              <c:f>'2013 E Maize VWC Graphs'!$AN$32:$AN$43</c:f>
              <c:numCache>
                <c:formatCode>General</c:formatCode>
                <c:ptCount val="12"/>
                <c:pt idx="0">
                  <c:v>0.28186999424939468</c:v>
                </c:pt>
                <c:pt idx="1">
                  <c:v>0.34136706779661019</c:v>
                </c:pt>
                <c:pt idx="2">
                  <c:v>0.35202947387005645</c:v>
                </c:pt>
                <c:pt idx="3">
                  <c:v>0.34442991878531071</c:v>
                </c:pt>
                <c:pt idx="4">
                  <c:v>0.34256457344632768</c:v>
                </c:pt>
                <c:pt idx="5">
                  <c:v>0.33989321468926553</c:v>
                </c:pt>
                <c:pt idx="6">
                  <c:v>0.28732306144067798</c:v>
                </c:pt>
                <c:pt idx="7">
                  <c:v>0.34522758262711861</c:v>
                </c:pt>
                <c:pt idx="8">
                  <c:v>0.33273837217514124</c:v>
                </c:pt>
                <c:pt idx="9">
                  <c:v>0.31236020903954803</c:v>
                </c:pt>
                <c:pt idx="10">
                  <c:v>0.31071586158192094</c:v>
                </c:pt>
                <c:pt idx="11">
                  <c:v>0.3024941242937853</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560A-41C2-AE31-44F39D2CF184}"/>
            </c:ext>
          </c:extLst>
        </c:ser>
        <c:ser>
          <c:idx val="1"/>
          <c:order val="3"/>
          <c:tx>
            <c:strRef>
              <c:f>'2013 E Maize VWC Graphs'!$Z$45</c:f>
              <c:strCache>
                <c:ptCount val="1"/>
                <c:pt idx="0">
                  <c:v>176</c:v>
                </c:pt>
              </c:strCache>
            </c:strRef>
          </c:tx>
          <c:marker>
            <c:symbol val="square"/>
            <c:size val="5"/>
          </c:marker>
          <c:xVal>
            <c:numRef>
              <c:f>'2013 E Maize VWC Graphs'!$AN$45:$AN$56</c:f>
              <c:numCache>
                <c:formatCode>General</c:formatCode>
                <c:ptCount val="12"/>
                <c:pt idx="0">
                  <c:v>0.23993166555690071</c:v>
                </c:pt>
                <c:pt idx="1">
                  <c:v>0.32766483968926552</c:v>
                </c:pt>
                <c:pt idx="2">
                  <c:v>0.34910479661016947</c:v>
                </c:pt>
                <c:pt idx="3">
                  <c:v>0.34456809251412424</c:v>
                </c:pt>
                <c:pt idx="4">
                  <c:v>0.34390025282485875</c:v>
                </c:pt>
                <c:pt idx="5">
                  <c:v>0.33947869350282484</c:v>
                </c:pt>
                <c:pt idx="6">
                  <c:v>0.29438984039548022</c:v>
                </c:pt>
                <c:pt idx="7">
                  <c:v>0.34411177542372878</c:v>
                </c:pt>
                <c:pt idx="8">
                  <c:v>0.3325621920903955</c:v>
                </c:pt>
                <c:pt idx="9">
                  <c:v>0.31140100635593221</c:v>
                </c:pt>
                <c:pt idx="10">
                  <c:v>0.31394582980225988</c:v>
                </c:pt>
                <c:pt idx="11">
                  <c:v>0.30396229166666666</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560A-41C2-AE31-44F39D2CF184}"/>
            </c:ext>
          </c:extLst>
        </c:ser>
        <c:ser>
          <c:idx val="2"/>
          <c:order val="4"/>
          <c:tx>
            <c:strRef>
              <c:f>'2013 E Maize VWC Graphs'!$Z$58</c:f>
              <c:strCache>
                <c:ptCount val="1"/>
                <c:pt idx="0">
                  <c:v>183</c:v>
                </c:pt>
              </c:strCache>
            </c:strRef>
          </c:tx>
          <c:marker>
            <c:spPr>
              <a:solidFill>
                <a:srgbClr val="00B050"/>
              </a:solidFill>
            </c:spPr>
          </c:marker>
          <c:xVal>
            <c:numRef>
              <c:f>'2013 E Maize VWC Graphs'!$AN$58:$AN$69</c:f>
              <c:numCache>
                <c:formatCode>General</c:formatCode>
                <c:ptCount val="12"/>
                <c:pt idx="0">
                  <c:v>0.16126354025423728</c:v>
                </c:pt>
                <c:pt idx="1">
                  <c:v>0.2664078199152542</c:v>
                </c:pt>
                <c:pt idx="2">
                  <c:v>0.34371602118644068</c:v>
                </c:pt>
                <c:pt idx="3">
                  <c:v>0.34191976271186442</c:v>
                </c:pt>
                <c:pt idx="4">
                  <c:v>0.34742368290960446</c:v>
                </c:pt>
                <c:pt idx="5">
                  <c:v>0.34399236864406774</c:v>
                </c:pt>
                <c:pt idx="6">
                  <c:v>0.29716957062146893</c:v>
                </c:pt>
                <c:pt idx="7">
                  <c:v>0.34076435381355935</c:v>
                </c:pt>
                <c:pt idx="8">
                  <c:v>0.33816080367231638</c:v>
                </c:pt>
                <c:pt idx="9">
                  <c:v>0.31212530225988699</c:v>
                </c:pt>
                <c:pt idx="10">
                  <c:v>0.31044180367231639</c:v>
                </c:pt>
                <c:pt idx="11">
                  <c:v>0.30601772598870058</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560A-41C2-AE31-44F39D2CF184}"/>
            </c:ext>
          </c:extLst>
        </c:ser>
        <c:ser>
          <c:idx val="5"/>
          <c:order val="5"/>
          <c:tx>
            <c:strRef>
              <c:f>'2013 E Maize VWC Graphs'!$Z$71</c:f>
              <c:strCache>
                <c:ptCount val="1"/>
                <c:pt idx="0">
                  <c:v>189</c:v>
                </c:pt>
              </c:strCache>
            </c:strRef>
          </c:tx>
          <c:marker>
            <c:spPr>
              <a:solidFill>
                <a:schemeClr val="accent6">
                  <a:lumMod val="60000"/>
                  <a:lumOff val="40000"/>
                </a:schemeClr>
              </a:solidFill>
            </c:spPr>
          </c:marker>
          <c:xVal>
            <c:numRef>
              <c:f>'2013 E Maize VWC Graphs'!$AN$71:$AN$82</c:f>
              <c:numCache>
                <c:formatCode>General</c:formatCode>
                <c:ptCount val="12"/>
                <c:pt idx="0">
                  <c:v>0.24357763801452781</c:v>
                </c:pt>
                <c:pt idx="1">
                  <c:v>0.28319592796610166</c:v>
                </c:pt>
                <c:pt idx="2">
                  <c:v>0.34364693432203391</c:v>
                </c:pt>
                <c:pt idx="3">
                  <c:v>0.34072225706214687</c:v>
                </c:pt>
                <c:pt idx="4">
                  <c:v>0.34802243573446329</c:v>
                </c:pt>
                <c:pt idx="5">
                  <c:v>0.34362390536723164</c:v>
                </c:pt>
                <c:pt idx="6">
                  <c:v>0.29660187923728815</c:v>
                </c:pt>
                <c:pt idx="7">
                  <c:v>0.3427806370056497</c:v>
                </c:pt>
                <c:pt idx="8">
                  <c:v>0.3369862697740113</c:v>
                </c:pt>
                <c:pt idx="9">
                  <c:v>0.31457224788135596</c:v>
                </c:pt>
                <c:pt idx="10">
                  <c:v>0.31114652401129944</c:v>
                </c:pt>
                <c:pt idx="11">
                  <c:v>0.30300308898305084</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560A-41C2-AE31-44F39D2CF184}"/>
            </c:ext>
          </c:extLst>
        </c:ser>
        <c:ser>
          <c:idx val="6"/>
          <c:order val="6"/>
          <c:tx>
            <c:strRef>
              <c:f>'2013 E Maize VWC Graphs'!$Z$84</c:f>
              <c:strCache>
                <c:ptCount val="1"/>
                <c:pt idx="0">
                  <c:v>197</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'2013 E Maize VWC Graphs'!$AN$84:$AN$95</c:f>
              <c:numCache>
                <c:formatCode>General</c:formatCode>
                <c:ptCount val="12"/>
                <c:pt idx="0">
                  <c:v>0.21471851210653753</c:v>
                </c:pt>
                <c:pt idx="1">
                  <c:v>0.32084826906779662</c:v>
                </c:pt>
                <c:pt idx="2">
                  <c:v>0.3356098290960452</c:v>
                </c:pt>
                <c:pt idx="3">
                  <c:v>0.34277183403954797</c:v>
                </c:pt>
                <c:pt idx="4">
                  <c:v>0.34433780296610167</c:v>
                </c:pt>
                <c:pt idx="5">
                  <c:v>0.34219611016949153</c:v>
                </c:pt>
                <c:pt idx="6">
                  <c:v>0.29853986016949152</c:v>
                </c:pt>
                <c:pt idx="7">
                  <c:v>0.33755396115819208</c:v>
                </c:pt>
                <c:pt idx="8">
                  <c:v>0.34060774929378529</c:v>
                </c:pt>
                <c:pt idx="9">
                  <c:v>0.31241893573446328</c:v>
                </c:pt>
                <c:pt idx="10">
                  <c:v>0.31320195833333336</c:v>
                </c:pt>
                <c:pt idx="11">
                  <c:v>0.30543045903954802</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560A-41C2-AE31-44F39D2CF184}"/>
            </c:ext>
          </c:extLst>
        </c:ser>
        <c:ser>
          <c:idx val="7"/>
          <c:order val="7"/>
          <c:tx>
            <c:strRef>
              <c:f>'2013 E Maize VWC Graphs'!$Z$97</c:f>
              <c:strCache>
                <c:ptCount val="1"/>
                <c:pt idx="0">
                  <c:v>203</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'2013 E Maize VWC Graphs'!$AN$97:$AN$108</c:f>
              <c:numCache>
                <c:formatCode>General</c:formatCode>
                <c:ptCount val="12"/>
                <c:pt idx="0">
                  <c:v>0.24820744430992736</c:v>
                </c:pt>
                <c:pt idx="1">
                  <c:v>0.3028396264124294</c:v>
                </c:pt>
                <c:pt idx="2">
                  <c:v>0.34436083192090394</c:v>
                </c:pt>
                <c:pt idx="3">
                  <c:v>0.34284092090395474</c:v>
                </c:pt>
                <c:pt idx="4">
                  <c:v>0.34380813700564972</c:v>
                </c:pt>
                <c:pt idx="5">
                  <c:v>0.34293303672316383</c:v>
                </c:pt>
                <c:pt idx="6">
                  <c:v>0.29891179590395484</c:v>
                </c:pt>
                <c:pt idx="7">
                  <c:v>0.33929618644067799</c:v>
                </c:pt>
                <c:pt idx="8">
                  <c:v>0.33542022457627119</c:v>
                </c:pt>
                <c:pt idx="9">
                  <c:v>0.31404370762711864</c:v>
                </c:pt>
                <c:pt idx="10">
                  <c:v>0.31241893573446328</c:v>
                </c:pt>
                <c:pt idx="11">
                  <c:v>0.30498022104519773</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560A-41C2-AE31-44F39D2CF184}"/>
            </c:ext>
          </c:extLst>
        </c:ser>
        <c:ser>
          <c:idx val="8"/>
          <c:order val="8"/>
          <c:tx>
            <c:strRef>
              <c:f>'2013 E Maize VWC Graphs'!$Z$110</c:f>
              <c:strCache>
                <c:ptCount val="1"/>
                <c:pt idx="0">
                  <c:v>210</c:v>
                </c:pt>
              </c:strCache>
            </c:strRef>
          </c:tx>
          <c:marker>
            <c:symbol val="circle"/>
            <c:size val="8"/>
            <c:spPr>
              <a:solidFill>
                <a:srgbClr val="FFFF99"/>
              </a:solidFill>
            </c:spPr>
          </c:marker>
          <c:xVal>
            <c:numRef>
              <c:f>'2013 E Maize VWC Graphs'!$AN$110:$AN$121</c:f>
              <c:numCache>
                <c:formatCode>General</c:formatCode>
                <c:ptCount val="12"/>
                <c:pt idx="0">
                  <c:v>0.15626720762711865</c:v>
                </c:pt>
                <c:pt idx="1">
                  <c:v>0.25302799717514118</c:v>
                </c:pt>
                <c:pt idx="2">
                  <c:v>0.30659334604519772</c:v>
                </c:pt>
                <c:pt idx="3">
                  <c:v>0.32133187711864403</c:v>
                </c:pt>
                <c:pt idx="4">
                  <c:v>0.32748060805084744</c:v>
                </c:pt>
                <c:pt idx="5">
                  <c:v>0.34005441737288133</c:v>
                </c:pt>
                <c:pt idx="6">
                  <c:v>0.29564267655367232</c:v>
                </c:pt>
                <c:pt idx="7">
                  <c:v>0.33338436581920905</c:v>
                </c:pt>
                <c:pt idx="8">
                  <c:v>0.33592918926553672</c:v>
                </c:pt>
                <c:pt idx="9">
                  <c:v>0.31181209322033898</c:v>
                </c:pt>
                <c:pt idx="10">
                  <c:v>0.30948260098870056</c:v>
                </c:pt>
                <c:pt idx="11">
                  <c:v>0.3005365677966102</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560A-41C2-AE31-44F39D2CF184}"/>
            </c:ext>
          </c:extLst>
        </c:ser>
        <c:ser>
          <c:idx val="9"/>
          <c:order val="9"/>
          <c:tx>
            <c:strRef>
              <c:f>'2013 E Maize VWC Graphs'!$Z$123</c:f>
              <c:strCache>
                <c:ptCount val="1"/>
                <c:pt idx="0">
                  <c:v>218</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'2013 E Maize VWC Graphs'!$AN$123:$AN$134</c:f>
              <c:numCache>
                <c:formatCode>General</c:formatCode>
                <c:ptCount val="12"/>
                <c:pt idx="0">
                  <c:v>0.17600175696125908</c:v>
                </c:pt>
                <c:pt idx="1">
                  <c:v>0.26919432344632765</c:v>
                </c:pt>
                <c:pt idx="2">
                  <c:v>0.30894229943502821</c:v>
                </c:pt>
                <c:pt idx="3">
                  <c:v>0.31262693220338983</c:v>
                </c:pt>
                <c:pt idx="4">
                  <c:v>0.32499348093220337</c:v>
                </c:pt>
                <c:pt idx="5">
                  <c:v>0.33745214548022595</c:v>
                </c:pt>
                <c:pt idx="6">
                  <c:v>0.29192331920903958</c:v>
                </c:pt>
                <c:pt idx="7">
                  <c:v>0.33473507980225992</c:v>
                </c:pt>
                <c:pt idx="8">
                  <c:v>0.33577258474576271</c:v>
                </c:pt>
                <c:pt idx="9">
                  <c:v>0.31651022881355934</c:v>
                </c:pt>
                <c:pt idx="10">
                  <c:v>0.31008944350282486</c:v>
                </c:pt>
                <c:pt idx="11">
                  <c:v>0.30202431073446329</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560A-41C2-AE31-44F39D2CF184}"/>
            </c:ext>
          </c:extLst>
        </c:ser>
        <c:ser>
          <c:idx val="10"/>
          <c:order val="10"/>
          <c:tx>
            <c:strRef>
              <c:f>'2013 E Maize VWC Graphs'!$Z$136</c:f>
              <c:strCache>
                <c:ptCount val="1"/>
                <c:pt idx="0">
                  <c:v>231</c:v>
                </c:pt>
              </c:strCache>
            </c:strRef>
          </c:tx>
          <c:xVal>
            <c:numRef>
              <c:f>'2013 E Maize VWC Graphs'!$AN$136:$AN$147</c:f>
              <c:numCache>
                <c:formatCode>General</c:formatCode>
                <c:ptCount val="12"/>
                <c:pt idx="0">
                  <c:v>0.2392179037530266</c:v>
                </c:pt>
                <c:pt idx="1">
                  <c:v>0.31161365819209036</c:v>
                </c:pt>
                <c:pt idx="2">
                  <c:v>0.33153370409604516</c:v>
                </c:pt>
                <c:pt idx="3">
                  <c:v>0.31753209957627115</c:v>
                </c:pt>
                <c:pt idx="4">
                  <c:v>0.33038225635593216</c:v>
                </c:pt>
                <c:pt idx="5">
                  <c:v>0.33528742372881354</c:v>
                </c:pt>
                <c:pt idx="6">
                  <c:v>0.29209949929378531</c:v>
                </c:pt>
                <c:pt idx="7">
                  <c:v>0.3279815098870057</c:v>
                </c:pt>
                <c:pt idx="8">
                  <c:v>0.33663390960451978</c:v>
                </c:pt>
                <c:pt idx="9">
                  <c:v>0.31404370762711864</c:v>
                </c:pt>
                <c:pt idx="10">
                  <c:v>0.31116609957627117</c:v>
                </c:pt>
                <c:pt idx="11">
                  <c:v>0.29893137146892657</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560A-41C2-AE31-44F39D2CF184}"/>
            </c:ext>
          </c:extLst>
        </c:ser>
        <c:ser>
          <c:idx val="11"/>
          <c:order val="11"/>
          <c:tx>
            <c:strRef>
              <c:f>'2013 E Maize VWC Graphs'!$Z$149</c:f>
              <c:strCache>
                <c:ptCount val="1"/>
                <c:pt idx="0">
                  <c:v>246</c:v>
                </c:pt>
              </c:strCache>
            </c:strRef>
          </c:tx>
          <c:xVal>
            <c:numRef>
              <c:f>'2013 E Maize VWC Graphs'!$AN$149:$AN$160</c:f>
              <c:numCache>
                <c:formatCode>General</c:formatCode>
                <c:ptCount val="12"/>
                <c:pt idx="0">
                  <c:v>0.19392296549636806</c:v>
                </c:pt>
                <c:pt idx="1">
                  <c:v>0.26092692867231637</c:v>
                </c:pt>
                <c:pt idx="2">
                  <c:v>0.29102577259887003</c:v>
                </c:pt>
                <c:pt idx="3">
                  <c:v>0.27497459110169492</c:v>
                </c:pt>
                <c:pt idx="4">
                  <c:v>0.27633329943502821</c:v>
                </c:pt>
                <c:pt idx="5">
                  <c:v>0.31327174293785309</c:v>
                </c:pt>
                <c:pt idx="6">
                  <c:v>0.27814212146892653</c:v>
                </c:pt>
                <c:pt idx="7">
                  <c:v>0.3297824618644068</c:v>
                </c:pt>
                <c:pt idx="8">
                  <c:v>0.32747254519774011</c:v>
                </c:pt>
                <c:pt idx="9">
                  <c:v>0.30803400918079099</c:v>
                </c:pt>
                <c:pt idx="10">
                  <c:v>0.30339460028248588</c:v>
                </c:pt>
                <c:pt idx="11">
                  <c:v>0.29198204590395477</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560A-41C2-AE31-44F39D2CF184}"/>
            </c:ext>
          </c:extLst>
        </c:ser>
        <c:ser>
          <c:idx val="12"/>
          <c:order val="12"/>
          <c:tx>
            <c:strRef>
              <c:f>'2013 E Maize VWC Graphs'!$Z$162</c:f>
              <c:strCache>
                <c:ptCount val="1"/>
                <c:pt idx="0">
                  <c:v>253</c:v>
                </c:pt>
              </c:strCache>
            </c:strRef>
          </c:tx>
          <c:spPr>
            <a:ln>
              <a:solidFill>
                <a:srgbClr val="5449E1"/>
              </a:solidFill>
            </a:ln>
          </c:spPr>
          <c:marker>
            <c:symbol val="circle"/>
            <c:size val="8"/>
            <c:spPr>
              <a:solidFill>
                <a:srgbClr val="160B55"/>
              </a:solidFill>
              <a:ln>
                <a:solidFill>
                  <a:srgbClr val="7030A0"/>
                </a:solidFill>
              </a:ln>
            </c:spPr>
          </c:marker>
          <c:xVal>
            <c:numRef>
              <c:f>'2013 E Maize VWC Graphs'!$AN$162:$AN$173</c:f>
              <c:numCache>
                <c:formatCode>General</c:formatCode>
                <c:ptCount val="12"/>
                <c:pt idx="0">
                  <c:v>0.21253864497578689</c:v>
                </c:pt>
                <c:pt idx="1">
                  <c:v>0.30069793361581915</c:v>
                </c:pt>
                <c:pt idx="2">
                  <c:v>0.30493526129943505</c:v>
                </c:pt>
                <c:pt idx="3">
                  <c:v>0.28536064971751407</c:v>
                </c:pt>
                <c:pt idx="4">
                  <c:v>0.29201601765536722</c:v>
                </c:pt>
                <c:pt idx="5">
                  <c:v>0.31681820197740113</c:v>
                </c:pt>
                <c:pt idx="6">
                  <c:v>0.28092185169491529</c:v>
                </c:pt>
                <c:pt idx="7">
                  <c:v>0.33187704731638423</c:v>
                </c:pt>
                <c:pt idx="8">
                  <c:v>0.32345955437853108</c:v>
                </c:pt>
                <c:pt idx="9">
                  <c:v>0.30437337853107349</c:v>
                </c:pt>
                <c:pt idx="10">
                  <c:v>0.29965566737288141</c:v>
                </c:pt>
                <c:pt idx="11">
                  <c:v>0.2902593961864407</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560A-41C2-AE31-44F39D2CF184}"/>
            </c:ext>
          </c:extLst>
        </c:ser>
        <c:ser>
          <c:idx val="13"/>
          <c:order val="13"/>
          <c:tx>
            <c:strRef>
              <c:f>'2013 E Maize VWC Graphs'!$Z$175</c:f>
              <c:strCache>
                <c:ptCount val="1"/>
                <c:pt idx="0">
                  <c:v>269</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'2013 E Maize VWC Graphs'!$AN$175:$AN$186</c:f>
              <c:numCache>
                <c:formatCode>General</c:formatCode>
                <c:ptCount val="12"/>
                <c:pt idx="0">
                  <c:v>0.24527523365617432</c:v>
                </c:pt>
                <c:pt idx="1">
                  <c:v>0.2826662620056497</c:v>
                </c:pt>
                <c:pt idx="2">
                  <c:v>0.30290871327683616</c:v>
                </c:pt>
                <c:pt idx="3">
                  <c:v>0.27356982485875708</c:v>
                </c:pt>
                <c:pt idx="4">
                  <c:v>0.2806166850282486</c:v>
                </c:pt>
                <c:pt idx="5">
                  <c:v>0.31433107485875705</c:v>
                </c:pt>
                <c:pt idx="6">
                  <c:v>0.27865108615819212</c:v>
                </c:pt>
                <c:pt idx="7">
                  <c:v>0.32849047457627123</c:v>
                </c:pt>
                <c:pt idx="8">
                  <c:v>0.32514305296610169</c:v>
                </c:pt>
                <c:pt idx="9">
                  <c:v>0.30384483827683617</c:v>
                </c:pt>
                <c:pt idx="10">
                  <c:v>0.29810919774011302</c:v>
                </c:pt>
                <c:pt idx="11">
                  <c:v>0.28436715112994354</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560A-41C2-AE31-44F39D2CF184}"/>
            </c:ext>
          </c:extLst>
        </c:ser>
        <c:ser>
          <c:idx val="14"/>
          <c:order val="14"/>
          <c:tx>
            <c:strRef>
              <c:f>'2013 E Maize VWC Graphs'!$Z$188</c:f>
              <c:strCache>
                <c:ptCount val="1"/>
              </c:strCache>
            </c:strRef>
          </c:tx>
          <c:xVal>
            <c:numRef>
              <c:f>'2013 E Maize VWC Graphs'!$AN$188:$AN$199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560A-41C2-AE31-44F39D2CF184}"/>
            </c:ext>
          </c:extLst>
        </c:ser>
        <c:ser>
          <c:idx val="15"/>
          <c:order val="15"/>
          <c:tx>
            <c:v>Porosity</c:v>
          </c:tx>
          <c:spPr>
            <a:ln w="38100">
              <a:solidFill>
                <a:srgbClr val="000000"/>
              </a:solidFill>
              <a:prstDash val="solid"/>
            </a:ln>
          </c:spPr>
          <c:marker>
            <c:symbol val="none"/>
          </c:marker>
          <c:xVal>
            <c:numRef>
              <c:f>'2013 E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'2013 E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0F-560A-41C2-AE31-44F39D2CF184}"/>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SE tube 12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3159526765417821"/>
              <c:y val="3.7945597709377235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26826865765285313"/>
          <c:w val="0.11121338639365544"/>
          <c:h val="0.56563248695036716"/>
        </c:manualLayout>
      </c:layout>
      <c:overlay val="0"/>
      <c:spPr>
        <a:solidFill>
          <a:srgbClr val="FFFFFF"/>
        </a:solidFill>
        <a:ln w="3175">
          <a:noFill/>
          <a:prstDash val="solid"/>
        </a:ln>
      </c:spPr>
      <c:txPr>
        <a:bodyPr/>
        <a:lstStyle/>
        <a:p>
          <a:pPr>
            <a:defRPr sz="8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'2013 E Maize VWC Graphs'!$Z$6</c:f>
              <c:strCache>
                <c:ptCount val="1"/>
                <c:pt idx="0">
                  <c:v>156</c:v>
                </c:pt>
              </c:strCache>
            </c:strRef>
          </c:tx>
          <c:spPr>
            <a:ln>
              <a:solidFill>
                <a:srgbClr val="FF0000"/>
              </a:solidFill>
            </a:ln>
          </c:spPr>
          <c:marker>
            <c:symbol val="triangle"/>
            <c:size val="8"/>
            <c:spPr>
              <a:solidFill>
                <a:srgbClr val="FFFF00"/>
              </a:solidFill>
              <a:ln>
                <a:solidFill>
                  <a:srgbClr val="FF0000"/>
                </a:solidFill>
              </a:ln>
            </c:spPr>
          </c:marker>
          <c:xVal>
            <c:numRef>
              <c:f>'2013 E Maize VWC Graphs'!$AO$6:$AO$17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1572-4C4E-8639-64985F90305C}"/>
            </c:ext>
          </c:extLst>
        </c:ser>
        <c:ser>
          <c:idx val="4"/>
          <c:order val="1"/>
          <c:tx>
            <c:strRef>
              <c:f>'2013 E Maize VWC Graphs'!$Z$19</c:f>
              <c:strCache>
                <c:ptCount val="1"/>
                <c:pt idx="0">
                  <c:v>157</c:v>
                </c:pt>
              </c:strCache>
            </c:strRef>
          </c:tx>
          <c:spPr>
            <a:ln>
              <a:solidFill>
                <a:srgbClr val="002060"/>
              </a:solidFill>
            </a:ln>
          </c:spPr>
          <c:marker>
            <c:symbol val="square"/>
            <c:size val="7"/>
            <c:spPr>
              <a:noFill/>
            </c:spPr>
          </c:marker>
          <c:xVal>
            <c:numRef>
              <c:f>'2013 E Maize VWC Graphs'!$AO$19:$AO$30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1572-4C4E-8639-64985F90305C}"/>
            </c:ext>
          </c:extLst>
        </c:ser>
        <c:ser>
          <c:idx val="0"/>
          <c:order val="2"/>
          <c:tx>
            <c:strRef>
              <c:f>'2013 E Maize VWC Graphs'!$Z$32</c:f>
              <c:strCache>
                <c:ptCount val="1"/>
                <c:pt idx="0">
                  <c:v>171</c:v>
                </c:pt>
              </c:strCache>
            </c:strRef>
          </c:tx>
          <c:xVal>
            <c:numRef>
              <c:f>'2013 E Maize VWC Graphs'!$AO$32:$AO$43</c:f>
              <c:numCache>
                <c:formatCode>General</c:formatCode>
                <c:ptCount val="12"/>
                <c:pt idx="0">
                  <c:v>0.26337005992736079</c:v>
                </c:pt>
                <c:pt idx="1">
                  <c:v>0.33636978460451977</c:v>
                </c:pt>
                <c:pt idx="2">
                  <c:v>0.34878239124293781</c:v>
                </c:pt>
                <c:pt idx="3">
                  <c:v>0.34212702330508477</c:v>
                </c:pt>
                <c:pt idx="4">
                  <c:v>0.33963989618644069</c:v>
                </c:pt>
                <c:pt idx="5">
                  <c:v>0.34756185663841804</c:v>
                </c:pt>
                <c:pt idx="6">
                  <c:v>0.32052321963276836</c:v>
                </c:pt>
                <c:pt idx="7">
                  <c:v>0.31416116101694919</c:v>
                </c:pt>
                <c:pt idx="8">
                  <c:v>0.30828849152542376</c:v>
                </c:pt>
                <c:pt idx="9">
                  <c:v>0.30317926906779663</c:v>
                </c:pt>
                <c:pt idx="10">
                  <c:v>0.30366865819209038</c:v>
                </c:pt>
                <c:pt idx="11">
                  <c:v>0.29998845197740115</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1572-4C4E-8639-64985F90305C}"/>
            </c:ext>
          </c:extLst>
        </c:ser>
        <c:ser>
          <c:idx val="1"/>
          <c:order val="3"/>
          <c:tx>
            <c:strRef>
              <c:f>'2013 E Maize VWC Graphs'!$Z$45</c:f>
              <c:strCache>
                <c:ptCount val="1"/>
                <c:pt idx="0">
                  <c:v>176</c:v>
                </c:pt>
              </c:strCache>
            </c:strRef>
          </c:tx>
          <c:marker>
            <c:symbol val="square"/>
            <c:size val="5"/>
          </c:marker>
          <c:xVal>
            <c:numRef>
              <c:f>'2013 E Maize VWC Graphs'!$AO$45:$AO$56</c:f>
              <c:numCache>
                <c:formatCode>General</c:formatCode>
                <c:ptCount val="12"/>
                <c:pt idx="0">
                  <c:v>0.23624711138014526</c:v>
                </c:pt>
                <c:pt idx="1">
                  <c:v>0.33284635451977396</c:v>
                </c:pt>
                <c:pt idx="2">
                  <c:v>0.34965749152542369</c:v>
                </c:pt>
                <c:pt idx="3">
                  <c:v>0.34415357132768359</c:v>
                </c:pt>
                <c:pt idx="4">
                  <c:v>0.34327847104519771</c:v>
                </c:pt>
                <c:pt idx="5">
                  <c:v>0.34606497457627117</c:v>
                </c:pt>
                <c:pt idx="6">
                  <c:v>0.32392936793785315</c:v>
                </c:pt>
                <c:pt idx="7">
                  <c:v>0.31331941172316385</c:v>
                </c:pt>
                <c:pt idx="8">
                  <c:v>0.31114652401129944</c:v>
                </c:pt>
                <c:pt idx="9">
                  <c:v>0.30315969350282485</c:v>
                </c:pt>
                <c:pt idx="10">
                  <c:v>0.30711395762711863</c:v>
                </c:pt>
                <c:pt idx="11">
                  <c:v>0.30022335875706213</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1572-4C4E-8639-64985F90305C}"/>
            </c:ext>
          </c:extLst>
        </c:ser>
        <c:ser>
          <c:idx val="2"/>
          <c:order val="4"/>
          <c:tx>
            <c:strRef>
              <c:f>'2013 E Maize VWC Graphs'!$Z$58</c:f>
              <c:strCache>
                <c:ptCount val="1"/>
                <c:pt idx="0">
                  <c:v>183</c:v>
                </c:pt>
              </c:strCache>
            </c:strRef>
          </c:tx>
          <c:marker>
            <c:spPr>
              <a:solidFill>
                <a:srgbClr val="00B050"/>
              </a:solidFill>
            </c:spPr>
          </c:marker>
          <c:xVal>
            <c:numRef>
              <c:f>'2013 E Maize VWC Graphs'!$AO$58:$AO$69</c:f>
              <c:numCache>
                <c:formatCode>General</c:formatCode>
                <c:ptCount val="12"/>
                <c:pt idx="0">
                  <c:v>0.17264514739709441</c:v>
                </c:pt>
                <c:pt idx="1">
                  <c:v>0.31306448234463274</c:v>
                </c:pt>
                <c:pt idx="2">
                  <c:v>0.34677887217514125</c:v>
                </c:pt>
                <c:pt idx="3">
                  <c:v>0.34820666737288131</c:v>
                </c:pt>
                <c:pt idx="4">
                  <c:v>0.34712430649717513</c:v>
                </c:pt>
                <c:pt idx="5">
                  <c:v>0.35016412853107343</c:v>
                </c:pt>
                <c:pt idx="6">
                  <c:v>0.32672867372881359</c:v>
                </c:pt>
                <c:pt idx="7">
                  <c:v>0.31974019703389833</c:v>
                </c:pt>
                <c:pt idx="8">
                  <c:v>0.31369134745762711</c:v>
                </c:pt>
                <c:pt idx="9">
                  <c:v>0.30210261299435032</c:v>
                </c:pt>
                <c:pt idx="10">
                  <c:v>0.31075501271186445</c:v>
                </c:pt>
                <c:pt idx="11">
                  <c:v>0.30063444562146896</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1572-4C4E-8639-64985F90305C}"/>
            </c:ext>
          </c:extLst>
        </c:ser>
        <c:ser>
          <c:idx val="5"/>
          <c:order val="5"/>
          <c:tx>
            <c:strRef>
              <c:f>'2013 E Maize VWC Graphs'!$Z$71</c:f>
              <c:strCache>
                <c:ptCount val="1"/>
                <c:pt idx="0">
                  <c:v>189</c:v>
                </c:pt>
              </c:strCache>
            </c:strRef>
          </c:tx>
          <c:marker>
            <c:spPr>
              <a:solidFill>
                <a:schemeClr val="accent6">
                  <a:lumMod val="60000"/>
                  <a:lumOff val="40000"/>
                </a:schemeClr>
              </a:solidFill>
            </c:spPr>
          </c:marker>
          <c:xVal>
            <c:numRef>
              <c:f>'2013 E Maize VWC Graphs'!$AO$71:$AO$82</c:f>
              <c:numCache>
                <c:formatCode>General</c:formatCode>
                <c:ptCount val="12"/>
                <c:pt idx="0">
                  <c:v>0.27301548970944312</c:v>
                </c:pt>
                <c:pt idx="1">
                  <c:v>0.30364563983050846</c:v>
                </c:pt>
                <c:pt idx="2">
                  <c:v>0.34058408333333334</c:v>
                </c:pt>
                <c:pt idx="3">
                  <c:v>0.34758488559322032</c:v>
                </c:pt>
                <c:pt idx="4">
                  <c:v>0.34461415042372878</c:v>
                </c:pt>
                <c:pt idx="5">
                  <c:v>0.35069379449152538</c:v>
                </c:pt>
                <c:pt idx="6">
                  <c:v>0.32802066101694916</c:v>
                </c:pt>
                <c:pt idx="7">
                  <c:v>0.32015128389830511</c:v>
                </c:pt>
                <c:pt idx="8">
                  <c:v>0.31435691666666671</c:v>
                </c:pt>
                <c:pt idx="9">
                  <c:v>0.3038644138418079</c:v>
                </c:pt>
                <c:pt idx="10">
                  <c:v>0.30274860663841813</c:v>
                </c:pt>
                <c:pt idx="11">
                  <c:v>0.30002760310734466</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1572-4C4E-8639-64985F90305C}"/>
            </c:ext>
          </c:extLst>
        </c:ser>
        <c:ser>
          <c:idx val="6"/>
          <c:order val="6"/>
          <c:tx>
            <c:strRef>
              <c:f>'2013 E Maize VWC Graphs'!$Z$84</c:f>
              <c:strCache>
                <c:ptCount val="1"/>
                <c:pt idx="0">
                  <c:v>197</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'2013 E Maize VWC Graphs'!$AO$84:$AO$95</c:f>
              <c:numCache>
                <c:formatCode>General</c:formatCode>
                <c:ptCount val="12"/>
                <c:pt idx="0">
                  <c:v>0.25781429237288134</c:v>
                </c:pt>
                <c:pt idx="1">
                  <c:v>0.30327717655367231</c:v>
                </c:pt>
                <c:pt idx="2">
                  <c:v>0.33821210098870053</c:v>
                </c:pt>
                <c:pt idx="3">
                  <c:v>0.34857513064971746</c:v>
                </c:pt>
                <c:pt idx="4">
                  <c:v>0.34997989689265535</c:v>
                </c:pt>
                <c:pt idx="5">
                  <c:v>0.35193735805084742</c:v>
                </c:pt>
                <c:pt idx="6">
                  <c:v>0.32849047457627123</c:v>
                </c:pt>
                <c:pt idx="7">
                  <c:v>0.32056237076271188</c:v>
                </c:pt>
                <c:pt idx="8">
                  <c:v>0.31746943149717516</c:v>
                </c:pt>
                <c:pt idx="9">
                  <c:v>0.30646796398305082</c:v>
                </c:pt>
                <c:pt idx="10">
                  <c:v>0.30858212499999998</c:v>
                </c:pt>
                <c:pt idx="11">
                  <c:v>0.29726744844632769</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1572-4C4E-8639-64985F90305C}"/>
            </c:ext>
          </c:extLst>
        </c:ser>
        <c:ser>
          <c:idx val="7"/>
          <c:order val="7"/>
          <c:tx>
            <c:strRef>
              <c:f>'2013 E Maize VWC Graphs'!$Z$97</c:f>
              <c:strCache>
                <c:ptCount val="1"/>
                <c:pt idx="0">
                  <c:v>203</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'2013 E Maize VWC Graphs'!$AO$97:$AO$108</c:f>
              <c:numCache>
                <c:formatCode>General</c:formatCode>
                <c:ptCount val="12"/>
                <c:pt idx="0">
                  <c:v>0.30106439951573849</c:v>
                </c:pt>
                <c:pt idx="1">
                  <c:v>0.33342207838983046</c:v>
                </c:pt>
                <c:pt idx="2">
                  <c:v>0.33841936158192087</c:v>
                </c:pt>
                <c:pt idx="3">
                  <c:v>0.34251851553672313</c:v>
                </c:pt>
                <c:pt idx="4">
                  <c:v>0.34631829307909606</c:v>
                </c:pt>
                <c:pt idx="5">
                  <c:v>0.35327303742937849</c:v>
                </c:pt>
                <c:pt idx="6">
                  <c:v>0.32095388206214687</c:v>
                </c:pt>
                <c:pt idx="7">
                  <c:v>0.3236553100282486</c:v>
                </c:pt>
                <c:pt idx="8">
                  <c:v>0.31243851129943501</c:v>
                </c:pt>
                <c:pt idx="9">
                  <c:v>0.30566536581920906</c:v>
                </c:pt>
                <c:pt idx="10">
                  <c:v>0.30560663912429381</c:v>
                </c:pt>
                <c:pt idx="11">
                  <c:v>0.29707169279661017</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1572-4C4E-8639-64985F90305C}"/>
            </c:ext>
          </c:extLst>
        </c:ser>
        <c:ser>
          <c:idx val="8"/>
          <c:order val="8"/>
          <c:tx>
            <c:strRef>
              <c:f>'2013 E Maize VWC Graphs'!$Z$110</c:f>
              <c:strCache>
                <c:ptCount val="1"/>
                <c:pt idx="0">
                  <c:v>210</c:v>
                </c:pt>
              </c:strCache>
            </c:strRef>
          </c:tx>
          <c:marker>
            <c:symbol val="circle"/>
            <c:size val="8"/>
            <c:spPr>
              <a:solidFill>
                <a:srgbClr val="FFFF99"/>
              </a:solidFill>
            </c:spPr>
          </c:marker>
          <c:xVal>
            <c:numRef>
              <c:f>'2013 E Maize VWC Graphs'!$AO$110:$AO$121</c:f>
              <c:numCache>
                <c:formatCode>General</c:formatCode>
                <c:ptCount val="12"/>
                <c:pt idx="0">
                  <c:v>0.17023378995157384</c:v>
                </c:pt>
                <c:pt idx="1">
                  <c:v>0.28441646257062142</c:v>
                </c:pt>
                <c:pt idx="2">
                  <c:v>0.30567218785310729</c:v>
                </c:pt>
                <c:pt idx="3">
                  <c:v>0.31564372528248585</c:v>
                </c:pt>
                <c:pt idx="4">
                  <c:v>0.33012893785310732</c:v>
                </c:pt>
                <c:pt idx="5">
                  <c:v>0.3430021235875706</c:v>
                </c:pt>
                <c:pt idx="6">
                  <c:v>0.32692442937853106</c:v>
                </c:pt>
                <c:pt idx="7">
                  <c:v>0.31488545692090397</c:v>
                </c:pt>
                <c:pt idx="8">
                  <c:v>0.31320195833333336</c:v>
                </c:pt>
                <c:pt idx="9">
                  <c:v>0.30417762288135591</c:v>
                </c:pt>
                <c:pt idx="10">
                  <c:v>0.30586112146892658</c:v>
                </c:pt>
                <c:pt idx="11">
                  <c:v>0.29679763488700567</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1572-4C4E-8639-64985F90305C}"/>
            </c:ext>
          </c:extLst>
        </c:ser>
        <c:ser>
          <c:idx val="9"/>
          <c:order val="9"/>
          <c:tx>
            <c:strRef>
              <c:f>'2013 E Maize VWC Graphs'!$Z$123</c:f>
              <c:strCache>
                <c:ptCount val="1"/>
                <c:pt idx="0">
                  <c:v>218</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'2013 E Maize VWC Graphs'!$AO$123:$AO$134</c:f>
              <c:numCache>
                <c:formatCode>General</c:formatCode>
                <c:ptCount val="12"/>
                <c:pt idx="0">
                  <c:v>0.17823949667070216</c:v>
                </c:pt>
                <c:pt idx="1">
                  <c:v>0.28807806638418076</c:v>
                </c:pt>
                <c:pt idx="2">
                  <c:v>0.30627094067796606</c:v>
                </c:pt>
                <c:pt idx="3">
                  <c:v>0.30926470480225987</c:v>
                </c:pt>
                <c:pt idx="4">
                  <c:v>0.31898292372881354</c:v>
                </c:pt>
                <c:pt idx="5">
                  <c:v>0.34231125494350284</c:v>
                </c:pt>
                <c:pt idx="6">
                  <c:v>0.32686570268361587</c:v>
                </c:pt>
                <c:pt idx="7">
                  <c:v>0.31513993926553674</c:v>
                </c:pt>
                <c:pt idx="8">
                  <c:v>0.30864085169491529</c:v>
                </c:pt>
                <c:pt idx="9">
                  <c:v>0.30204388629943502</c:v>
                </c:pt>
                <c:pt idx="10">
                  <c:v>0.30396229166666666</c:v>
                </c:pt>
                <c:pt idx="11">
                  <c:v>0.29217780155367234</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1572-4C4E-8639-64985F90305C}"/>
            </c:ext>
          </c:extLst>
        </c:ser>
        <c:ser>
          <c:idx val="10"/>
          <c:order val="10"/>
          <c:tx>
            <c:strRef>
              <c:f>'2013 E Maize VWC Graphs'!$Z$136</c:f>
              <c:strCache>
                <c:ptCount val="1"/>
                <c:pt idx="0">
                  <c:v>231</c:v>
                </c:pt>
              </c:strCache>
            </c:strRef>
          </c:tx>
          <c:xVal>
            <c:numRef>
              <c:f>'2013 E Maize VWC Graphs'!$AO$136:$AO$147</c:f>
              <c:numCache>
                <c:formatCode>General</c:formatCode>
                <c:ptCount val="12"/>
                <c:pt idx="0">
                  <c:v>0.25461200968523001</c:v>
                </c:pt>
                <c:pt idx="1">
                  <c:v>0.32204577471751411</c:v>
                </c:pt>
                <c:pt idx="2">
                  <c:v>0.32303601977401131</c:v>
                </c:pt>
                <c:pt idx="3">
                  <c:v>0.31891383686440677</c:v>
                </c:pt>
                <c:pt idx="4">
                  <c:v>0.3283787372881356</c:v>
                </c:pt>
                <c:pt idx="5">
                  <c:v>0.34231125494350284</c:v>
                </c:pt>
                <c:pt idx="6">
                  <c:v>0.32066024858757064</c:v>
                </c:pt>
                <c:pt idx="7">
                  <c:v>0.31378922528248587</c:v>
                </c:pt>
                <c:pt idx="8">
                  <c:v>0.31005029237288134</c:v>
                </c:pt>
                <c:pt idx="9">
                  <c:v>0.30404059392655369</c:v>
                </c:pt>
                <c:pt idx="10">
                  <c:v>0.30991326341807912</c:v>
                </c:pt>
                <c:pt idx="11">
                  <c:v>0.29497710734463278</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1572-4C4E-8639-64985F90305C}"/>
            </c:ext>
          </c:extLst>
        </c:ser>
        <c:ser>
          <c:idx val="11"/>
          <c:order val="11"/>
          <c:tx>
            <c:strRef>
              <c:f>'2013 E Maize VWC Graphs'!$Z$149</c:f>
              <c:strCache>
                <c:ptCount val="1"/>
                <c:pt idx="0">
                  <c:v>246</c:v>
                </c:pt>
              </c:strCache>
            </c:strRef>
          </c:tx>
          <c:xVal>
            <c:numRef>
              <c:f>'2013 E Maize VWC Graphs'!$AO$149:$AO$160</c:f>
              <c:numCache>
                <c:formatCode>General</c:formatCode>
                <c:ptCount val="12"/>
                <c:pt idx="0">
                  <c:v>0.22233840163438257</c:v>
                </c:pt>
                <c:pt idx="1">
                  <c:v>0.27154327683615814</c:v>
                </c:pt>
                <c:pt idx="2">
                  <c:v>0.27759989194915252</c:v>
                </c:pt>
                <c:pt idx="3">
                  <c:v>0.26769744138418078</c:v>
                </c:pt>
                <c:pt idx="4">
                  <c:v>0.27147418997175143</c:v>
                </c:pt>
                <c:pt idx="5">
                  <c:v>0.31186697669491525</c:v>
                </c:pt>
                <c:pt idx="6">
                  <c:v>0.31283002259887011</c:v>
                </c:pt>
                <c:pt idx="7">
                  <c:v>0.30770122457627119</c:v>
                </c:pt>
                <c:pt idx="8">
                  <c:v>0.30294436228813559</c:v>
                </c:pt>
                <c:pt idx="9">
                  <c:v>0.30067359675141242</c:v>
                </c:pt>
                <c:pt idx="10">
                  <c:v>0.29826580225988703</c:v>
                </c:pt>
                <c:pt idx="11">
                  <c:v>0.28865419985875707</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1572-4C4E-8639-64985F90305C}"/>
            </c:ext>
          </c:extLst>
        </c:ser>
        <c:ser>
          <c:idx val="12"/>
          <c:order val="12"/>
          <c:tx>
            <c:strRef>
              <c:f>'2013 E Maize VWC Graphs'!$Z$162</c:f>
              <c:strCache>
                <c:ptCount val="1"/>
                <c:pt idx="0">
                  <c:v>253</c:v>
                </c:pt>
              </c:strCache>
            </c:strRef>
          </c:tx>
          <c:spPr>
            <a:ln>
              <a:solidFill>
                <a:srgbClr val="5449E1"/>
              </a:solidFill>
            </a:ln>
          </c:spPr>
          <c:marker>
            <c:symbol val="circle"/>
            <c:size val="8"/>
            <c:spPr>
              <a:solidFill>
                <a:srgbClr val="160B55"/>
              </a:solidFill>
              <a:ln>
                <a:solidFill>
                  <a:srgbClr val="7030A0"/>
                </a:solidFill>
              </a:ln>
            </c:spPr>
          </c:marker>
          <c:xVal>
            <c:numRef>
              <c:f>'2013 E Maize VWC Graphs'!$AO$162:$AO$173</c:f>
              <c:numCache>
                <c:formatCode>General</c:formatCode>
                <c:ptCount val="12"/>
                <c:pt idx="0">
                  <c:v>0.17627182899515736</c:v>
                </c:pt>
                <c:pt idx="1">
                  <c:v>0.27297107203389831</c:v>
                </c:pt>
                <c:pt idx="2">
                  <c:v>0.28116937994350277</c:v>
                </c:pt>
                <c:pt idx="3">
                  <c:v>0.270553031779661</c:v>
                </c:pt>
                <c:pt idx="4">
                  <c:v>0.26613147245762708</c:v>
                </c:pt>
                <c:pt idx="5">
                  <c:v>0.30408318997175138</c:v>
                </c:pt>
                <c:pt idx="6">
                  <c:v>0.31580550847457628</c:v>
                </c:pt>
                <c:pt idx="7">
                  <c:v>0.30813188700564975</c:v>
                </c:pt>
                <c:pt idx="8">
                  <c:v>0.30511725000000001</c:v>
                </c:pt>
                <c:pt idx="9">
                  <c:v>0.29636697245762711</c:v>
                </c:pt>
                <c:pt idx="10">
                  <c:v>0.30225921751412432</c:v>
                </c:pt>
                <c:pt idx="11">
                  <c:v>0.28689239901129943</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1572-4C4E-8639-64985F90305C}"/>
            </c:ext>
          </c:extLst>
        </c:ser>
        <c:ser>
          <c:idx val="13"/>
          <c:order val="13"/>
          <c:tx>
            <c:strRef>
              <c:f>'2013 E Maize VWC Graphs'!$Z$175</c:f>
              <c:strCache>
                <c:ptCount val="1"/>
                <c:pt idx="0">
                  <c:v>269</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'2013 E Maize VWC Graphs'!$AO$175:$AO$186</c:f>
              <c:numCache>
                <c:formatCode>General</c:formatCode>
                <c:ptCount val="12"/>
                <c:pt idx="0">
                  <c:v>0.24807240829297816</c:v>
                </c:pt>
                <c:pt idx="1">
                  <c:v>0.27520488064971749</c:v>
                </c:pt>
                <c:pt idx="2">
                  <c:v>0.27667873375706215</c:v>
                </c:pt>
                <c:pt idx="3">
                  <c:v>0.26286136087570622</c:v>
                </c:pt>
                <c:pt idx="4">
                  <c:v>0.25719623799435026</c:v>
                </c:pt>
                <c:pt idx="5">
                  <c:v>0.30030644138418078</c:v>
                </c:pt>
                <c:pt idx="6">
                  <c:v>0.30965878107344635</c:v>
                </c:pt>
                <c:pt idx="7">
                  <c:v>0.30357078036723167</c:v>
                </c:pt>
                <c:pt idx="8">
                  <c:v>0.30043868997175138</c:v>
                </c:pt>
                <c:pt idx="9">
                  <c:v>0.2950162584745763</c:v>
                </c:pt>
                <c:pt idx="10">
                  <c:v>0.29701296610169492</c:v>
                </c:pt>
                <c:pt idx="11">
                  <c:v>0.28460205790960452</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1572-4C4E-8639-64985F90305C}"/>
            </c:ext>
          </c:extLst>
        </c:ser>
        <c:ser>
          <c:idx val="14"/>
          <c:order val="14"/>
          <c:tx>
            <c:strRef>
              <c:f>'2013 E Maize VWC Graphs'!$Z$188</c:f>
              <c:strCache>
                <c:ptCount val="1"/>
              </c:strCache>
            </c:strRef>
          </c:tx>
          <c:xVal>
            <c:numRef>
              <c:f>'2013 E Maize VWC Graphs'!$AO$188:$AO$199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1572-4C4E-8639-64985F90305C}"/>
            </c:ext>
          </c:extLst>
        </c:ser>
        <c:ser>
          <c:idx val="15"/>
          <c:order val="15"/>
          <c:tx>
            <c:v>Porosity</c:v>
          </c:tx>
          <c:spPr>
            <a:ln w="38100">
              <a:solidFill>
                <a:srgbClr val="000000"/>
              </a:solidFill>
              <a:prstDash val="solid"/>
            </a:ln>
          </c:spPr>
          <c:marker>
            <c:symbol val="none"/>
          </c:marker>
          <c:xVal>
            <c:numRef>
              <c:f>'2013 E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'2013 E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0F-1572-4C4E-8639-64985F90305C}"/>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SE tube 13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3339512366569726"/>
              <c:y val="4.0110099873879403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26826865765285313"/>
          <c:w val="0.11121338639365544"/>
          <c:h val="0.56563248695036716"/>
        </c:manualLayout>
      </c:layout>
      <c:overlay val="0"/>
      <c:spPr>
        <a:solidFill>
          <a:srgbClr val="FFFFFF"/>
        </a:solidFill>
        <a:ln w="3175">
          <a:noFill/>
          <a:prstDash val="solid"/>
        </a:ln>
      </c:spPr>
      <c:txPr>
        <a:bodyPr/>
        <a:lstStyle/>
        <a:p>
          <a:pPr>
            <a:defRPr sz="8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'2013 E Maize VWC Graphs'!$Z$6</c:f>
              <c:strCache>
                <c:ptCount val="1"/>
                <c:pt idx="0">
                  <c:v>156</c:v>
                </c:pt>
              </c:strCache>
            </c:strRef>
          </c:tx>
          <c:spPr>
            <a:ln>
              <a:solidFill>
                <a:srgbClr val="FF0000"/>
              </a:solidFill>
            </a:ln>
          </c:spPr>
          <c:marker>
            <c:symbol val="triangle"/>
            <c:size val="8"/>
            <c:spPr>
              <a:solidFill>
                <a:srgbClr val="FFFF00"/>
              </a:solidFill>
              <a:ln>
                <a:solidFill>
                  <a:srgbClr val="FF0000"/>
                </a:solidFill>
              </a:ln>
            </c:spPr>
          </c:marker>
          <c:xVal>
            <c:numRef>
              <c:f>'2013 E Maize VWC Graphs'!$AP$6:$AP$17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2D67-4A29-B7F0-5C50EE13849B}"/>
            </c:ext>
          </c:extLst>
        </c:ser>
        <c:ser>
          <c:idx val="4"/>
          <c:order val="1"/>
          <c:tx>
            <c:strRef>
              <c:f>'2013 E Maize VWC Graphs'!$Z$19</c:f>
              <c:strCache>
                <c:ptCount val="1"/>
                <c:pt idx="0">
                  <c:v>157</c:v>
                </c:pt>
              </c:strCache>
            </c:strRef>
          </c:tx>
          <c:spPr>
            <a:ln>
              <a:solidFill>
                <a:srgbClr val="002060"/>
              </a:solidFill>
            </a:ln>
          </c:spPr>
          <c:marker>
            <c:symbol val="square"/>
            <c:size val="7"/>
            <c:spPr>
              <a:noFill/>
            </c:spPr>
          </c:marker>
          <c:xVal>
            <c:numRef>
              <c:f>'2013 E Maize VWC Graphs'!$AP$19:$AP$30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2D67-4A29-B7F0-5C50EE13849B}"/>
            </c:ext>
          </c:extLst>
        </c:ser>
        <c:ser>
          <c:idx val="0"/>
          <c:order val="2"/>
          <c:tx>
            <c:strRef>
              <c:f>'2013 E Maize VWC Graphs'!$Z$32</c:f>
              <c:strCache>
                <c:ptCount val="1"/>
                <c:pt idx="0">
                  <c:v>171</c:v>
                </c:pt>
              </c:strCache>
            </c:strRef>
          </c:tx>
          <c:xVal>
            <c:numRef>
              <c:f>'2013 E Maize VWC Graphs'!$AP$32:$AP$43</c:f>
              <c:numCache>
                <c:formatCode>General</c:formatCode>
                <c:ptCount val="12"/>
                <c:pt idx="0">
                  <c:v>0.25929968855932201</c:v>
                </c:pt>
                <c:pt idx="1">
                  <c:v>0.33643887146892654</c:v>
                </c:pt>
                <c:pt idx="2">
                  <c:v>0.36121802683615817</c:v>
                </c:pt>
                <c:pt idx="3">
                  <c:v>0.34949628884180789</c:v>
                </c:pt>
                <c:pt idx="4">
                  <c:v>0.3350341052259887</c:v>
                </c:pt>
                <c:pt idx="5">
                  <c:v>0.32713517372881351</c:v>
                </c:pt>
                <c:pt idx="6">
                  <c:v>0.30965878107344635</c:v>
                </c:pt>
                <c:pt idx="7">
                  <c:v>0.3052347033898305</c:v>
                </c:pt>
                <c:pt idx="8">
                  <c:v>0.32064067302259891</c:v>
                </c:pt>
                <c:pt idx="9">
                  <c:v>0.30335544915254237</c:v>
                </c:pt>
                <c:pt idx="10">
                  <c:v>0.2749513043785311</c:v>
                </c:pt>
                <c:pt idx="11">
                  <c:v>0.29172756355932206</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2D67-4A29-B7F0-5C50EE13849B}"/>
            </c:ext>
          </c:extLst>
        </c:ser>
        <c:ser>
          <c:idx val="1"/>
          <c:order val="3"/>
          <c:tx>
            <c:strRef>
              <c:f>'2013 E Maize VWC Graphs'!$Z$45</c:f>
              <c:strCache>
                <c:ptCount val="1"/>
                <c:pt idx="0">
                  <c:v>176</c:v>
                </c:pt>
              </c:strCache>
            </c:strRef>
          </c:tx>
          <c:marker>
            <c:symbol val="square"/>
            <c:size val="5"/>
          </c:marker>
          <c:xVal>
            <c:numRef>
              <c:f>'2013 E Maize VWC Graphs'!$AP$45:$AP$56</c:f>
              <c:numCache>
                <c:formatCode>General</c:formatCode>
                <c:ptCount val="12"/>
                <c:pt idx="0">
                  <c:v>0.219927044188862</c:v>
                </c:pt>
                <c:pt idx="1">
                  <c:v>0.31976590819209039</c:v>
                </c:pt>
                <c:pt idx="2">
                  <c:v>0.35516141172316384</c:v>
                </c:pt>
                <c:pt idx="3">
                  <c:v>0.34622617725988697</c:v>
                </c:pt>
                <c:pt idx="4">
                  <c:v>0.33514924999999995</c:v>
                </c:pt>
                <c:pt idx="5">
                  <c:v>0.3272272895480226</c:v>
                </c:pt>
                <c:pt idx="6">
                  <c:v>0.31100949505649716</c:v>
                </c:pt>
                <c:pt idx="7">
                  <c:v>0.30507809887005649</c:v>
                </c:pt>
                <c:pt idx="8">
                  <c:v>0.32201096257062151</c:v>
                </c:pt>
                <c:pt idx="9">
                  <c:v>0.30083020127118648</c:v>
                </c:pt>
                <c:pt idx="10">
                  <c:v>0.27273926553672317</c:v>
                </c:pt>
                <c:pt idx="11">
                  <c:v>0.29810919774011302</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2D67-4A29-B7F0-5C50EE13849B}"/>
            </c:ext>
          </c:extLst>
        </c:ser>
        <c:ser>
          <c:idx val="2"/>
          <c:order val="4"/>
          <c:tx>
            <c:strRef>
              <c:f>'2013 E Maize VWC Graphs'!$Z$58</c:f>
              <c:strCache>
                <c:ptCount val="1"/>
                <c:pt idx="0">
                  <c:v>183</c:v>
                </c:pt>
              </c:strCache>
            </c:strRef>
          </c:tx>
          <c:marker>
            <c:spPr>
              <a:solidFill>
                <a:srgbClr val="00B050"/>
              </a:solidFill>
            </c:spPr>
          </c:marker>
          <c:xVal>
            <c:numRef>
              <c:f>'2013 E Maize VWC Graphs'!$AP$58:$AP$69</c:f>
              <c:numCache>
                <c:formatCode>General</c:formatCode>
                <c:ptCount val="12"/>
                <c:pt idx="0">
                  <c:v>0.14230062530266344</c:v>
                </c:pt>
                <c:pt idx="1">
                  <c:v>0.28128452471751408</c:v>
                </c:pt>
                <c:pt idx="2">
                  <c:v>0.35198341596045196</c:v>
                </c:pt>
                <c:pt idx="3">
                  <c:v>0.35027927330508474</c:v>
                </c:pt>
                <c:pt idx="4">
                  <c:v>0.33590920550847453</c:v>
                </c:pt>
                <c:pt idx="5">
                  <c:v>0.33238577542372882</c:v>
                </c:pt>
                <c:pt idx="6">
                  <c:v>0.31756730932203392</c:v>
                </c:pt>
                <c:pt idx="7">
                  <c:v>0.30783825353107347</c:v>
                </c:pt>
                <c:pt idx="8">
                  <c:v>0.32379233898305088</c:v>
                </c:pt>
                <c:pt idx="9">
                  <c:v>0.30503894774011303</c:v>
                </c:pt>
                <c:pt idx="10">
                  <c:v>0.2804128870056497</c:v>
                </c:pt>
                <c:pt idx="11">
                  <c:v>0.29294124858757059</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2D67-4A29-B7F0-5C50EE13849B}"/>
            </c:ext>
          </c:extLst>
        </c:ser>
        <c:ser>
          <c:idx val="5"/>
          <c:order val="5"/>
          <c:tx>
            <c:strRef>
              <c:f>'2013 E Maize VWC Graphs'!$Z$71</c:f>
              <c:strCache>
                <c:ptCount val="1"/>
                <c:pt idx="0">
                  <c:v>189</c:v>
                </c:pt>
              </c:strCache>
            </c:strRef>
          </c:tx>
          <c:marker>
            <c:spPr>
              <a:solidFill>
                <a:schemeClr val="accent6">
                  <a:lumMod val="60000"/>
                  <a:lumOff val="40000"/>
                </a:schemeClr>
              </a:solidFill>
            </c:spPr>
          </c:marker>
          <c:xVal>
            <c:numRef>
              <c:f>'2013 E Maize VWC Graphs'!$AP$71:$AP$82</c:f>
              <c:numCache>
                <c:formatCode>General</c:formatCode>
                <c:ptCount val="12"/>
                <c:pt idx="0">
                  <c:v>0.23449164315980631</c:v>
                </c:pt>
                <c:pt idx="1">
                  <c:v>0.28998946963276834</c:v>
                </c:pt>
                <c:pt idx="2">
                  <c:v>0.34645646680790959</c:v>
                </c:pt>
                <c:pt idx="3">
                  <c:v>0.35080893926553669</c:v>
                </c:pt>
                <c:pt idx="4">
                  <c:v>0.33947869350282484</c:v>
                </c:pt>
                <c:pt idx="5">
                  <c:v>0.33275423870056497</c:v>
                </c:pt>
                <c:pt idx="6">
                  <c:v>0.31699961793785314</c:v>
                </c:pt>
                <c:pt idx="7">
                  <c:v>0.3073097132768362</c:v>
                </c:pt>
                <c:pt idx="8">
                  <c:v>0.31960316807909606</c:v>
                </c:pt>
                <c:pt idx="9">
                  <c:v>0.30627220833333335</c:v>
                </c:pt>
                <c:pt idx="10">
                  <c:v>0.27790721468926555</c:v>
                </c:pt>
                <c:pt idx="11">
                  <c:v>0.28930019350282488</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2D67-4A29-B7F0-5C50EE13849B}"/>
            </c:ext>
          </c:extLst>
        </c:ser>
        <c:ser>
          <c:idx val="6"/>
          <c:order val="6"/>
          <c:tx>
            <c:strRef>
              <c:f>'2013 E Maize VWC Graphs'!$Z$84</c:f>
              <c:strCache>
                <c:ptCount val="1"/>
                <c:pt idx="0">
                  <c:v>197</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'2013 E Maize VWC Graphs'!$AP$84:$AP$95</c:f>
              <c:numCache>
                <c:formatCode>General</c:formatCode>
                <c:ptCount val="12"/>
                <c:pt idx="0">
                  <c:v>0.22017782536319613</c:v>
                </c:pt>
                <c:pt idx="1">
                  <c:v>0.30263236581920899</c:v>
                </c:pt>
                <c:pt idx="2">
                  <c:v>0.33671521892655365</c:v>
                </c:pt>
                <c:pt idx="3">
                  <c:v>0.3503483601694915</c:v>
                </c:pt>
                <c:pt idx="4">
                  <c:v>0.33625463983050846</c:v>
                </c:pt>
                <c:pt idx="5">
                  <c:v>0.33480381567796608</c:v>
                </c:pt>
                <c:pt idx="6">
                  <c:v>0.31746943149717516</c:v>
                </c:pt>
                <c:pt idx="7">
                  <c:v>0.30615475494350286</c:v>
                </c:pt>
                <c:pt idx="8">
                  <c:v>0.32428172810734462</c:v>
                </c:pt>
                <c:pt idx="9">
                  <c:v>0.30345332697740113</c:v>
                </c:pt>
                <c:pt idx="10">
                  <c:v>0.28051076483050846</c:v>
                </c:pt>
                <c:pt idx="11">
                  <c:v>0.291022843220339</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2D67-4A29-B7F0-5C50EE13849B}"/>
            </c:ext>
          </c:extLst>
        </c:ser>
        <c:ser>
          <c:idx val="7"/>
          <c:order val="7"/>
          <c:tx>
            <c:strRef>
              <c:f>'2013 E Maize VWC Graphs'!$Z$97</c:f>
              <c:strCache>
                <c:ptCount val="1"/>
                <c:pt idx="0">
                  <c:v>203</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'2013 E Maize VWC Graphs'!$AP$97:$AP$108</c:f>
              <c:numCache>
                <c:formatCode>General</c:formatCode>
                <c:ptCount val="12"/>
                <c:pt idx="0">
                  <c:v>0.25376321186440676</c:v>
                </c:pt>
                <c:pt idx="1">
                  <c:v>0.32545406002824856</c:v>
                </c:pt>
                <c:pt idx="2">
                  <c:v>0.34864421751412428</c:v>
                </c:pt>
                <c:pt idx="3">
                  <c:v>0.35041744703389827</c:v>
                </c:pt>
                <c:pt idx="4">
                  <c:v>0.33625463983050846</c:v>
                </c:pt>
                <c:pt idx="5">
                  <c:v>0.32833267937853106</c:v>
                </c:pt>
                <c:pt idx="6">
                  <c:v>0.31643192655367236</c:v>
                </c:pt>
                <c:pt idx="7">
                  <c:v>0.30552833686440678</c:v>
                </c:pt>
                <c:pt idx="8">
                  <c:v>0.32455578601694918</c:v>
                </c:pt>
                <c:pt idx="9">
                  <c:v>0.30298351341807911</c:v>
                </c:pt>
                <c:pt idx="10">
                  <c:v>0.27671310522598874</c:v>
                </c:pt>
                <c:pt idx="11">
                  <c:v>0.29016151836158194</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2D67-4A29-B7F0-5C50EE13849B}"/>
            </c:ext>
          </c:extLst>
        </c:ser>
        <c:ser>
          <c:idx val="8"/>
          <c:order val="8"/>
          <c:tx>
            <c:strRef>
              <c:f>'2013 E Maize VWC Graphs'!$Z$110</c:f>
              <c:strCache>
                <c:ptCount val="1"/>
                <c:pt idx="0">
                  <c:v>210</c:v>
                </c:pt>
              </c:strCache>
            </c:strRef>
          </c:tx>
          <c:marker>
            <c:symbol val="circle"/>
            <c:size val="8"/>
            <c:spPr>
              <a:solidFill>
                <a:srgbClr val="FFFF99"/>
              </a:solidFill>
            </c:spPr>
          </c:marker>
          <c:xVal>
            <c:numRef>
              <c:f>'2013 E Maize VWC Graphs'!$AP$110:$AP$121</c:f>
              <c:numCache>
                <c:formatCode>General</c:formatCode>
                <c:ptCount val="12"/>
                <c:pt idx="0">
                  <c:v>0.18385313680387411</c:v>
                </c:pt>
                <c:pt idx="1">
                  <c:v>0.27812955790960453</c:v>
                </c:pt>
                <c:pt idx="2">
                  <c:v>0.3196277344632768</c:v>
                </c:pt>
                <c:pt idx="3">
                  <c:v>0.3210325007062147</c:v>
                </c:pt>
                <c:pt idx="4">
                  <c:v>0.3203646610169491</c:v>
                </c:pt>
                <c:pt idx="5">
                  <c:v>0.32179245621468927</c:v>
                </c:pt>
                <c:pt idx="6">
                  <c:v>0.31290832485875708</c:v>
                </c:pt>
                <c:pt idx="7">
                  <c:v>0.30261157768361585</c:v>
                </c:pt>
                <c:pt idx="8">
                  <c:v>0.3195052902542373</c:v>
                </c:pt>
                <c:pt idx="9">
                  <c:v>0.30102595692090395</c:v>
                </c:pt>
                <c:pt idx="10">
                  <c:v>0.2747946998587571</c:v>
                </c:pt>
                <c:pt idx="11">
                  <c:v>0.2935872422316384</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2D67-4A29-B7F0-5C50EE13849B}"/>
            </c:ext>
          </c:extLst>
        </c:ser>
        <c:ser>
          <c:idx val="9"/>
          <c:order val="9"/>
          <c:tx>
            <c:strRef>
              <c:f>'2013 E Maize VWC Graphs'!$Z$123</c:f>
              <c:strCache>
                <c:ptCount val="1"/>
                <c:pt idx="0">
                  <c:v>218</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'2013 E Maize VWC Graphs'!$AP$123:$AP$134</c:f>
              <c:numCache>
                <c:formatCode>General</c:formatCode>
                <c:ptCount val="12"/>
                <c:pt idx="0">
                  <c:v>0.18925457748184021</c:v>
                </c:pt>
                <c:pt idx="1">
                  <c:v>0.28950586158192088</c:v>
                </c:pt>
                <c:pt idx="2">
                  <c:v>0.31539040677966101</c:v>
                </c:pt>
                <c:pt idx="3">
                  <c:v>0.3139626115819209</c:v>
                </c:pt>
                <c:pt idx="4">
                  <c:v>0.31129125282485876</c:v>
                </c:pt>
                <c:pt idx="5">
                  <c:v>0.32704305790960453</c:v>
                </c:pt>
                <c:pt idx="6">
                  <c:v>0.312281906779661</c:v>
                </c:pt>
                <c:pt idx="7">
                  <c:v>0.30225921751412432</c:v>
                </c:pt>
                <c:pt idx="8">
                  <c:v>0.32181520692090398</c:v>
                </c:pt>
                <c:pt idx="9">
                  <c:v>0.30090850353107346</c:v>
                </c:pt>
                <c:pt idx="10">
                  <c:v>0.27197581850282487</c:v>
                </c:pt>
                <c:pt idx="11">
                  <c:v>0.29525116525423734</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2D67-4A29-B7F0-5C50EE13849B}"/>
            </c:ext>
          </c:extLst>
        </c:ser>
        <c:ser>
          <c:idx val="10"/>
          <c:order val="10"/>
          <c:tx>
            <c:strRef>
              <c:f>'2013 E Maize VWC Graphs'!$Z$136</c:f>
              <c:strCache>
                <c:ptCount val="1"/>
                <c:pt idx="0">
                  <c:v>231</c:v>
                </c:pt>
              </c:strCache>
            </c:strRef>
          </c:tx>
          <c:xVal>
            <c:numRef>
              <c:f>'2013 E Maize VWC Graphs'!$AP$136:$AP$147</c:f>
              <c:numCache>
                <c:formatCode>General</c:formatCode>
                <c:ptCount val="12"/>
                <c:pt idx="0">
                  <c:v>0.26205828147699761</c:v>
                </c:pt>
                <c:pt idx="1">
                  <c:v>0.31214332415254237</c:v>
                </c:pt>
                <c:pt idx="2">
                  <c:v>0.33653098728813557</c:v>
                </c:pt>
                <c:pt idx="3">
                  <c:v>0.32476319138418075</c:v>
                </c:pt>
                <c:pt idx="4">
                  <c:v>0.31939744491525424</c:v>
                </c:pt>
                <c:pt idx="5">
                  <c:v>0.32345054096045195</c:v>
                </c:pt>
                <c:pt idx="6">
                  <c:v>0.31439606779661017</c:v>
                </c:pt>
                <c:pt idx="7">
                  <c:v>0.30141746822033899</c:v>
                </c:pt>
                <c:pt idx="8">
                  <c:v>0.31504206144067798</c:v>
                </c:pt>
                <c:pt idx="9">
                  <c:v>0.29906840042372884</c:v>
                </c:pt>
                <c:pt idx="10">
                  <c:v>0.27121237146892657</c:v>
                </c:pt>
                <c:pt idx="11">
                  <c:v>0.28906528672316389</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2D67-4A29-B7F0-5C50EE13849B}"/>
            </c:ext>
          </c:extLst>
        </c:ser>
        <c:ser>
          <c:idx val="11"/>
          <c:order val="11"/>
          <c:tx>
            <c:strRef>
              <c:f>'2013 E Maize VWC Graphs'!$Z$149</c:f>
              <c:strCache>
                <c:ptCount val="1"/>
                <c:pt idx="0">
                  <c:v>246</c:v>
                </c:pt>
              </c:strCache>
            </c:strRef>
          </c:tx>
          <c:xVal>
            <c:numRef>
              <c:f>'2013 E Maize VWC Graphs'!$AP$149:$AP$160</c:f>
              <c:numCache>
                <c:formatCode>General</c:formatCode>
                <c:ptCount val="12"/>
                <c:pt idx="0">
                  <c:v>0.213483897094431</c:v>
                </c:pt>
                <c:pt idx="1">
                  <c:v>0.26541757485875705</c:v>
                </c:pt>
                <c:pt idx="2">
                  <c:v>0.28897619562146892</c:v>
                </c:pt>
                <c:pt idx="3">
                  <c:v>0.27506670692090396</c:v>
                </c:pt>
                <c:pt idx="4">
                  <c:v>0.26108813135593223</c:v>
                </c:pt>
                <c:pt idx="5">
                  <c:v>0.29837200918079093</c:v>
                </c:pt>
                <c:pt idx="6">
                  <c:v>0.30582197033898306</c:v>
                </c:pt>
                <c:pt idx="7">
                  <c:v>0.3008106257062147</c:v>
                </c:pt>
                <c:pt idx="8">
                  <c:v>0.31437649223163844</c:v>
                </c:pt>
                <c:pt idx="9">
                  <c:v>0.29211907485875704</c:v>
                </c:pt>
                <c:pt idx="10">
                  <c:v>0.26510479519774011</c:v>
                </c:pt>
                <c:pt idx="11">
                  <c:v>0.28164614759887008</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2D67-4A29-B7F0-5C50EE13849B}"/>
            </c:ext>
          </c:extLst>
        </c:ser>
        <c:ser>
          <c:idx val="12"/>
          <c:order val="12"/>
          <c:tx>
            <c:strRef>
              <c:f>'2013 E Maize VWC Graphs'!$Z$162</c:f>
              <c:strCache>
                <c:ptCount val="1"/>
                <c:pt idx="0">
                  <c:v>253</c:v>
                </c:pt>
              </c:strCache>
            </c:strRef>
          </c:tx>
          <c:spPr>
            <a:ln>
              <a:solidFill>
                <a:srgbClr val="5449E1"/>
              </a:solidFill>
            </a:ln>
          </c:spPr>
          <c:marker>
            <c:symbol val="circle"/>
            <c:size val="8"/>
            <c:spPr>
              <a:solidFill>
                <a:srgbClr val="160B55"/>
              </a:solidFill>
              <a:ln>
                <a:solidFill>
                  <a:srgbClr val="7030A0"/>
                </a:solidFill>
              </a:ln>
            </c:spPr>
          </c:marker>
          <c:xVal>
            <c:numRef>
              <c:f>'2013 E Maize VWC Graphs'!$AP$162:$AP$173</c:f>
              <c:numCache>
                <c:formatCode>General</c:formatCode>
                <c:ptCount val="12"/>
                <c:pt idx="0">
                  <c:v>0.16517958474576272</c:v>
                </c:pt>
                <c:pt idx="1">
                  <c:v>0.26813499152542369</c:v>
                </c:pt>
                <c:pt idx="2">
                  <c:v>0.289160427259887</c:v>
                </c:pt>
                <c:pt idx="3">
                  <c:v>0.27292501412429376</c:v>
                </c:pt>
                <c:pt idx="4">
                  <c:v>0.25611387711864408</c:v>
                </c:pt>
                <c:pt idx="5">
                  <c:v>0.28637392372881354</c:v>
                </c:pt>
                <c:pt idx="6">
                  <c:v>0.31003071680790961</c:v>
                </c:pt>
                <c:pt idx="7">
                  <c:v>0.29421366031073448</c:v>
                </c:pt>
                <c:pt idx="8">
                  <c:v>0.31568805508474579</c:v>
                </c:pt>
                <c:pt idx="9">
                  <c:v>0.2928825218926554</c:v>
                </c:pt>
                <c:pt idx="10">
                  <c:v>0.26259912288135595</c:v>
                </c:pt>
                <c:pt idx="11">
                  <c:v>0.29047472740112995</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2D67-4A29-B7F0-5C50EE13849B}"/>
            </c:ext>
          </c:extLst>
        </c:ser>
        <c:ser>
          <c:idx val="13"/>
          <c:order val="13"/>
          <c:tx>
            <c:strRef>
              <c:f>'2013 E Maize VWC Graphs'!$Z$175</c:f>
              <c:strCache>
                <c:ptCount val="1"/>
                <c:pt idx="0">
                  <c:v>269</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'2013 E Maize VWC Graphs'!$AP$175:$AP$186</c:f>
              <c:numCache>
                <c:formatCode>General</c:formatCode>
                <c:ptCount val="12"/>
                <c:pt idx="0">
                  <c:v>0.24774446368038738</c:v>
                </c:pt>
                <c:pt idx="1">
                  <c:v>0.26778955720338982</c:v>
                </c:pt>
                <c:pt idx="2">
                  <c:v>0.28810109533898304</c:v>
                </c:pt>
                <c:pt idx="3">
                  <c:v>0.2707142344632768</c:v>
                </c:pt>
                <c:pt idx="4">
                  <c:v>0.25689686158192093</c:v>
                </c:pt>
                <c:pt idx="5">
                  <c:v>0.29597699788135595</c:v>
                </c:pt>
                <c:pt idx="6">
                  <c:v>0.30582197033898306</c:v>
                </c:pt>
                <c:pt idx="7">
                  <c:v>0.2939200268361582</c:v>
                </c:pt>
                <c:pt idx="8">
                  <c:v>0.31236020903954803</c:v>
                </c:pt>
                <c:pt idx="9">
                  <c:v>0.29027897175141243</c:v>
                </c:pt>
                <c:pt idx="10">
                  <c:v>0.26066114194915257</c:v>
                </c:pt>
                <c:pt idx="11">
                  <c:v>0.28886953107344632</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2D67-4A29-B7F0-5C50EE13849B}"/>
            </c:ext>
          </c:extLst>
        </c:ser>
        <c:ser>
          <c:idx val="14"/>
          <c:order val="14"/>
          <c:tx>
            <c:strRef>
              <c:f>'2013 E Maize VWC Graphs'!$Z$188</c:f>
              <c:strCache>
                <c:ptCount val="1"/>
              </c:strCache>
            </c:strRef>
          </c:tx>
          <c:xVal>
            <c:numRef>
              <c:f>'2013 E Maize VWC Graphs'!$AP$188:$AP$199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2D67-4A29-B7F0-5C50EE13849B}"/>
            </c:ext>
          </c:extLst>
        </c:ser>
        <c:ser>
          <c:idx val="15"/>
          <c:order val="15"/>
          <c:tx>
            <c:v>Porosity</c:v>
          </c:tx>
          <c:spPr>
            <a:ln w="38100">
              <a:solidFill>
                <a:srgbClr val="000000"/>
              </a:solidFill>
              <a:prstDash val="solid"/>
            </a:ln>
          </c:spPr>
          <c:marker>
            <c:symbol val="none"/>
          </c:marker>
          <c:xVal>
            <c:numRef>
              <c:f>'2013 E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'2013 E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0F-2D67-4A29-B7F0-5C50EE13849B}"/>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SE tube 14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3339512366569726"/>
              <c:y val="4.0110099873879403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26826865765285313"/>
          <c:w val="0.11121338639365544"/>
          <c:h val="0.56563248695036716"/>
        </c:manualLayout>
      </c:layout>
      <c:overlay val="0"/>
      <c:spPr>
        <a:solidFill>
          <a:srgbClr val="FFFFFF"/>
        </a:solidFill>
        <a:ln w="3175">
          <a:noFill/>
          <a:prstDash val="solid"/>
        </a:ln>
      </c:spPr>
      <c:txPr>
        <a:bodyPr/>
        <a:lstStyle/>
        <a:p>
          <a:pPr>
            <a:defRPr sz="8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'2013 E Maize VWC Graphs'!$Z$6</c:f>
              <c:strCache>
                <c:ptCount val="1"/>
                <c:pt idx="0">
                  <c:v>156</c:v>
                </c:pt>
              </c:strCache>
            </c:strRef>
          </c:tx>
          <c:spPr>
            <a:ln>
              <a:solidFill>
                <a:srgbClr val="FF0000"/>
              </a:solidFill>
            </a:ln>
          </c:spPr>
          <c:marker>
            <c:symbol val="triangle"/>
            <c:size val="8"/>
            <c:spPr>
              <a:solidFill>
                <a:srgbClr val="FFFF00"/>
              </a:solidFill>
              <a:ln>
                <a:solidFill>
                  <a:srgbClr val="FF0000"/>
                </a:solidFill>
              </a:ln>
            </c:spPr>
          </c:marker>
          <c:xVal>
            <c:numRef>
              <c:f>'2013 E Maize VWC Graphs'!$AQ$6:$AQ$17</c:f>
              <c:numCache>
                <c:formatCode>General</c:formatCode>
                <c:ptCount val="12"/>
                <c:pt idx="0">
                  <c:v>0.27299619884987891</c:v>
                </c:pt>
                <c:pt idx="1">
                  <c:v>0.35290457415254234</c:v>
                </c:pt>
                <c:pt idx="2">
                  <c:v>0.35198341596045196</c:v>
                </c:pt>
                <c:pt idx="3">
                  <c:v>0.34935811511299431</c:v>
                </c:pt>
                <c:pt idx="4">
                  <c:v>0.34558136652542371</c:v>
                </c:pt>
                <c:pt idx="5">
                  <c:v>0.34060711228813556</c:v>
                </c:pt>
                <c:pt idx="6">
                  <c:v>0.3093847231638418</c:v>
                </c:pt>
                <c:pt idx="7">
                  <c:v>0.34452286228813561</c:v>
                </c:pt>
                <c:pt idx="8">
                  <c:v>0.3302131242937853</c:v>
                </c:pt>
                <c:pt idx="9">
                  <c:v>0.31257554025423728</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D847-49EA-9FF0-1469E6D2F636}"/>
            </c:ext>
          </c:extLst>
        </c:ser>
        <c:ser>
          <c:idx val="4"/>
          <c:order val="1"/>
          <c:tx>
            <c:strRef>
              <c:f>'2013 E Maize VWC Graphs'!$Z$19</c:f>
              <c:strCache>
                <c:ptCount val="1"/>
                <c:pt idx="0">
                  <c:v>157</c:v>
                </c:pt>
              </c:strCache>
            </c:strRef>
          </c:tx>
          <c:spPr>
            <a:ln>
              <a:solidFill>
                <a:srgbClr val="002060"/>
              </a:solidFill>
            </a:ln>
          </c:spPr>
          <c:marker>
            <c:symbol val="square"/>
            <c:size val="7"/>
            <c:spPr>
              <a:noFill/>
            </c:spPr>
          </c:marker>
          <c:xVal>
            <c:numRef>
              <c:f>'2013 E Maize VWC Graphs'!$AQ$19:$AQ$30</c:f>
              <c:numCache>
                <c:formatCode>General</c:formatCode>
                <c:ptCount val="12"/>
                <c:pt idx="0">
                  <c:v>0.28466009888003224</c:v>
                </c:pt>
                <c:pt idx="1">
                  <c:v>0.36219697982040155</c:v>
                </c:pt>
                <c:pt idx="2">
                  <c:v>0.36322242649581271</c:v>
                </c:pt>
                <c:pt idx="3">
                  <c:v>0.35902297820603374</c:v>
                </c:pt>
                <c:pt idx="4">
                  <c:v>0.35299237513873477</c:v>
                </c:pt>
                <c:pt idx="5">
                  <c:v>0.35096589718494597</c:v>
                </c:pt>
                <c:pt idx="6">
                  <c:v>0.31860199727575422</c:v>
                </c:pt>
                <c:pt idx="7">
                  <c:v>0.35264680123095549</c:v>
                </c:pt>
                <c:pt idx="8">
                  <c:v>0.32941959085864192</c:v>
                </c:pt>
                <c:pt idx="9">
                  <c:v>0.31703038462314592</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D847-49EA-9FF0-1469E6D2F636}"/>
            </c:ext>
          </c:extLst>
        </c:ser>
        <c:ser>
          <c:idx val="0"/>
          <c:order val="2"/>
          <c:tx>
            <c:strRef>
              <c:f>'2013 E Maize VWC Graphs'!$Z$32</c:f>
              <c:strCache>
                <c:ptCount val="1"/>
                <c:pt idx="0">
                  <c:v>171</c:v>
                </c:pt>
              </c:strCache>
            </c:strRef>
          </c:tx>
          <c:xVal>
            <c:numRef>
              <c:f>'2013 E Maize VWC Graphs'!$AQ$32:$AQ$43</c:f>
              <c:numCache>
                <c:formatCode>General</c:formatCode>
                <c:ptCount val="12"/>
                <c:pt idx="0">
                  <c:v>0.24483154388619854</c:v>
                </c:pt>
                <c:pt idx="1">
                  <c:v>0.33844239053672315</c:v>
                </c:pt>
                <c:pt idx="2">
                  <c:v>0.34088345974576267</c:v>
                </c:pt>
                <c:pt idx="3">
                  <c:v>0.33293847033898305</c:v>
                </c:pt>
                <c:pt idx="4">
                  <c:v>0.33081980649717513</c:v>
                </c:pt>
                <c:pt idx="5">
                  <c:v>0.33102706709039548</c:v>
                </c:pt>
                <c:pt idx="6">
                  <c:v>0.30133916596045202</c:v>
                </c:pt>
                <c:pt idx="7">
                  <c:v>0.34139077189265532</c:v>
                </c:pt>
                <c:pt idx="8">
                  <c:v>0.3314659604519774</c:v>
                </c:pt>
                <c:pt idx="9">
                  <c:v>0.32757042302259887</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D847-49EA-9FF0-1469E6D2F636}"/>
            </c:ext>
          </c:extLst>
        </c:ser>
        <c:ser>
          <c:idx val="1"/>
          <c:order val="3"/>
          <c:tx>
            <c:strRef>
              <c:f>'2013 E Maize VWC Graphs'!$Z$45</c:f>
              <c:strCache>
                <c:ptCount val="1"/>
                <c:pt idx="0">
                  <c:v>176</c:v>
                </c:pt>
              </c:strCache>
            </c:strRef>
          </c:tx>
          <c:marker>
            <c:symbol val="square"/>
            <c:size val="5"/>
          </c:marker>
          <c:xVal>
            <c:numRef>
              <c:f>'2013 E Maize VWC Graphs'!$AQ$45:$AQ$56</c:f>
              <c:numCache>
                <c:formatCode>General</c:formatCode>
                <c:ptCount val="12"/>
                <c:pt idx="0">
                  <c:v>0.20808245641646489</c:v>
                </c:pt>
                <c:pt idx="1">
                  <c:v>0.3230820776836158</c:v>
                </c:pt>
                <c:pt idx="2">
                  <c:v>0.33167187782485874</c:v>
                </c:pt>
                <c:pt idx="3">
                  <c:v>0.33137250141242941</c:v>
                </c:pt>
                <c:pt idx="4">
                  <c:v>0.32688185522598867</c:v>
                </c:pt>
                <c:pt idx="5">
                  <c:v>0.32865508474576266</c:v>
                </c:pt>
                <c:pt idx="6">
                  <c:v>0.30216133968926556</c:v>
                </c:pt>
                <c:pt idx="7">
                  <c:v>0.34031411581920906</c:v>
                </c:pt>
                <c:pt idx="8">
                  <c:v>0.33217068079096046</c:v>
                </c:pt>
                <c:pt idx="9">
                  <c:v>0.32851005014124296</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D847-49EA-9FF0-1469E6D2F636}"/>
            </c:ext>
          </c:extLst>
        </c:ser>
        <c:ser>
          <c:idx val="2"/>
          <c:order val="4"/>
          <c:tx>
            <c:strRef>
              <c:f>'2013 E Maize VWC Graphs'!$Z$58</c:f>
              <c:strCache>
                <c:ptCount val="1"/>
                <c:pt idx="0">
                  <c:v>183</c:v>
                </c:pt>
              </c:strCache>
            </c:strRef>
          </c:tx>
          <c:marker>
            <c:spPr>
              <a:solidFill>
                <a:srgbClr val="00B050"/>
              </a:solidFill>
            </c:spPr>
          </c:marker>
          <c:xVal>
            <c:numRef>
              <c:f>'2013 E Maize VWC Graphs'!$AQ$58:$AQ$69</c:f>
              <c:numCache>
                <c:formatCode>General</c:formatCode>
                <c:ptCount val="12"/>
                <c:pt idx="0">
                  <c:v>0.18774989043583534</c:v>
                </c:pt>
                <c:pt idx="1">
                  <c:v>0.28024822175141245</c:v>
                </c:pt>
                <c:pt idx="2">
                  <c:v>0.30721512782485871</c:v>
                </c:pt>
                <c:pt idx="3">
                  <c:v>0.32195365889830507</c:v>
                </c:pt>
                <c:pt idx="4">
                  <c:v>0.32616795762711859</c:v>
                </c:pt>
                <c:pt idx="5">
                  <c:v>0.32957624293785309</c:v>
                </c:pt>
                <c:pt idx="6">
                  <c:v>0.30057571892655366</c:v>
                </c:pt>
                <c:pt idx="7">
                  <c:v>0.34186058545197739</c:v>
                </c:pt>
                <c:pt idx="8">
                  <c:v>0.33224898305084749</c:v>
                </c:pt>
                <c:pt idx="9">
                  <c:v>0.33085911793785311</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D847-49EA-9FF0-1469E6D2F636}"/>
            </c:ext>
          </c:extLst>
        </c:ser>
        <c:ser>
          <c:idx val="5"/>
          <c:order val="5"/>
          <c:tx>
            <c:strRef>
              <c:f>'2013 E Maize VWC Graphs'!$Z$71</c:f>
              <c:strCache>
                <c:ptCount val="1"/>
                <c:pt idx="0">
                  <c:v>189</c:v>
                </c:pt>
              </c:strCache>
            </c:strRef>
          </c:tx>
          <c:marker>
            <c:spPr>
              <a:solidFill>
                <a:schemeClr val="accent6">
                  <a:lumMod val="60000"/>
                  <a:lumOff val="40000"/>
                </a:schemeClr>
              </a:solidFill>
            </c:spPr>
          </c:marker>
          <c:xVal>
            <c:numRef>
              <c:f>'2013 E Maize VWC Graphs'!$AQ$71:$AQ$82</c:f>
              <c:numCache>
                <c:formatCode>General</c:formatCode>
                <c:ptCount val="12"/>
                <c:pt idx="0">
                  <c:v>0.24367409231234866</c:v>
                </c:pt>
                <c:pt idx="1">
                  <c:v>0.27409949081920898</c:v>
                </c:pt>
                <c:pt idx="2">
                  <c:v>0.27674782062146891</c:v>
                </c:pt>
                <c:pt idx="3">
                  <c:v>0.29678301129943502</c:v>
                </c:pt>
                <c:pt idx="4">
                  <c:v>0.31898292372881354</c:v>
                </c:pt>
                <c:pt idx="5">
                  <c:v>0.32275967231638419</c:v>
                </c:pt>
                <c:pt idx="6">
                  <c:v>0.30360993149717513</c:v>
                </c:pt>
                <c:pt idx="7">
                  <c:v>0.33692754307909606</c:v>
                </c:pt>
                <c:pt idx="8">
                  <c:v>0.32657206920903958</c:v>
                </c:pt>
                <c:pt idx="9">
                  <c:v>0.33058506002824861</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D847-49EA-9FF0-1469E6D2F636}"/>
            </c:ext>
          </c:extLst>
        </c:ser>
        <c:ser>
          <c:idx val="6"/>
          <c:order val="6"/>
          <c:tx>
            <c:strRef>
              <c:f>'2013 E Maize VWC Graphs'!$Z$84</c:f>
              <c:strCache>
                <c:ptCount val="1"/>
                <c:pt idx="0">
                  <c:v>197</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'2013 E Maize VWC Graphs'!$AQ$84:$AQ$95</c:f>
              <c:numCache>
                <c:formatCode>General</c:formatCode>
                <c:ptCount val="12"/>
                <c:pt idx="0">
                  <c:v>0.21631965345036319</c:v>
                </c:pt>
                <c:pt idx="1">
                  <c:v>0.27456006991525422</c:v>
                </c:pt>
                <c:pt idx="2">
                  <c:v>0.27730051553672314</c:v>
                </c:pt>
                <c:pt idx="3">
                  <c:v>0.27651753107344629</c:v>
                </c:pt>
                <c:pt idx="4">
                  <c:v>0.30719209887005644</c:v>
                </c:pt>
                <c:pt idx="5">
                  <c:v>0.32317419350282484</c:v>
                </c:pt>
                <c:pt idx="6">
                  <c:v>0.30075189901129945</c:v>
                </c:pt>
                <c:pt idx="7">
                  <c:v>0.34227167231638422</c:v>
                </c:pt>
                <c:pt idx="8">
                  <c:v>0.32768787641242941</c:v>
                </c:pt>
                <c:pt idx="9">
                  <c:v>0.3299390663841808</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D847-49EA-9FF0-1469E6D2F636}"/>
            </c:ext>
          </c:extLst>
        </c:ser>
        <c:ser>
          <c:idx val="7"/>
          <c:order val="7"/>
          <c:tx>
            <c:strRef>
              <c:f>'2013 E Maize VWC Graphs'!$Z$97</c:f>
              <c:strCache>
                <c:ptCount val="1"/>
                <c:pt idx="0">
                  <c:v>203</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'2013 E Maize VWC Graphs'!$AQ$97:$AQ$108</c:f>
              <c:numCache>
                <c:formatCode>General</c:formatCode>
                <c:ptCount val="12"/>
                <c:pt idx="0">
                  <c:v>0.28354829903147699</c:v>
                </c:pt>
                <c:pt idx="1">
                  <c:v>0.33722185593220338</c:v>
                </c:pt>
                <c:pt idx="2">
                  <c:v>0.32819450564971747</c:v>
                </c:pt>
                <c:pt idx="3">
                  <c:v>0.30829748870056495</c:v>
                </c:pt>
                <c:pt idx="4">
                  <c:v>0.31271904802259887</c:v>
                </c:pt>
                <c:pt idx="5">
                  <c:v>0.32133187711864403</c:v>
                </c:pt>
                <c:pt idx="6">
                  <c:v>0.30110425918079092</c:v>
                </c:pt>
                <c:pt idx="7">
                  <c:v>0.33847401271186439</c:v>
                </c:pt>
                <c:pt idx="8">
                  <c:v>0.33001736864406778</c:v>
                </c:pt>
                <c:pt idx="9">
                  <c:v>0.3324055875706215</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D847-49EA-9FF0-1469E6D2F636}"/>
            </c:ext>
          </c:extLst>
        </c:ser>
        <c:ser>
          <c:idx val="8"/>
          <c:order val="8"/>
          <c:tx>
            <c:strRef>
              <c:f>'2013 E Maize VWC Graphs'!$Z$110</c:f>
              <c:strCache>
                <c:ptCount val="1"/>
                <c:pt idx="0">
                  <c:v>210</c:v>
                </c:pt>
              </c:strCache>
            </c:strRef>
          </c:tx>
          <c:marker>
            <c:symbol val="circle"/>
            <c:size val="8"/>
            <c:spPr>
              <a:solidFill>
                <a:srgbClr val="FFFF99"/>
              </a:solidFill>
            </c:spPr>
          </c:marker>
          <c:xVal>
            <c:numRef>
              <c:f>'2013 E Maize VWC Graphs'!$AQ$110:$AQ$121</c:f>
              <c:numCache>
                <c:formatCode>General</c:formatCode>
                <c:ptCount val="12"/>
                <c:pt idx="0">
                  <c:v>0.1995558964891041</c:v>
                </c:pt>
                <c:pt idx="1">
                  <c:v>0.29072639618644064</c:v>
                </c:pt>
                <c:pt idx="2">
                  <c:v>0.28404799929378527</c:v>
                </c:pt>
                <c:pt idx="3">
                  <c:v>0.27119784251412427</c:v>
                </c:pt>
                <c:pt idx="4">
                  <c:v>0.27013851059322036</c:v>
                </c:pt>
                <c:pt idx="5">
                  <c:v>0.30184938135593214</c:v>
                </c:pt>
                <c:pt idx="6">
                  <c:v>0.29579928107344633</c:v>
                </c:pt>
                <c:pt idx="7">
                  <c:v>0.33782801906779664</c:v>
                </c:pt>
                <c:pt idx="8">
                  <c:v>0.32937137500000002</c:v>
                </c:pt>
                <c:pt idx="9">
                  <c:v>0.3307025134180791</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D847-49EA-9FF0-1469E6D2F636}"/>
            </c:ext>
          </c:extLst>
        </c:ser>
        <c:ser>
          <c:idx val="9"/>
          <c:order val="9"/>
          <c:tx>
            <c:strRef>
              <c:f>'2013 E Maize VWC Graphs'!$Z$123</c:f>
              <c:strCache>
                <c:ptCount val="1"/>
                <c:pt idx="0">
                  <c:v>218</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'2013 E Maize VWC Graphs'!$AQ$123:$AQ$134</c:f>
              <c:numCache>
                <c:formatCode>General</c:formatCode>
                <c:ptCount val="12"/>
                <c:pt idx="0">
                  <c:v>0.20680925968523001</c:v>
                </c:pt>
                <c:pt idx="1">
                  <c:v>0.29342078389830506</c:v>
                </c:pt>
                <c:pt idx="2">
                  <c:v>0.29038096186440676</c:v>
                </c:pt>
                <c:pt idx="3">
                  <c:v>0.2664078199152542</c:v>
                </c:pt>
                <c:pt idx="4">
                  <c:v>0.26219352118644063</c:v>
                </c:pt>
                <c:pt idx="5">
                  <c:v>0.29540127401129945</c:v>
                </c:pt>
                <c:pt idx="6">
                  <c:v>0.30084977683615821</c:v>
                </c:pt>
                <c:pt idx="7">
                  <c:v>0.33594876483050851</c:v>
                </c:pt>
                <c:pt idx="8">
                  <c:v>0.32874495692090394</c:v>
                </c:pt>
                <c:pt idx="9">
                  <c:v>0.32672867372881359</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D847-49EA-9FF0-1469E6D2F636}"/>
            </c:ext>
          </c:extLst>
        </c:ser>
        <c:ser>
          <c:idx val="10"/>
          <c:order val="10"/>
          <c:tx>
            <c:strRef>
              <c:f>'2013 E Maize VWC Graphs'!$Z$136</c:f>
              <c:strCache>
                <c:ptCount val="1"/>
                <c:pt idx="0">
                  <c:v>231</c:v>
                </c:pt>
              </c:strCache>
            </c:strRef>
          </c:tx>
          <c:xVal>
            <c:numRef>
              <c:f>'2013 E Maize VWC Graphs'!$AQ$136:$AQ$147</c:f>
              <c:numCache>
                <c:formatCode>General</c:formatCode>
                <c:ptCount val="12"/>
                <c:pt idx="0">
                  <c:v>0.27255250907990314</c:v>
                </c:pt>
                <c:pt idx="1">
                  <c:v>0.33349116525423728</c:v>
                </c:pt>
                <c:pt idx="2">
                  <c:v>0.32041071892655365</c:v>
                </c:pt>
                <c:pt idx="3">
                  <c:v>0.31048523940677963</c:v>
                </c:pt>
                <c:pt idx="4">
                  <c:v>0.29903984887005647</c:v>
                </c:pt>
                <c:pt idx="5">
                  <c:v>0.30926470480225987</c:v>
                </c:pt>
                <c:pt idx="6">
                  <c:v>0.29576012994350287</c:v>
                </c:pt>
                <c:pt idx="7">
                  <c:v>0.34154737641242938</c:v>
                </c:pt>
                <c:pt idx="8">
                  <c:v>0.32907774152542374</c:v>
                </c:pt>
                <c:pt idx="9">
                  <c:v>0.32815768997175143</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D847-49EA-9FF0-1469E6D2F636}"/>
            </c:ext>
          </c:extLst>
        </c:ser>
        <c:ser>
          <c:idx val="11"/>
          <c:order val="11"/>
          <c:tx>
            <c:strRef>
              <c:f>'2013 E Maize VWC Graphs'!$Z$149</c:f>
              <c:strCache>
                <c:ptCount val="1"/>
                <c:pt idx="0">
                  <c:v>246</c:v>
                </c:pt>
              </c:strCache>
            </c:strRef>
          </c:tx>
          <c:xVal>
            <c:numRef>
              <c:f>'2013 E Maize VWC Graphs'!$AQ$149:$AQ$160</c:f>
              <c:numCache>
                <c:formatCode>General</c:formatCode>
                <c:ptCount val="12"/>
                <c:pt idx="0">
                  <c:v>0.2410505354116223</c:v>
                </c:pt>
                <c:pt idx="1">
                  <c:v>0.2838177097457627</c:v>
                </c:pt>
                <c:pt idx="2">
                  <c:v>0.26594724081920901</c:v>
                </c:pt>
                <c:pt idx="3">
                  <c:v>0.25634416666666665</c:v>
                </c:pt>
                <c:pt idx="4">
                  <c:v>0.2512087097457627</c:v>
                </c:pt>
                <c:pt idx="5">
                  <c:v>0.27727748658192086</c:v>
                </c:pt>
                <c:pt idx="6">
                  <c:v>0.28969170480225986</c:v>
                </c:pt>
                <c:pt idx="7">
                  <c:v>0.33152468714689265</c:v>
                </c:pt>
                <c:pt idx="8">
                  <c:v>0.32751169632768362</c:v>
                </c:pt>
                <c:pt idx="9">
                  <c:v>0.33209237853107348</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D847-49EA-9FF0-1469E6D2F636}"/>
            </c:ext>
          </c:extLst>
        </c:ser>
        <c:ser>
          <c:idx val="12"/>
          <c:order val="12"/>
          <c:tx>
            <c:strRef>
              <c:f>'2013 E Maize VWC Graphs'!$Z$162</c:f>
              <c:strCache>
                <c:ptCount val="1"/>
                <c:pt idx="0">
                  <c:v>253</c:v>
                </c:pt>
              </c:strCache>
            </c:strRef>
          </c:tx>
          <c:spPr>
            <a:ln>
              <a:solidFill>
                <a:srgbClr val="5449E1"/>
              </a:solidFill>
            </a:ln>
          </c:spPr>
          <c:marker>
            <c:symbol val="circle"/>
            <c:size val="8"/>
            <c:spPr>
              <a:solidFill>
                <a:srgbClr val="160B55"/>
              </a:solidFill>
              <a:ln>
                <a:solidFill>
                  <a:srgbClr val="7030A0"/>
                </a:solidFill>
              </a:ln>
            </c:spPr>
          </c:marker>
          <c:xVal>
            <c:numRef>
              <c:f>'2013 E Maize VWC Graphs'!$AQ$162:$AQ$173</c:f>
              <c:numCache>
                <c:formatCode>General</c:formatCode>
                <c:ptCount val="12"/>
                <c:pt idx="0">
                  <c:v>0.22496195853510892</c:v>
                </c:pt>
                <c:pt idx="1">
                  <c:v>0.31516011723163839</c:v>
                </c:pt>
                <c:pt idx="2">
                  <c:v>0.29132514901129941</c:v>
                </c:pt>
                <c:pt idx="3">
                  <c:v>0.27027668432203389</c:v>
                </c:pt>
                <c:pt idx="4">
                  <c:v>0.25155414406779658</c:v>
                </c:pt>
                <c:pt idx="5">
                  <c:v>0.27313227471751411</c:v>
                </c:pt>
                <c:pt idx="6">
                  <c:v>0.28877165324858761</c:v>
                </c:pt>
                <c:pt idx="7">
                  <c:v>0.33379545268361582</c:v>
                </c:pt>
                <c:pt idx="8">
                  <c:v>0.32504517514124298</c:v>
                </c:pt>
                <c:pt idx="9">
                  <c:v>0.32909731709039547</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D847-49EA-9FF0-1469E6D2F636}"/>
            </c:ext>
          </c:extLst>
        </c:ser>
        <c:ser>
          <c:idx val="13"/>
          <c:order val="13"/>
          <c:tx>
            <c:strRef>
              <c:f>'2013 E Maize VWC Graphs'!$Z$175</c:f>
              <c:strCache>
                <c:ptCount val="1"/>
                <c:pt idx="0">
                  <c:v>269</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'2013 E Maize VWC Graphs'!$AQ$175:$AQ$186</c:f>
              <c:numCache>
                <c:formatCode>General</c:formatCode>
                <c:ptCount val="12"/>
                <c:pt idx="0">
                  <c:v>0.27629493583535109</c:v>
                </c:pt>
                <c:pt idx="1">
                  <c:v>0.30861989406779661</c:v>
                </c:pt>
                <c:pt idx="2">
                  <c:v>0.28476189689265535</c:v>
                </c:pt>
                <c:pt idx="3">
                  <c:v>0.26521031426553671</c:v>
                </c:pt>
                <c:pt idx="4">
                  <c:v>0.25362675000000001</c:v>
                </c:pt>
                <c:pt idx="5">
                  <c:v>0.28879196398305085</c:v>
                </c:pt>
                <c:pt idx="6">
                  <c:v>0.2934893644067797</c:v>
                </c:pt>
                <c:pt idx="7">
                  <c:v>0.33228813418079095</c:v>
                </c:pt>
                <c:pt idx="8">
                  <c:v>0.32486899505649719</c:v>
                </c:pt>
                <c:pt idx="9">
                  <c:v>0.32692442937853106</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D847-49EA-9FF0-1469E6D2F636}"/>
            </c:ext>
          </c:extLst>
        </c:ser>
        <c:ser>
          <c:idx val="14"/>
          <c:order val="14"/>
          <c:tx>
            <c:strRef>
              <c:f>'2013 E Maize VWC Graphs'!$Z$188</c:f>
              <c:strCache>
                <c:ptCount val="1"/>
              </c:strCache>
            </c:strRef>
          </c:tx>
          <c:xVal>
            <c:numRef>
              <c:f>'2013 E Maize VWC Graphs'!$AQ$188:$AQ$199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D847-49EA-9FF0-1469E6D2F636}"/>
            </c:ext>
          </c:extLst>
        </c:ser>
        <c:ser>
          <c:idx val="15"/>
          <c:order val="15"/>
          <c:tx>
            <c:v>Porosity</c:v>
          </c:tx>
          <c:spPr>
            <a:ln w="38100">
              <a:solidFill>
                <a:srgbClr val="000000"/>
              </a:solidFill>
              <a:prstDash val="solid"/>
            </a:ln>
          </c:spPr>
          <c:marker>
            <c:symbol val="none"/>
          </c:marker>
          <c:xVal>
            <c:numRef>
              <c:f>'2013 E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'2013 E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0F-D847-49EA-9FF0-1469E6D2F636}"/>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SE tube 15 (lysimeter)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18299915534316311"/>
              <c:y val="4.2274602038381563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26826865765285313"/>
          <c:w val="0.11121338639365544"/>
          <c:h val="0.56563248695036716"/>
        </c:manualLayout>
      </c:layout>
      <c:overlay val="0"/>
      <c:spPr>
        <a:solidFill>
          <a:srgbClr val="FFFFFF"/>
        </a:solidFill>
        <a:ln w="3175">
          <a:noFill/>
          <a:prstDash val="solid"/>
        </a:ln>
      </c:spPr>
      <c:txPr>
        <a:bodyPr/>
        <a:lstStyle/>
        <a:p>
          <a:pPr>
            <a:defRPr sz="8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'2013 E Maize VWC Graphs'!$Z$6</c:f>
              <c:strCache>
                <c:ptCount val="1"/>
                <c:pt idx="0">
                  <c:v>156</c:v>
                </c:pt>
              </c:strCache>
            </c:strRef>
          </c:tx>
          <c:spPr>
            <a:ln>
              <a:solidFill>
                <a:srgbClr val="FF0000"/>
              </a:solidFill>
            </a:ln>
          </c:spPr>
          <c:marker>
            <c:symbol val="triangle"/>
            <c:size val="8"/>
            <c:spPr>
              <a:solidFill>
                <a:srgbClr val="FFFF00"/>
              </a:solidFill>
              <a:ln>
                <a:solidFill>
                  <a:srgbClr val="FF0000"/>
                </a:solidFill>
              </a:ln>
            </c:spPr>
          </c:marker>
          <c:xVal>
            <c:numRef>
              <c:f>'2013 E Maize VWC Graphs'!$AR$6:$AR$17</c:f>
              <c:numCache>
                <c:formatCode>General</c:formatCode>
                <c:ptCount val="12"/>
                <c:pt idx="0">
                  <c:v>0.26533772760290558</c:v>
                </c:pt>
                <c:pt idx="1">
                  <c:v>0.35262822669491528</c:v>
                </c:pt>
                <c:pt idx="2">
                  <c:v>0.35529958545197743</c:v>
                </c:pt>
                <c:pt idx="3">
                  <c:v>0.34026167796610168</c:v>
                </c:pt>
                <c:pt idx="4">
                  <c:v>0.34254154449152541</c:v>
                </c:pt>
                <c:pt idx="5">
                  <c:v>0.3338826574858757</c:v>
                </c:pt>
                <c:pt idx="6">
                  <c:v>0.30570451694915257</c:v>
                </c:pt>
                <c:pt idx="7">
                  <c:v>0.33123105367231642</c:v>
                </c:pt>
                <c:pt idx="8">
                  <c:v>0.32085600423728816</c:v>
                </c:pt>
                <c:pt idx="9">
                  <c:v>0.30012548093220337</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B75A-4655-A118-5E2153CF61B0}"/>
            </c:ext>
          </c:extLst>
        </c:ser>
        <c:ser>
          <c:idx val="4"/>
          <c:order val="1"/>
          <c:tx>
            <c:strRef>
              <c:f>'2013 E Maize VWC Graphs'!$Z$19</c:f>
              <c:strCache>
                <c:ptCount val="1"/>
                <c:pt idx="0">
                  <c:v>157</c:v>
                </c:pt>
              </c:strCache>
            </c:strRef>
          </c:tx>
          <c:spPr>
            <a:ln>
              <a:solidFill>
                <a:srgbClr val="002060"/>
              </a:solidFill>
            </a:ln>
          </c:spPr>
          <c:marker>
            <c:symbol val="square"/>
            <c:size val="7"/>
            <c:spPr>
              <a:noFill/>
            </c:spPr>
          </c:marker>
          <c:xVal>
            <c:numRef>
              <c:f>'2013 E Maize VWC Graphs'!$AR$19:$AR$30</c:f>
              <c:numCache>
                <c:formatCode>General</c:formatCode>
                <c:ptCount val="12"/>
                <c:pt idx="0">
                  <c:v>0.27689339441025124</c:v>
                </c:pt>
                <c:pt idx="1">
                  <c:v>0.36258762617293916</c:v>
                </c:pt>
                <c:pt idx="2">
                  <c:v>0.36158659489456163</c:v>
                </c:pt>
                <c:pt idx="3">
                  <c:v>0.34791397255574619</c:v>
                </c:pt>
                <c:pt idx="4">
                  <c:v>0.34378777045706793</c:v>
                </c:pt>
                <c:pt idx="5">
                  <c:v>0.34408075522147114</c:v>
                </c:pt>
                <c:pt idx="6">
                  <c:v>0.31449947593582883</c:v>
                </c:pt>
                <c:pt idx="7">
                  <c:v>0.33558357814549489</c:v>
                </c:pt>
                <c:pt idx="8">
                  <c:v>0.32245959196851981</c:v>
                </c:pt>
                <c:pt idx="9">
                  <c:v>0.31192774614065177</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B75A-4655-A118-5E2153CF61B0}"/>
            </c:ext>
          </c:extLst>
        </c:ser>
        <c:ser>
          <c:idx val="0"/>
          <c:order val="2"/>
          <c:tx>
            <c:strRef>
              <c:f>'2013 E Maize VWC Graphs'!$Z$32</c:f>
              <c:strCache>
                <c:ptCount val="1"/>
                <c:pt idx="0">
                  <c:v>171</c:v>
                </c:pt>
              </c:strCache>
            </c:strRef>
          </c:tx>
          <c:xVal>
            <c:numRef>
              <c:f>'2013 E Maize VWC Graphs'!$AR$32:$AR$43</c:f>
              <c:numCache>
                <c:formatCode>General</c:formatCode>
                <c:ptCount val="12"/>
                <c:pt idx="0">
                  <c:v>0.23854272366828089</c:v>
                </c:pt>
                <c:pt idx="1">
                  <c:v>0.33899508545197737</c:v>
                </c:pt>
                <c:pt idx="2">
                  <c:v>0.35094711299435027</c:v>
                </c:pt>
                <c:pt idx="3">
                  <c:v>0.33473472881355931</c:v>
                </c:pt>
                <c:pt idx="4">
                  <c:v>0.33109615395480224</c:v>
                </c:pt>
                <c:pt idx="5">
                  <c:v>0.33063557485875705</c:v>
                </c:pt>
                <c:pt idx="6">
                  <c:v>0.29932288276836161</c:v>
                </c:pt>
                <c:pt idx="7">
                  <c:v>0.32876453248587573</c:v>
                </c:pt>
                <c:pt idx="8">
                  <c:v>0.32214799152542373</c:v>
                </c:pt>
                <c:pt idx="9">
                  <c:v>0.31887887217514127</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B75A-4655-A118-5E2153CF61B0}"/>
            </c:ext>
          </c:extLst>
        </c:ser>
        <c:ser>
          <c:idx val="1"/>
          <c:order val="3"/>
          <c:tx>
            <c:strRef>
              <c:f>'2013 E Maize VWC Graphs'!$Z$45</c:f>
              <c:strCache>
                <c:ptCount val="1"/>
                <c:pt idx="0">
                  <c:v>176</c:v>
                </c:pt>
              </c:strCache>
            </c:strRef>
          </c:tx>
          <c:marker>
            <c:symbol val="square"/>
            <c:size val="5"/>
          </c:marker>
          <c:xVal>
            <c:numRef>
              <c:f>'2013 E Maize VWC Graphs'!$AR$45:$AR$56</c:f>
              <c:numCache>
                <c:formatCode>General</c:formatCode>
                <c:ptCount val="12"/>
                <c:pt idx="0">
                  <c:v>0.19762681053268766</c:v>
                </c:pt>
                <c:pt idx="1">
                  <c:v>0.31651882556497174</c:v>
                </c:pt>
                <c:pt idx="2">
                  <c:v>0.33901811440677959</c:v>
                </c:pt>
                <c:pt idx="3">
                  <c:v>0.32462501765536722</c:v>
                </c:pt>
                <c:pt idx="4">
                  <c:v>0.32374991737288134</c:v>
                </c:pt>
                <c:pt idx="5">
                  <c:v>0.32450987288135591</c:v>
                </c:pt>
                <c:pt idx="6">
                  <c:v>0.29693466384180794</c:v>
                </c:pt>
                <c:pt idx="7">
                  <c:v>0.32588692443502826</c:v>
                </c:pt>
                <c:pt idx="8">
                  <c:v>0.32036661511299436</c:v>
                </c:pt>
                <c:pt idx="9">
                  <c:v>0.32443833262711869</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B75A-4655-A118-5E2153CF61B0}"/>
            </c:ext>
          </c:extLst>
        </c:ser>
        <c:ser>
          <c:idx val="2"/>
          <c:order val="4"/>
          <c:tx>
            <c:strRef>
              <c:f>'2013 E Maize VWC Graphs'!$Z$58</c:f>
              <c:strCache>
                <c:ptCount val="1"/>
                <c:pt idx="0">
                  <c:v>183</c:v>
                </c:pt>
              </c:strCache>
            </c:strRef>
          </c:tx>
          <c:marker>
            <c:spPr>
              <a:solidFill>
                <a:srgbClr val="00B050"/>
              </a:solidFill>
            </c:spPr>
          </c:marker>
          <c:xVal>
            <c:numRef>
              <c:f>'2013 E Maize VWC Graphs'!$AR$58:$AR$69</c:f>
              <c:numCache>
                <c:formatCode>General</c:formatCode>
                <c:ptCount val="12"/>
                <c:pt idx="0">
                  <c:v>0.18074730841404357</c:v>
                </c:pt>
                <c:pt idx="1">
                  <c:v>0.28531459180790958</c:v>
                </c:pt>
                <c:pt idx="2">
                  <c:v>0.32255241172316385</c:v>
                </c:pt>
                <c:pt idx="3">
                  <c:v>0.31803873658192089</c:v>
                </c:pt>
                <c:pt idx="4">
                  <c:v>0.32490136511299433</c:v>
                </c:pt>
                <c:pt idx="5">
                  <c:v>0.32338145409604518</c:v>
                </c:pt>
                <c:pt idx="6">
                  <c:v>0.29707169279661017</c:v>
                </c:pt>
                <c:pt idx="7">
                  <c:v>0.32968458403954803</c:v>
                </c:pt>
                <c:pt idx="8">
                  <c:v>0.31835033192090395</c:v>
                </c:pt>
                <c:pt idx="9">
                  <c:v>0.32821641666666668</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B75A-4655-A118-5E2153CF61B0}"/>
            </c:ext>
          </c:extLst>
        </c:ser>
        <c:ser>
          <c:idx val="5"/>
          <c:order val="5"/>
          <c:tx>
            <c:strRef>
              <c:f>'2013 E Maize VWC Graphs'!$Z$71</c:f>
              <c:strCache>
                <c:ptCount val="1"/>
                <c:pt idx="0">
                  <c:v>189</c:v>
                </c:pt>
              </c:strCache>
            </c:strRef>
          </c:tx>
          <c:marker>
            <c:spPr>
              <a:solidFill>
                <a:schemeClr val="accent6">
                  <a:lumMod val="60000"/>
                  <a:lumOff val="40000"/>
                </a:schemeClr>
              </a:solidFill>
            </c:spPr>
          </c:marker>
          <c:xVal>
            <c:numRef>
              <c:f>'2013 E Maize VWC Graphs'!$AR$71:$AR$82</c:f>
              <c:numCache>
                <c:formatCode>General</c:formatCode>
                <c:ptCount val="12"/>
                <c:pt idx="0">
                  <c:v>0.24224656870460048</c:v>
                </c:pt>
                <c:pt idx="1">
                  <c:v>0.28411708615819209</c:v>
                </c:pt>
                <c:pt idx="2">
                  <c:v>0.29535521610169485</c:v>
                </c:pt>
                <c:pt idx="3">
                  <c:v>0.30917258898305083</c:v>
                </c:pt>
                <c:pt idx="4">
                  <c:v>0.31534434887005647</c:v>
                </c:pt>
                <c:pt idx="5">
                  <c:v>0.32333539618644069</c:v>
                </c:pt>
                <c:pt idx="6">
                  <c:v>0.29619079237288137</c:v>
                </c:pt>
                <c:pt idx="7">
                  <c:v>0.33244473870056496</c:v>
                </c:pt>
                <c:pt idx="8">
                  <c:v>0.32238289830508476</c:v>
                </c:pt>
                <c:pt idx="9">
                  <c:v>0.33794547245762713</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B75A-4655-A118-5E2153CF61B0}"/>
            </c:ext>
          </c:extLst>
        </c:ser>
        <c:ser>
          <c:idx val="6"/>
          <c:order val="6"/>
          <c:tx>
            <c:strRef>
              <c:f>'2013 E Maize VWC Graphs'!$Z$84</c:f>
              <c:strCache>
                <c:ptCount val="1"/>
                <c:pt idx="0">
                  <c:v>197</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'2013 E Maize VWC Graphs'!$AR$84:$AR$95</c:f>
              <c:numCache>
                <c:formatCode>General</c:formatCode>
                <c:ptCount val="12"/>
                <c:pt idx="0">
                  <c:v>0.23943010320823244</c:v>
                </c:pt>
                <c:pt idx="1">
                  <c:v>0.28017913488700563</c:v>
                </c:pt>
                <c:pt idx="2">
                  <c:v>0.28356439124293786</c:v>
                </c:pt>
                <c:pt idx="3">
                  <c:v>0.29070336723163837</c:v>
                </c:pt>
                <c:pt idx="4">
                  <c:v>0.31007071822033894</c:v>
                </c:pt>
                <c:pt idx="5">
                  <c:v>0.32474016242937853</c:v>
                </c:pt>
                <c:pt idx="6">
                  <c:v>0.29709126836158195</c:v>
                </c:pt>
                <c:pt idx="7">
                  <c:v>0.32528008192090396</c:v>
                </c:pt>
                <c:pt idx="8">
                  <c:v>0.32432087923728814</c:v>
                </c:pt>
                <c:pt idx="9">
                  <c:v>0.32373361228813563</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B75A-4655-A118-5E2153CF61B0}"/>
            </c:ext>
          </c:extLst>
        </c:ser>
        <c:ser>
          <c:idx val="7"/>
          <c:order val="7"/>
          <c:tx>
            <c:strRef>
              <c:f>'2013 E Maize VWC Graphs'!$Z$97</c:f>
              <c:strCache>
                <c:ptCount val="1"/>
                <c:pt idx="0">
                  <c:v>203</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'2013 E Maize VWC Graphs'!$AR$97:$AR$108</c:f>
              <c:numCache>
                <c:formatCode>General</c:formatCode>
                <c:ptCount val="12"/>
                <c:pt idx="0">
                  <c:v>0.2677683759079903</c:v>
                </c:pt>
                <c:pt idx="1">
                  <c:v>0.34843695692090393</c:v>
                </c:pt>
                <c:pt idx="2">
                  <c:v>0.31165971610169491</c:v>
                </c:pt>
                <c:pt idx="3">
                  <c:v>0.31073855790960453</c:v>
                </c:pt>
                <c:pt idx="4">
                  <c:v>0.31361717725988697</c:v>
                </c:pt>
                <c:pt idx="5">
                  <c:v>0.32446381497175136</c:v>
                </c:pt>
                <c:pt idx="6">
                  <c:v>0.29558394985875708</c:v>
                </c:pt>
                <c:pt idx="7">
                  <c:v>0.33189662288135596</c:v>
                </c:pt>
                <c:pt idx="8">
                  <c:v>0.3175281581920904</c:v>
                </c:pt>
                <c:pt idx="9">
                  <c:v>0.34017708686440679</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B75A-4655-A118-5E2153CF61B0}"/>
            </c:ext>
          </c:extLst>
        </c:ser>
        <c:ser>
          <c:idx val="8"/>
          <c:order val="8"/>
          <c:tx>
            <c:strRef>
              <c:f>'2013 E Maize VWC Graphs'!$Z$110</c:f>
              <c:strCache>
                <c:ptCount val="1"/>
                <c:pt idx="0">
                  <c:v>210</c:v>
                </c:pt>
              </c:strCache>
            </c:strRef>
          </c:tx>
          <c:marker>
            <c:symbol val="circle"/>
            <c:size val="8"/>
            <c:spPr>
              <a:solidFill>
                <a:srgbClr val="FFFF99"/>
              </a:solidFill>
            </c:spPr>
          </c:marker>
          <c:xVal>
            <c:numRef>
              <c:f>'2013 E Maize VWC Graphs'!$AR$110:$AR$121</c:f>
              <c:numCache>
                <c:formatCode>General</c:formatCode>
                <c:ptCount val="12"/>
                <c:pt idx="0">
                  <c:v>0.19687446700968525</c:v>
                </c:pt>
                <c:pt idx="1">
                  <c:v>0.29438799999999998</c:v>
                </c:pt>
                <c:pt idx="2">
                  <c:v>0.29431891313559322</c:v>
                </c:pt>
                <c:pt idx="3">
                  <c:v>0.27315530367231639</c:v>
                </c:pt>
                <c:pt idx="4">
                  <c:v>0.27548122810734466</c:v>
                </c:pt>
                <c:pt idx="5">
                  <c:v>0.30988648658192086</c:v>
                </c:pt>
                <c:pt idx="6">
                  <c:v>0.29213865042372883</c:v>
                </c:pt>
                <c:pt idx="7">
                  <c:v>0.32986076412429377</c:v>
                </c:pt>
                <c:pt idx="8">
                  <c:v>0.31948571468926551</c:v>
                </c:pt>
                <c:pt idx="9">
                  <c:v>0.32819684110169495</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B75A-4655-A118-5E2153CF61B0}"/>
            </c:ext>
          </c:extLst>
        </c:ser>
        <c:ser>
          <c:idx val="9"/>
          <c:order val="9"/>
          <c:tx>
            <c:strRef>
              <c:f>'2013 E Maize VWC Graphs'!$Z$123</c:f>
              <c:strCache>
                <c:ptCount val="1"/>
                <c:pt idx="0">
                  <c:v>218</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'2013 E Maize VWC Graphs'!$AR$123:$AR$134</c:f>
              <c:numCache>
                <c:formatCode>General</c:formatCode>
                <c:ptCount val="12"/>
                <c:pt idx="0">
                  <c:v>0.19432807354721549</c:v>
                </c:pt>
                <c:pt idx="1">
                  <c:v>0.28545276553672316</c:v>
                </c:pt>
                <c:pt idx="2">
                  <c:v>0.26854951271186439</c:v>
                </c:pt>
                <c:pt idx="3">
                  <c:v>0.26560180649717513</c:v>
                </c:pt>
                <c:pt idx="4">
                  <c:v>0.30645517231638414</c:v>
                </c:pt>
                <c:pt idx="5">
                  <c:v>0.30148091807909599</c:v>
                </c:pt>
                <c:pt idx="6">
                  <c:v>0.32786405649717515</c:v>
                </c:pt>
                <c:pt idx="7">
                  <c:v>0.32831429449152544</c:v>
                </c:pt>
                <c:pt idx="8">
                  <c:v>0.31494418361581922</c:v>
                </c:pt>
                <c:pt idx="9">
                  <c:v>0.32389021680790958</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B75A-4655-A118-5E2153CF61B0}"/>
            </c:ext>
          </c:extLst>
        </c:ser>
        <c:ser>
          <c:idx val="10"/>
          <c:order val="10"/>
          <c:tx>
            <c:strRef>
              <c:f>'2013 E Maize VWC Graphs'!$Z$136</c:f>
              <c:strCache>
                <c:ptCount val="1"/>
                <c:pt idx="0">
                  <c:v>231</c:v>
                </c:pt>
              </c:strCache>
            </c:strRef>
          </c:tx>
          <c:xVal>
            <c:numRef>
              <c:f>'2013 E Maize VWC Graphs'!$AR$136:$AR$147</c:f>
              <c:numCache>
                <c:formatCode>General</c:formatCode>
                <c:ptCount val="12"/>
                <c:pt idx="0">
                  <c:v>0.27174229297820823</c:v>
                </c:pt>
                <c:pt idx="1">
                  <c:v>0.32860902683615817</c:v>
                </c:pt>
                <c:pt idx="2">
                  <c:v>0.30461285593220339</c:v>
                </c:pt>
                <c:pt idx="3">
                  <c:v>0.30495829025423726</c:v>
                </c:pt>
                <c:pt idx="4">
                  <c:v>0.29675998234463274</c:v>
                </c:pt>
                <c:pt idx="5">
                  <c:v>0.31099187641242937</c:v>
                </c:pt>
                <c:pt idx="6">
                  <c:v>0.29350893997175143</c:v>
                </c:pt>
                <c:pt idx="7">
                  <c:v>0.32804023658192094</c:v>
                </c:pt>
                <c:pt idx="8">
                  <c:v>0.31533569491525426</c:v>
                </c:pt>
                <c:pt idx="9">
                  <c:v>0.32437960593220339</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B75A-4655-A118-5E2153CF61B0}"/>
            </c:ext>
          </c:extLst>
        </c:ser>
        <c:ser>
          <c:idx val="11"/>
          <c:order val="11"/>
          <c:tx>
            <c:strRef>
              <c:f>'2013 E Maize VWC Graphs'!$Z$149</c:f>
              <c:strCache>
                <c:ptCount val="1"/>
                <c:pt idx="0">
                  <c:v>246</c:v>
                </c:pt>
              </c:strCache>
            </c:strRef>
          </c:tx>
          <c:xVal>
            <c:numRef>
              <c:f>'2013 E Maize VWC Graphs'!$AR$149:$AR$160</c:f>
              <c:numCache>
                <c:formatCode>General</c:formatCode>
                <c:ptCount val="12"/>
                <c:pt idx="0">
                  <c:v>0.22322578117433417</c:v>
                </c:pt>
                <c:pt idx="1">
                  <c:v>0.27460612782485871</c:v>
                </c:pt>
                <c:pt idx="2">
                  <c:v>0.27603392302259888</c:v>
                </c:pt>
                <c:pt idx="3">
                  <c:v>0.26309165042372878</c:v>
                </c:pt>
                <c:pt idx="4">
                  <c:v>0.2546630529661017</c:v>
                </c:pt>
                <c:pt idx="5">
                  <c:v>0.27626421257062145</c:v>
                </c:pt>
                <c:pt idx="6">
                  <c:v>0.28295771045197743</c:v>
                </c:pt>
                <c:pt idx="7">
                  <c:v>0.3295084039548023</c:v>
                </c:pt>
                <c:pt idx="8">
                  <c:v>0.31664725776836161</c:v>
                </c:pt>
                <c:pt idx="9">
                  <c:v>0.33776929237288139</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B75A-4655-A118-5E2153CF61B0}"/>
            </c:ext>
          </c:extLst>
        </c:ser>
        <c:ser>
          <c:idx val="12"/>
          <c:order val="12"/>
          <c:tx>
            <c:strRef>
              <c:f>'2013 E Maize VWC Graphs'!$Z$162</c:f>
              <c:strCache>
                <c:ptCount val="1"/>
                <c:pt idx="0">
                  <c:v>253</c:v>
                </c:pt>
              </c:strCache>
            </c:strRef>
          </c:tx>
          <c:spPr>
            <a:ln>
              <a:solidFill>
                <a:srgbClr val="5449E1"/>
              </a:solidFill>
            </a:ln>
          </c:spPr>
          <c:marker>
            <c:symbol val="circle"/>
            <c:size val="8"/>
            <c:spPr>
              <a:solidFill>
                <a:srgbClr val="160B55"/>
              </a:solidFill>
              <a:ln>
                <a:solidFill>
                  <a:srgbClr val="7030A0"/>
                </a:solidFill>
              </a:ln>
            </c:spPr>
          </c:marker>
          <c:xVal>
            <c:numRef>
              <c:f>'2013 E Maize VWC Graphs'!$AR$162:$AR$173</c:f>
              <c:numCache>
                <c:formatCode>General</c:formatCode>
                <c:ptCount val="12"/>
                <c:pt idx="0">
                  <c:v>0.19272693220338982</c:v>
                </c:pt>
                <c:pt idx="1">
                  <c:v>0.26990822104519774</c:v>
                </c:pt>
                <c:pt idx="2">
                  <c:v>0.27672479166666664</c:v>
                </c:pt>
                <c:pt idx="3">
                  <c:v>0.26175597104519771</c:v>
                </c:pt>
                <c:pt idx="4">
                  <c:v>0.2447606024011299</c:v>
                </c:pt>
                <c:pt idx="5">
                  <c:v>0.26744412288135594</c:v>
                </c:pt>
                <c:pt idx="6">
                  <c:v>0.27763315677966099</c:v>
                </c:pt>
                <c:pt idx="7">
                  <c:v>0.32226544491525422</c:v>
                </c:pt>
                <c:pt idx="8">
                  <c:v>0.31842863418079098</c:v>
                </c:pt>
                <c:pt idx="9">
                  <c:v>0.32555413983050852</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B75A-4655-A118-5E2153CF61B0}"/>
            </c:ext>
          </c:extLst>
        </c:ser>
        <c:ser>
          <c:idx val="13"/>
          <c:order val="13"/>
          <c:tx>
            <c:strRef>
              <c:f>'2013 E Maize VWC Graphs'!$Z$175</c:f>
              <c:strCache>
                <c:ptCount val="1"/>
                <c:pt idx="0">
                  <c:v>269</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'2013 E Maize VWC Graphs'!$AR$175:$AR$186</c:f>
              <c:numCache>
                <c:formatCode>General</c:formatCode>
                <c:ptCount val="12"/>
                <c:pt idx="0">
                  <c:v>0.2586052176150121</c:v>
                </c:pt>
                <c:pt idx="1">
                  <c:v>0.27520488064971749</c:v>
                </c:pt>
                <c:pt idx="2">
                  <c:v>0.26919432344632765</c:v>
                </c:pt>
                <c:pt idx="3">
                  <c:v>0.25530786370056496</c:v>
                </c:pt>
                <c:pt idx="4">
                  <c:v>0.2406614484463277</c:v>
                </c:pt>
                <c:pt idx="5">
                  <c:v>0.2775308050847457</c:v>
                </c:pt>
                <c:pt idx="6">
                  <c:v>0.28712730579096046</c:v>
                </c:pt>
                <c:pt idx="7">
                  <c:v>0.32265695621468926</c:v>
                </c:pt>
                <c:pt idx="8">
                  <c:v>0.3220696892655367</c:v>
                </c:pt>
                <c:pt idx="9">
                  <c:v>0.32833387005649722</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B75A-4655-A118-5E2153CF61B0}"/>
            </c:ext>
          </c:extLst>
        </c:ser>
        <c:ser>
          <c:idx val="14"/>
          <c:order val="14"/>
          <c:tx>
            <c:strRef>
              <c:f>'2013 E Maize VWC Graphs'!$Z$188</c:f>
              <c:strCache>
                <c:ptCount val="1"/>
              </c:strCache>
            </c:strRef>
          </c:tx>
          <c:xVal>
            <c:numRef>
              <c:f>'2013 E Maize VWC Graphs'!$AR$188:$AR$199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B75A-4655-A118-5E2153CF61B0}"/>
            </c:ext>
          </c:extLst>
        </c:ser>
        <c:ser>
          <c:idx val="15"/>
          <c:order val="15"/>
          <c:tx>
            <c:v>Porosity</c:v>
          </c:tx>
          <c:spPr>
            <a:ln w="38100">
              <a:solidFill>
                <a:srgbClr val="000000"/>
              </a:solidFill>
              <a:prstDash val="solid"/>
            </a:ln>
          </c:spPr>
          <c:marker>
            <c:symbol val="none"/>
          </c:marker>
          <c:xVal>
            <c:numRef>
              <c:f>'2013 E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'2013 E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0F-B75A-4655-A118-5E2153CF61B0}"/>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SE tube 16 (lysimeter)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18299915534316311"/>
              <c:y val="4.2274602038381563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26826865765285313"/>
          <c:w val="0.11121338639365544"/>
          <c:h val="0.56563248695036716"/>
        </c:manualLayout>
      </c:layout>
      <c:overlay val="0"/>
      <c:spPr>
        <a:solidFill>
          <a:srgbClr val="FFFFFF"/>
        </a:solidFill>
        <a:ln w="3175">
          <a:noFill/>
          <a:prstDash val="solid"/>
        </a:ln>
      </c:spPr>
      <c:txPr>
        <a:bodyPr/>
        <a:lstStyle/>
        <a:p>
          <a:pPr>
            <a:defRPr sz="8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'2013 E Maize VWC Graphs'!$Z$6</c:f>
              <c:strCache>
                <c:ptCount val="1"/>
                <c:pt idx="0">
                  <c:v>156</c:v>
                </c:pt>
              </c:strCache>
            </c:strRef>
          </c:tx>
          <c:spPr>
            <a:ln>
              <a:solidFill>
                <a:srgbClr val="FF0000"/>
              </a:solidFill>
            </a:ln>
          </c:spPr>
          <c:marker>
            <c:symbol val="triangle"/>
            <c:size val="8"/>
            <c:spPr>
              <a:solidFill>
                <a:srgbClr val="FFFF00"/>
              </a:solidFill>
              <a:ln>
                <a:solidFill>
                  <a:srgbClr val="FF0000"/>
                </a:solidFill>
              </a:ln>
            </c:spPr>
          </c:marker>
          <c:xVal>
            <c:numRef>
              <c:f>'2013 E Maize VWC Graphs'!$AS$6:$AS$17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4546-46E1-A48C-97659C682D50}"/>
            </c:ext>
          </c:extLst>
        </c:ser>
        <c:ser>
          <c:idx val="4"/>
          <c:order val="1"/>
          <c:tx>
            <c:strRef>
              <c:f>'2013 E Maize VWC Graphs'!$Z$19</c:f>
              <c:strCache>
                <c:ptCount val="1"/>
                <c:pt idx="0">
                  <c:v>157</c:v>
                </c:pt>
              </c:strCache>
            </c:strRef>
          </c:tx>
          <c:spPr>
            <a:ln>
              <a:solidFill>
                <a:srgbClr val="002060"/>
              </a:solidFill>
            </a:ln>
          </c:spPr>
          <c:marker>
            <c:symbol val="square"/>
            <c:size val="7"/>
            <c:spPr>
              <a:noFill/>
            </c:spPr>
          </c:marker>
          <c:xVal>
            <c:numRef>
              <c:f>'2013 E Maize VWC Graphs'!$AS$19:$AS$30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4546-46E1-A48C-97659C682D50}"/>
            </c:ext>
          </c:extLst>
        </c:ser>
        <c:ser>
          <c:idx val="0"/>
          <c:order val="2"/>
          <c:tx>
            <c:strRef>
              <c:f>'2013 E Maize VWC Graphs'!$Z$32</c:f>
              <c:strCache>
                <c:ptCount val="1"/>
                <c:pt idx="0">
                  <c:v>171</c:v>
                </c:pt>
              </c:strCache>
            </c:strRef>
          </c:tx>
          <c:xVal>
            <c:numRef>
              <c:f>'2013 E Maize VWC Graphs'!$AS$32:$AS$43</c:f>
              <c:numCache>
                <c:formatCode>General</c:formatCode>
                <c:ptCount val="12"/>
                <c:pt idx="0">
                  <c:v>0.27942005508474577</c:v>
                </c:pt>
                <c:pt idx="1">
                  <c:v>0.34779214618644066</c:v>
                </c:pt>
                <c:pt idx="2">
                  <c:v>0.3614022584745763</c:v>
                </c:pt>
                <c:pt idx="3">
                  <c:v>0.35083196822033896</c:v>
                </c:pt>
                <c:pt idx="4">
                  <c:v>0.34756185663841804</c:v>
                </c:pt>
                <c:pt idx="5">
                  <c:v>0.34530501906779659</c:v>
                </c:pt>
                <c:pt idx="6">
                  <c:v>0.30836679378531073</c:v>
                </c:pt>
                <c:pt idx="7">
                  <c:v>0.3246928149717514</c:v>
                </c:pt>
                <c:pt idx="8">
                  <c:v>0.32363573446327687</c:v>
                </c:pt>
                <c:pt idx="9">
                  <c:v>0.31895717443502825</c:v>
                </c:pt>
                <c:pt idx="10">
                  <c:v>0.30797528248587575</c:v>
                </c:pt>
                <c:pt idx="11">
                  <c:v>0.29965566737288141</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4546-46E1-A48C-97659C682D50}"/>
            </c:ext>
          </c:extLst>
        </c:ser>
        <c:ser>
          <c:idx val="1"/>
          <c:order val="3"/>
          <c:tx>
            <c:strRef>
              <c:f>'2013 E Maize VWC Graphs'!$Z$45</c:f>
              <c:strCache>
                <c:ptCount val="1"/>
                <c:pt idx="0">
                  <c:v>176</c:v>
                </c:pt>
              </c:strCache>
            </c:strRef>
          </c:tx>
          <c:marker>
            <c:symbol val="square"/>
            <c:size val="5"/>
          </c:marker>
          <c:xVal>
            <c:numRef>
              <c:f>'2013 E Maize VWC Graphs'!$AS$45:$AS$56</c:f>
              <c:numCache>
                <c:formatCode>General</c:formatCode>
                <c:ptCount val="12"/>
                <c:pt idx="0">
                  <c:v>0.22692962621065377</c:v>
                </c:pt>
                <c:pt idx="1">
                  <c:v>0.34187370480225987</c:v>
                </c:pt>
                <c:pt idx="2">
                  <c:v>0.36646862853107343</c:v>
                </c:pt>
                <c:pt idx="3">
                  <c:v>0.34636435098870055</c:v>
                </c:pt>
                <c:pt idx="4">
                  <c:v>0.34645646680790959</c:v>
                </c:pt>
                <c:pt idx="5">
                  <c:v>0.34583468502824855</c:v>
                </c:pt>
                <c:pt idx="6">
                  <c:v>0.31341728954802262</c:v>
                </c:pt>
                <c:pt idx="7">
                  <c:v>0.32784448093220342</c:v>
                </c:pt>
                <c:pt idx="8">
                  <c:v>0.32054279519774015</c:v>
                </c:pt>
                <c:pt idx="9">
                  <c:v>0.32269610734463278</c:v>
                </c:pt>
                <c:pt idx="10">
                  <c:v>0.30360993149717513</c:v>
                </c:pt>
                <c:pt idx="11">
                  <c:v>0.30145661935028251</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4546-46E1-A48C-97659C682D50}"/>
            </c:ext>
          </c:extLst>
        </c:ser>
        <c:ser>
          <c:idx val="2"/>
          <c:order val="4"/>
          <c:tx>
            <c:strRef>
              <c:f>'2013 E Maize VWC Graphs'!$Z$58</c:f>
              <c:strCache>
                <c:ptCount val="1"/>
                <c:pt idx="0">
                  <c:v>183</c:v>
                </c:pt>
              </c:strCache>
            </c:strRef>
          </c:tx>
          <c:marker>
            <c:spPr>
              <a:solidFill>
                <a:srgbClr val="00B050"/>
              </a:solidFill>
            </c:spPr>
          </c:marker>
          <c:xVal>
            <c:numRef>
              <c:f>'2013 E Maize VWC Graphs'!$AS$58:$AS$69</c:f>
              <c:numCache>
                <c:formatCode>General</c:formatCode>
                <c:ptCount val="12"/>
                <c:pt idx="0">
                  <c:v>0.20358768613801453</c:v>
                </c:pt>
                <c:pt idx="1">
                  <c:v>0.31442319067796609</c:v>
                </c:pt>
                <c:pt idx="2">
                  <c:v>0.36103379519774015</c:v>
                </c:pt>
                <c:pt idx="3">
                  <c:v>0.35152283686440677</c:v>
                </c:pt>
                <c:pt idx="4">
                  <c:v>0.34968052048022596</c:v>
                </c:pt>
                <c:pt idx="5">
                  <c:v>0.35062470762711861</c:v>
                </c:pt>
                <c:pt idx="6">
                  <c:v>0.31288874929378535</c:v>
                </c:pt>
                <c:pt idx="7">
                  <c:v>0.32553456426553673</c:v>
                </c:pt>
                <c:pt idx="8">
                  <c:v>0.31762603601694916</c:v>
                </c:pt>
                <c:pt idx="9">
                  <c:v>0.31915293008474577</c:v>
                </c:pt>
                <c:pt idx="10">
                  <c:v>0.30967835663841808</c:v>
                </c:pt>
                <c:pt idx="11">
                  <c:v>0.30697692867231641</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4546-46E1-A48C-97659C682D50}"/>
            </c:ext>
          </c:extLst>
        </c:ser>
        <c:ser>
          <c:idx val="5"/>
          <c:order val="5"/>
          <c:tx>
            <c:strRef>
              <c:f>'2013 E Maize VWC Graphs'!$Z$71</c:f>
              <c:strCache>
                <c:ptCount val="1"/>
                <c:pt idx="0">
                  <c:v>189</c:v>
                </c:pt>
              </c:strCache>
            </c:strRef>
          </c:tx>
          <c:marker>
            <c:spPr>
              <a:solidFill>
                <a:schemeClr val="accent6">
                  <a:lumMod val="60000"/>
                  <a:lumOff val="40000"/>
                </a:schemeClr>
              </a:solidFill>
            </c:spPr>
          </c:marker>
          <c:xVal>
            <c:numRef>
              <c:f>'2013 E Maize VWC Graphs'!$AS$71:$AS$82</c:f>
              <c:numCache>
                <c:formatCode>General</c:formatCode>
                <c:ptCount val="12"/>
                <c:pt idx="0">
                  <c:v>0.26352438680387408</c:v>
                </c:pt>
                <c:pt idx="1">
                  <c:v>0.31306448234463274</c:v>
                </c:pt>
                <c:pt idx="2">
                  <c:v>0.34984172316384177</c:v>
                </c:pt>
                <c:pt idx="3">
                  <c:v>0.34689401694915256</c:v>
                </c:pt>
                <c:pt idx="4">
                  <c:v>0.35044047598870054</c:v>
                </c:pt>
                <c:pt idx="5">
                  <c:v>0.3442687161016949</c:v>
                </c:pt>
                <c:pt idx="6">
                  <c:v>0.31363262076271187</c:v>
                </c:pt>
                <c:pt idx="7">
                  <c:v>0.32668952259887007</c:v>
                </c:pt>
                <c:pt idx="8">
                  <c:v>0.32040576624293787</c:v>
                </c:pt>
                <c:pt idx="9">
                  <c:v>0.32253950282485877</c:v>
                </c:pt>
                <c:pt idx="10">
                  <c:v>0.30687905084745765</c:v>
                </c:pt>
                <c:pt idx="11">
                  <c:v>0.30067359675141242</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4546-46E1-A48C-97659C682D50}"/>
            </c:ext>
          </c:extLst>
        </c:ser>
        <c:ser>
          <c:idx val="6"/>
          <c:order val="6"/>
          <c:tx>
            <c:strRef>
              <c:f>'2013 E Maize VWC Graphs'!$Z$84</c:f>
              <c:strCache>
                <c:ptCount val="1"/>
                <c:pt idx="0">
                  <c:v>197</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'2013 E Maize VWC Graphs'!$AS$84:$AS$95</c:f>
              <c:numCache>
                <c:formatCode>General</c:formatCode>
                <c:ptCount val="12"/>
                <c:pt idx="0">
                  <c:v>0.24197649667070215</c:v>
                </c:pt>
                <c:pt idx="1">
                  <c:v>0.33623161087570619</c:v>
                </c:pt>
                <c:pt idx="2">
                  <c:v>0.34848301483050848</c:v>
                </c:pt>
                <c:pt idx="3">
                  <c:v>0.34622617725988697</c:v>
                </c:pt>
                <c:pt idx="4">
                  <c:v>0.34760791454802259</c:v>
                </c:pt>
                <c:pt idx="5">
                  <c:v>0.34532804802259881</c:v>
                </c:pt>
                <c:pt idx="6">
                  <c:v>0.31257554025423728</c:v>
                </c:pt>
                <c:pt idx="7">
                  <c:v>0.32377276341807915</c:v>
                </c:pt>
                <c:pt idx="8">
                  <c:v>0.32107133545197741</c:v>
                </c:pt>
                <c:pt idx="9">
                  <c:v>0.32161945127118646</c:v>
                </c:pt>
                <c:pt idx="10">
                  <c:v>0.3067615974576271</c:v>
                </c:pt>
                <c:pt idx="11">
                  <c:v>0.30194600847457631</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4546-46E1-A48C-97659C682D50}"/>
            </c:ext>
          </c:extLst>
        </c:ser>
        <c:ser>
          <c:idx val="7"/>
          <c:order val="7"/>
          <c:tx>
            <c:strRef>
              <c:f>'2013 E Maize VWC Graphs'!$Z$97</c:f>
              <c:strCache>
                <c:ptCount val="1"/>
                <c:pt idx="0">
                  <c:v>203</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'2013 E Maize VWC Graphs'!$AS$97:$AS$108</c:f>
              <c:numCache>
                <c:formatCode>General</c:formatCode>
                <c:ptCount val="12"/>
                <c:pt idx="0">
                  <c:v>0.3010258177966102</c:v>
                </c:pt>
                <c:pt idx="1">
                  <c:v>0.3388108538135593</c:v>
                </c:pt>
                <c:pt idx="2">
                  <c:v>0.35021018644067797</c:v>
                </c:pt>
                <c:pt idx="3">
                  <c:v>0.34740065395480224</c:v>
                </c:pt>
                <c:pt idx="4">
                  <c:v>0.34521290324858755</c:v>
                </c:pt>
                <c:pt idx="5">
                  <c:v>0.34284092090395474</c:v>
                </c:pt>
                <c:pt idx="6">
                  <c:v>0.31126397740112993</c:v>
                </c:pt>
                <c:pt idx="7">
                  <c:v>0.32394894350282488</c:v>
                </c:pt>
                <c:pt idx="8">
                  <c:v>0.31564890395480227</c:v>
                </c:pt>
                <c:pt idx="9">
                  <c:v>0.32367488559322033</c:v>
                </c:pt>
                <c:pt idx="10">
                  <c:v>0.30366865819209038</c:v>
                </c:pt>
                <c:pt idx="11">
                  <c:v>0.30374696045197741</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4546-46E1-A48C-97659C682D50}"/>
            </c:ext>
          </c:extLst>
        </c:ser>
        <c:ser>
          <c:idx val="8"/>
          <c:order val="8"/>
          <c:tx>
            <c:strRef>
              <c:f>'2013 E Maize VWC Graphs'!$Z$110</c:f>
              <c:strCache>
                <c:ptCount val="1"/>
                <c:pt idx="0">
                  <c:v>210</c:v>
                </c:pt>
              </c:strCache>
            </c:strRef>
          </c:tx>
          <c:marker>
            <c:symbol val="circle"/>
            <c:size val="8"/>
            <c:spPr>
              <a:solidFill>
                <a:srgbClr val="FFFF99"/>
              </a:solidFill>
            </c:spPr>
          </c:marker>
          <c:xVal>
            <c:numRef>
              <c:f>'2013 E Maize VWC Graphs'!$AS$110:$AS$121</c:f>
              <c:numCache>
                <c:formatCode>General</c:formatCode>
                <c:ptCount val="12"/>
                <c:pt idx="0">
                  <c:v>0.21186346489104113</c:v>
                </c:pt>
                <c:pt idx="1">
                  <c:v>0.298026574858757</c:v>
                </c:pt>
                <c:pt idx="2">
                  <c:v>0.32764181073446325</c:v>
                </c:pt>
                <c:pt idx="3">
                  <c:v>0.31142942655367228</c:v>
                </c:pt>
                <c:pt idx="4">
                  <c:v>0.32421049646892652</c:v>
                </c:pt>
                <c:pt idx="5">
                  <c:v>0.33920234604519772</c:v>
                </c:pt>
                <c:pt idx="6">
                  <c:v>0.30932599646892656</c:v>
                </c:pt>
                <c:pt idx="7">
                  <c:v>0.31987722598870061</c:v>
                </c:pt>
                <c:pt idx="8">
                  <c:v>0.31958359251412433</c:v>
                </c:pt>
                <c:pt idx="9">
                  <c:v>0.31770433827683614</c:v>
                </c:pt>
                <c:pt idx="10">
                  <c:v>0.30533258121468926</c:v>
                </c:pt>
                <c:pt idx="11">
                  <c:v>0.29904882485875706</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4546-46E1-A48C-97659C682D50}"/>
            </c:ext>
          </c:extLst>
        </c:ser>
        <c:ser>
          <c:idx val="9"/>
          <c:order val="9"/>
          <c:tx>
            <c:strRef>
              <c:f>'2013 E Maize VWC Graphs'!$Z$123</c:f>
              <c:strCache>
                <c:ptCount val="1"/>
                <c:pt idx="0">
                  <c:v>218</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'2013 E Maize VWC Graphs'!$AS$123:$AS$134</c:f>
              <c:numCache>
                <c:formatCode>General</c:formatCode>
                <c:ptCount val="12"/>
                <c:pt idx="0">
                  <c:v>0.21053239558111381</c:v>
                </c:pt>
                <c:pt idx="1">
                  <c:v>0.31343294562146889</c:v>
                </c:pt>
                <c:pt idx="2">
                  <c:v>0.33065860381355933</c:v>
                </c:pt>
                <c:pt idx="3">
                  <c:v>0.31099187641242937</c:v>
                </c:pt>
                <c:pt idx="4">
                  <c:v>0.31907503954802258</c:v>
                </c:pt>
                <c:pt idx="5">
                  <c:v>0.3331457309322034</c:v>
                </c:pt>
                <c:pt idx="6">
                  <c:v>0.31281044703389832</c:v>
                </c:pt>
                <c:pt idx="7">
                  <c:v>0.31308450494350282</c:v>
                </c:pt>
                <c:pt idx="8">
                  <c:v>0.31488545692090397</c:v>
                </c:pt>
                <c:pt idx="9">
                  <c:v>0.32197181144067799</c:v>
                </c:pt>
                <c:pt idx="10">
                  <c:v>0.30578281920903955</c:v>
                </c:pt>
                <c:pt idx="11">
                  <c:v>0.29830495338983049</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4546-46E1-A48C-97659C682D50}"/>
            </c:ext>
          </c:extLst>
        </c:ser>
        <c:ser>
          <c:idx val="10"/>
          <c:order val="10"/>
          <c:tx>
            <c:strRef>
              <c:f>'2013 E Maize VWC Graphs'!$Z$136</c:f>
              <c:strCache>
                <c:ptCount val="1"/>
                <c:pt idx="0">
                  <c:v>231</c:v>
                </c:pt>
              </c:strCache>
            </c:strRef>
          </c:tx>
          <c:xVal>
            <c:numRef>
              <c:f>'2013 E Maize VWC Graphs'!$AS$136:$AS$147</c:f>
              <c:numCache>
                <c:formatCode>General</c:formatCode>
                <c:ptCount val="12"/>
                <c:pt idx="0">
                  <c:v>0.29064733535108961</c:v>
                </c:pt>
                <c:pt idx="1">
                  <c:v>0.33091192231638417</c:v>
                </c:pt>
                <c:pt idx="2">
                  <c:v>0.34634132203389828</c:v>
                </c:pt>
                <c:pt idx="3">
                  <c:v>0.32294390395480227</c:v>
                </c:pt>
                <c:pt idx="4">
                  <c:v>0.32107855861581919</c:v>
                </c:pt>
                <c:pt idx="5">
                  <c:v>0.33685339265536718</c:v>
                </c:pt>
                <c:pt idx="6">
                  <c:v>0.30779910240112995</c:v>
                </c:pt>
                <c:pt idx="7">
                  <c:v>0.31508121257062144</c:v>
                </c:pt>
                <c:pt idx="8">
                  <c:v>0.31547272387005654</c:v>
                </c:pt>
                <c:pt idx="9">
                  <c:v>0.31670598446327686</c:v>
                </c:pt>
                <c:pt idx="10">
                  <c:v>0.30685947528248592</c:v>
                </c:pt>
                <c:pt idx="11">
                  <c:v>0.29932288276836161</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4546-46E1-A48C-97659C682D50}"/>
            </c:ext>
          </c:extLst>
        </c:ser>
        <c:ser>
          <c:idx val="11"/>
          <c:order val="11"/>
          <c:tx>
            <c:strRef>
              <c:f>'2013 E Maize VWC Graphs'!$Z$149</c:f>
              <c:strCache>
                <c:ptCount val="1"/>
                <c:pt idx="0">
                  <c:v>246</c:v>
                </c:pt>
              </c:strCache>
            </c:strRef>
          </c:tx>
          <c:xVal>
            <c:numRef>
              <c:f>'2013 E Maize VWC Graphs'!$AS$149:$AS$160</c:f>
              <c:numCache>
                <c:formatCode>General</c:formatCode>
                <c:ptCount val="12"/>
                <c:pt idx="0">
                  <c:v>0.23306411955205814</c:v>
                </c:pt>
                <c:pt idx="1">
                  <c:v>0.29372016031073445</c:v>
                </c:pt>
                <c:pt idx="2">
                  <c:v>0.30657031709039545</c:v>
                </c:pt>
                <c:pt idx="3">
                  <c:v>0.27304015889830507</c:v>
                </c:pt>
                <c:pt idx="4">
                  <c:v>0.27154327683615814</c:v>
                </c:pt>
                <c:pt idx="5">
                  <c:v>0.31177486087570616</c:v>
                </c:pt>
                <c:pt idx="6">
                  <c:v>0.30175025282485873</c:v>
                </c:pt>
                <c:pt idx="7">
                  <c:v>0.31494418361581922</c:v>
                </c:pt>
                <c:pt idx="8">
                  <c:v>0.31097034392655371</c:v>
                </c:pt>
                <c:pt idx="9">
                  <c:v>0.3147484279661017</c:v>
                </c:pt>
                <c:pt idx="10">
                  <c:v>0.30039953884180792</c:v>
                </c:pt>
                <c:pt idx="11">
                  <c:v>0.29691508827683616</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4546-46E1-A48C-97659C682D50}"/>
            </c:ext>
          </c:extLst>
        </c:ser>
        <c:ser>
          <c:idx val="12"/>
          <c:order val="12"/>
          <c:tx>
            <c:strRef>
              <c:f>'2013 E Maize VWC Graphs'!$Z$162</c:f>
              <c:strCache>
                <c:ptCount val="1"/>
                <c:pt idx="0">
                  <c:v>253</c:v>
                </c:pt>
              </c:strCache>
            </c:strRef>
          </c:tx>
          <c:spPr>
            <a:ln>
              <a:solidFill>
                <a:srgbClr val="5449E1"/>
              </a:solidFill>
            </a:ln>
          </c:spPr>
          <c:marker>
            <c:symbol val="circle"/>
            <c:size val="8"/>
            <c:spPr>
              <a:solidFill>
                <a:srgbClr val="160B55"/>
              </a:solidFill>
              <a:ln>
                <a:solidFill>
                  <a:srgbClr val="7030A0"/>
                </a:solidFill>
              </a:ln>
            </c:spPr>
          </c:marker>
          <c:xVal>
            <c:numRef>
              <c:f>'2013 E Maize VWC Graphs'!$AS$162:$AS$173</c:f>
              <c:numCache>
                <c:formatCode>General</c:formatCode>
                <c:ptCount val="12"/>
                <c:pt idx="0">
                  <c:v>0.19675872185230026</c:v>
                </c:pt>
                <c:pt idx="1">
                  <c:v>0.30661637499999994</c:v>
                </c:pt>
                <c:pt idx="2">
                  <c:v>0.31168274505649718</c:v>
                </c:pt>
                <c:pt idx="3">
                  <c:v>0.27741566031073445</c:v>
                </c:pt>
                <c:pt idx="4">
                  <c:v>0.26484185098870056</c:v>
                </c:pt>
                <c:pt idx="5">
                  <c:v>0.30138880225988701</c:v>
                </c:pt>
                <c:pt idx="6">
                  <c:v>0.29942076059322037</c:v>
                </c:pt>
                <c:pt idx="7">
                  <c:v>0.3057240925141243</c:v>
                </c:pt>
                <c:pt idx="8">
                  <c:v>0.31171421539548028</c:v>
                </c:pt>
                <c:pt idx="9">
                  <c:v>0.30954132768361581</c:v>
                </c:pt>
                <c:pt idx="10">
                  <c:v>0.30036038771186441</c:v>
                </c:pt>
                <c:pt idx="11">
                  <c:v>0.29446814265536725</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4546-46E1-A48C-97659C682D50}"/>
            </c:ext>
          </c:extLst>
        </c:ser>
        <c:ser>
          <c:idx val="13"/>
          <c:order val="13"/>
          <c:tx>
            <c:strRef>
              <c:f>'2013 E Maize VWC Graphs'!$Z$175</c:f>
              <c:strCache>
                <c:ptCount val="1"/>
                <c:pt idx="0">
                  <c:v>269</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'2013 E Maize VWC Graphs'!$AS$175:$AS$186</c:f>
              <c:numCache>
                <c:formatCode>General</c:formatCode>
                <c:ptCount val="12"/>
                <c:pt idx="0">
                  <c:v>0.24745510078692495</c:v>
                </c:pt>
                <c:pt idx="1">
                  <c:v>0.30385290042372881</c:v>
                </c:pt>
                <c:pt idx="2">
                  <c:v>0.27082937923728811</c:v>
                </c:pt>
                <c:pt idx="3">
                  <c:v>0.27442189618644064</c:v>
                </c:pt>
                <c:pt idx="4">
                  <c:v>0.26629267514124294</c:v>
                </c:pt>
                <c:pt idx="5">
                  <c:v>0.30138880225988701</c:v>
                </c:pt>
                <c:pt idx="6">
                  <c:v>0.29983184745762714</c:v>
                </c:pt>
                <c:pt idx="7">
                  <c:v>0.30840594491525425</c:v>
                </c:pt>
                <c:pt idx="8">
                  <c:v>0.31057883262711866</c:v>
                </c:pt>
                <c:pt idx="9">
                  <c:v>0.31414158545197746</c:v>
                </c:pt>
                <c:pt idx="10">
                  <c:v>0.29994930084745763</c:v>
                </c:pt>
                <c:pt idx="11">
                  <c:v>0.28832141525423732</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4546-46E1-A48C-97659C682D50}"/>
            </c:ext>
          </c:extLst>
        </c:ser>
        <c:ser>
          <c:idx val="14"/>
          <c:order val="14"/>
          <c:tx>
            <c:strRef>
              <c:f>'2013 E Maize VWC Graphs'!$Z$188</c:f>
              <c:strCache>
                <c:ptCount val="1"/>
              </c:strCache>
            </c:strRef>
          </c:tx>
          <c:xVal>
            <c:numRef>
              <c:f>'2013 E Maize VWC Graphs'!$AS$188:$AS$199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4546-46E1-A48C-97659C682D50}"/>
            </c:ext>
          </c:extLst>
        </c:ser>
        <c:ser>
          <c:idx val="15"/>
          <c:order val="15"/>
          <c:tx>
            <c:v>Porosity</c:v>
          </c:tx>
          <c:spPr>
            <a:ln w="38100">
              <a:solidFill>
                <a:srgbClr val="000000"/>
              </a:solidFill>
              <a:prstDash val="solid"/>
            </a:ln>
          </c:spPr>
          <c:marker>
            <c:symbol val="none"/>
          </c:marker>
          <c:xVal>
            <c:numRef>
              <c:f>'2013 E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'2013 E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0F-4546-46E1-A48C-97659C682D50}"/>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SE tube 17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2619569961962099"/>
              <c:y val="4.2274602038381563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26826865765285313"/>
          <c:w val="0.11121338639365544"/>
          <c:h val="0.56563248695036716"/>
        </c:manualLayout>
      </c:layout>
      <c:overlay val="0"/>
      <c:spPr>
        <a:solidFill>
          <a:srgbClr val="FFFFFF"/>
        </a:solidFill>
        <a:ln w="3175">
          <a:noFill/>
          <a:prstDash val="solid"/>
        </a:ln>
      </c:spPr>
      <c:txPr>
        <a:bodyPr/>
        <a:lstStyle/>
        <a:p>
          <a:pPr>
            <a:defRPr sz="8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'2013 E Maize VWC Graphs'!$Z$6</c:f>
              <c:strCache>
                <c:ptCount val="1"/>
                <c:pt idx="0">
                  <c:v>156</c:v>
                </c:pt>
              </c:strCache>
            </c:strRef>
          </c:tx>
          <c:spPr>
            <a:ln>
              <a:solidFill>
                <a:srgbClr val="FF0000"/>
              </a:solidFill>
            </a:ln>
          </c:spPr>
          <c:marker>
            <c:symbol val="triangle"/>
            <c:size val="8"/>
            <c:spPr>
              <a:solidFill>
                <a:srgbClr val="FFFF00"/>
              </a:solidFill>
              <a:ln>
                <a:solidFill>
                  <a:srgbClr val="FF0000"/>
                </a:solidFill>
              </a:ln>
            </c:spPr>
          </c:marker>
          <c:xVal>
            <c:numRef>
              <c:f>'2013 E Maize VWC Graphs'!$AT$6:$AT$17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98DD-4F13-AADC-BE99F9749C4E}"/>
            </c:ext>
          </c:extLst>
        </c:ser>
        <c:ser>
          <c:idx val="4"/>
          <c:order val="1"/>
          <c:tx>
            <c:strRef>
              <c:f>'2013 E Maize VWC Graphs'!$Z$19</c:f>
              <c:strCache>
                <c:ptCount val="1"/>
                <c:pt idx="0">
                  <c:v>157</c:v>
                </c:pt>
              </c:strCache>
            </c:strRef>
          </c:tx>
          <c:spPr>
            <a:ln>
              <a:solidFill>
                <a:srgbClr val="002060"/>
              </a:solidFill>
            </a:ln>
          </c:spPr>
          <c:marker>
            <c:symbol val="square"/>
            <c:size val="7"/>
            <c:spPr>
              <a:noFill/>
            </c:spPr>
          </c:marker>
          <c:xVal>
            <c:numRef>
              <c:f>'2013 E Maize VWC Graphs'!$AT$19:$AT$30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98DD-4F13-AADC-BE99F9749C4E}"/>
            </c:ext>
          </c:extLst>
        </c:ser>
        <c:ser>
          <c:idx val="0"/>
          <c:order val="2"/>
          <c:tx>
            <c:strRef>
              <c:f>'2013 E Maize VWC Graphs'!$Z$32</c:f>
              <c:strCache>
                <c:ptCount val="1"/>
                <c:pt idx="0">
                  <c:v>171</c:v>
                </c:pt>
              </c:strCache>
            </c:strRef>
          </c:tx>
          <c:xVal>
            <c:numRef>
              <c:f>'2013 E Maize VWC Graphs'!$AT$32:$AT$43</c:f>
              <c:numCache>
                <c:formatCode>General</c:formatCode>
                <c:ptCount val="12"/>
                <c:pt idx="0">
                  <c:v>0.25926110684019371</c:v>
                </c:pt>
                <c:pt idx="1">
                  <c:v>0.3503483601694915</c:v>
                </c:pt>
                <c:pt idx="2">
                  <c:v>0.352075531779661</c:v>
                </c:pt>
                <c:pt idx="3">
                  <c:v>0.3388108538135593</c:v>
                </c:pt>
                <c:pt idx="4">
                  <c:v>0.33835027471751411</c:v>
                </c:pt>
                <c:pt idx="5">
                  <c:v>0.34279486299435025</c:v>
                </c:pt>
                <c:pt idx="6">
                  <c:v>0.30768164901129946</c:v>
                </c:pt>
                <c:pt idx="7">
                  <c:v>0.3362815494350283</c:v>
                </c:pt>
                <c:pt idx="8">
                  <c:v>0.33046760663841812</c:v>
                </c:pt>
                <c:pt idx="9">
                  <c:v>0.31159676200564973</c:v>
                </c:pt>
                <c:pt idx="10">
                  <c:v>0.30713353319209041</c:v>
                </c:pt>
                <c:pt idx="11">
                  <c:v>0.30341417584745767</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98DD-4F13-AADC-BE99F9749C4E}"/>
            </c:ext>
          </c:extLst>
        </c:ser>
        <c:ser>
          <c:idx val="1"/>
          <c:order val="3"/>
          <c:tx>
            <c:strRef>
              <c:f>'2013 E Maize VWC Graphs'!$Z$45</c:f>
              <c:strCache>
                <c:ptCount val="1"/>
                <c:pt idx="0">
                  <c:v>176</c:v>
                </c:pt>
              </c:strCache>
            </c:strRef>
          </c:tx>
          <c:marker>
            <c:symbol val="square"/>
            <c:size val="5"/>
          </c:marker>
          <c:xVal>
            <c:numRef>
              <c:f>'2013 E Maize VWC Graphs'!$AT$45:$AT$56</c:f>
              <c:numCache>
                <c:formatCode>General</c:formatCode>
                <c:ptCount val="12"/>
                <c:pt idx="0">
                  <c:v>0.22361159836561745</c:v>
                </c:pt>
                <c:pt idx="1">
                  <c:v>0.34668675635593221</c:v>
                </c:pt>
                <c:pt idx="2">
                  <c:v>0.354378427259887</c:v>
                </c:pt>
                <c:pt idx="3">
                  <c:v>0.34297909463276832</c:v>
                </c:pt>
                <c:pt idx="4">
                  <c:v>0.34129798093220337</c:v>
                </c:pt>
                <c:pt idx="5">
                  <c:v>0.34247245762711864</c:v>
                </c:pt>
                <c:pt idx="6">
                  <c:v>0.31028519915254238</c:v>
                </c:pt>
                <c:pt idx="7">
                  <c:v>0.33128978036723167</c:v>
                </c:pt>
                <c:pt idx="8">
                  <c:v>0.32890156144067795</c:v>
                </c:pt>
                <c:pt idx="9">
                  <c:v>0.31069628601694915</c:v>
                </c:pt>
                <c:pt idx="10">
                  <c:v>0.30901278742937854</c:v>
                </c:pt>
                <c:pt idx="11">
                  <c:v>0.30433422740112992</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98DD-4F13-AADC-BE99F9749C4E}"/>
            </c:ext>
          </c:extLst>
        </c:ser>
        <c:ser>
          <c:idx val="2"/>
          <c:order val="4"/>
          <c:tx>
            <c:strRef>
              <c:f>'2013 E Maize VWC Graphs'!$Z$58</c:f>
              <c:strCache>
                <c:ptCount val="1"/>
                <c:pt idx="0">
                  <c:v>183</c:v>
                </c:pt>
              </c:strCache>
            </c:strRef>
          </c:tx>
          <c:marker>
            <c:spPr>
              <a:solidFill>
                <a:srgbClr val="00B050"/>
              </a:solidFill>
            </c:spPr>
          </c:marker>
          <c:xVal>
            <c:numRef>
              <c:f>'2013 E Maize VWC Graphs'!$AT$58:$AT$69</c:f>
              <c:numCache>
                <c:formatCode>General</c:formatCode>
                <c:ptCount val="12"/>
                <c:pt idx="0">
                  <c:v>0.14503992736077481</c:v>
                </c:pt>
                <c:pt idx="1">
                  <c:v>0.30799811228813562</c:v>
                </c:pt>
                <c:pt idx="2">
                  <c:v>0.35025624435028246</c:v>
                </c:pt>
                <c:pt idx="3">
                  <c:v>0.3420118785310734</c:v>
                </c:pt>
                <c:pt idx="4">
                  <c:v>0.34086043079096046</c:v>
                </c:pt>
                <c:pt idx="5">
                  <c:v>0.34369299223163841</c:v>
                </c:pt>
                <c:pt idx="6">
                  <c:v>0.31637319985875706</c:v>
                </c:pt>
                <c:pt idx="7">
                  <c:v>0.33187704731638423</c:v>
                </c:pt>
                <c:pt idx="8">
                  <c:v>0.33168129166666666</c:v>
                </c:pt>
                <c:pt idx="9">
                  <c:v>0.31578593290960455</c:v>
                </c:pt>
                <c:pt idx="10">
                  <c:v>0.3063309350282486</c:v>
                </c:pt>
                <c:pt idx="11">
                  <c:v>0.30247454872881357</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98DD-4F13-AADC-BE99F9749C4E}"/>
            </c:ext>
          </c:extLst>
        </c:ser>
        <c:ser>
          <c:idx val="5"/>
          <c:order val="5"/>
          <c:tx>
            <c:strRef>
              <c:f>'2013 E Maize VWC Graphs'!$Z$71</c:f>
              <c:strCache>
                <c:ptCount val="1"/>
                <c:pt idx="0">
                  <c:v>189</c:v>
                </c:pt>
              </c:strCache>
            </c:strRef>
          </c:tx>
          <c:marker>
            <c:spPr>
              <a:solidFill>
                <a:schemeClr val="accent6">
                  <a:lumMod val="60000"/>
                  <a:lumOff val="40000"/>
                </a:schemeClr>
              </a:solidFill>
            </c:spPr>
          </c:marker>
          <c:xVal>
            <c:numRef>
              <c:f>'2013 E Maize VWC Graphs'!$AT$71:$AT$82</c:f>
              <c:numCache>
                <c:formatCode>General</c:formatCode>
                <c:ptCount val="12"/>
                <c:pt idx="0">
                  <c:v>0.24510161592009683</c:v>
                </c:pt>
                <c:pt idx="1">
                  <c:v>0.32024951624293779</c:v>
                </c:pt>
                <c:pt idx="2">
                  <c:v>0.34452203460451974</c:v>
                </c:pt>
                <c:pt idx="3">
                  <c:v>0.34588074293785309</c:v>
                </c:pt>
                <c:pt idx="4">
                  <c:v>0.34231125494350284</c:v>
                </c:pt>
                <c:pt idx="5">
                  <c:v>0.34670978531073449</c:v>
                </c:pt>
                <c:pt idx="6">
                  <c:v>0.31189039548022601</c:v>
                </c:pt>
                <c:pt idx="7">
                  <c:v>0.33401078389830513</c:v>
                </c:pt>
                <c:pt idx="8">
                  <c:v>0.33031100211864406</c:v>
                </c:pt>
                <c:pt idx="9">
                  <c:v>0.3138675275423729</c:v>
                </c:pt>
                <c:pt idx="10">
                  <c:v>0.30683989971751413</c:v>
                </c:pt>
                <c:pt idx="11">
                  <c:v>0.30223964194915254</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98DD-4F13-AADC-BE99F9749C4E}"/>
            </c:ext>
          </c:extLst>
        </c:ser>
        <c:ser>
          <c:idx val="6"/>
          <c:order val="6"/>
          <c:tx>
            <c:strRef>
              <c:f>'2013 E Maize VWC Graphs'!$Z$84</c:f>
              <c:strCache>
                <c:ptCount val="1"/>
                <c:pt idx="0">
                  <c:v>197</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'2013 E Maize VWC Graphs'!$AT$84:$AT$95</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98DD-4F13-AADC-BE99F9749C4E}"/>
            </c:ext>
          </c:extLst>
        </c:ser>
        <c:ser>
          <c:idx val="7"/>
          <c:order val="7"/>
          <c:tx>
            <c:strRef>
              <c:f>'2013 E Maize VWC Graphs'!$Z$97</c:f>
              <c:strCache>
                <c:ptCount val="1"/>
                <c:pt idx="0">
                  <c:v>203</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'2013 E Maize VWC Graphs'!$AT$97:$AT$108</c:f>
              <c:numCache>
                <c:formatCode>General</c:formatCode>
                <c:ptCount val="12"/>
                <c:pt idx="0">
                  <c:v>0.2806353792372881</c:v>
                </c:pt>
                <c:pt idx="1">
                  <c:v>0.3459958877118644</c:v>
                </c:pt>
                <c:pt idx="2">
                  <c:v>0.34641040889830504</c:v>
                </c:pt>
                <c:pt idx="3">
                  <c:v>0.33600132132768362</c:v>
                </c:pt>
                <c:pt idx="4">
                  <c:v>0.34274880508474576</c:v>
                </c:pt>
                <c:pt idx="5">
                  <c:v>0.34707824858757064</c:v>
                </c:pt>
                <c:pt idx="6">
                  <c:v>0.31376964971751414</c:v>
                </c:pt>
                <c:pt idx="7">
                  <c:v>0.33260134322033902</c:v>
                </c:pt>
                <c:pt idx="8">
                  <c:v>0.33307115677966104</c:v>
                </c:pt>
                <c:pt idx="9">
                  <c:v>0.31335856285310737</c:v>
                </c:pt>
                <c:pt idx="10">
                  <c:v>0.30631135946327681</c:v>
                </c:pt>
                <c:pt idx="11">
                  <c:v>0.30247454872881357</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98DD-4F13-AADC-BE99F9749C4E}"/>
            </c:ext>
          </c:extLst>
        </c:ser>
        <c:ser>
          <c:idx val="8"/>
          <c:order val="8"/>
          <c:tx>
            <c:strRef>
              <c:f>'2013 E Maize VWC Graphs'!$Z$110</c:f>
              <c:strCache>
                <c:ptCount val="1"/>
                <c:pt idx="0">
                  <c:v>210</c:v>
                </c:pt>
              </c:strCache>
            </c:strRef>
          </c:tx>
          <c:marker>
            <c:symbol val="circle"/>
            <c:size val="8"/>
            <c:spPr>
              <a:solidFill>
                <a:srgbClr val="FFFF99"/>
              </a:solidFill>
            </c:spPr>
          </c:marker>
          <c:xVal>
            <c:numRef>
              <c:f>'2013 E Maize VWC Graphs'!$AT$110:$AT$121</c:f>
              <c:numCache>
                <c:formatCode>General</c:formatCode>
                <c:ptCount val="12"/>
                <c:pt idx="0">
                  <c:v>0.19392296549636806</c:v>
                </c:pt>
                <c:pt idx="1">
                  <c:v>0.30470497175141242</c:v>
                </c:pt>
                <c:pt idx="2">
                  <c:v>0.32345054096045195</c:v>
                </c:pt>
                <c:pt idx="3">
                  <c:v>0.32929989548022598</c:v>
                </c:pt>
                <c:pt idx="4">
                  <c:v>0.33052043008474574</c:v>
                </c:pt>
                <c:pt idx="5">
                  <c:v>0.34019259110169492</c:v>
                </c:pt>
                <c:pt idx="6">
                  <c:v>0.3093847231638418</c:v>
                </c:pt>
                <c:pt idx="7">
                  <c:v>0.33219025635593219</c:v>
                </c:pt>
                <c:pt idx="8">
                  <c:v>0.33152468714689265</c:v>
                </c:pt>
                <c:pt idx="9">
                  <c:v>0.31140100635593221</c:v>
                </c:pt>
                <c:pt idx="10">
                  <c:v>0.30809273587570618</c:v>
                </c:pt>
                <c:pt idx="11">
                  <c:v>0.30165237500000003</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98DD-4F13-AADC-BE99F9749C4E}"/>
            </c:ext>
          </c:extLst>
        </c:ser>
        <c:ser>
          <c:idx val="9"/>
          <c:order val="9"/>
          <c:tx>
            <c:strRef>
              <c:f>'2013 E Maize VWC Graphs'!$Z$123</c:f>
              <c:strCache>
                <c:ptCount val="1"/>
                <c:pt idx="0">
                  <c:v>218</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'2013 E Maize VWC Graphs'!$AT$123:$AT$134</c:f>
              <c:numCache>
                <c:formatCode>General</c:formatCode>
                <c:ptCount val="12"/>
                <c:pt idx="0">
                  <c:v>0.19303558595641646</c:v>
                </c:pt>
                <c:pt idx="1">
                  <c:v>0.31495285663841804</c:v>
                </c:pt>
                <c:pt idx="2">
                  <c:v>0.31727878107344631</c:v>
                </c:pt>
                <c:pt idx="3">
                  <c:v>0.32029557415254239</c:v>
                </c:pt>
                <c:pt idx="4">
                  <c:v>0.33035922740112988</c:v>
                </c:pt>
                <c:pt idx="5">
                  <c:v>0.33701459533898304</c:v>
                </c:pt>
                <c:pt idx="6">
                  <c:v>0.30803400918079099</c:v>
                </c:pt>
                <c:pt idx="7">
                  <c:v>0.3244187570621469</c:v>
                </c:pt>
                <c:pt idx="8">
                  <c:v>0.32565201765536722</c:v>
                </c:pt>
                <c:pt idx="9">
                  <c:v>0.3115184597457627</c:v>
                </c:pt>
                <c:pt idx="10">
                  <c:v>0.30298351341807911</c:v>
                </c:pt>
                <c:pt idx="11">
                  <c:v>0.30051699223163841</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98DD-4F13-AADC-BE99F9749C4E}"/>
            </c:ext>
          </c:extLst>
        </c:ser>
        <c:ser>
          <c:idx val="10"/>
          <c:order val="10"/>
          <c:tx>
            <c:strRef>
              <c:f>'2013 E Maize VWC Graphs'!$Z$136</c:f>
              <c:strCache>
                <c:ptCount val="1"/>
                <c:pt idx="0">
                  <c:v>231</c:v>
                </c:pt>
              </c:strCache>
            </c:strRef>
          </c:tx>
          <c:xVal>
            <c:numRef>
              <c:f>'2013 E Maize VWC Graphs'!$AT$136:$AT$147</c:f>
              <c:numCache>
                <c:formatCode>General</c:formatCode>
                <c:ptCount val="12"/>
                <c:pt idx="0">
                  <c:v>0.27828189437046003</c:v>
                </c:pt>
                <c:pt idx="1">
                  <c:v>0.336922479519774</c:v>
                </c:pt>
                <c:pt idx="2">
                  <c:v>0.33904114336158192</c:v>
                </c:pt>
                <c:pt idx="3">
                  <c:v>0.33616252401129942</c:v>
                </c:pt>
                <c:pt idx="4">
                  <c:v>0.33360631002824853</c:v>
                </c:pt>
                <c:pt idx="5">
                  <c:v>0.3425876024011299</c:v>
                </c:pt>
                <c:pt idx="6">
                  <c:v>0.30795570692090396</c:v>
                </c:pt>
                <c:pt idx="7">
                  <c:v>0.32837302118644068</c:v>
                </c:pt>
                <c:pt idx="8">
                  <c:v>0.32825556779661019</c:v>
                </c:pt>
                <c:pt idx="9">
                  <c:v>0.3092281186440678</c:v>
                </c:pt>
                <c:pt idx="10">
                  <c:v>0.30030166101694916</c:v>
                </c:pt>
                <c:pt idx="11">
                  <c:v>0.29699339053672319</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98DD-4F13-AADC-BE99F9749C4E}"/>
            </c:ext>
          </c:extLst>
        </c:ser>
        <c:ser>
          <c:idx val="11"/>
          <c:order val="11"/>
          <c:tx>
            <c:strRef>
              <c:f>'2013 E Maize VWC Graphs'!$Z$149</c:f>
              <c:strCache>
                <c:ptCount val="1"/>
                <c:pt idx="0">
                  <c:v>246</c:v>
                </c:pt>
              </c:strCache>
            </c:strRef>
          </c:tx>
          <c:xVal>
            <c:numRef>
              <c:f>'2013 E Maize VWC Graphs'!$AT$149:$AT$160</c:f>
              <c:numCache>
                <c:formatCode>General</c:formatCode>
                <c:ptCount val="12"/>
                <c:pt idx="0">
                  <c:v>0.21759285018159807</c:v>
                </c:pt>
                <c:pt idx="1">
                  <c:v>0.29694421398305082</c:v>
                </c:pt>
                <c:pt idx="2">
                  <c:v>0.29222327824858757</c:v>
                </c:pt>
                <c:pt idx="3">
                  <c:v>0.27260260875706216</c:v>
                </c:pt>
                <c:pt idx="4">
                  <c:v>0.2951940134180791</c:v>
                </c:pt>
                <c:pt idx="5">
                  <c:v>0.32071009533898304</c:v>
                </c:pt>
                <c:pt idx="6">
                  <c:v>0.30484319209039545</c:v>
                </c:pt>
                <c:pt idx="7">
                  <c:v>0.32739424293785313</c:v>
                </c:pt>
                <c:pt idx="8">
                  <c:v>0.32015128389830511</c:v>
                </c:pt>
                <c:pt idx="9">
                  <c:v>0.30670287076271185</c:v>
                </c:pt>
                <c:pt idx="10">
                  <c:v>0.29934245833333334</c:v>
                </c:pt>
                <c:pt idx="11">
                  <c:v>0.29638654802259889</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98DD-4F13-AADC-BE99F9749C4E}"/>
            </c:ext>
          </c:extLst>
        </c:ser>
        <c:ser>
          <c:idx val="12"/>
          <c:order val="12"/>
          <c:tx>
            <c:strRef>
              <c:f>'2013 E Maize VWC Graphs'!$Z$162</c:f>
              <c:strCache>
                <c:ptCount val="1"/>
                <c:pt idx="0">
                  <c:v>253</c:v>
                </c:pt>
              </c:strCache>
            </c:strRef>
          </c:tx>
          <c:spPr>
            <a:ln>
              <a:solidFill>
                <a:srgbClr val="5449E1"/>
              </a:solidFill>
            </a:ln>
          </c:spPr>
          <c:marker>
            <c:symbol val="circle"/>
            <c:size val="8"/>
            <c:spPr>
              <a:solidFill>
                <a:srgbClr val="160B55"/>
              </a:solidFill>
              <a:ln>
                <a:solidFill>
                  <a:srgbClr val="7030A0"/>
                </a:solidFill>
              </a:ln>
            </c:spPr>
          </c:marker>
          <c:xVal>
            <c:numRef>
              <c:f>'2013 E Maize VWC Graphs'!$AT$162:$AT$173</c:f>
              <c:numCache>
                <c:formatCode>General</c:formatCode>
                <c:ptCount val="12"/>
                <c:pt idx="0">
                  <c:v>0.18786563559322034</c:v>
                </c:pt>
                <c:pt idx="1">
                  <c:v>0.29908590677966101</c:v>
                </c:pt>
                <c:pt idx="2">
                  <c:v>0.29084154096045195</c:v>
                </c:pt>
                <c:pt idx="3">
                  <c:v>0.27135904519774007</c:v>
                </c:pt>
                <c:pt idx="4">
                  <c:v>0.28245900141242936</c:v>
                </c:pt>
                <c:pt idx="5">
                  <c:v>0.32282875918079096</c:v>
                </c:pt>
                <c:pt idx="6">
                  <c:v>0.29979269632768363</c:v>
                </c:pt>
                <c:pt idx="7">
                  <c:v>0.3228918629943503</c:v>
                </c:pt>
                <c:pt idx="8">
                  <c:v>0.32285271186440678</c:v>
                </c:pt>
                <c:pt idx="9">
                  <c:v>0.30570451694915257</c:v>
                </c:pt>
                <c:pt idx="10">
                  <c:v>0.29525116525423734</c:v>
                </c:pt>
                <c:pt idx="11">
                  <c:v>0.29417450918079097</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98DD-4F13-AADC-BE99F9749C4E}"/>
            </c:ext>
          </c:extLst>
        </c:ser>
        <c:ser>
          <c:idx val="13"/>
          <c:order val="13"/>
          <c:tx>
            <c:strRef>
              <c:f>'2013 E Maize VWC Graphs'!$Z$175</c:f>
              <c:strCache>
                <c:ptCount val="1"/>
                <c:pt idx="0">
                  <c:v>269</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'2013 E Maize VWC Graphs'!$AT$175:$AT$186</c:f>
              <c:numCache>
                <c:formatCode>General</c:formatCode>
                <c:ptCount val="12"/>
                <c:pt idx="0">
                  <c:v>0.23487746035108958</c:v>
                </c:pt>
                <c:pt idx="1">
                  <c:v>0.2935128997175141</c:v>
                </c:pt>
                <c:pt idx="2">
                  <c:v>0.28589031567796608</c:v>
                </c:pt>
                <c:pt idx="3">
                  <c:v>0.26532545903954802</c:v>
                </c:pt>
                <c:pt idx="4">
                  <c:v>0.27568848870056495</c:v>
                </c:pt>
                <c:pt idx="5">
                  <c:v>0.3114985134180791</c:v>
                </c:pt>
                <c:pt idx="6">
                  <c:v>0.29724787288135596</c:v>
                </c:pt>
                <c:pt idx="7">
                  <c:v>0.32361615889830508</c:v>
                </c:pt>
                <c:pt idx="8">
                  <c:v>0.31823287853107346</c:v>
                </c:pt>
                <c:pt idx="9">
                  <c:v>0.30529343008474574</c:v>
                </c:pt>
                <c:pt idx="10">
                  <c:v>0.29734575070621466</c:v>
                </c:pt>
                <c:pt idx="11">
                  <c:v>0.29002448940677966</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98DD-4F13-AADC-BE99F9749C4E}"/>
            </c:ext>
          </c:extLst>
        </c:ser>
        <c:ser>
          <c:idx val="14"/>
          <c:order val="14"/>
          <c:tx>
            <c:strRef>
              <c:f>'2013 E Maize VWC Graphs'!$Z$188</c:f>
              <c:strCache>
                <c:ptCount val="1"/>
              </c:strCache>
            </c:strRef>
          </c:tx>
          <c:xVal>
            <c:numRef>
              <c:f>'2013 E Maize VWC Graphs'!$AT$188:$AT$199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98DD-4F13-AADC-BE99F9749C4E}"/>
            </c:ext>
          </c:extLst>
        </c:ser>
        <c:ser>
          <c:idx val="15"/>
          <c:order val="15"/>
          <c:tx>
            <c:v>Porosity</c:v>
          </c:tx>
          <c:spPr>
            <a:ln w="38100">
              <a:solidFill>
                <a:srgbClr val="000000"/>
              </a:solidFill>
              <a:prstDash val="solid"/>
            </a:ln>
          </c:spPr>
          <c:marker>
            <c:symbol val="none"/>
          </c:marker>
          <c:xVal>
            <c:numRef>
              <c:f>'2013 E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'2013 E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0F-98DD-4F13-AADC-BE99F9749C4E}"/>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SE tube 18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2619569961962099"/>
              <c:y val="4.2274602038381563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26826865765285313"/>
          <c:w val="0.11121338639365544"/>
          <c:h val="0.56563248695036716"/>
        </c:manualLayout>
      </c:layout>
      <c:overlay val="0"/>
      <c:spPr>
        <a:solidFill>
          <a:srgbClr val="FFFFFF"/>
        </a:solidFill>
        <a:ln w="3175">
          <a:noFill/>
          <a:prstDash val="solid"/>
        </a:ln>
      </c:spPr>
      <c:txPr>
        <a:bodyPr/>
        <a:lstStyle/>
        <a:p>
          <a:pPr>
            <a:defRPr sz="8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'2013 E Maize VWC Graphs'!$Z$6</c:f>
              <c:strCache>
                <c:ptCount val="1"/>
                <c:pt idx="0">
                  <c:v>156</c:v>
                </c:pt>
              </c:strCache>
            </c:strRef>
          </c:tx>
          <c:spPr>
            <a:ln>
              <a:solidFill>
                <a:srgbClr val="FF0000"/>
              </a:solidFill>
            </a:ln>
          </c:spPr>
          <c:marker>
            <c:symbol val="triangle"/>
            <c:size val="8"/>
            <c:spPr>
              <a:solidFill>
                <a:srgbClr val="FFFF00"/>
              </a:solidFill>
              <a:ln>
                <a:solidFill>
                  <a:srgbClr val="FF0000"/>
                </a:solidFill>
              </a:ln>
            </c:spPr>
          </c:marker>
          <c:xVal>
            <c:numRef>
              <c:f>'2013 E Maize VWC Graphs'!$AU$6:$AU$17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CDFD-4A98-82F1-5CCCA8948CE7}"/>
            </c:ext>
          </c:extLst>
        </c:ser>
        <c:ser>
          <c:idx val="4"/>
          <c:order val="1"/>
          <c:tx>
            <c:strRef>
              <c:f>'2013 E Maize VWC Graphs'!$Z$19</c:f>
              <c:strCache>
                <c:ptCount val="1"/>
                <c:pt idx="0">
                  <c:v>157</c:v>
                </c:pt>
              </c:strCache>
            </c:strRef>
          </c:tx>
          <c:spPr>
            <a:ln>
              <a:solidFill>
                <a:srgbClr val="002060"/>
              </a:solidFill>
            </a:ln>
          </c:spPr>
          <c:marker>
            <c:symbol val="square"/>
            <c:size val="7"/>
            <c:spPr>
              <a:noFill/>
            </c:spPr>
          </c:marker>
          <c:xVal>
            <c:numRef>
              <c:f>'2013 E Maize VWC Graphs'!$AU$19:$AU$30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CDFD-4A98-82F1-5CCCA8948CE7}"/>
            </c:ext>
          </c:extLst>
        </c:ser>
        <c:ser>
          <c:idx val="0"/>
          <c:order val="2"/>
          <c:tx>
            <c:strRef>
              <c:f>'2013 E Maize VWC Graphs'!$Z$32</c:f>
              <c:strCache>
                <c:ptCount val="1"/>
                <c:pt idx="0">
                  <c:v>171</c:v>
                </c:pt>
              </c:strCache>
            </c:strRef>
          </c:tx>
          <c:xVal>
            <c:numRef>
              <c:f>'2013 E Maize VWC Graphs'!$AU$32:$AU$43</c:f>
              <c:numCache>
                <c:formatCode>General</c:formatCode>
                <c:ptCount val="12"/>
                <c:pt idx="0">
                  <c:v>0.23622782052058111</c:v>
                </c:pt>
                <c:pt idx="1">
                  <c:v>0.32183851412429376</c:v>
                </c:pt>
                <c:pt idx="2">
                  <c:v>0.35285851624293785</c:v>
                </c:pt>
                <c:pt idx="3">
                  <c:v>0.33980109887005649</c:v>
                </c:pt>
                <c:pt idx="4">
                  <c:v>0.33818907203389825</c:v>
                </c:pt>
                <c:pt idx="5">
                  <c:v>0.33756729025423726</c:v>
                </c:pt>
                <c:pt idx="6">
                  <c:v>0.30599815042372885</c:v>
                </c:pt>
                <c:pt idx="7">
                  <c:v>0.33056548446327683</c:v>
                </c:pt>
                <c:pt idx="8">
                  <c:v>0.31251681355932204</c:v>
                </c:pt>
                <c:pt idx="9">
                  <c:v>0.31083331497175143</c:v>
                </c:pt>
                <c:pt idx="10">
                  <c:v>0.3005365677966102</c:v>
                </c:pt>
                <c:pt idx="11">
                  <c:v>0.29442899152542373</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CDFD-4A98-82F1-5CCCA8948CE7}"/>
            </c:ext>
          </c:extLst>
        </c:ser>
        <c:ser>
          <c:idx val="1"/>
          <c:order val="3"/>
          <c:tx>
            <c:strRef>
              <c:f>'2013 E Maize VWC Graphs'!$Z$45</c:f>
              <c:strCache>
                <c:ptCount val="1"/>
                <c:pt idx="0">
                  <c:v>176</c:v>
                </c:pt>
              </c:strCache>
            </c:strRef>
          </c:tx>
          <c:marker>
            <c:symbol val="square"/>
            <c:size val="5"/>
          </c:marker>
          <c:xVal>
            <c:numRef>
              <c:f>'2013 E Maize VWC Graphs'!$AU$45:$AU$56</c:f>
              <c:numCache>
                <c:formatCode>General</c:formatCode>
                <c:ptCount val="12"/>
                <c:pt idx="0">
                  <c:v>0.20260385230024214</c:v>
                </c:pt>
                <c:pt idx="1">
                  <c:v>0.31290327966101694</c:v>
                </c:pt>
                <c:pt idx="2">
                  <c:v>0.34445294774011298</c:v>
                </c:pt>
                <c:pt idx="3">
                  <c:v>0.34210399435028249</c:v>
                </c:pt>
                <c:pt idx="4">
                  <c:v>0.33816604307909603</c:v>
                </c:pt>
                <c:pt idx="5">
                  <c:v>0.33957080932203387</c:v>
                </c:pt>
                <c:pt idx="6">
                  <c:v>0.3071531087570622</c:v>
                </c:pt>
                <c:pt idx="7">
                  <c:v>0.33430441737288136</c:v>
                </c:pt>
                <c:pt idx="8">
                  <c:v>0.31537484604519772</c:v>
                </c:pt>
                <c:pt idx="9">
                  <c:v>0.30543045903954802</c:v>
                </c:pt>
                <c:pt idx="10">
                  <c:v>0.30002760310734466</c:v>
                </c:pt>
                <c:pt idx="11">
                  <c:v>0.2939200268361582</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CDFD-4A98-82F1-5CCCA8948CE7}"/>
            </c:ext>
          </c:extLst>
        </c:ser>
        <c:ser>
          <c:idx val="2"/>
          <c:order val="4"/>
          <c:tx>
            <c:strRef>
              <c:f>'2013 E Maize VWC Graphs'!$Z$58</c:f>
              <c:strCache>
                <c:ptCount val="1"/>
                <c:pt idx="0">
                  <c:v>183</c:v>
                </c:pt>
              </c:strCache>
            </c:strRef>
          </c:tx>
          <c:marker>
            <c:spPr>
              <a:solidFill>
                <a:srgbClr val="00B050"/>
              </a:solidFill>
            </c:spPr>
          </c:marker>
          <c:xVal>
            <c:numRef>
              <c:f>'2013 E Maize VWC Graphs'!$AU$58:$AU$69</c:f>
              <c:numCache>
                <c:formatCode>General</c:formatCode>
                <c:ptCount val="12"/>
                <c:pt idx="0">
                  <c:v>0.15754040435835348</c:v>
                </c:pt>
                <c:pt idx="1">
                  <c:v>0.27506670692090396</c:v>
                </c:pt>
                <c:pt idx="2">
                  <c:v>0.3348729025423729</c:v>
                </c:pt>
                <c:pt idx="3">
                  <c:v>0.3420118785310734</c:v>
                </c:pt>
                <c:pt idx="4">
                  <c:v>0.33934051977401125</c:v>
                </c:pt>
                <c:pt idx="5">
                  <c:v>0.34251851553672313</c:v>
                </c:pt>
                <c:pt idx="6">
                  <c:v>0.30642881285310736</c:v>
                </c:pt>
                <c:pt idx="7">
                  <c:v>0.33677093855932205</c:v>
                </c:pt>
                <c:pt idx="8">
                  <c:v>0.31555102612994351</c:v>
                </c:pt>
                <c:pt idx="9">
                  <c:v>0.30707480649717517</c:v>
                </c:pt>
                <c:pt idx="10">
                  <c:v>0.30153492161016948</c:v>
                </c:pt>
                <c:pt idx="11">
                  <c:v>0.29446814265536725</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CDFD-4A98-82F1-5CCCA8948CE7}"/>
            </c:ext>
          </c:extLst>
        </c:ser>
        <c:ser>
          <c:idx val="5"/>
          <c:order val="5"/>
          <c:tx>
            <c:strRef>
              <c:f>'2013 E Maize VWC Graphs'!$Z$71</c:f>
              <c:strCache>
                <c:ptCount val="1"/>
                <c:pt idx="0">
                  <c:v>189</c:v>
                </c:pt>
              </c:strCache>
            </c:strRef>
          </c:tx>
          <c:marker>
            <c:spPr>
              <a:solidFill>
                <a:schemeClr val="accent6">
                  <a:lumMod val="60000"/>
                  <a:lumOff val="40000"/>
                </a:schemeClr>
              </a:solidFill>
            </c:spPr>
          </c:marker>
          <c:xVal>
            <c:numRef>
              <c:f>'2013 E Maize VWC Graphs'!$AU$71:$AU$82</c:f>
              <c:numCache>
                <c:formatCode>General</c:formatCode>
                <c:ptCount val="12"/>
                <c:pt idx="0">
                  <c:v>0.22370805266343829</c:v>
                </c:pt>
                <c:pt idx="1">
                  <c:v>0.28835441384180788</c:v>
                </c:pt>
                <c:pt idx="2">
                  <c:v>0.33549468432203389</c:v>
                </c:pt>
                <c:pt idx="3">
                  <c:v>0.33139553036723163</c:v>
                </c:pt>
                <c:pt idx="4">
                  <c:v>0.33673824788135592</c:v>
                </c:pt>
                <c:pt idx="5">
                  <c:v>0.34132100988700564</c:v>
                </c:pt>
                <c:pt idx="6">
                  <c:v>0.30748589336158194</c:v>
                </c:pt>
                <c:pt idx="7">
                  <c:v>0.33647730508474577</c:v>
                </c:pt>
                <c:pt idx="8">
                  <c:v>0.31784136723163842</c:v>
                </c:pt>
                <c:pt idx="9">
                  <c:v>0.30750546892655367</c:v>
                </c:pt>
                <c:pt idx="10">
                  <c:v>0.29902924929378533</c:v>
                </c:pt>
                <c:pt idx="11">
                  <c:v>0.29452686935028249</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CDFD-4A98-82F1-5CCCA8948CE7}"/>
            </c:ext>
          </c:extLst>
        </c:ser>
        <c:ser>
          <c:idx val="6"/>
          <c:order val="6"/>
          <c:tx>
            <c:strRef>
              <c:f>'2013 E Maize VWC Graphs'!$Z$84</c:f>
              <c:strCache>
                <c:ptCount val="1"/>
                <c:pt idx="0">
                  <c:v>197</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'2013 E Maize VWC Graphs'!$AU$84:$AU$95</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CDFD-4A98-82F1-5CCCA8948CE7}"/>
            </c:ext>
          </c:extLst>
        </c:ser>
        <c:ser>
          <c:idx val="7"/>
          <c:order val="7"/>
          <c:tx>
            <c:strRef>
              <c:f>'2013 E Maize VWC Graphs'!$Z$97</c:f>
              <c:strCache>
                <c:ptCount val="1"/>
                <c:pt idx="0">
                  <c:v>203</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'2013 E Maize VWC Graphs'!$AU$97:$AU$108</c:f>
              <c:numCache>
                <c:formatCode>General</c:formatCode>
                <c:ptCount val="12"/>
                <c:pt idx="0">
                  <c:v>0.24452289013317191</c:v>
                </c:pt>
                <c:pt idx="1">
                  <c:v>0.32319722245762711</c:v>
                </c:pt>
                <c:pt idx="2">
                  <c:v>0.34588074293785309</c:v>
                </c:pt>
                <c:pt idx="3">
                  <c:v>0.34007744632768361</c:v>
                </c:pt>
                <c:pt idx="4">
                  <c:v>0.33752123234463277</c:v>
                </c:pt>
                <c:pt idx="5">
                  <c:v>0.34152827048022599</c:v>
                </c:pt>
                <c:pt idx="6">
                  <c:v>0.31095076836158192</c:v>
                </c:pt>
                <c:pt idx="7">
                  <c:v>0.33600749152542375</c:v>
                </c:pt>
                <c:pt idx="8">
                  <c:v>0.31588381073446326</c:v>
                </c:pt>
                <c:pt idx="9">
                  <c:v>0.30691820197740111</c:v>
                </c:pt>
                <c:pt idx="10">
                  <c:v>0.30036038771186441</c:v>
                </c:pt>
                <c:pt idx="11">
                  <c:v>0.2928825218926554</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CDFD-4A98-82F1-5CCCA8948CE7}"/>
            </c:ext>
          </c:extLst>
        </c:ser>
        <c:ser>
          <c:idx val="8"/>
          <c:order val="8"/>
          <c:tx>
            <c:strRef>
              <c:f>'2013 E Maize VWC Graphs'!$Z$110</c:f>
              <c:strCache>
                <c:ptCount val="1"/>
                <c:pt idx="0">
                  <c:v>210</c:v>
                </c:pt>
              </c:strCache>
            </c:strRef>
          </c:tx>
          <c:marker>
            <c:symbol val="circle"/>
            <c:size val="8"/>
            <c:spPr>
              <a:solidFill>
                <a:srgbClr val="FFFF99"/>
              </a:solidFill>
            </c:spPr>
          </c:marker>
          <c:xVal>
            <c:numRef>
              <c:f>'2013 E Maize VWC Graphs'!$AU$110:$AU$121</c:f>
              <c:numCache>
                <c:formatCode>General</c:formatCode>
                <c:ptCount val="12"/>
                <c:pt idx="0">
                  <c:v>0.17326245490314768</c:v>
                </c:pt>
                <c:pt idx="1">
                  <c:v>0.27223414548022601</c:v>
                </c:pt>
                <c:pt idx="2">
                  <c:v>0.32123976129943504</c:v>
                </c:pt>
                <c:pt idx="3">
                  <c:v>0.31050826836158191</c:v>
                </c:pt>
                <c:pt idx="4">
                  <c:v>0.32071009533898304</c:v>
                </c:pt>
                <c:pt idx="5">
                  <c:v>0.3331457309322034</c:v>
                </c:pt>
                <c:pt idx="6">
                  <c:v>0.30764249788135595</c:v>
                </c:pt>
                <c:pt idx="7">
                  <c:v>0.33150511158192092</c:v>
                </c:pt>
                <c:pt idx="8">
                  <c:v>0.31298662711864406</c:v>
                </c:pt>
                <c:pt idx="9">
                  <c:v>0.30288563559322035</c:v>
                </c:pt>
                <c:pt idx="10">
                  <c:v>0.30008632980225991</c:v>
                </c:pt>
                <c:pt idx="11">
                  <c:v>0.29249101059322036</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CDFD-4A98-82F1-5CCCA8948CE7}"/>
            </c:ext>
          </c:extLst>
        </c:ser>
        <c:ser>
          <c:idx val="9"/>
          <c:order val="9"/>
          <c:tx>
            <c:strRef>
              <c:f>'2013 E Maize VWC Graphs'!$Z$123</c:f>
              <c:strCache>
                <c:ptCount val="1"/>
                <c:pt idx="0">
                  <c:v>218</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'2013 E Maize VWC Graphs'!$AU$123:$AU$134</c:f>
              <c:numCache>
                <c:formatCode>General</c:formatCode>
                <c:ptCount val="12"/>
                <c:pt idx="0">
                  <c:v>0.18522278783292978</c:v>
                </c:pt>
                <c:pt idx="1">
                  <c:v>0.28199842231638417</c:v>
                </c:pt>
                <c:pt idx="2">
                  <c:v>0.32080221115819207</c:v>
                </c:pt>
                <c:pt idx="3">
                  <c:v>0.3044746822033898</c:v>
                </c:pt>
                <c:pt idx="4">
                  <c:v>0.30942590748587567</c:v>
                </c:pt>
                <c:pt idx="5">
                  <c:v>0.33353722316384182</c:v>
                </c:pt>
                <c:pt idx="6">
                  <c:v>0.30024293432203392</c:v>
                </c:pt>
                <c:pt idx="7">
                  <c:v>0.32896028813559325</c:v>
                </c:pt>
                <c:pt idx="8">
                  <c:v>0.31455267231638417</c:v>
                </c:pt>
                <c:pt idx="9">
                  <c:v>0.30674202189265537</c:v>
                </c:pt>
                <c:pt idx="10">
                  <c:v>0.29576012994350287</c:v>
                </c:pt>
                <c:pt idx="11">
                  <c:v>0.28947637358757061</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CDFD-4A98-82F1-5CCCA8948CE7}"/>
            </c:ext>
          </c:extLst>
        </c:ser>
        <c:ser>
          <c:idx val="10"/>
          <c:order val="10"/>
          <c:tx>
            <c:strRef>
              <c:f>'2013 E Maize VWC Graphs'!$Z$136</c:f>
              <c:strCache>
                <c:ptCount val="1"/>
                <c:pt idx="0">
                  <c:v>231</c:v>
                </c:pt>
              </c:strCache>
            </c:strRef>
          </c:tx>
          <c:xVal>
            <c:numRef>
              <c:f>'2013 E Maize VWC Graphs'!$AU$136:$AU$147</c:f>
              <c:numCache>
                <c:formatCode>General</c:formatCode>
                <c:ptCount val="12"/>
                <c:pt idx="0">
                  <c:v>0.2483810620460048</c:v>
                </c:pt>
                <c:pt idx="1">
                  <c:v>0.30670849081920903</c:v>
                </c:pt>
                <c:pt idx="2">
                  <c:v>0.32959927189265531</c:v>
                </c:pt>
                <c:pt idx="3">
                  <c:v>0.32503953884180786</c:v>
                </c:pt>
                <c:pt idx="4">
                  <c:v>0.32057192161016945</c:v>
                </c:pt>
                <c:pt idx="5">
                  <c:v>0.33422809180790958</c:v>
                </c:pt>
                <c:pt idx="6">
                  <c:v>0.30443210522598874</c:v>
                </c:pt>
                <c:pt idx="7">
                  <c:v>0.32666994703389834</c:v>
                </c:pt>
                <c:pt idx="8">
                  <c:v>0.31210572669491526</c:v>
                </c:pt>
                <c:pt idx="9">
                  <c:v>0.30188728177966101</c:v>
                </c:pt>
                <c:pt idx="10">
                  <c:v>0.2952903163841808</c:v>
                </c:pt>
                <c:pt idx="11">
                  <c:v>0.28716645692090398</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CDFD-4A98-82F1-5CCCA8948CE7}"/>
            </c:ext>
          </c:extLst>
        </c:ser>
        <c:ser>
          <c:idx val="11"/>
          <c:order val="11"/>
          <c:tx>
            <c:strRef>
              <c:f>'2013 E Maize VWC Graphs'!$Z$149</c:f>
              <c:strCache>
                <c:ptCount val="1"/>
                <c:pt idx="0">
                  <c:v>246</c:v>
                </c:pt>
              </c:strCache>
            </c:strRef>
          </c:tx>
          <c:xVal>
            <c:numRef>
              <c:f>'2013 E Maize VWC Graphs'!$AU$149:$AU$160</c:f>
              <c:numCache>
                <c:formatCode>General</c:formatCode>
                <c:ptCount val="12"/>
                <c:pt idx="0">
                  <c:v>0.19849489921307506</c:v>
                </c:pt>
                <c:pt idx="1">
                  <c:v>0.27495156214689265</c:v>
                </c:pt>
                <c:pt idx="2">
                  <c:v>0.2963454611581921</c:v>
                </c:pt>
                <c:pt idx="3">
                  <c:v>0.26302256355932202</c:v>
                </c:pt>
                <c:pt idx="4">
                  <c:v>0.26799681779661017</c:v>
                </c:pt>
                <c:pt idx="5">
                  <c:v>0.32064100847457627</c:v>
                </c:pt>
                <c:pt idx="6">
                  <c:v>0.29673890819209042</c:v>
                </c:pt>
                <c:pt idx="7">
                  <c:v>0.32569116878531079</c:v>
                </c:pt>
                <c:pt idx="8">
                  <c:v>0.30678117302259889</c:v>
                </c:pt>
                <c:pt idx="9">
                  <c:v>0.29386130014124295</c:v>
                </c:pt>
                <c:pt idx="10">
                  <c:v>0.29104241878531079</c:v>
                </c:pt>
                <c:pt idx="11">
                  <c:v>0.28332964618644069</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CDFD-4A98-82F1-5CCCA8948CE7}"/>
            </c:ext>
          </c:extLst>
        </c:ser>
        <c:ser>
          <c:idx val="12"/>
          <c:order val="12"/>
          <c:tx>
            <c:strRef>
              <c:f>'2013 E Maize VWC Graphs'!$Z$162</c:f>
              <c:strCache>
                <c:ptCount val="1"/>
                <c:pt idx="0">
                  <c:v>253</c:v>
                </c:pt>
              </c:strCache>
            </c:strRef>
          </c:tx>
          <c:spPr>
            <a:ln>
              <a:solidFill>
                <a:srgbClr val="5449E1"/>
              </a:solidFill>
            </a:ln>
          </c:spPr>
          <c:marker>
            <c:symbol val="circle"/>
            <c:size val="8"/>
            <c:spPr>
              <a:solidFill>
                <a:srgbClr val="160B55"/>
              </a:solidFill>
              <a:ln>
                <a:solidFill>
                  <a:srgbClr val="7030A0"/>
                </a:solidFill>
              </a:ln>
            </c:spPr>
          </c:marker>
          <c:xVal>
            <c:numRef>
              <c:f>'2013 E Maize VWC Graphs'!$AU$162:$AU$173</c:f>
              <c:numCache>
                <c:formatCode>General</c:formatCode>
                <c:ptCount val="12"/>
                <c:pt idx="0">
                  <c:v>0.16338553480629542</c:v>
                </c:pt>
                <c:pt idx="1">
                  <c:v>0.29252265466101696</c:v>
                </c:pt>
                <c:pt idx="2">
                  <c:v>0.30055975988700567</c:v>
                </c:pt>
                <c:pt idx="3">
                  <c:v>0.268250136299435</c:v>
                </c:pt>
                <c:pt idx="4">
                  <c:v>0.26576300918079093</c:v>
                </c:pt>
                <c:pt idx="5">
                  <c:v>0.31509103036723163</c:v>
                </c:pt>
                <c:pt idx="6">
                  <c:v>0.29769811087570625</c:v>
                </c:pt>
                <c:pt idx="7">
                  <c:v>0.32477111723163843</c:v>
                </c:pt>
                <c:pt idx="8">
                  <c:v>0.30875830508474578</c:v>
                </c:pt>
                <c:pt idx="9">
                  <c:v>0.30055614336158193</c:v>
                </c:pt>
                <c:pt idx="10">
                  <c:v>0.28822353742937851</c:v>
                </c:pt>
                <c:pt idx="11">
                  <c:v>0.27876853954802261</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CDFD-4A98-82F1-5CCCA8948CE7}"/>
            </c:ext>
          </c:extLst>
        </c:ser>
        <c:ser>
          <c:idx val="13"/>
          <c:order val="13"/>
          <c:tx>
            <c:strRef>
              <c:f>'2013 E Maize VWC Graphs'!$Z$175</c:f>
              <c:strCache>
                <c:ptCount val="1"/>
                <c:pt idx="0">
                  <c:v>269</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'2013 E Maize VWC Graphs'!$AU$175:$AU$186</c:f>
              <c:numCache>
                <c:formatCode>General</c:formatCode>
                <c:ptCount val="12"/>
                <c:pt idx="0">
                  <c:v>0.21689837923728811</c:v>
                </c:pt>
                <c:pt idx="1">
                  <c:v>0.27990278742937852</c:v>
                </c:pt>
                <c:pt idx="2">
                  <c:v>0.29703632980225986</c:v>
                </c:pt>
                <c:pt idx="3">
                  <c:v>0.26085784180790955</c:v>
                </c:pt>
                <c:pt idx="4">
                  <c:v>0.27041485805084742</c:v>
                </c:pt>
                <c:pt idx="5">
                  <c:v>0.31198212146892651</c:v>
                </c:pt>
                <c:pt idx="6">
                  <c:v>0.29503583403954803</c:v>
                </c:pt>
                <c:pt idx="7">
                  <c:v>0.3261218312146893</c:v>
                </c:pt>
                <c:pt idx="8">
                  <c:v>0.30488234322033902</c:v>
                </c:pt>
                <c:pt idx="9">
                  <c:v>0.29294124858757059</c:v>
                </c:pt>
                <c:pt idx="10">
                  <c:v>0.28652046327683617</c:v>
                </c:pt>
                <c:pt idx="11">
                  <c:v>0.27706546539548027</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CDFD-4A98-82F1-5CCCA8948CE7}"/>
            </c:ext>
          </c:extLst>
        </c:ser>
        <c:ser>
          <c:idx val="14"/>
          <c:order val="14"/>
          <c:tx>
            <c:strRef>
              <c:f>'2013 E Maize VWC Graphs'!$Z$188</c:f>
              <c:strCache>
                <c:ptCount val="1"/>
              </c:strCache>
            </c:strRef>
          </c:tx>
          <c:xVal>
            <c:numRef>
              <c:f>'2013 E Maize VWC Graphs'!$AU$188:$AU$199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CDFD-4A98-82F1-5CCCA8948CE7}"/>
            </c:ext>
          </c:extLst>
        </c:ser>
        <c:ser>
          <c:idx val="15"/>
          <c:order val="15"/>
          <c:tx>
            <c:v>Porosity</c:v>
          </c:tx>
          <c:spPr>
            <a:ln w="38100">
              <a:solidFill>
                <a:srgbClr val="000000"/>
              </a:solidFill>
              <a:prstDash val="solid"/>
            </a:ln>
          </c:spPr>
          <c:marker>
            <c:symbol val="none"/>
          </c:marker>
          <c:xVal>
            <c:numRef>
              <c:f>'2013 E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'2013 E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0F-CDFD-4A98-82F1-5CCCA8948CE7}"/>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SE tube 19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2619569961962099"/>
              <c:y val="4.2274602038381563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26826865765285313"/>
          <c:w val="0.11121338639365544"/>
          <c:h val="0.56563248695036716"/>
        </c:manualLayout>
      </c:layout>
      <c:overlay val="0"/>
      <c:spPr>
        <a:solidFill>
          <a:srgbClr val="FFFFFF"/>
        </a:solidFill>
        <a:ln w="3175">
          <a:noFill/>
          <a:prstDash val="solid"/>
        </a:ln>
      </c:spPr>
      <c:txPr>
        <a:bodyPr/>
        <a:lstStyle/>
        <a:p>
          <a:pPr>
            <a:defRPr sz="8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03482933963708"/>
          <c:y val="0.17315880833620895"/>
          <c:w val="0.6126863675121873"/>
          <c:h val="0.67697708094575704"/>
        </c:manualLayout>
      </c:layout>
      <c:scatterChart>
        <c:scatterStyle val="lineMarker"/>
        <c:varyColors val="0"/>
        <c:ser>
          <c:idx val="3"/>
          <c:order val="0"/>
          <c:tx>
            <c:strRef>
              <c:f>'2013 E Maize VWC Graphs'!$Z$6</c:f>
              <c:strCache>
                <c:ptCount val="1"/>
                <c:pt idx="0">
                  <c:v>156</c:v>
                </c:pt>
              </c:strCache>
            </c:strRef>
          </c:tx>
          <c:spPr>
            <a:ln>
              <a:solidFill>
                <a:srgbClr val="FF0000"/>
              </a:solidFill>
            </a:ln>
          </c:spPr>
          <c:marker>
            <c:symbol val="triangle"/>
            <c:size val="8"/>
            <c:spPr>
              <a:solidFill>
                <a:srgbClr val="FFFF00"/>
              </a:solidFill>
              <a:ln>
                <a:solidFill>
                  <a:srgbClr val="FF0000"/>
                </a:solidFill>
              </a:ln>
            </c:spPr>
          </c:marker>
          <c:xVal>
            <c:numRef>
              <c:f>'2013 E Maize VWC Graphs'!$AV$6:$AV$17</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0-62E5-4444-A74B-3A8FE41F0CA8}"/>
            </c:ext>
          </c:extLst>
        </c:ser>
        <c:ser>
          <c:idx val="4"/>
          <c:order val="1"/>
          <c:tx>
            <c:strRef>
              <c:f>'2013 E Maize VWC Graphs'!$Z$19</c:f>
              <c:strCache>
                <c:ptCount val="1"/>
                <c:pt idx="0">
                  <c:v>157</c:v>
                </c:pt>
              </c:strCache>
            </c:strRef>
          </c:tx>
          <c:spPr>
            <a:ln>
              <a:solidFill>
                <a:srgbClr val="002060"/>
              </a:solidFill>
            </a:ln>
          </c:spPr>
          <c:marker>
            <c:symbol val="square"/>
            <c:size val="7"/>
            <c:spPr>
              <a:noFill/>
            </c:spPr>
          </c:marker>
          <c:xVal>
            <c:numRef>
              <c:f>'2013 E Maize VWC Graphs'!$AV$19:$AV$30</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1-62E5-4444-A74B-3A8FE41F0CA8}"/>
            </c:ext>
          </c:extLst>
        </c:ser>
        <c:ser>
          <c:idx val="0"/>
          <c:order val="2"/>
          <c:tx>
            <c:strRef>
              <c:f>'2013 E Maize VWC Graphs'!$Z$32</c:f>
              <c:strCache>
                <c:ptCount val="1"/>
                <c:pt idx="0">
                  <c:v>171</c:v>
                </c:pt>
              </c:strCache>
            </c:strRef>
          </c:tx>
          <c:xVal>
            <c:numRef>
              <c:f>'2013 E Maize VWC Graphs'!$AV$32:$AV$43</c:f>
              <c:numCache>
                <c:formatCode>General</c:formatCode>
                <c:ptCount val="12"/>
                <c:pt idx="0">
                  <c:v>0.23275546579903145</c:v>
                </c:pt>
                <c:pt idx="1">
                  <c:v>0.34447597669491525</c:v>
                </c:pt>
                <c:pt idx="2">
                  <c:v>0.35693464124293783</c:v>
                </c:pt>
                <c:pt idx="3">
                  <c:v>0.3388108538135593</c:v>
                </c:pt>
                <c:pt idx="4">
                  <c:v>0.33286938347457623</c:v>
                </c:pt>
                <c:pt idx="5">
                  <c:v>0.33220154378531075</c:v>
                </c:pt>
                <c:pt idx="6">
                  <c:v>0.30094765466101697</c:v>
                </c:pt>
                <c:pt idx="7">
                  <c:v>0.34651956991525423</c:v>
                </c:pt>
                <c:pt idx="8">
                  <c:v>0.32293101412429381</c:v>
                </c:pt>
                <c:pt idx="9">
                  <c:v>0.30474531426553675</c:v>
                </c:pt>
                <c:pt idx="10">
                  <c:v>0.30202431073446329</c:v>
                </c:pt>
                <c:pt idx="11">
                  <c:v>0.30182855508474576</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2-62E5-4444-A74B-3A8FE41F0CA8}"/>
            </c:ext>
          </c:extLst>
        </c:ser>
        <c:ser>
          <c:idx val="1"/>
          <c:order val="3"/>
          <c:tx>
            <c:strRef>
              <c:f>'2013 E Maize VWC Graphs'!$Z$45</c:f>
              <c:strCache>
                <c:ptCount val="1"/>
                <c:pt idx="0">
                  <c:v>176</c:v>
                </c:pt>
              </c:strCache>
            </c:strRef>
          </c:tx>
          <c:marker>
            <c:symbol val="square"/>
            <c:size val="5"/>
          </c:marker>
          <c:xVal>
            <c:numRef>
              <c:f>'2013 E Maize VWC Graphs'!$AV$45:$AV$56</c:f>
              <c:numCache>
                <c:formatCode>General</c:formatCode>
                <c:ptCount val="12"/>
                <c:pt idx="0">
                  <c:v>0.2106867224576271</c:v>
                </c:pt>
                <c:pt idx="1">
                  <c:v>0.34323241313559316</c:v>
                </c:pt>
                <c:pt idx="2">
                  <c:v>0.35801700211864407</c:v>
                </c:pt>
                <c:pt idx="3">
                  <c:v>0.34051499646892652</c:v>
                </c:pt>
                <c:pt idx="4">
                  <c:v>0.33604737923728811</c:v>
                </c:pt>
                <c:pt idx="5">
                  <c:v>0.32925383757062143</c:v>
                </c:pt>
                <c:pt idx="6">
                  <c:v>0.29922500494350285</c:v>
                </c:pt>
                <c:pt idx="7">
                  <c:v>0.34473819350282486</c:v>
                </c:pt>
                <c:pt idx="8">
                  <c:v>0.32101260875706217</c:v>
                </c:pt>
                <c:pt idx="9">
                  <c:v>0.30642881285310736</c:v>
                </c:pt>
                <c:pt idx="10">
                  <c:v>0.30106510805084746</c:v>
                </c:pt>
                <c:pt idx="11">
                  <c:v>0.30272903107344634</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3-62E5-4444-A74B-3A8FE41F0CA8}"/>
            </c:ext>
          </c:extLst>
        </c:ser>
        <c:ser>
          <c:idx val="2"/>
          <c:order val="4"/>
          <c:tx>
            <c:strRef>
              <c:f>'2013 E Maize VWC Graphs'!$Z$58</c:f>
              <c:strCache>
                <c:ptCount val="1"/>
                <c:pt idx="0">
                  <c:v>183</c:v>
                </c:pt>
              </c:strCache>
            </c:strRef>
          </c:tx>
          <c:marker>
            <c:spPr>
              <a:solidFill>
                <a:srgbClr val="00B050"/>
              </a:solidFill>
            </c:spPr>
          </c:marker>
          <c:xVal>
            <c:numRef>
              <c:f>'2013 E Maize VWC Graphs'!$AV$58:$AV$69</c:f>
              <c:numCache>
                <c:formatCode>General</c:formatCode>
                <c:ptCount val="12"/>
                <c:pt idx="0">
                  <c:v>0.15069214921307506</c:v>
                </c:pt>
                <c:pt idx="1">
                  <c:v>0.31214332415254237</c:v>
                </c:pt>
                <c:pt idx="2">
                  <c:v>0.3564280042372881</c:v>
                </c:pt>
                <c:pt idx="3">
                  <c:v>0.34350876059322033</c:v>
                </c:pt>
                <c:pt idx="4">
                  <c:v>0.3378206087570621</c:v>
                </c:pt>
                <c:pt idx="5">
                  <c:v>0.34270274717514126</c:v>
                </c:pt>
                <c:pt idx="6">
                  <c:v>0.3028269088983051</c:v>
                </c:pt>
                <c:pt idx="7">
                  <c:v>0.34849670197740118</c:v>
                </c:pt>
                <c:pt idx="8">
                  <c:v>0.32263738064971753</c:v>
                </c:pt>
                <c:pt idx="9">
                  <c:v>0.31069628601694915</c:v>
                </c:pt>
                <c:pt idx="10">
                  <c:v>0.3060568771186441</c:v>
                </c:pt>
                <c:pt idx="11">
                  <c:v>0.30208303742937859</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4-62E5-4444-A74B-3A8FE41F0CA8}"/>
            </c:ext>
          </c:extLst>
        </c:ser>
        <c:ser>
          <c:idx val="5"/>
          <c:order val="5"/>
          <c:tx>
            <c:strRef>
              <c:f>'2013 E Maize VWC Graphs'!$Z$71</c:f>
              <c:strCache>
                <c:ptCount val="1"/>
                <c:pt idx="0">
                  <c:v>189</c:v>
                </c:pt>
              </c:strCache>
            </c:strRef>
          </c:tx>
          <c:marker>
            <c:spPr>
              <a:solidFill>
                <a:schemeClr val="accent6">
                  <a:lumMod val="60000"/>
                  <a:lumOff val="40000"/>
                </a:schemeClr>
              </a:solidFill>
            </c:spPr>
          </c:marker>
          <c:xVal>
            <c:numRef>
              <c:f>'2013 E Maize VWC Graphs'!$AV$71:$AV$82</c:f>
              <c:numCache>
                <c:formatCode>General</c:formatCode>
                <c:ptCount val="12"/>
                <c:pt idx="0">
                  <c:v>0.22465330478208229</c:v>
                </c:pt>
                <c:pt idx="1">
                  <c:v>0.31138336864406779</c:v>
                </c:pt>
                <c:pt idx="2">
                  <c:v>0.3524900529661017</c:v>
                </c:pt>
                <c:pt idx="3">
                  <c:v>0.34668675635593221</c:v>
                </c:pt>
                <c:pt idx="4">
                  <c:v>0.33671521892655365</c:v>
                </c:pt>
                <c:pt idx="5">
                  <c:v>0.33786666666666665</c:v>
                </c:pt>
                <c:pt idx="6">
                  <c:v>0.30969793220338981</c:v>
                </c:pt>
                <c:pt idx="7">
                  <c:v>0.34640211652542374</c:v>
                </c:pt>
                <c:pt idx="8">
                  <c:v>0.32024916172316387</c:v>
                </c:pt>
                <c:pt idx="9">
                  <c:v>0.30979581002824863</c:v>
                </c:pt>
                <c:pt idx="10">
                  <c:v>0.30599815042372885</c:v>
                </c:pt>
                <c:pt idx="11">
                  <c:v>0.30380568714689266</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5-62E5-4444-A74B-3A8FE41F0CA8}"/>
            </c:ext>
          </c:extLst>
        </c:ser>
        <c:ser>
          <c:idx val="6"/>
          <c:order val="6"/>
          <c:tx>
            <c:strRef>
              <c:f>'2013 E Maize VWC Graphs'!$Z$84</c:f>
              <c:strCache>
                <c:ptCount val="1"/>
                <c:pt idx="0">
                  <c:v>197</c:v>
                </c:pt>
              </c:strCache>
            </c:strRef>
          </c:tx>
          <c:spPr>
            <a:ln>
              <a:solidFill>
                <a:srgbClr val="FF0000"/>
              </a:solidFill>
            </a:ln>
          </c:spPr>
          <c:marker>
            <c:symbol val="triangle"/>
            <c:size val="6"/>
            <c:spPr>
              <a:solidFill>
                <a:schemeClr val="tx2">
                  <a:lumMod val="60000"/>
                  <a:lumOff val="40000"/>
                </a:schemeClr>
              </a:solidFill>
              <a:ln>
                <a:solidFill>
                  <a:srgbClr val="FF0000"/>
                </a:solidFill>
              </a:ln>
            </c:spPr>
          </c:marker>
          <c:xVal>
            <c:numRef>
              <c:f>'2013 E Maize VWC Graphs'!$AV$84:$AV$95</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6-62E5-4444-A74B-3A8FE41F0CA8}"/>
            </c:ext>
          </c:extLst>
        </c:ser>
        <c:ser>
          <c:idx val="7"/>
          <c:order val="7"/>
          <c:tx>
            <c:strRef>
              <c:f>'2013 E Maize VWC Graphs'!$Z$97</c:f>
              <c:strCache>
                <c:ptCount val="1"/>
                <c:pt idx="0">
                  <c:v>203</c:v>
                </c:pt>
              </c:strCache>
            </c:strRef>
          </c:tx>
          <c:spPr>
            <a:ln>
              <a:solidFill>
                <a:srgbClr val="FF9900"/>
              </a:solidFill>
            </a:ln>
          </c:spPr>
          <c:marker>
            <c:symbol val="diamond"/>
            <c:size val="9"/>
            <c:spPr>
              <a:solidFill>
                <a:schemeClr val="accent4">
                  <a:lumMod val="20000"/>
                  <a:lumOff val="80000"/>
                </a:schemeClr>
              </a:solidFill>
              <a:ln>
                <a:solidFill>
                  <a:schemeClr val="accent6">
                    <a:lumMod val="75000"/>
                  </a:schemeClr>
                </a:solidFill>
              </a:ln>
            </c:spPr>
          </c:marker>
          <c:xVal>
            <c:numRef>
              <c:f>'2013 E Maize VWC Graphs'!$AV$97:$AV$108</c:f>
              <c:numCache>
                <c:formatCode>General</c:formatCode>
                <c:ptCount val="12"/>
                <c:pt idx="0">
                  <c:v>0.23063347124697336</c:v>
                </c:pt>
                <c:pt idx="1">
                  <c:v>0.32464804661016944</c:v>
                </c:pt>
                <c:pt idx="2">
                  <c:v>0.34834484110169489</c:v>
                </c:pt>
                <c:pt idx="3">
                  <c:v>0.34046893855932203</c:v>
                </c:pt>
                <c:pt idx="4">
                  <c:v>0.33906417231638419</c:v>
                </c:pt>
                <c:pt idx="5">
                  <c:v>0.33653098728813557</c:v>
                </c:pt>
                <c:pt idx="6">
                  <c:v>0.30699650423728814</c:v>
                </c:pt>
                <c:pt idx="7">
                  <c:v>0.34536461158192089</c:v>
                </c:pt>
                <c:pt idx="8">
                  <c:v>0.32302889194915252</c:v>
                </c:pt>
                <c:pt idx="9">
                  <c:v>0.30885618290960454</c:v>
                </c:pt>
                <c:pt idx="10">
                  <c:v>0.30061487005649717</c:v>
                </c:pt>
                <c:pt idx="11">
                  <c:v>0.30133916596045202</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7-62E5-4444-A74B-3A8FE41F0CA8}"/>
            </c:ext>
          </c:extLst>
        </c:ser>
        <c:ser>
          <c:idx val="8"/>
          <c:order val="8"/>
          <c:tx>
            <c:strRef>
              <c:f>'2013 E Maize VWC Graphs'!$Z$110</c:f>
              <c:strCache>
                <c:ptCount val="1"/>
                <c:pt idx="0">
                  <c:v>210</c:v>
                </c:pt>
              </c:strCache>
            </c:strRef>
          </c:tx>
          <c:marker>
            <c:symbol val="circle"/>
            <c:size val="8"/>
            <c:spPr>
              <a:solidFill>
                <a:srgbClr val="FFFF99"/>
              </a:solidFill>
            </c:spPr>
          </c:marker>
          <c:xVal>
            <c:numRef>
              <c:f>'2013 E Maize VWC Graphs'!$AV$110:$AV$121</c:f>
              <c:numCache>
                <c:formatCode>General</c:formatCode>
                <c:ptCount val="12"/>
                <c:pt idx="0">
                  <c:v>0.1728766377118644</c:v>
                </c:pt>
                <c:pt idx="1">
                  <c:v>0.28211356709039542</c:v>
                </c:pt>
                <c:pt idx="2">
                  <c:v>0.32600675494350284</c:v>
                </c:pt>
                <c:pt idx="3">
                  <c:v>0.32377294632768361</c:v>
                </c:pt>
                <c:pt idx="4">
                  <c:v>0.32646733403954803</c:v>
                </c:pt>
                <c:pt idx="5">
                  <c:v>0.33390568644067797</c:v>
                </c:pt>
                <c:pt idx="6">
                  <c:v>0.29763938418079094</c:v>
                </c:pt>
                <c:pt idx="7">
                  <c:v>0.34597145409604524</c:v>
                </c:pt>
                <c:pt idx="8">
                  <c:v>0.32451663488700566</c:v>
                </c:pt>
                <c:pt idx="9">
                  <c:v>0.30732928884180793</c:v>
                </c:pt>
                <c:pt idx="10">
                  <c:v>0.30200473516949156</c:v>
                </c:pt>
                <c:pt idx="11">
                  <c:v>0.30355120480225994</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8-62E5-4444-A74B-3A8FE41F0CA8}"/>
            </c:ext>
          </c:extLst>
        </c:ser>
        <c:ser>
          <c:idx val="9"/>
          <c:order val="9"/>
          <c:tx>
            <c:strRef>
              <c:f>'2013 E Maize VWC Graphs'!$Z$123</c:f>
              <c:strCache>
                <c:ptCount val="1"/>
                <c:pt idx="0">
                  <c:v>218</c:v>
                </c:pt>
              </c:strCache>
            </c:strRef>
          </c:tx>
          <c:spPr>
            <a:ln>
              <a:solidFill>
                <a:schemeClr val="accent2">
                  <a:lumMod val="75000"/>
                </a:schemeClr>
              </a:solidFill>
            </a:ln>
          </c:spPr>
          <c:marker>
            <c:symbol val="diamond"/>
            <c:size val="8"/>
            <c:spPr>
              <a:solidFill>
                <a:schemeClr val="tx1"/>
              </a:solidFill>
              <a:ln>
                <a:solidFill>
                  <a:schemeClr val="accent2">
                    <a:lumMod val="75000"/>
                  </a:schemeClr>
                </a:solidFill>
              </a:ln>
            </c:spPr>
          </c:marker>
          <c:xVal>
            <c:numRef>
              <c:f>'2013 E Maize VWC Graphs'!$AV$123:$AV$134</c:f>
              <c:numCache>
                <c:formatCode>General</c:formatCode>
                <c:ptCount val="12"/>
                <c:pt idx="0">
                  <c:v>0.17033024424939469</c:v>
                </c:pt>
                <c:pt idx="1">
                  <c:v>0.29355895762711864</c:v>
                </c:pt>
                <c:pt idx="2">
                  <c:v>0.3283787372881356</c:v>
                </c:pt>
                <c:pt idx="3">
                  <c:v>0.3268588262711864</c:v>
                </c:pt>
                <c:pt idx="4">
                  <c:v>0.32798724505649718</c:v>
                </c:pt>
                <c:pt idx="5">
                  <c:v>0.32819450564971747</c:v>
                </c:pt>
                <c:pt idx="6">
                  <c:v>0.29583843220338985</c:v>
                </c:pt>
                <c:pt idx="7">
                  <c:v>0.3389634018361582</c:v>
                </c:pt>
                <c:pt idx="8">
                  <c:v>0.31604041525423726</c:v>
                </c:pt>
                <c:pt idx="9">
                  <c:v>0.30519555225988704</c:v>
                </c:pt>
                <c:pt idx="10">
                  <c:v>0.3028269088983051</c:v>
                </c:pt>
                <c:pt idx="11">
                  <c:v>0.30049741666666668</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9-62E5-4444-A74B-3A8FE41F0CA8}"/>
            </c:ext>
          </c:extLst>
        </c:ser>
        <c:ser>
          <c:idx val="10"/>
          <c:order val="10"/>
          <c:tx>
            <c:strRef>
              <c:f>'2013 E Maize VWC Graphs'!$Z$136</c:f>
              <c:strCache>
                <c:ptCount val="1"/>
                <c:pt idx="0">
                  <c:v>231</c:v>
                </c:pt>
              </c:strCache>
            </c:strRef>
          </c:tx>
          <c:xVal>
            <c:numRef>
              <c:f>'2013 E Maize VWC Graphs'!$AV$136:$AV$147</c:f>
              <c:numCache>
                <c:formatCode>General</c:formatCode>
                <c:ptCount val="12"/>
                <c:pt idx="0">
                  <c:v>0.21529723789346245</c:v>
                </c:pt>
                <c:pt idx="1">
                  <c:v>0.30714604096045195</c:v>
                </c:pt>
                <c:pt idx="2">
                  <c:v>0.34240337076271182</c:v>
                </c:pt>
                <c:pt idx="3">
                  <c:v>0.33328390466101693</c:v>
                </c:pt>
                <c:pt idx="4">
                  <c:v>0.33236274646892655</c:v>
                </c:pt>
                <c:pt idx="5">
                  <c:v>0.3361855529661017</c:v>
                </c:pt>
                <c:pt idx="6">
                  <c:v>0.29773726200564976</c:v>
                </c:pt>
                <c:pt idx="7">
                  <c:v>0.33966812217514125</c:v>
                </c:pt>
                <c:pt idx="8">
                  <c:v>0.31805669844632772</c:v>
                </c:pt>
                <c:pt idx="9">
                  <c:v>0.30194600847457631</c:v>
                </c:pt>
                <c:pt idx="10">
                  <c:v>0.29987099858757066</c:v>
                </c:pt>
                <c:pt idx="11">
                  <c:v>0.29805047104519777</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A-62E5-4444-A74B-3A8FE41F0CA8}"/>
            </c:ext>
          </c:extLst>
        </c:ser>
        <c:ser>
          <c:idx val="11"/>
          <c:order val="11"/>
          <c:tx>
            <c:strRef>
              <c:f>'2013 E Maize VWC Graphs'!$Z$149</c:f>
              <c:strCache>
                <c:ptCount val="1"/>
                <c:pt idx="0">
                  <c:v>246</c:v>
                </c:pt>
              </c:strCache>
            </c:strRef>
          </c:tx>
          <c:xVal>
            <c:numRef>
              <c:f>'2013 E Maize VWC Graphs'!$AV$149:$AV$160</c:f>
              <c:numCache>
                <c:formatCode>General</c:formatCode>
                <c:ptCount val="12"/>
                <c:pt idx="0">
                  <c:v>0.18533853299031477</c:v>
                </c:pt>
                <c:pt idx="1">
                  <c:v>0.28443949152542369</c:v>
                </c:pt>
                <c:pt idx="2">
                  <c:v>0.30873503884180786</c:v>
                </c:pt>
                <c:pt idx="3">
                  <c:v>0.28487704166666666</c:v>
                </c:pt>
                <c:pt idx="4">
                  <c:v>0.28165298799435029</c:v>
                </c:pt>
                <c:pt idx="5">
                  <c:v>0.29332866807909602</c:v>
                </c:pt>
                <c:pt idx="6">
                  <c:v>0.26882415254237291</c:v>
                </c:pt>
                <c:pt idx="7">
                  <c:v>0.33459805084745764</c:v>
                </c:pt>
                <c:pt idx="8">
                  <c:v>0.31308450494350282</c:v>
                </c:pt>
                <c:pt idx="9">
                  <c:v>0.29356766666666667</c:v>
                </c:pt>
                <c:pt idx="10">
                  <c:v>0.29902924929378533</c:v>
                </c:pt>
                <c:pt idx="11">
                  <c:v>0.29622994350282489</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B-62E5-4444-A74B-3A8FE41F0CA8}"/>
            </c:ext>
          </c:extLst>
        </c:ser>
        <c:ser>
          <c:idx val="12"/>
          <c:order val="12"/>
          <c:tx>
            <c:strRef>
              <c:f>'2013 E Maize VWC Graphs'!$Z$162</c:f>
              <c:strCache>
                <c:ptCount val="1"/>
                <c:pt idx="0">
                  <c:v>253</c:v>
                </c:pt>
              </c:strCache>
            </c:strRef>
          </c:tx>
          <c:spPr>
            <a:ln>
              <a:solidFill>
                <a:srgbClr val="5449E1"/>
              </a:solidFill>
            </a:ln>
          </c:spPr>
          <c:marker>
            <c:symbol val="circle"/>
            <c:size val="8"/>
            <c:spPr>
              <a:solidFill>
                <a:srgbClr val="160B55"/>
              </a:solidFill>
              <a:ln>
                <a:solidFill>
                  <a:srgbClr val="7030A0"/>
                </a:solidFill>
              </a:ln>
            </c:spPr>
          </c:marker>
          <c:xVal>
            <c:numRef>
              <c:f>'2013 E Maize VWC Graphs'!$AV$162:$AV$173</c:f>
              <c:numCache>
                <c:formatCode>General</c:formatCode>
                <c:ptCount val="12"/>
                <c:pt idx="0">
                  <c:v>0.15462748456416464</c:v>
                </c:pt>
                <c:pt idx="1">
                  <c:v>0.28167601694915251</c:v>
                </c:pt>
                <c:pt idx="2">
                  <c:v>0.3122814978813559</c:v>
                </c:pt>
                <c:pt idx="3">
                  <c:v>0.27921191878531071</c:v>
                </c:pt>
                <c:pt idx="4">
                  <c:v>0.27743868926553672</c:v>
                </c:pt>
                <c:pt idx="5">
                  <c:v>0.28658118432203389</c:v>
                </c:pt>
                <c:pt idx="6">
                  <c:v>0.26026963064971753</c:v>
                </c:pt>
                <c:pt idx="7">
                  <c:v>0.3278053298022599</c:v>
                </c:pt>
                <c:pt idx="8">
                  <c:v>0.30936514759887007</c:v>
                </c:pt>
                <c:pt idx="9">
                  <c:v>0.29570140324858757</c:v>
                </c:pt>
                <c:pt idx="10">
                  <c:v>0.28851717090395479</c:v>
                </c:pt>
                <c:pt idx="11">
                  <c:v>0.29360681779661019</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C-62E5-4444-A74B-3A8FE41F0CA8}"/>
            </c:ext>
          </c:extLst>
        </c:ser>
        <c:ser>
          <c:idx val="13"/>
          <c:order val="13"/>
          <c:tx>
            <c:strRef>
              <c:f>'2013 E Maize VWC Graphs'!$Z$175</c:f>
              <c:strCache>
                <c:ptCount val="1"/>
                <c:pt idx="0">
                  <c:v>269</c:v>
                </c:pt>
              </c:strCache>
            </c:strRef>
          </c:tx>
          <c:spPr>
            <a:ln>
              <a:solidFill>
                <a:schemeClr val="accent6">
                  <a:lumMod val="75000"/>
                </a:schemeClr>
              </a:solidFill>
            </a:ln>
          </c:spPr>
          <c:marker>
            <c:symbol val="square"/>
            <c:size val="7"/>
            <c:spPr>
              <a:solidFill>
                <a:schemeClr val="accent6">
                  <a:lumMod val="75000"/>
                </a:schemeClr>
              </a:solidFill>
              <a:ln>
                <a:solidFill>
                  <a:schemeClr val="accent6">
                    <a:lumMod val="75000"/>
                  </a:schemeClr>
                </a:solidFill>
              </a:ln>
            </c:spPr>
          </c:marker>
          <c:xVal>
            <c:numRef>
              <c:f>'2013 E Maize VWC Graphs'!$AV$175:$AV$186</c:f>
              <c:numCache>
                <c:formatCode>General</c:formatCode>
                <c:ptCount val="12"/>
                <c:pt idx="0">
                  <c:v>0.20721436773607749</c:v>
                </c:pt>
                <c:pt idx="1">
                  <c:v>0.27631027048022599</c:v>
                </c:pt>
                <c:pt idx="2">
                  <c:v>0.29675998234463274</c:v>
                </c:pt>
                <c:pt idx="3">
                  <c:v>0.27409949081920898</c:v>
                </c:pt>
                <c:pt idx="4">
                  <c:v>0.26696051483050842</c:v>
                </c:pt>
                <c:pt idx="5">
                  <c:v>0.27508973587570623</c:v>
                </c:pt>
                <c:pt idx="6">
                  <c:v>0.25290921822033896</c:v>
                </c:pt>
                <c:pt idx="7">
                  <c:v>0.31995552824858758</c:v>
                </c:pt>
                <c:pt idx="8">
                  <c:v>0.30566536581920906</c:v>
                </c:pt>
                <c:pt idx="9">
                  <c:v>0.29045515183615822</c:v>
                </c:pt>
                <c:pt idx="10">
                  <c:v>0.2873622125706215</c:v>
                </c:pt>
                <c:pt idx="11">
                  <c:v>0.28890868220338983</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D-62E5-4444-A74B-3A8FE41F0CA8}"/>
            </c:ext>
          </c:extLst>
        </c:ser>
        <c:ser>
          <c:idx val="14"/>
          <c:order val="14"/>
          <c:tx>
            <c:strRef>
              <c:f>'2013 E Maize VWC Graphs'!$Z$188</c:f>
              <c:strCache>
                <c:ptCount val="1"/>
              </c:strCache>
            </c:strRef>
          </c:tx>
          <c:xVal>
            <c:numRef>
              <c:f>'2013 E Maize VWC Graphs'!$AV$188:$AV$199</c:f>
              <c:numCache>
                <c:formatCode>General</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xVal>
          <c:yVal>
            <c:numRef>
              <c:f>'2013 E Maize VWC Graphs'!$AB$6:$AB$17</c:f>
              <c:numCache>
                <c:formatCode>General</c:formatCode>
                <c:ptCount val="12"/>
                <c:pt idx="0">
                  <c:v>10</c:v>
                </c:pt>
                <c:pt idx="1">
                  <c:v>30</c:v>
                </c:pt>
                <c:pt idx="2">
                  <c:v>50</c:v>
                </c:pt>
                <c:pt idx="3">
                  <c:v>70</c:v>
                </c:pt>
                <c:pt idx="4">
                  <c:v>90</c:v>
                </c:pt>
                <c:pt idx="5">
                  <c:v>110</c:v>
                </c:pt>
                <c:pt idx="6">
                  <c:v>130</c:v>
                </c:pt>
                <c:pt idx="7">
                  <c:v>150</c:v>
                </c:pt>
                <c:pt idx="8">
                  <c:v>170</c:v>
                </c:pt>
                <c:pt idx="9">
                  <c:v>190</c:v>
                </c:pt>
                <c:pt idx="10">
                  <c:v>210</c:v>
                </c:pt>
                <c:pt idx="11">
                  <c:v>230</c:v>
                </c:pt>
              </c:numCache>
            </c:numRef>
          </c:yVal>
          <c:smooth val="0"/>
          <c:extLst>
            <c:ext xmlns:c16="http://schemas.microsoft.com/office/drawing/2014/chart" uri="{C3380CC4-5D6E-409C-BE32-E72D297353CC}">
              <c16:uniqueId val="{0000000E-62E5-4444-A74B-3A8FE41F0CA8}"/>
            </c:ext>
          </c:extLst>
        </c:ser>
        <c:ser>
          <c:idx val="15"/>
          <c:order val="15"/>
          <c:tx>
            <c:v>Porosity</c:v>
          </c:tx>
          <c:spPr>
            <a:ln w="38100">
              <a:solidFill>
                <a:srgbClr val="000000"/>
              </a:solidFill>
              <a:prstDash val="solid"/>
            </a:ln>
          </c:spPr>
          <c:marker>
            <c:symbol val="none"/>
          </c:marker>
          <c:xVal>
            <c:numRef>
              <c:f>'2013 E Maize VWC Graphs'!$Z$2:$AK$2</c:f>
              <c:numCache>
                <c:formatCode>0.000</c:formatCode>
                <c:ptCount val="12"/>
                <c:pt idx="1">
                  <c:v>0.46977987421383649</c:v>
                </c:pt>
                <c:pt idx="2">
                  <c:v>0.46911949685534593</c:v>
                </c:pt>
                <c:pt idx="3">
                  <c:v>0.45975262054507327</c:v>
                </c:pt>
                <c:pt idx="4">
                  <c:v>0.46509433962264146</c:v>
                </c:pt>
                <c:pt idx="5">
                  <c:v>0.42485115303983223</c:v>
                </c:pt>
                <c:pt idx="6">
                  <c:v>0.41714734950584009</c:v>
                </c:pt>
                <c:pt idx="7">
                  <c:v>0.44435759209344106</c:v>
                </c:pt>
                <c:pt idx="8">
                  <c:v>0.45478559176672384</c:v>
                </c:pt>
                <c:pt idx="9">
                  <c:v>0.43505765199161417</c:v>
                </c:pt>
                <c:pt idx="10">
                  <c:v>0.45794811320754714</c:v>
                </c:pt>
                <c:pt idx="11">
                  <c:v>0.48951841868822998</c:v>
                </c:pt>
              </c:numCache>
            </c:numRef>
          </c:xVal>
          <c:yVal>
            <c:numRef>
              <c:f>'2013 E Maize VWC Graphs'!$Z$1:$AK$1</c:f>
              <c:numCache>
                <c:formatCode>General</c:formatCode>
                <c:ptCount val="12"/>
                <c:pt idx="0">
                  <c:v>230</c:v>
                </c:pt>
                <c:pt idx="1">
                  <c:v>210</c:v>
                </c:pt>
                <c:pt idx="2">
                  <c:v>190</c:v>
                </c:pt>
                <c:pt idx="3">
                  <c:v>170</c:v>
                </c:pt>
                <c:pt idx="4">
                  <c:v>150</c:v>
                </c:pt>
                <c:pt idx="5">
                  <c:v>130</c:v>
                </c:pt>
                <c:pt idx="6">
                  <c:v>110</c:v>
                </c:pt>
                <c:pt idx="7">
                  <c:v>90</c:v>
                </c:pt>
                <c:pt idx="8">
                  <c:v>70</c:v>
                </c:pt>
                <c:pt idx="9">
                  <c:v>50</c:v>
                </c:pt>
                <c:pt idx="10">
                  <c:v>30</c:v>
                </c:pt>
                <c:pt idx="11">
                  <c:v>10</c:v>
                </c:pt>
              </c:numCache>
            </c:numRef>
          </c:yVal>
          <c:smooth val="0"/>
          <c:extLst>
            <c:ext xmlns:c16="http://schemas.microsoft.com/office/drawing/2014/chart" uri="{C3380CC4-5D6E-409C-BE32-E72D297353CC}">
              <c16:uniqueId val="{0000000F-62E5-4444-A74B-3A8FE41F0CA8}"/>
            </c:ext>
          </c:extLst>
        </c:ser>
        <c:dLbls>
          <c:showLegendKey val="0"/>
          <c:showVal val="0"/>
          <c:showCatName val="0"/>
          <c:showSerName val="0"/>
          <c:showPercent val="0"/>
          <c:showBubbleSize val="0"/>
        </c:dLbls>
        <c:axId val="-1232615408"/>
        <c:axId val="-1232623024"/>
      </c:scatterChart>
      <c:valAx>
        <c:axId val="-1232615408"/>
        <c:scaling>
          <c:orientation val="minMax"/>
          <c:max val="0.5"/>
          <c:min val="0"/>
        </c:scaling>
        <c:delete val="0"/>
        <c:axPos val="t"/>
        <c:title>
          <c:tx>
            <c:rich>
              <a:bodyPr/>
              <a:lstStyle/>
              <a:p>
                <a:pPr>
                  <a:defRPr sz="1100" b="0" i="0" u="none" strike="noStrike" baseline="0">
                    <a:solidFill>
                      <a:srgbClr val="000000"/>
                    </a:solidFill>
                    <a:latin typeface="Calibri"/>
                    <a:ea typeface="Calibri"/>
                    <a:cs typeface="Calibri"/>
                  </a:defRPr>
                </a:pPr>
                <a:r>
                  <a:rPr lang="en-US" sz="1600" b="0" i="0" u="none" strike="noStrike" baseline="0">
                    <a:solidFill>
                      <a:srgbClr val="000000"/>
                    </a:solidFill>
                    <a:latin typeface="Arial"/>
                    <a:cs typeface="Arial"/>
                  </a:rPr>
                  <a:t>SE tube 20 water content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 m</a:t>
                </a:r>
                <a:r>
                  <a:rPr lang="en-US" sz="1600" b="0" i="0" u="none" strike="noStrike" baseline="30000">
                    <a:solidFill>
                      <a:srgbClr val="000000"/>
                    </a:solidFill>
                    <a:latin typeface="Arial"/>
                    <a:cs typeface="Arial"/>
                  </a:rPr>
                  <a:t>-3</a:t>
                </a:r>
                <a:r>
                  <a:rPr lang="en-US" sz="1600" b="0" i="0" u="none" strike="noStrike" baseline="0">
                    <a:solidFill>
                      <a:srgbClr val="000000"/>
                    </a:solidFill>
                    <a:latin typeface="Arial"/>
                    <a:cs typeface="Arial"/>
                  </a:rPr>
                  <a:t>)</a:t>
                </a:r>
              </a:p>
            </c:rich>
          </c:tx>
          <c:layout>
            <c:manualLayout>
              <c:xMode val="edge"/>
              <c:yMode val="edge"/>
              <c:x val="0.22619569961962099"/>
              <c:y val="4.2274602038381563E-2"/>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23024"/>
        <c:crosses val="autoZero"/>
        <c:crossBetween val="midCat"/>
        <c:majorUnit val="0.1"/>
      </c:valAx>
      <c:valAx>
        <c:axId val="-1232623024"/>
        <c:scaling>
          <c:orientation val="maxMin"/>
        </c:scaling>
        <c:delete val="0"/>
        <c:axPos val="l"/>
        <c:title>
          <c:tx>
            <c:rich>
              <a:bodyPr/>
              <a:lstStyle/>
              <a:p>
                <a:pPr>
                  <a:defRPr sz="1600" b="0" i="0" u="none" strike="noStrike" baseline="0">
                    <a:solidFill>
                      <a:srgbClr val="000000"/>
                    </a:solidFill>
                    <a:latin typeface="Arial"/>
                    <a:ea typeface="Arial"/>
                    <a:cs typeface="Arial"/>
                  </a:defRPr>
                </a:pPr>
                <a:r>
                  <a:rPr lang="en-US"/>
                  <a:t>Depth (cm)</a:t>
                </a:r>
              </a:p>
            </c:rich>
          </c:tx>
          <c:layout>
            <c:manualLayout>
              <c:xMode val="edge"/>
              <c:yMode val="edge"/>
              <c:x val="7.1812837650153342E-3"/>
              <c:y val="0.44098409511560055"/>
            </c:manualLayout>
          </c:layout>
          <c:overlay val="0"/>
          <c:spPr>
            <a:noFill/>
            <a:ln w="25400">
              <a:noFill/>
            </a:ln>
          </c:spPr>
        </c:title>
        <c:numFmt formatCode="General" sourceLinked="1"/>
        <c:majorTickMark val="out"/>
        <c:minorTickMark val="none"/>
        <c:tickLblPos val="nextTo"/>
        <c:spPr>
          <a:ln w="25400">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en-US"/>
          </a:p>
        </c:txPr>
        <c:crossAx val="-1232615408"/>
        <c:crosses val="autoZero"/>
        <c:crossBetween val="midCat"/>
      </c:valAx>
      <c:spPr>
        <a:noFill/>
        <a:ln w="25400">
          <a:solidFill>
            <a:srgbClr val="000000"/>
          </a:solidFill>
          <a:prstDash val="solid"/>
        </a:ln>
      </c:spPr>
    </c:plotArea>
    <c:legend>
      <c:legendPos val="r"/>
      <c:layout>
        <c:manualLayout>
          <c:xMode val="edge"/>
          <c:yMode val="edge"/>
          <c:x val="0.81968092946265081"/>
          <c:y val="0.26826865765285313"/>
          <c:w val="0.11121338639365544"/>
          <c:h val="0.56563248695036716"/>
        </c:manualLayout>
      </c:layout>
      <c:overlay val="0"/>
      <c:spPr>
        <a:solidFill>
          <a:srgbClr val="FFFFFF"/>
        </a:solidFill>
        <a:ln w="3175">
          <a:noFill/>
          <a:prstDash val="solid"/>
        </a:ln>
      </c:spPr>
      <c:txPr>
        <a:bodyPr/>
        <a:lstStyle/>
        <a:p>
          <a:pPr>
            <a:defRPr sz="88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1600" b="0" i="0" u="none" strike="noStrike" baseline="0">
          <a:solidFill>
            <a:srgbClr val="000000"/>
          </a:solidFill>
          <a:latin typeface="Arial"/>
          <a:ea typeface="Arial"/>
          <a:cs typeface="Arial"/>
        </a:defRPr>
      </a:pPr>
      <a:endParaRPr lang="en-US"/>
    </a:p>
  </c:txPr>
  <c:printSettings>
    <c:headerFooter alignWithMargins="0"/>
    <c:pageMargins b="1" l="0.75000000000000044" r="0.75000000000000044" t="1" header="0.5" footer="0.5"/>
    <c:pageSetup orientation="portrait"/>
  </c:printSettings>
  <c:userShapes r:id="rId1"/>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8" Type="http://schemas.openxmlformats.org/officeDocument/2006/relationships/chart" Target="../charts/chart9.xml"/><Relationship Id="rId13" Type="http://schemas.openxmlformats.org/officeDocument/2006/relationships/chart" Target="../charts/chart14.xml"/><Relationship Id="rId18" Type="http://schemas.openxmlformats.org/officeDocument/2006/relationships/chart" Target="../charts/chart19.xml"/><Relationship Id="rId3" Type="http://schemas.openxmlformats.org/officeDocument/2006/relationships/chart" Target="../charts/chart4.xml"/><Relationship Id="rId7" Type="http://schemas.openxmlformats.org/officeDocument/2006/relationships/chart" Target="../charts/chart8.xml"/><Relationship Id="rId12" Type="http://schemas.openxmlformats.org/officeDocument/2006/relationships/chart" Target="../charts/chart13.xml"/><Relationship Id="rId17" Type="http://schemas.openxmlformats.org/officeDocument/2006/relationships/chart" Target="../charts/chart18.xml"/><Relationship Id="rId2" Type="http://schemas.openxmlformats.org/officeDocument/2006/relationships/chart" Target="../charts/chart3.xml"/><Relationship Id="rId16" Type="http://schemas.openxmlformats.org/officeDocument/2006/relationships/chart" Target="../charts/chart17.xml"/><Relationship Id="rId20" Type="http://schemas.openxmlformats.org/officeDocument/2006/relationships/chart" Target="../charts/chart21.xml"/><Relationship Id="rId1" Type="http://schemas.openxmlformats.org/officeDocument/2006/relationships/chart" Target="../charts/chart2.xml"/><Relationship Id="rId6" Type="http://schemas.openxmlformats.org/officeDocument/2006/relationships/chart" Target="../charts/chart7.xml"/><Relationship Id="rId11" Type="http://schemas.openxmlformats.org/officeDocument/2006/relationships/chart" Target="../charts/chart12.xml"/><Relationship Id="rId5" Type="http://schemas.openxmlformats.org/officeDocument/2006/relationships/chart" Target="../charts/chart6.xml"/><Relationship Id="rId15" Type="http://schemas.openxmlformats.org/officeDocument/2006/relationships/chart" Target="../charts/chart16.xml"/><Relationship Id="rId10" Type="http://schemas.openxmlformats.org/officeDocument/2006/relationships/chart" Target="../charts/chart11.xml"/><Relationship Id="rId19" Type="http://schemas.openxmlformats.org/officeDocument/2006/relationships/chart" Target="../charts/chart20.xml"/><Relationship Id="rId4" Type="http://schemas.openxmlformats.org/officeDocument/2006/relationships/chart" Target="../charts/chart5.xml"/><Relationship Id="rId9" Type="http://schemas.openxmlformats.org/officeDocument/2006/relationships/chart" Target="../charts/chart10.xml"/><Relationship Id="rId1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0</xdr:col>
      <xdr:colOff>0</xdr:colOff>
      <xdr:row>14</xdr:row>
      <xdr:rowOff>99060</xdr:rowOff>
    </xdr:from>
    <xdr:to>
      <xdr:col>8</xdr:col>
      <xdr:colOff>0</xdr:colOff>
      <xdr:row>36</xdr:row>
      <xdr:rowOff>76200</xdr:rowOff>
    </xdr:to>
    <xdr:graphicFrame macro="">
      <xdr:nvGraphicFramePr>
        <xdr:cNvPr id="2" name="Chart 1">
          <a:extLst>
            <a:ext uri="{FF2B5EF4-FFF2-40B4-BE49-F238E27FC236}">
              <a16:creationId xmlns:a16="http://schemas.microsoft.com/office/drawing/2014/main" id="{CC829058-D6B9-45B9-AFAC-BD13715638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0.73906</cdr:x>
      <cdr:y>0.10593</cdr:y>
    </cdr:from>
    <cdr:to>
      <cdr:x>0.98333</cdr:x>
      <cdr:y>0.20887</cdr:y>
    </cdr:to>
    <cdr:sp macro="" textlink="">
      <cdr:nvSpPr>
        <cdr:cNvPr id="2" name="TextBox 1"/>
        <cdr:cNvSpPr txBox="1"/>
      </cdr:nvSpPr>
      <cdr:spPr>
        <a:xfrm xmlns:a="http://schemas.openxmlformats.org/drawingml/2006/main">
          <a:off x="3604261" y="388257"/>
          <a:ext cx="1191244" cy="377298"/>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400" b="1"/>
            <a:t>maize SDI</a:t>
          </a:r>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11</xdr:col>
      <xdr:colOff>350520</xdr:colOff>
      <xdr:row>34</xdr:row>
      <xdr:rowOff>38100</xdr:rowOff>
    </xdr:to>
    <xdr:graphicFrame macro="">
      <xdr:nvGraphicFramePr>
        <xdr:cNvPr id="2" name="Chart 1">
          <a:extLst>
            <a:ext uri="{FF2B5EF4-FFF2-40B4-BE49-F238E27FC236}">
              <a16:creationId xmlns:a16="http://schemas.microsoft.com/office/drawing/2014/main" id="{3F51483C-4740-4CC5-ACF3-84217DEA28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0</xdr:row>
      <xdr:rowOff>0</xdr:rowOff>
    </xdr:from>
    <xdr:to>
      <xdr:col>23</xdr:col>
      <xdr:colOff>350520</xdr:colOff>
      <xdr:row>34</xdr:row>
      <xdr:rowOff>38100</xdr:rowOff>
    </xdr:to>
    <xdr:graphicFrame macro="">
      <xdr:nvGraphicFramePr>
        <xdr:cNvPr id="3" name="Chart 1">
          <a:extLst>
            <a:ext uri="{FF2B5EF4-FFF2-40B4-BE49-F238E27FC236}">
              <a16:creationId xmlns:a16="http://schemas.microsoft.com/office/drawing/2014/main" id="{C6612EAB-F6AA-4294-BF99-51B447AA86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35</xdr:row>
      <xdr:rowOff>0</xdr:rowOff>
    </xdr:from>
    <xdr:to>
      <xdr:col>11</xdr:col>
      <xdr:colOff>350520</xdr:colOff>
      <xdr:row>69</xdr:row>
      <xdr:rowOff>38100</xdr:rowOff>
    </xdr:to>
    <xdr:graphicFrame macro="">
      <xdr:nvGraphicFramePr>
        <xdr:cNvPr id="4" name="Chart 1">
          <a:extLst>
            <a:ext uri="{FF2B5EF4-FFF2-40B4-BE49-F238E27FC236}">
              <a16:creationId xmlns:a16="http://schemas.microsoft.com/office/drawing/2014/main" id="{F226D188-5B1C-4FE6-B067-049631253B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0</xdr:colOff>
      <xdr:row>35</xdr:row>
      <xdr:rowOff>0</xdr:rowOff>
    </xdr:from>
    <xdr:to>
      <xdr:col>23</xdr:col>
      <xdr:colOff>350520</xdr:colOff>
      <xdr:row>69</xdr:row>
      <xdr:rowOff>38100</xdr:rowOff>
    </xdr:to>
    <xdr:graphicFrame macro="">
      <xdr:nvGraphicFramePr>
        <xdr:cNvPr id="5" name="Chart 1">
          <a:extLst>
            <a:ext uri="{FF2B5EF4-FFF2-40B4-BE49-F238E27FC236}">
              <a16:creationId xmlns:a16="http://schemas.microsoft.com/office/drawing/2014/main" id="{276913FA-75A1-4AC4-BCE5-4A87947149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70</xdr:row>
      <xdr:rowOff>0</xdr:rowOff>
    </xdr:from>
    <xdr:to>
      <xdr:col>11</xdr:col>
      <xdr:colOff>350520</xdr:colOff>
      <xdr:row>104</xdr:row>
      <xdr:rowOff>38100</xdr:rowOff>
    </xdr:to>
    <xdr:graphicFrame macro="">
      <xdr:nvGraphicFramePr>
        <xdr:cNvPr id="6" name="Chart 1">
          <a:extLst>
            <a:ext uri="{FF2B5EF4-FFF2-40B4-BE49-F238E27FC236}">
              <a16:creationId xmlns:a16="http://schemas.microsoft.com/office/drawing/2014/main" id="{D35694BB-939E-4E16-9D63-BFDAB5DEEA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0</xdr:colOff>
      <xdr:row>70</xdr:row>
      <xdr:rowOff>0</xdr:rowOff>
    </xdr:from>
    <xdr:to>
      <xdr:col>23</xdr:col>
      <xdr:colOff>350520</xdr:colOff>
      <xdr:row>104</xdr:row>
      <xdr:rowOff>38100</xdr:rowOff>
    </xdr:to>
    <xdr:graphicFrame macro="">
      <xdr:nvGraphicFramePr>
        <xdr:cNvPr id="7" name="Chart 1">
          <a:extLst>
            <a:ext uri="{FF2B5EF4-FFF2-40B4-BE49-F238E27FC236}">
              <a16:creationId xmlns:a16="http://schemas.microsoft.com/office/drawing/2014/main" id="{35165DD4-59BE-4A7B-A02E-AAF5DFAE43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105</xdr:row>
      <xdr:rowOff>0</xdr:rowOff>
    </xdr:from>
    <xdr:to>
      <xdr:col>11</xdr:col>
      <xdr:colOff>350520</xdr:colOff>
      <xdr:row>139</xdr:row>
      <xdr:rowOff>38100</xdr:rowOff>
    </xdr:to>
    <xdr:graphicFrame macro="">
      <xdr:nvGraphicFramePr>
        <xdr:cNvPr id="8" name="Chart 1">
          <a:extLst>
            <a:ext uri="{FF2B5EF4-FFF2-40B4-BE49-F238E27FC236}">
              <a16:creationId xmlns:a16="http://schemas.microsoft.com/office/drawing/2014/main" id="{8115175B-31F5-4085-B7A4-B9BB3C2C90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0</xdr:colOff>
      <xdr:row>105</xdr:row>
      <xdr:rowOff>0</xdr:rowOff>
    </xdr:from>
    <xdr:to>
      <xdr:col>23</xdr:col>
      <xdr:colOff>350520</xdr:colOff>
      <xdr:row>139</xdr:row>
      <xdr:rowOff>38100</xdr:rowOff>
    </xdr:to>
    <xdr:graphicFrame macro="">
      <xdr:nvGraphicFramePr>
        <xdr:cNvPr id="9" name="Chart 1">
          <a:extLst>
            <a:ext uri="{FF2B5EF4-FFF2-40B4-BE49-F238E27FC236}">
              <a16:creationId xmlns:a16="http://schemas.microsoft.com/office/drawing/2014/main" id="{2CA6B619-63F7-45F8-865C-C29AC99F12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140</xdr:row>
      <xdr:rowOff>0</xdr:rowOff>
    </xdr:from>
    <xdr:to>
      <xdr:col>11</xdr:col>
      <xdr:colOff>350520</xdr:colOff>
      <xdr:row>174</xdr:row>
      <xdr:rowOff>38100</xdr:rowOff>
    </xdr:to>
    <xdr:graphicFrame macro="">
      <xdr:nvGraphicFramePr>
        <xdr:cNvPr id="10" name="Chart 1">
          <a:extLst>
            <a:ext uri="{FF2B5EF4-FFF2-40B4-BE49-F238E27FC236}">
              <a16:creationId xmlns:a16="http://schemas.microsoft.com/office/drawing/2014/main" id="{1D11CBBD-43C4-47E2-9A7F-8B6CACFE66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0</xdr:colOff>
      <xdr:row>140</xdr:row>
      <xdr:rowOff>0</xdr:rowOff>
    </xdr:from>
    <xdr:to>
      <xdr:col>23</xdr:col>
      <xdr:colOff>350520</xdr:colOff>
      <xdr:row>174</xdr:row>
      <xdr:rowOff>38100</xdr:rowOff>
    </xdr:to>
    <xdr:graphicFrame macro="">
      <xdr:nvGraphicFramePr>
        <xdr:cNvPr id="11" name="Chart 1">
          <a:extLst>
            <a:ext uri="{FF2B5EF4-FFF2-40B4-BE49-F238E27FC236}">
              <a16:creationId xmlns:a16="http://schemas.microsoft.com/office/drawing/2014/main" id="{D01C2BAD-FD00-4F7D-89DD-8CCFAFCB20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0</xdr:colOff>
      <xdr:row>175</xdr:row>
      <xdr:rowOff>0</xdr:rowOff>
    </xdr:from>
    <xdr:to>
      <xdr:col>11</xdr:col>
      <xdr:colOff>350520</xdr:colOff>
      <xdr:row>209</xdr:row>
      <xdr:rowOff>38100</xdr:rowOff>
    </xdr:to>
    <xdr:graphicFrame macro="">
      <xdr:nvGraphicFramePr>
        <xdr:cNvPr id="12" name="Chart 1">
          <a:extLst>
            <a:ext uri="{FF2B5EF4-FFF2-40B4-BE49-F238E27FC236}">
              <a16:creationId xmlns:a16="http://schemas.microsoft.com/office/drawing/2014/main" id="{0576E616-A79F-4D81-A1E0-37B0E62E8E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0</xdr:colOff>
      <xdr:row>175</xdr:row>
      <xdr:rowOff>0</xdr:rowOff>
    </xdr:from>
    <xdr:to>
      <xdr:col>23</xdr:col>
      <xdr:colOff>350520</xdr:colOff>
      <xdr:row>209</xdr:row>
      <xdr:rowOff>38100</xdr:rowOff>
    </xdr:to>
    <xdr:graphicFrame macro="">
      <xdr:nvGraphicFramePr>
        <xdr:cNvPr id="13" name="Chart 1">
          <a:extLst>
            <a:ext uri="{FF2B5EF4-FFF2-40B4-BE49-F238E27FC236}">
              <a16:creationId xmlns:a16="http://schemas.microsoft.com/office/drawing/2014/main" id="{886B6DDF-BF52-4196-B533-4C6984CEDF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0</xdr:colOff>
      <xdr:row>210</xdr:row>
      <xdr:rowOff>0</xdr:rowOff>
    </xdr:from>
    <xdr:to>
      <xdr:col>11</xdr:col>
      <xdr:colOff>350520</xdr:colOff>
      <xdr:row>244</xdr:row>
      <xdr:rowOff>38100</xdr:rowOff>
    </xdr:to>
    <xdr:graphicFrame macro="">
      <xdr:nvGraphicFramePr>
        <xdr:cNvPr id="14" name="Chart 1">
          <a:extLst>
            <a:ext uri="{FF2B5EF4-FFF2-40B4-BE49-F238E27FC236}">
              <a16:creationId xmlns:a16="http://schemas.microsoft.com/office/drawing/2014/main" id="{31485B7A-680A-4C3F-AF1B-6E899A85DF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12</xdr:col>
      <xdr:colOff>0</xdr:colOff>
      <xdr:row>210</xdr:row>
      <xdr:rowOff>0</xdr:rowOff>
    </xdr:from>
    <xdr:to>
      <xdr:col>23</xdr:col>
      <xdr:colOff>350520</xdr:colOff>
      <xdr:row>244</xdr:row>
      <xdr:rowOff>38100</xdr:rowOff>
    </xdr:to>
    <xdr:graphicFrame macro="">
      <xdr:nvGraphicFramePr>
        <xdr:cNvPr id="15" name="Chart 1">
          <a:extLst>
            <a:ext uri="{FF2B5EF4-FFF2-40B4-BE49-F238E27FC236}">
              <a16:creationId xmlns:a16="http://schemas.microsoft.com/office/drawing/2014/main" id="{25A7CB60-E1EC-43BE-9A88-1FCB344ED0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0</xdr:colOff>
      <xdr:row>245</xdr:row>
      <xdr:rowOff>0</xdr:rowOff>
    </xdr:from>
    <xdr:to>
      <xdr:col>11</xdr:col>
      <xdr:colOff>350520</xdr:colOff>
      <xdr:row>279</xdr:row>
      <xdr:rowOff>38100</xdr:rowOff>
    </xdr:to>
    <xdr:graphicFrame macro="">
      <xdr:nvGraphicFramePr>
        <xdr:cNvPr id="16" name="Chart 1">
          <a:extLst>
            <a:ext uri="{FF2B5EF4-FFF2-40B4-BE49-F238E27FC236}">
              <a16:creationId xmlns:a16="http://schemas.microsoft.com/office/drawing/2014/main" id="{96D82EB8-BE14-48E0-8715-26CD087295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12</xdr:col>
      <xdr:colOff>0</xdr:colOff>
      <xdr:row>245</xdr:row>
      <xdr:rowOff>0</xdr:rowOff>
    </xdr:from>
    <xdr:to>
      <xdr:col>23</xdr:col>
      <xdr:colOff>350520</xdr:colOff>
      <xdr:row>279</xdr:row>
      <xdr:rowOff>38100</xdr:rowOff>
    </xdr:to>
    <xdr:graphicFrame macro="">
      <xdr:nvGraphicFramePr>
        <xdr:cNvPr id="17" name="Chart 1">
          <a:extLst>
            <a:ext uri="{FF2B5EF4-FFF2-40B4-BE49-F238E27FC236}">
              <a16:creationId xmlns:a16="http://schemas.microsoft.com/office/drawing/2014/main" id="{9C3BCFAD-065E-44E6-A12A-A1C08769F4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0</xdr:col>
      <xdr:colOff>0</xdr:colOff>
      <xdr:row>280</xdr:row>
      <xdr:rowOff>0</xdr:rowOff>
    </xdr:from>
    <xdr:to>
      <xdr:col>11</xdr:col>
      <xdr:colOff>350520</xdr:colOff>
      <xdr:row>314</xdr:row>
      <xdr:rowOff>38100</xdr:rowOff>
    </xdr:to>
    <xdr:graphicFrame macro="">
      <xdr:nvGraphicFramePr>
        <xdr:cNvPr id="18" name="Chart 1">
          <a:extLst>
            <a:ext uri="{FF2B5EF4-FFF2-40B4-BE49-F238E27FC236}">
              <a16:creationId xmlns:a16="http://schemas.microsoft.com/office/drawing/2014/main" id="{AC450E48-CBEE-420D-91C1-BCE0E79577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12</xdr:col>
      <xdr:colOff>0</xdr:colOff>
      <xdr:row>280</xdr:row>
      <xdr:rowOff>0</xdr:rowOff>
    </xdr:from>
    <xdr:to>
      <xdr:col>23</xdr:col>
      <xdr:colOff>350520</xdr:colOff>
      <xdr:row>314</xdr:row>
      <xdr:rowOff>38100</xdr:rowOff>
    </xdr:to>
    <xdr:graphicFrame macro="">
      <xdr:nvGraphicFramePr>
        <xdr:cNvPr id="19" name="Chart 1">
          <a:extLst>
            <a:ext uri="{FF2B5EF4-FFF2-40B4-BE49-F238E27FC236}">
              <a16:creationId xmlns:a16="http://schemas.microsoft.com/office/drawing/2014/main" id="{CB86F609-BBA2-46D0-BCE8-F0DBED2BD3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0</xdr:col>
      <xdr:colOff>0</xdr:colOff>
      <xdr:row>315</xdr:row>
      <xdr:rowOff>0</xdr:rowOff>
    </xdr:from>
    <xdr:to>
      <xdr:col>11</xdr:col>
      <xdr:colOff>350520</xdr:colOff>
      <xdr:row>349</xdr:row>
      <xdr:rowOff>38099</xdr:rowOff>
    </xdr:to>
    <xdr:graphicFrame macro="">
      <xdr:nvGraphicFramePr>
        <xdr:cNvPr id="20" name="Chart 1">
          <a:extLst>
            <a:ext uri="{FF2B5EF4-FFF2-40B4-BE49-F238E27FC236}">
              <a16:creationId xmlns:a16="http://schemas.microsoft.com/office/drawing/2014/main" id="{2D680C8C-D097-472F-8B91-37C777159E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12</xdr:col>
      <xdr:colOff>0</xdr:colOff>
      <xdr:row>315</xdr:row>
      <xdr:rowOff>0</xdr:rowOff>
    </xdr:from>
    <xdr:to>
      <xdr:col>23</xdr:col>
      <xdr:colOff>350520</xdr:colOff>
      <xdr:row>349</xdr:row>
      <xdr:rowOff>38099</xdr:rowOff>
    </xdr:to>
    <xdr:graphicFrame macro="">
      <xdr:nvGraphicFramePr>
        <xdr:cNvPr id="21" name="Chart 1">
          <a:extLst>
            <a:ext uri="{FF2B5EF4-FFF2-40B4-BE49-F238E27FC236}">
              <a16:creationId xmlns:a16="http://schemas.microsoft.com/office/drawing/2014/main" id="{99344813-1928-4DF9-9C19-BBD79C8151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0.82282</cdr:x>
      <cdr:y>0.18404</cdr:y>
    </cdr:from>
    <cdr:to>
      <cdr:x>0.98047</cdr:x>
      <cdr:y>0.23688</cdr:y>
    </cdr:to>
    <cdr:sp macro="" textlink="">
      <cdr:nvSpPr>
        <cdr:cNvPr id="2" name="TextBox 1"/>
        <cdr:cNvSpPr txBox="1"/>
      </cdr:nvSpPr>
      <cdr:spPr>
        <a:xfrm xmlns:a="http://schemas.openxmlformats.org/drawingml/2006/main">
          <a:off x="5832928" y="852714"/>
          <a:ext cx="1074058" cy="37192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5.xml><?xml version="1.0" encoding="utf-8"?>
<c:userShapes xmlns:c="http://schemas.openxmlformats.org/drawingml/2006/chart">
  <cdr:relSizeAnchor xmlns:cdr="http://schemas.openxmlformats.org/drawingml/2006/chartDrawing">
    <cdr:from>
      <cdr:x>0.82282</cdr:x>
      <cdr:y>0.18404</cdr:y>
    </cdr:from>
    <cdr:to>
      <cdr:x>0.98047</cdr:x>
      <cdr:y>0.23688</cdr:y>
    </cdr:to>
    <cdr:sp macro="" textlink="">
      <cdr:nvSpPr>
        <cdr:cNvPr id="2" name="TextBox 1"/>
        <cdr:cNvSpPr txBox="1"/>
      </cdr:nvSpPr>
      <cdr:spPr>
        <a:xfrm xmlns:a="http://schemas.openxmlformats.org/drawingml/2006/main">
          <a:off x="5832928" y="852714"/>
          <a:ext cx="1074058" cy="37192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6.xml><?xml version="1.0" encoding="utf-8"?>
<c:userShapes xmlns:c="http://schemas.openxmlformats.org/drawingml/2006/chart">
  <cdr:relSizeAnchor xmlns:cdr="http://schemas.openxmlformats.org/drawingml/2006/chartDrawing">
    <cdr:from>
      <cdr:x>0.82282</cdr:x>
      <cdr:y>0.18404</cdr:y>
    </cdr:from>
    <cdr:to>
      <cdr:x>0.98047</cdr:x>
      <cdr:y>0.23688</cdr:y>
    </cdr:to>
    <cdr:sp macro="" textlink="">
      <cdr:nvSpPr>
        <cdr:cNvPr id="2" name="TextBox 1"/>
        <cdr:cNvSpPr txBox="1"/>
      </cdr:nvSpPr>
      <cdr:spPr>
        <a:xfrm xmlns:a="http://schemas.openxmlformats.org/drawingml/2006/main">
          <a:off x="5832928" y="852714"/>
          <a:ext cx="1074058" cy="37192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7.xml><?xml version="1.0" encoding="utf-8"?>
<c:userShapes xmlns:c="http://schemas.openxmlformats.org/drawingml/2006/chart">
  <cdr:relSizeAnchor xmlns:cdr="http://schemas.openxmlformats.org/drawingml/2006/chartDrawing">
    <cdr:from>
      <cdr:x>0.82282</cdr:x>
      <cdr:y>0.18404</cdr:y>
    </cdr:from>
    <cdr:to>
      <cdr:x>0.98047</cdr:x>
      <cdr:y>0.23688</cdr:y>
    </cdr:to>
    <cdr:sp macro="" textlink="">
      <cdr:nvSpPr>
        <cdr:cNvPr id="2" name="TextBox 1"/>
        <cdr:cNvSpPr txBox="1"/>
      </cdr:nvSpPr>
      <cdr:spPr>
        <a:xfrm xmlns:a="http://schemas.openxmlformats.org/drawingml/2006/main">
          <a:off x="5832928" y="852714"/>
          <a:ext cx="1074058" cy="37192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8.xml><?xml version="1.0" encoding="utf-8"?>
<c:userShapes xmlns:c="http://schemas.openxmlformats.org/drawingml/2006/chart">
  <cdr:relSizeAnchor xmlns:cdr="http://schemas.openxmlformats.org/drawingml/2006/chartDrawing">
    <cdr:from>
      <cdr:x>0.82282</cdr:x>
      <cdr:y>0.18404</cdr:y>
    </cdr:from>
    <cdr:to>
      <cdr:x>0.98047</cdr:x>
      <cdr:y>0.23688</cdr:y>
    </cdr:to>
    <cdr:sp macro="" textlink="">
      <cdr:nvSpPr>
        <cdr:cNvPr id="2" name="TextBox 1"/>
        <cdr:cNvSpPr txBox="1"/>
      </cdr:nvSpPr>
      <cdr:spPr>
        <a:xfrm xmlns:a="http://schemas.openxmlformats.org/drawingml/2006/main">
          <a:off x="5832928" y="852714"/>
          <a:ext cx="1074058" cy="37192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9.xml><?xml version="1.0" encoding="utf-8"?>
<c:userShapes xmlns:c="http://schemas.openxmlformats.org/drawingml/2006/chart">
  <cdr:relSizeAnchor xmlns:cdr="http://schemas.openxmlformats.org/drawingml/2006/chartDrawing">
    <cdr:from>
      <cdr:x>0.82282</cdr:x>
      <cdr:y>0.18404</cdr:y>
    </cdr:from>
    <cdr:to>
      <cdr:x>0.98047</cdr:x>
      <cdr:y>0.23688</cdr:y>
    </cdr:to>
    <cdr:sp macro="" textlink="">
      <cdr:nvSpPr>
        <cdr:cNvPr id="2" name="TextBox 1"/>
        <cdr:cNvSpPr txBox="1"/>
      </cdr:nvSpPr>
      <cdr:spPr>
        <a:xfrm xmlns:a="http://schemas.openxmlformats.org/drawingml/2006/main">
          <a:off x="5832928" y="852714"/>
          <a:ext cx="1074058" cy="37192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10.xml><?xml version="1.0" encoding="utf-8"?>
<c:userShapes xmlns:c="http://schemas.openxmlformats.org/drawingml/2006/chart">
  <cdr:relSizeAnchor xmlns:cdr="http://schemas.openxmlformats.org/drawingml/2006/chartDrawing">
    <cdr:from>
      <cdr:x>0.82282</cdr:x>
      <cdr:y>0.18404</cdr:y>
    </cdr:from>
    <cdr:to>
      <cdr:x>0.98047</cdr:x>
      <cdr:y>0.23688</cdr:y>
    </cdr:to>
    <cdr:sp macro="" textlink="">
      <cdr:nvSpPr>
        <cdr:cNvPr id="2" name="TextBox 1"/>
        <cdr:cNvSpPr txBox="1"/>
      </cdr:nvSpPr>
      <cdr:spPr>
        <a:xfrm xmlns:a="http://schemas.openxmlformats.org/drawingml/2006/main">
          <a:off x="5832928" y="852714"/>
          <a:ext cx="1074058" cy="37192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11.xml><?xml version="1.0" encoding="utf-8"?>
<c:userShapes xmlns:c="http://schemas.openxmlformats.org/drawingml/2006/chart">
  <cdr:relSizeAnchor xmlns:cdr="http://schemas.openxmlformats.org/drawingml/2006/chartDrawing">
    <cdr:from>
      <cdr:x>0.82282</cdr:x>
      <cdr:y>0.18404</cdr:y>
    </cdr:from>
    <cdr:to>
      <cdr:x>0.98047</cdr:x>
      <cdr:y>0.23688</cdr:y>
    </cdr:to>
    <cdr:sp macro="" textlink="">
      <cdr:nvSpPr>
        <cdr:cNvPr id="2" name="TextBox 1"/>
        <cdr:cNvSpPr txBox="1"/>
      </cdr:nvSpPr>
      <cdr:spPr>
        <a:xfrm xmlns:a="http://schemas.openxmlformats.org/drawingml/2006/main">
          <a:off x="5832928" y="852714"/>
          <a:ext cx="1074058" cy="37192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12.xml><?xml version="1.0" encoding="utf-8"?>
<c:userShapes xmlns:c="http://schemas.openxmlformats.org/drawingml/2006/chart">
  <cdr:relSizeAnchor xmlns:cdr="http://schemas.openxmlformats.org/drawingml/2006/chartDrawing">
    <cdr:from>
      <cdr:x>0.82282</cdr:x>
      <cdr:y>0.18404</cdr:y>
    </cdr:from>
    <cdr:to>
      <cdr:x>0.98047</cdr:x>
      <cdr:y>0.23688</cdr:y>
    </cdr:to>
    <cdr:sp macro="" textlink="">
      <cdr:nvSpPr>
        <cdr:cNvPr id="2" name="TextBox 1"/>
        <cdr:cNvSpPr txBox="1"/>
      </cdr:nvSpPr>
      <cdr:spPr>
        <a:xfrm xmlns:a="http://schemas.openxmlformats.org/drawingml/2006/main">
          <a:off x="5832928" y="852714"/>
          <a:ext cx="1074058" cy="37192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13.xml><?xml version="1.0" encoding="utf-8"?>
<c:userShapes xmlns:c="http://schemas.openxmlformats.org/drawingml/2006/chart">
  <cdr:relSizeAnchor xmlns:cdr="http://schemas.openxmlformats.org/drawingml/2006/chartDrawing">
    <cdr:from>
      <cdr:x>0.82282</cdr:x>
      <cdr:y>0.18404</cdr:y>
    </cdr:from>
    <cdr:to>
      <cdr:x>0.98047</cdr:x>
      <cdr:y>0.23688</cdr:y>
    </cdr:to>
    <cdr:sp macro="" textlink="">
      <cdr:nvSpPr>
        <cdr:cNvPr id="2" name="TextBox 1"/>
        <cdr:cNvSpPr txBox="1"/>
      </cdr:nvSpPr>
      <cdr:spPr>
        <a:xfrm xmlns:a="http://schemas.openxmlformats.org/drawingml/2006/main">
          <a:off x="5832928" y="852714"/>
          <a:ext cx="1074058" cy="37192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14.xml><?xml version="1.0" encoding="utf-8"?>
<c:userShapes xmlns:c="http://schemas.openxmlformats.org/drawingml/2006/chart">
  <cdr:relSizeAnchor xmlns:cdr="http://schemas.openxmlformats.org/drawingml/2006/chartDrawing">
    <cdr:from>
      <cdr:x>0.82282</cdr:x>
      <cdr:y>0.18404</cdr:y>
    </cdr:from>
    <cdr:to>
      <cdr:x>0.98047</cdr:x>
      <cdr:y>0.23688</cdr:y>
    </cdr:to>
    <cdr:sp macro="" textlink="">
      <cdr:nvSpPr>
        <cdr:cNvPr id="2" name="TextBox 1"/>
        <cdr:cNvSpPr txBox="1"/>
      </cdr:nvSpPr>
      <cdr:spPr>
        <a:xfrm xmlns:a="http://schemas.openxmlformats.org/drawingml/2006/main">
          <a:off x="5832928" y="852714"/>
          <a:ext cx="1074058" cy="37192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15.xml><?xml version="1.0" encoding="utf-8"?>
<c:userShapes xmlns:c="http://schemas.openxmlformats.org/drawingml/2006/chart">
  <cdr:relSizeAnchor xmlns:cdr="http://schemas.openxmlformats.org/drawingml/2006/chartDrawing">
    <cdr:from>
      <cdr:x>0.82282</cdr:x>
      <cdr:y>0.18404</cdr:y>
    </cdr:from>
    <cdr:to>
      <cdr:x>0.98047</cdr:x>
      <cdr:y>0.23688</cdr:y>
    </cdr:to>
    <cdr:sp macro="" textlink="">
      <cdr:nvSpPr>
        <cdr:cNvPr id="2" name="TextBox 1"/>
        <cdr:cNvSpPr txBox="1"/>
      </cdr:nvSpPr>
      <cdr:spPr>
        <a:xfrm xmlns:a="http://schemas.openxmlformats.org/drawingml/2006/main">
          <a:off x="5832928" y="852714"/>
          <a:ext cx="1074058" cy="37192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16.xml><?xml version="1.0" encoding="utf-8"?>
<c:userShapes xmlns:c="http://schemas.openxmlformats.org/drawingml/2006/chart">
  <cdr:relSizeAnchor xmlns:cdr="http://schemas.openxmlformats.org/drawingml/2006/chartDrawing">
    <cdr:from>
      <cdr:x>0.82282</cdr:x>
      <cdr:y>0.18404</cdr:y>
    </cdr:from>
    <cdr:to>
      <cdr:x>0.98047</cdr:x>
      <cdr:y>0.23688</cdr:y>
    </cdr:to>
    <cdr:sp macro="" textlink="">
      <cdr:nvSpPr>
        <cdr:cNvPr id="2" name="TextBox 1"/>
        <cdr:cNvSpPr txBox="1"/>
      </cdr:nvSpPr>
      <cdr:spPr>
        <a:xfrm xmlns:a="http://schemas.openxmlformats.org/drawingml/2006/main">
          <a:off x="5832928" y="852714"/>
          <a:ext cx="1074058" cy="37192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17.xml><?xml version="1.0" encoding="utf-8"?>
<c:userShapes xmlns:c="http://schemas.openxmlformats.org/drawingml/2006/chart">
  <cdr:relSizeAnchor xmlns:cdr="http://schemas.openxmlformats.org/drawingml/2006/chartDrawing">
    <cdr:from>
      <cdr:x>0.82282</cdr:x>
      <cdr:y>0.18404</cdr:y>
    </cdr:from>
    <cdr:to>
      <cdr:x>0.98047</cdr:x>
      <cdr:y>0.23688</cdr:y>
    </cdr:to>
    <cdr:sp macro="" textlink="">
      <cdr:nvSpPr>
        <cdr:cNvPr id="2" name="TextBox 1"/>
        <cdr:cNvSpPr txBox="1"/>
      </cdr:nvSpPr>
      <cdr:spPr>
        <a:xfrm xmlns:a="http://schemas.openxmlformats.org/drawingml/2006/main">
          <a:off x="5832928" y="852714"/>
          <a:ext cx="1074058" cy="37192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18.xml><?xml version="1.0" encoding="utf-8"?>
<c:userShapes xmlns:c="http://schemas.openxmlformats.org/drawingml/2006/chart">
  <cdr:relSizeAnchor xmlns:cdr="http://schemas.openxmlformats.org/drawingml/2006/chartDrawing">
    <cdr:from>
      <cdr:x>0.82282</cdr:x>
      <cdr:y>0.18404</cdr:y>
    </cdr:from>
    <cdr:to>
      <cdr:x>0.98047</cdr:x>
      <cdr:y>0.23688</cdr:y>
    </cdr:to>
    <cdr:sp macro="" textlink="">
      <cdr:nvSpPr>
        <cdr:cNvPr id="2" name="TextBox 1"/>
        <cdr:cNvSpPr txBox="1"/>
      </cdr:nvSpPr>
      <cdr:spPr>
        <a:xfrm xmlns:a="http://schemas.openxmlformats.org/drawingml/2006/main">
          <a:off x="5832928" y="852714"/>
          <a:ext cx="1074058" cy="37192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19.xml><?xml version="1.0" encoding="utf-8"?>
<c:userShapes xmlns:c="http://schemas.openxmlformats.org/drawingml/2006/chart">
  <cdr:relSizeAnchor xmlns:cdr="http://schemas.openxmlformats.org/drawingml/2006/chartDrawing">
    <cdr:from>
      <cdr:x>0.82282</cdr:x>
      <cdr:y>0.18404</cdr:y>
    </cdr:from>
    <cdr:to>
      <cdr:x>0.98047</cdr:x>
      <cdr:y>0.23688</cdr:y>
    </cdr:to>
    <cdr:sp macro="" textlink="">
      <cdr:nvSpPr>
        <cdr:cNvPr id="2" name="TextBox 1"/>
        <cdr:cNvSpPr txBox="1"/>
      </cdr:nvSpPr>
      <cdr:spPr>
        <a:xfrm xmlns:a="http://schemas.openxmlformats.org/drawingml/2006/main">
          <a:off x="5832928" y="852714"/>
          <a:ext cx="1074058" cy="37192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20.xml><?xml version="1.0" encoding="utf-8"?>
<c:userShapes xmlns:c="http://schemas.openxmlformats.org/drawingml/2006/chart">
  <cdr:relSizeAnchor xmlns:cdr="http://schemas.openxmlformats.org/drawingml/2006/chartDrawing">
    <cdr:from>
      <cdr:x>0.82282</cdr:x>
      <cdr:y>0.18404</cdr:y>
    </cdr:from>
    <cdr:to>
      <cdr:x>0.98047</cdr:x>
      <cdr:y>0.23688</cdr:y>
    </cdr:to>
    <cdr:sp macro="" textlink="">
      <cdr:nvSpPr>
        <cdr:cNvPr id="2" name="TextBox 1"/>
        <cdr:cNvSpPr txBox="1"/>
      </cdr:nvSpPr>
      <cdr:spPr>
        <a:xfrm xmlns:a="http://schemas.openxmlformats.org/drawingml/2006/main">
          <a:off x="5832928" y="852714"/>
          <a:ext cx="1074058" cy="37192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21.xml><?xml version="1.0" encoding="utf-8"?>
<c:userShapes xmlns:c="http://schemas.openxmlformats.org/drawingml/2006/chart">
  <cdr:relSizeAnchor xmlns:cdr="http://schemas.openxmlformats.org/drawingml/2006/chartDrawing">
    <cdr:from>
      <cdr:x>0.82282</cdr:x>
      <cdr:y>0.18404</cdr:y>
    </cdr:from>
    <cdr:to>
      <cdr:x>0.98047</cdr:x>
      <cdr:y>0.23688</cdr:y>
    </cdr:to>
    <cdr:sp macro="" textlink="">
      <cdr:nvSpPr>
        <cdr:cNvPr id="2" name="TextBox 1"/>
        <cdr:cNvSpPr txBox="1"/>
      </cdr:nvSpPr>
      <cdr:spPr>
        <a:xfrm xmlns:a="http://schemas.openxmlformats.org/drawingml/2006/main">
          <a:off x="5832928" y="852714"/>
          <a:ext cx="1074058" cy="37192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22.xml><?xml version="1.0" encoding="utf-8"?>
<c:userShapes xmlns:c="http://schemas.openxmlformats.org/drawingml/2006/chart">
  <cdr:relSizeAnchor xmlns:cdr="http://schemas.openxmlformats.org/drawingml/2006/chartDrawing">
    <cdr:from>
      <cdr:x>0.82282</cdr:x>
      <cdr:y>0.18404</cdr:y>
    </cdr:from>
    <cdr:to>
      <cdr:x>0.98047</cdr:x>
      <cdr:y>0.23688</cdr:y>
    </cdr:to>
    <cdr:sp macro="" textlink="">
      <cdr:nvSpPr>
        <cdr:cNvPr id="2" name="TextBox 1"/>
        <cdr:cNvSpPr txBox="1"/>
      </cdr:nvSpPr>
      <cdr:spPr>
        <a:xfrm xmlns:a="http://schemas.openxmlformats.org/drawingml/2006/main">
          <a:off x="5832928" y="852714"/>
          <a:ext cx="1074058" cy="37192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drawings/drawing23.xml><?xml version="1.0" encoding="utf-8"?>
<c:userShapes xmlns:c="http://schemas.openxmlformats.org/drawingml/2006/chart">
  <cdr:relSizeAnchor xmlns:cdr="http://schemas.openxmlformats.org/drawingml/2006/chartDrawing">
    <cdr:from>
      <cdr:x>0.82282</cdr:x>
      <cdr:y>0.18404</cdr:y>
    </cdr:from>
    <cdr:to>
      <cdr:x>0.98047</cdr:x>
      <cdr:y>0.23688</cdr:y>
    </cdr:to>
    <cdr:sp macro="" textlink="">
      <cdr:nvSpPr>
        <cdr:cNvPr id="2" name="TextBox 1"/>
        <cdr:cNvSpPr txBox="1"/>
      </cdr:nvSpPr>
      <cdr:spPr>
        <a:xfrm xmlns:a="http://schemas.openxmlformats.org/drawingml/2006/main">
          <a:off x="5832928" y="852714"/>
          <a:ext cx="1074058" cy="371929"/>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1600"/>
            <a:t>Day of year</a:t>
          </a:r>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EB205-3C43-4D57-8DCF-1C473376CD72}">
  <dimension ref="A1:B53"/>
  <sheetViews>
    <sheetView workbookViewId="0"/>
  </sheetViews>
  <sheetFormatPr defaultColWidth="8.77734375" defaultRowHeight="13.2" x14ac:dyDescent="0.25"/>
  <cols>
    <col min="1" max="1" width="29" style="4" customWidth="1"/>
    <col min="2" max="2" width="59.33203125" style="4" customWidth="1"/>
    <col min="3" max="16384" width="8.77734375" style="4"/>
  </cols>
  <sheetData>
    <row r="1" spans="1:2" x14ac:dyDescent="0.25">
      <c r="A1" s="3" t="s">
        <v>8</v>
      </c>
      <c r="B1" s="4" t="s">
        <v>9</v>
      </c>
    </row>
    <row r="2" spans="1:2" x14ac:dyDescent="0.25">
      <c r="A2" s="3" t="s">
        <v>160</v>
      </c>
      <c r="B2" s="31" t="s">
        <v>161</v>
      </c>
    </row>
    <row r="3" spans="1:2" x14ac:dyDescent="0.25">
      <c r="A3" s="4" t="s">
        <v>163</v>
      </c>
      <c r="B3" s="4" t="s">
        <v>184</v>
      </c>
    </row>
    <row r="4" spans="1:2" x14ac:dyDescent="0.25">
      <c r="A4" s="4" t="s">
        <v>162</v>
      </c>
      <c r="B4" s="4" t="s">
        <v>10</v>
      </c>
    </row>
    <row r="5" spans="1:2" x14ac:dyDescent="0.25">
      <c r="A5" s="3" t="s">
        <v>166</v>
      </c>
      <c r="B5" s="4" t="s">
        <v>167</v>
      </c>
    </row>
    <row r="6" spans="1:2" x14ac:dyDescent="0.25">
      <c r="A6" s="3" t="s">
        <v>165</v>
      </c>
      <c r="B6" s="4" t="s">
        <v>164</v>
      </c>
    </row>
    <row r="7" spans="1:2" x14ac:dyDescent="0.25">
      <c r="A7" s="33" t="s">
        <v>178</v>
      </c>
      <c r="B7" s="4" t="s">
        <v>180</v>
      </c>
    </row>
    <row r="8" spans="1:2" x14ac:dyDescent="0.25">
      <c r="A8" s="33" t="s">
        <v>177</v>
      </c>
      <c r="B8" s="31" t="s">
        <v>179</v>
      </c>
    </row>
    <row r="9" spans="1:2" x14ac:dyDescent="0.25">
      <c r="A9" s="3" t="s">
        <v>168</v>
      </c>
      <c r="B9" s="4" t="s">
        <v>11</v>
      </c>
    </row>
    <row r="10" spans="1:2" ht="24.6" customHeight="1" x14ac:dyDescent="0.25">
      <c r="A10" s="5" t="s">
        <v>12</v>
      </c>
    </row>
    <row r="11" spans="1:2" ht="14.4" x14ac:dyDescent="0.25">
      <c r="A11" s="6" t="s">
        <v>13</v>
      </c>
    </row>
    <row r="12" spans="1:2" ht="14.4" x14ac:dyDescent="0.25">
      <c r="A12" s="4" t="s">
        <v>14</v>
      </c>
      <c r="B12" s="7" t="s">
        <v>15</v>
      </c>
    </row>
    <row r="13" spans="1:2" ht="14.4" x14ac:dyDescent="0.25">
      <c r="A13" s="4" t="s">
        <v>14</v>
      </c>
      <c r="B13" s="7" t="s">
        <v>16</v>
      </c>
    </row>
    <row r="14" spans="1:2" ht="14.4" x14ac:dyDescent="0.25">
      <c r="A14" s="4" t="s">
        <v>14</v>
      </c>
      <c r="B14" s="7" t="s">
        <v>17</v>
      </c>
    </row>
    <row r="15" spans="1:2" ht="14.4" x14ac:dyDescent="0.25">
      <c r="A15" s="4" t="s">
        <v>14</v>
      </c>
      <c r="B15" s="6" t="s">
        <v>18</v>
      </c>
    </row>
    <row r="16" spans="1:2" ht="14.4" x14ac:dyDescent="0.25">
      <c r="A16" s="6" t="s">
        <v>19</v>
      </c>
    </row>
    <row r="17" spans="1:2" ht="14.4" x14ac:dyDescent="0.25">
      <c r="A17" s="6" t="s">
        <v>20</v>
      </c>
    </row>
    <row r="18" spans="1:2" ht="14.4" x14ac:dyDescent="0.25">
      <c r="A18" s="6" t="s">
        <v>21</v>
      </c>
    </row>
    <row r="19" spans="1:2" ht="14.4" x14ac:dyDescent="0.25">
      <c r="A19" s="6" t="s">
        <v>22</v>
      </c>
    </row>
    <row r="20" spans="1:2" ht="18" x14ac:dyDescent="0.25">
      <c r="A20" s="5" t="s">
        <v>23</v>
      </c>
    </row>
    <row r="21" spans="1:2" ht="14.4" x14ac:dyDescent="0.25">
      <c r="A21" s="6" t="s">
        <v>24</v>
      </c>
    </row>
    <row r="22" spans="1:2" ht="14.4" x14ac:dyDescent="0.25">
      <c r="A22" s="6" t="s">
        <v>25</v>
      </c>
    </row>
    <row r="23" spans="1:2" ht="14.4" x14ac:dyDescent="0.25">
      <c r="A23" s="6" t="s">
        <v>26</v>
      </c>
    </row>
    <row r="24" spans="1:2" ht="14.4" x14ac:dyDescent="0.25">
      <c r="A24" s="6" t="s">
        <v>27</v>
      </c>
    </row>
    <row r="25" spans="1:2" ht="18" x14ac:dyDescent="0.25">
      <c r="A25" s="5" t="s">
        <v>28</v>
      </c>
    </row>
    <row r="26" spans="1:2" ht="14.4" x14ac:dyDescent="0.25">
      <c r="A26" s="6" t="s">
        <v>29</v>
      </c>
    </row>
    <row r="27" spans="1:2" x14ac:dyDescent="0.25">
      <c r="A27" s="4" t="s">
        <v>30</v>
      </c>
    </row>
    <row r="28" spans="1:2" x14ac:dyDescent="0.25">
      <c r="A28" s="4" t="s">
        <v>31</v>
      </c>
    </row>
    <row r="29" spans="1:2" ht="21" customHeight="1" x14ac:dyDescent="0.25">
      <c r="A29" s="6" t="s">
        <v>32</v>
      </c>
    </row>
    <row r="30" spans="1:2" x14ac:dyDescent="0.25">
      <c r="A30" s="3" t="s">
        <v>33</v>
      </c>
      <c r="B30" s="4" t="s">
        <v>34</v>
      </c>
    </row>
    <row r="31" spans="1:2" x14ac:dyDescent="0.25">
      <c r="A31" s="3" t="s">
        <v>7</v>
      </c>
      <c r="B31" s="4" t="s">
        <v>35</v>
      </c>
    </row>
    <row r="32" spans="1:2" x14ac:dyDescent="0.25">
      <c r="A32" s="3" t="s">
        <v>4</v>
      </c>
      <c r="B32" s="4" t="s">
        <v>36</v>
      </c>
    </row>
    <row r="33" spans="1:2" x14ac:dyDescent="0.25">
      <c r="A33" s="3" t="s">
        <v>37</v>
      </c>
      <c r="B33" s="4" t="s">
        <v>38</v>
      </c>
    </row>
    <row r="34" spans="1:2" x14ac:dyDescent="0.25">
      <c r="A34" s="3" t="s">
        <v>39</v>
      </c>
      <c r="B34" s="4" t="s">
        <v>40</v>
      </c>
    </row>
    <row r="35" spans="1:2" x14ac:dyDescent="0.25">
      <c r="A35" s="3" t="s">
        <v>41</v>
      </c>
      <c r="B35" s="4" t="s">
        <v>42</v>
      </c>
    </row>
    <row r="36" spans="1:2" x14ac:dyDescent="0.25">
      <c r="A36" s="3" t="s">
        <v>43</v>
      </c>
      <c r="B36" s="4" t="s">
        <v>44</v>
      </c>
    </row>
    <row r="37" spans="1:2" x14ac:dyDescent="0.25">
      <c r="A37" s="3" t="s">
        <v>45</v>
      </c>
      <c r="B37" s="4" t="s">
        <v>46</v>
      </c>
    </row>
    <row r="38" spans="1:2" x14ac:dyDescent="0.25">
      <c r="A38" s="33" t="s">
        <v>117</v>
      </c>
      <c r="B38" s="31" t="s">
        <v>181</v>
      </c>
    </row>
    <row r="39" spans="1:2" x14ac:dyDescent="0.25">
      <c r="A39" s="33" t="s">
        <v>182</v>
      </c>
      <c r="B39" s="31" t="s">
        <v>183</v>
      </c>
    </row>
    <row r="40" spans="1:2" x14ac:dyDescent="0.25">
      <c r="A40" s="3" t="s">
        <v>47</v>
      </c>
      <c r="B40" s="4" t="s">
        <v>48</v>
      </c>
    </row>
    <row r="41" spans="1:2" x14ac:dyDescent="0.25">
      <c r="A41" s="3" t="s">
        <v>2</v>
      </c>
      <c r="B41" s="4" t="s">
        <v>49</v>
      </c>
    </row>
    <row r="42" spans="1:2" x14ac:dyDescent="0.25">
      <c r="A42" s="3" t="s">
        <v>50</v>
      </c>
      <c r="B42" s="4" t="s">
        <v>51</v>
      </c>
    </row>
    <row r="43" spans="1:2" x14ac:dyDescent="0.25">
      <c r="A43" s="3" t="s">
        <v>3</v>
      </c>
      <c r="B43" s="4" t="s">
        <v>52</v>
      </c>
    </row>
    <row r="44" spans="1:2" x14ac:dyDescent="0.25">
      <c r="A44" s="3" t="s">
        <v>53</v>
      </c>
      <c r="B44" s="4" t="s">
        <v>54</v>
      </c>
    </row>
    <row r="45" spans="1:2" x14ac:dyDescent="0.25">
      <c r="A45" s="3" t="s">
        <v>55</v>
      </c>
      <c r="B45" s="4" t="s">
        <v>56</v>
      </c>
    </row>
    <row r="46" spans="1:2" x14ac:dyDescent="0.25">
      <c r="A46" s="3" t="s">
        <v>57</v>
      </c>
      <c r="B46" s="4" t="s">
        <v>58</v>
      </c>
    </row>
    <row r="47" spans="1:2" x14ac:dyDescent="0.25">
      <c r="A47" s="3" t="s">
        <v>59</v>
      </c>
      <c r="B47" s="4" t="s">
        <v>60</v>
      </c>
    </row>
    <row r="48" spans="1:2" x14ac:dyDescent="0.25">
      <c r="A48" s="3" t="s">
        <v>61</v>
      </c>
      <c r="B48" s="4" t="s">
        <v>62</v>
      </c>
    </row>
    <row r="49" spans="1:2" x14ac:dyDescent="0.25">
      <c r="A49" s="3" t="s">
        <v>63</v>
      </c>
      <c r="B49" s="4" t="s">
        <v>64</v>
      </c>
    </row>
    <row r="50" spans="1:2" x14ac:dyDescent="0.25">
      <c r="A50" s="4" t="s">
        <v>65</v>
      </c>
      <c r="B50" s="4" t="s">
        <v>66</v>
      </c>
    </row>
    <row r="51" spans="1:2" x14ac:dyDescent="0.25">
      <c r="A51" s="3" t="s">
        <v>67</v>
      </c>
      <c r="B51" s="4" t="s">
        <v>68</v>
      </c>
    </row>
    <row r="52" spans="1:2" x14ac:dyDescent="0.25">
      <c r="A52" s="3" t="s">
        <v>69</v>
      </c>
      <c r="B52" s="4" t="s">
        <v>127</v>
      </c>
    </row>
    <row r="53" spans="1:2" x14ac:dyDescent="0.25">
      <c r="A53" s="3" t="s">
        <v>70</v>
      </c>
      <c r="B53" s="4" t="s">
        <v>128</v>
      </c>
    </row>
  </sheetData>
  <pageMargins left="0.7" right="0.7" top="0.75" bottom="0.75" header="0.3" footer="0.3"/>
  <pageSetup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66DF1-C592-4DF5-98B6-95E179C93E18}">
  <dimension ref="A1:H20"/>
  <sheetViews>
    <sheetView workbookViewId="0"/>
  </sheetViews>
  <sheetFormatPr defaultRowHeight="13.2" x14ac:dyDescent="0.25"/>
  <cols>
    <col min="1" max="1" width="27.5546875" style="4" customWidth="1"/>
    <col min="2" max="2" width="21.33203125" style="4" customWidth="1"/>
    <col min="3" max="3" width="35.88671875" style="4" customWidth="1"/>
    <col min="4" max="4" width="19" style="4" customWidth="1"/>
    <col min="5" max="5" width="13.21875" style="4" customWidth="1"/>
    <col min="6" max="6" width="14.5546875" style="4" customWidth="1"/>
    <col min="7" max="7" width="12.44140625" style="4" customWidth="1"/>
    <col min="8" max="8" width="20.33203125" style="4" customWidth="1"/>
    <col min="9" max="16384" width="8.88671875" style="4"/>
  </cols>
  <sheetData>
    <row r="1" spans="1:8" ht="27.6" x14ac:dyDescent="0.25">
      <c r="A1" s="10" t="s">
        <v>71</v>
      </c>
      <c r="B1" s="10" t="s">
        <v>72</v>
      </c>
      <c r="C1" s="10" t="s">
        <v>73</v>
      </c>
      <c r="D1" s="10" t="s">
        <v>74</v>
      </c>
      <c r="E1" s="10" t="s">
        <v>75</v>
      </c>
      <c r="F1" s="10" t="s">
        <v>76</v>
      </c>
      <c r="G1" s="10" t="s">
        <v>77</v>
      </c>
      <c r="H1" s="10" t="s">
        <v>78</v>
      </c>
    </row>
    <row r="2" spans="1:8" x14ac:dyDescent="0.25">
      <c r="A2" s="4" t="s">
        <v>162</v>
      </c>
      <c r="B2" s="11" t="s">
        <v>41</v>
      </c>
      <c r="C2" s="11" t="s">
        <v>5</v>
      </c>
      <c r="D2" s="11" t="s">
        <v>83</v>
      </c>
      <c r="E2" s="4">
        <v>3</v>
      </c>
      <c r="G2" s="4" t="s">
        <v>81</v>
      </c>
      <c r="H2" s="4" t="s">
        <v>82</v>
      </c>
    </row>
    <row r="3" spans="1:8" ht="26.4" x14ac:dyDescent="0.25">
      <c r="A3" s="4" t="s">
        <v>162</v>
      </c>
      <c r="B3" s="11" t="s">
        <v>43</v>
      </c>
      <c r="C3" s="11" t="s">
        <v>84</v>
      </c>
      <c r="D3" s="11" t="s">
        <v>83</v>
      </c>
      <c r="E3" s="4">
        <v>3</v>
      </c>
      <c r="F3" s="4" t="s">
        <v>85</v>
      </c>
      <c r="G3" s="4" t="s">
        <v>81</v>
      </c>
      <c r="H3" s="4" t="s">
        <v>82</v>
      </c>
    </row>
    <row r="4" spans="1:8" ht="26.4" x14ac:dyDescent="0.25">
      <c r="A4" s="4" t="s">
        <v>162</v>
      </c>
      <c r="B4" s="11" t="s">
        <v>86</v>
      </c>
      <c r="C4" s="11" t="s">
        <v>87</v>
      </c>
      <c r="D4" s="11" t="s">
        <v>88</v>
      </c>
      <c r="G4" s="4" t="s">
        <v>81</v>
      </c>
      <c r="H4" s="4" t="s">
        <v>89</v>
      </c>
    </row>
    <row r="5" spans="1:8" ht="26.4" x14ac:dyDescent="0.25">
      <c r="A5" s="4" t="s">
        <v>162</v>
      </c>
      <c r="B5" s="11" t="s">
        <v>90</v>
      </c>
      <c r="C5" s="11" t="s">
        <v>91</v>
      </c>
      <c r="D5" s="11" t="s">
        <v>88</v>
      </c>
      <c r="G5" s="4" t="s">
        <v>81</v>
      </c>
      <c r="H5" s="4" t="s">
        <v>89</v>
      </c>
    </row>
    <row r="6" spans="1:8" ht="26.4" x14ac:dyDescent="0.25">
      <c r="A6" s="4" t="s">
        <v>162</v>
      </c>
      <c r="B6" s="11" t="s">
        <v>92</v>
      </c>
      <c r="C6" s="11" t="s">
        <v>93</v>
      </c>
      <c r="D6" s="11" t="s">
        <v>88</v>
      </c>
      <c r="G6" s="4" t="s">
        <v>81</v>
      </c>
      <c r="H6" s="4" t="s">
        <v>89</v>
      </c>
    </row>
    <row r="7" spans="1:8" ht="26.4" x14ac:dyDescent="0.25">
      <c r="A7" s="4" t="s">
        <v>162</v>
      </c>
      <c r="B7" s="11" t="s">
        <v>94</v>
      </c>
      <c r="C7" s="11" t="s">
        <v>95</v>
      </c>
      <c r="D7" s="11" t="s">
        <v>88</v>
      </c>
      <c r="G7" s="4" t="s">
        <v>81</v>
      </c>
      <c r="H7" s="4" t="s">
        <v>89</v>
      </c>
    </row>
    <row r="8" spans="1:8" ht="26.4" x14ac:dyDescent="0.25">
      <c r="A8" s="4" t="s">
        <v>162</v>
      </c>
      <c r="B8" s="11" t="s">
        <v>45</v>
      </c>
      <c r="C8" s="11" t="s">
        <v>96</v>
      </c>
      <c r="D8" s="11" t="s">
        <v>88</v>
      </c>
      <c r="G8" s="4" t="s">
        <v>81</v>
      </c>
      <c r="H8" s="4" t="s">
        <v>89</v>
      </c>
    </row>
    <row r="9" spans="1:8" ht="26.4" x14ac:dyDescent="0.25">
      <c r="A9" s="4" t="s">
        <v>162</v>
      </c>
      <c r="B9" s="11" t="s">
        <v>50</v>
      </c>
      <c r="C9" s="11" t="s">
        <v>97</v>
      </c>
      <c r="D9" s="11" t="s">
        <v>88</v>
      </c>
      <c r="G9" s="4" t="s">
        <v>81</v>
      </c>
      <c r="H9" s="4" t="s">
        <v>89</v>
      </c>
    </row>
    <row r="10" spans="1:8" ht="26.4" x14ac:dyDescent="0.25">
      <c r="A10" s="4" t="s">
        <v>162</v>
      </c>
      <c r="B10" s="11" t="s">
        <v>47</v>
      </c>
      <c r="C10" s="11" t="s">
        <v>98</v>
      </c>
      <c r="D10" s="11" t="s">
        <v>88</v>
      </c>
      <c r="G10" s="4" t="s">
        <v>81</v>
      </c>
      <c r="H10" s="4" t="s">
        <v>89</v>
      </c>
    </row>
    <row r="11" spans="1:8" ht="26.4" x14ac:dyDescent="0.25">
      <c r="A11" s="4" t="s">
        <v>162</v>
      </c>
      <c r="B11" s="11" t="s">
        <v>99</v>
      </c>
      <c r="C11" s="11" t="s">
        <v>100</v>
      </c>
      <c r="D11" s="11" t="s">
        <v>88</v>
      </c>
      <c r="G11" s="4" t="s">
        <v>81</v>
      </c>
      <c r="H11" s="4" t="s">
        <v>89</v>
      </c>
    </row>
    <row r="12" spans="1:8" ht="26.4" x14ac:dyDescent="0.25">
      <c r="A12" s="4" t="s">
        <v>162</v>
      </c>
      <c r="B12" s="11" t="s">
        <v>101</v>
      </c>
      <c r="C12" s="11" t="s">
        <v>102</v>
      </c>
      <c r="D12" s="11" t="s">
        <v>88</v>
      </c>
      <c r="G12" s="4" t="s">
        <v>81</v>
      </c>
      <c r="H12" s="4" t="s">
        <v>89</v>
      </c>
    </row>
    <row r="13" spans="1:8" ht="26.4" x14ac:dyDescent="0.25">
      <c r="A13" s="4" t="s">
        <v>162</v>
      </c>
      <c r="B13" s="11" t="s">
        <v>156</v>
      </c>
      <c r="C13" s="11" t="s">
        <v>157</v>
      </c>
      <c r="D13" s="11" t="s">
        <v>88</v>
      </c>
      <c r="G13" s="4" t="s">
        <v>81</v>
      </c>
      <c r="H13" s="4" t="s">
        <v>89</v>
      </c>
    </row>
    <row r="14" spans="1:8" ht="26.4" x14ac:dyDescent="0.25">
      <c r="A14" s="4" t="s">
        <v>162</v>
      </c>
      <c r="B14" s="11" t="s">
        <v>129</v>
      </c>
      <c r="C14" s="11" t="s">
        <v>130</v>
      </c>
      <c r="D14" s="11" t="s">
        <v>88</v>
      </c>
      <c r="G14" s="4" t="s">
        <v>81</v>
      </c>
      <c r="H14" s="4" t="s">
        <v>89</v>
      </c>
    </row>
    <row r="15" spans="1:8" ht="26.4" x14ac:dyDescent="0.25">
      <c r="A15" s="4" t="s">
        <v>162</v>
      </c>
      <c r="B15" s="11" t="s">
        <v>131</v>
      </c>
      <c r="C15" s="11" t="s">
        <v>132</v>
      </c>
      <c r="D15" s="11" t="s">
        <v>88</v>
      </c>
      <c r="G15" s="4" t="s">
        <v>81</v>
      </c>
      <c r="H15" s="4" t="s">
        <v>89</v>
      </c>
    </row>
    <row r="16" spans="1:8" ht="26.4" x14ac:dyDescent="0.25">
      <c r="A16" s="4" t="s">
        <v>162</v>
      </c>
      <c r="B16" s="11" t="s">
        <v>133</v>
      </c>
      <c r="C16" s="11" t="s">
        <v>134</v>
      </c>
      <c r="D16" s="11" t="s">
        <v>88</v>
      </c>
      <c r="G16" s="4" t="s">
        <v>81</v>
      </c>
      <c r="H16" s="4" t="s">
        <v>89</v>
      </c>
    </row>
    <row r="17" spans="1:8" ht="26.4" x14ac:dyDescent="0.25">
      <c r="A17" s="4" t="s">
        <v>162</v>
      </c>
      <c r="B17" s="11" t="s">
        <v>135</v>
      </c>
      <c r="C17" s="11" t="s">
        <v>136</v>
      </c>
      <c r="D17" s="11" t="s">
        <v>88</v>
      </c>
      <c r="G17" s="4" t="s">
        <v>81</v>
      </c>
      <c r="H17" s="4" t="s">
        <v>89</v>
      </c>
    </row>
    <row r="18" spans="1:8" ht="26.4" x14ac:dyDescent="0.25">
      <c r="A18" s="4" t="s">
        <v>162</v>
      </c>
      <c r="B18" s="11" t="s">
        <v>159</v>
      </c>
      <c r="C18" s="11" t="s">
        <v>158</v>
      </c>
      <c r="D18" s="11" t="s">
        <v>88</v>
      </c>
      <c r="G18" s="4" t="s">
        <v>81</v>
      </c>
      <c r="H18" s="4" t="s">
        <v>89</v>
      </c>
    </row>
    <row r="19" spans="1:8" ht="26.4" x14ac:dyDescent="0.25">
      <c r="A19" s="4" t="s">
        <v>162</v>
      </c>
      <c r="B19" s="11" t="s">
        <v>137</v>
      </c>
      <c r="C19" s="11" t="s">
        <v>138</v>
      </c>
      <c r="D19" s="11" t="s">
        <v>88</v>
      </c>
      <c r="G19" s="4" t="s">
        <v>81</v>
      </c>
      <c r="H19" s="4" t="s">
        <v>89</v>
      </c>
    </row>
    <row r="20" spans="1:8" ht="26.4" x14ac:dyDescent="0.25">
      <c r="A20" s="4" t="s">
        <v>162</v>
      </c>
      <c r="B20" s="11" t="s">
        <v>139</v>
      </c>
      <c r="C20" s="11" t="s">
        <v>140</v>
      </c>
      <c r="D20" s="11" t="s">
        <v>88</v>
      </c>
      <c r="G20" s="4" t="s">
        <v>81</v>
      </c>
      <c r="H20" s="4" t="s">
        <v>89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24D58-FFED-422D-BF14-E29AF21FA1B6}">
  <dimension ref="A1:S53"/>
  <sheetViews>
    <sheetView workbookViewId="0"/>
  </sheetViews>
  <sheetFormatPr defaultRowHeight="13.2" x14ac:dyDescent="0.25"/>
  <cols>
    <col min="1" max="16384" width="8.88671875" style="4"/>
  </cols>
  <sheetData>
    <row r="1" spans="1:19" ht="105.6" x14ac:dyDescent="0.25">
      <c r="A1" s="11" t="s">
        <v>41</v>
      </c>
      <c r="B1" s="11" t="s">
        <v>43</v>
      </c>
      <c r="C1" s="11" t="s">
        <v>103</v>
      </c>
      <c r="D1" s="11" t="s">
        <v>104</v>
      </c>
      <c r="E1" s="11" t="s">
        <v>105</v>
      </c>
      <c r="F1" s="11" t="s">
        <v>106</v>
      </c>
      <c r="G1" s="11" t="s">
        <v>45</v>
      </c>
      <c r="H1" s="11" t="s">
        <v>50</v>
      </c>
      <c r="I1" s="11" t="s">
        <v>47</v>
      </c>
      <c r="J1" s="11" t="s">
        <v>107</v>
      </c>
      <c r="K1" s="11" t="s">
        <v>108</v>
      </c>
      <c r="L1" s="11" t="s">
        <v>154</v>
      </c>
      <c r="M1" s="11" t="s">
        <v>141</v>
      </c>
      <c r="N1" s="11" t="s">
        <v>142</v>
      </c>
      <c r="O1" s="11" t="s">
        <v>143</v>
      </c>
      <c r="P1" s="11" t="s">
        <v>144</v>
      </c>
      <c r="Q1" s="11" t="s">
        <v>155</v>
      </c>
      <c r="R1" s="11" t="s">
        <v>145</v>
      </c>
      <c r="S1" s="11" t="s">
        <v>146</v>
      </c>
    </row>
    <row r="2" spans="1:19" x14ac:dyDescent="0.25">
      <c r="A2" s="4">
        <v>15</v>
      </c>
      <c r="B2" s="4">
        <v>157</v>
      </c>
      <c r="C2" s="4">
        <v>519.514057133488</v>
      </c>
      <c r="D2" s="4" t="e">
        <v>#N/A</v>
      </c>
      <c r="E2" s="4">
        <v>508.71275323378069</v>
      </c>
      <c r="F2" s="4" t="e">
        <v>#N/A</v>
      </c>
      <c r="G2" s="4">
        <v>495</v>
      </c>
      <c r="H2" s="4">
        <v>270</v>
      </c>
      <c r="I2" s="4">
        <v>360</v>
      </c>
      <c r="J2" s="4" t="e">
        <v>#N/A</v>
      </c>
      <c r="K2" s="4" t="e">
        <v>#N/A</v>
      </c>
      <c r="L2" s="4">
        <v>687.253799293714</v>
      </c>
      <c r="M2" s="4" t="e">
        <v>#N/A</v>
      </c>
      <c r="N2" s="4" t="e">
        <v>#N/A</v>
      </c>
      <c r="O2" s="4" t="e">
        <v>#N/A</v>
      </c>
      <c r="P2" s="4" t="e">
        <v>#N/A</v>
      </c>
      <c r="Q2" s="4">
        <v>671.20800356169912</v>
      </c>
      <c r="R2" s="4" t="e">
        <v>#N/A</v>
      </c>
      <c r="S2" s="4" t="e">
        <v>#N/A</v>
      </c>
    </row>
    <row r="3" spans="1:19" x14ac:dyDescent="0.25">
      <c r="A3" s="4">
        <v>29</v>
      </c>
      <c r="B3" s="4">
        <v>171</v>
      </c>
      <c r="C3" s="4">
        <v>491.36777381456818</v>
      </c>
      <c r="D3" s="4">
        <v>498.84464141066383</v>
      </c>
      <c r="E3" s="4">
        <v>477.96338187550441</v>
      </c>
      <c r="F3" s="4">
        <v>488.92374991046199</v>
      </c>
      <c r="G3" s="4">
        <v>495</v>
      </c>
      <c r="H3" s="4">
        <v>270</v>
      </c>
      <c r="I3" s="4">
        <v>360</v>
      </c>
      <c r="J3" s="4">
        <v>766.93757141848255</v>
      </c>
      <c r="K3" s="4">
        <v>751.35443967917661</v>
      </c>
      <c r="L3" s="4">
        <v>657.68508465496382</v>
      </c>
      <c r="M3" s="4">
        <v>773.32592764326068</v>
      </c>
      <c r="N3" s="4">
        <v>775.2046620359157</v>
      </c>
      <c r="O3" s="4">
        <v>773.60151376109764</v>
      </c>
      <c r="P3" s="4">
        <v>760.18508925544791</v>
      </c>
      <c r="Q3" s="4">
        <v>641.47747181194507</v>
      </c>
      <c r="R3" s="4">
        <v>779.38130376311551</v>
      </c>
      <c r="S3" s="4">
        <v>759.8405918381759</v>
      </c>
    </row>
    <row r="4" spans="1:19" x14ac:dyDescent="0.25">
      <c r="A4" s="4">
        <v>34</v>
      </c>
      <c r="B4" s="4">
        <v>176</v>
      </c>
      <c r="C4" s="4">
        <v>475.36297006658594</v>
      </c>
      <c r="D4" s="4">
        <v>488.56181724298824</v>
      </c>
      <c r="E4" s="4">
        <v>460.79909353813565</v>
      </c>
      <c r="F4" s="4">
        <v>481.37142112843003</v>
      </c>
      <c r="G4" s="4">
        <v>495</v>
      </c>
      <c r="H4" s="4">
        <v>270</v>
      </c>
      <c r="I4" s="4">
        <v>360</v>
      </c>
      <c r="J4" s="4">
        <v>761.10964965698145</v>
      </c>
      <c r="K4" s="4">
        <v>743.99529146489101</v>
      </c>
      <c r="L4" s="4">
        <v>643.64860396489098</v>
      </c>
      <c r="M4" s="4">
        <v>761.08424967715882</v>
      </c>
      <c r="N4" s="4">
        <v>760.05022912631136</v>
      </c>
      <c r="O4" s="4">
        <v>767.86329537933807</v>
      </c>
      <c r="P4" s="4">
        <v>752.43745898910402</v>
      </c>
      <c r="Q4" s="4">
        <v>624.65771341807908</v>
      </c>
      <c r="R4" s="4">
        <v>770.94408432203397</v>
      </c>
      <c r="S4" s="4">
        <v>752.89624977804681</v>
      </c>
    </row>
    <row r="5" spans="1:19" x14ac:dyDescent="0.25">
      <c r="A5" s="4">
        <v>41</v>
      </c>
      <c r="B5" s="4">
        <v>183</v>
      </c>
      <c r="C5" s="4">
        <v>456.07393048829692</v>
      </c>
      <c r="D5" s="4">
        <v>480.07497609211049</v>
      </c>
      <c r="E5" s="4">
        <v>444.12669636803878</v>
      </c>
      <c r="F5" s="4">
        <v>464.4346886085047</v>
      </c>
      <c r="G5" s="4">
        <v>495</v>
      </c>
      <c r="H5" s="4">
        <v>270</v>
      </c>
      <c r="I5" s="4">
        <v>360</v>
      </c>
      <c r="J5" s="4">
        <v>743.27934181799833</v>
      </c>
      <c r="K5" s="4">
        <v>729.86028890234059</v>
      </c>
      <c r="L5" s="4">
        <v>623.86234503631954</v>
      </c>
      <c r="M5" s="4">
        <v>761.91322736077473</v>
      </c>
      <c r="N5" s="4">
        <v>752.30909120258275</v>
      </c>
      <c r="O5" s="4">
        <v>749.47797270984688</v>
      </c>
      <c r="P5" s="4">
        <v>737.33696992534306</v>
      </c>
      <c r="Q5" s="4">
        <v>608.67143980024207</v>
      </c>
      <c r="R5" s="4">
        <v>755.71128430185627</v>
      </c>
      <c r="S5" s="4">
        <v>738.92723621872494</v>
      </c>
    </row>
    <row r="6" spans="1:19" x14ac:dyDescent="0.25">
      <c r="A6" s="4">
        <v>47</v>
      </c>
      <c r="B6" s="4">
        <v>189</v>
      </c>
      <c r="C6" s="4">
        <v>459.89125556396283</v>
      </c>
      <c r="D6" s="4">
        <v>493.56863118063956</v>
      </c>
      <c r="E6" s="4">
        <v>443.71050808615814</v>
      </c>
      <c r="F6" s="4">
        <v>479.82985249949559</v>
      </c>
      <c r="G6" s="4">
        <v>495</v>
      </c>
      <c r="H6" s="4">
        <v>270</v>
      </c>
      <c r="I6" s="4">
        <v>360</v>
      </c>
      <c r="J6" s="4">
        <v>760.807095338983</v>
      </c>
      <c r="K6" s="4">
        <v>747.56899355326891</v>
      </c>
      <c r="L6" s="4">
        <v>628.91978215294603</v>
      </c>
      <c r="M6" s="4">
        <v>776.75581714083944</v>
      </c>
      <c r="N6" s="4">
        <v>763.09036858353522</v>
      </c>
      <c r="O6" s="4">
        <v>763.88474769975812</v>
      </c>
      <c r="P6" s="4">
        <v>754.06790954398707</v>
      </c>
      <c r="Q6" s="4">
        <v>608.9276721751412</v>
      </c>
      <c r="R6" s="4">
        <v>770.27880620460041</v>
      </c>
      <c r="S6" s="4">
        <v>752.5622318603713</v>
      </c>
    </row>
    <row r="7" spans="1:19" x14ac:dyDescent="0.25">
      <c r="A7" s="4">
        <v>55</v>
      </c>
      <c r="B7" s="4">
        <v>197</v>
      </c>
      <c r="C7" s="4">
        <v>445.7968167776433</v>
      </c>
      <c r="D7" s="4">
        <v>485.0924860573042</v>
      </c>
      <c r="E7" s="4">
        <v>433.53709840597259</v>
      </c>
      <c r="F7" s="4" t="e">
        <v>#N/A</v>
      </c>
      <c r="G7" s="4">
        <v>495</v>
      </c>
      <c r="H7" s="4">
        <v>270</v>
      </c>
      <c r="I7" s="4">
        <v>360</v>
      </c>
      <c r="J7" s="4">
        <v>761.23587511097651</v>
      </c>
      <c r="K7" s="4">
        <v>730.68937458636003</v>
      </c>
      <c r="L7" s="4">
        <v>612.81199650928181</v>
      </c>
      <c r="M7" s="4">
        <v>767.78706586965302</v>
      </c>
      <c r="N7" s="4">
        <v>747.83516941081518</v>
      </c>
      <c r="O7" s="4">
        <v>769.97202676553661</v>
      </c>
      <c r="P7" s="4">
        <v>753.24608451372069</v>
      </c>
      <c r="Q7" s="4">
        <v>597.48282955004049</v>
      </c>
      <c r="R7" s="4" t="e">
        <v>#N/A</v>
      </c>
      <c r="S7" s="4" t="e">
        <v>#N/A</v>
      </c>
    </row>
    <row r="8" spans="1:19" x14ac:dyDescent="0.25">
      <c r="A8" s="4">
        <v>61</v>
      </c>
      <c r="B8" s="4">
        <v>203</v>
      </c>
      <c r="C8" s="4">
        <v>487.84112848062961</v>
      </c>
      <c r="D8" s="4">
        <v>502.7873047921712</v>
      </c>
      <c r="E8" s="4">
        <v>469.9871200363196</v>
      </c>
      <c r="F8" s="4">
        <v>488.64633949631752</v>
      </c>
      <c r="G8" s="4">
        <v>495</v>
      </c>
      <c r="H8" s="4">
        <v>270</v>
      </c>
      <c r="I8" s="4">
        <v>360</v>
      </c>
      <c r="J8" s="4">
        <v>768.47153355528667</v>
      </c>
      <c r="K8" s="4">
        <v>759.84675849475366</v>
      </c>
      <c r="L8" s="4">
        <v>657.18775800040362</v>
      </c>
      <c r="M8" s="4">
        <v>779.47260280468117</v>
      </c>
      <c r="N8" s="4">
        <v>771.34825100887815</v>
      </c>
      <c r="O8" s="4">
        <v>770.10320594229211</v>
      </c>
      <c r="P8" s="4">
        <v>763.96475287530257</v>
      </c>
      <c r="Q8" s="4">
        <v>635.51847194309926</v>
      </c>
      <c r="R8" s="4">
        <v>780.79103368644053</v>
      </c>
      <c r="S8" s="4">
        <v>760.16216707021783</v>
      </c>
    </row>
    <row r="9" spans="1:19" x14ac:dyDescent="0.25">
      <c r="A9" s="4">
        <v>68</v>
      </c>
      <c r="B9" s="4">
        <v>210</v>
      </c>
      <c r="C9" s="4">
        <v>441.97994689265533</v>
      </c>
      <c r="D9" s="4">
        <v>462.97862539094024</v>
      </c>
      <c r="E9" s="4">
        <v>418.3402748032687</v>
      </c>
      <c r="F9" s="4">
        <v>446.60800122326464</v>
      </c>
      <c r="G9" s="4">
        <v>495</v>
      </c>
      <c r="H9" s="4">
        <v>270</v>
      </c>
      <c r="I9" s="4">
        <v>360</v>
      </c>
      <c r="J9" s="4">
        <v>724.72467419289751</v>
      </c>
      <c r="K9" s="4">
        <v>717.32110058514945</v>
      </c>
      <c r="L9" s="4">
        <v>610.19119364406777</v>
      </c>
      <c r="M9" s="4">
        <v>739.96746605125088</v>
      </c>
      <c r="N9" s="4">
        <v>730.17645727401123</v>
      </c>
      <c r="O9" s="4">
        <v>723.79716521388229</v>
      </c>
      <c r="P9" s="4">
        <v>716.01785898910407</v>
      </c>
      <c r="Q9" s="4">
        <v>582.5003583837771</v>
      </c>
      <c r="R9" s="4">
        <v>739.95838576472943</v>
      </c>
      <c r="S9" s="4">
        <v>722.48532974172713</v>
      </c>
    </row>
    <row r="10" spans="1:19" x14ac:dyDescent="0.25">
      <c r="A10" s="4">
        <v>76</v>
      </c>
      <c r="B10" s="4">
        <v>218</v>
      </c>
      <c r="C10" s="4">
        <v>437.10029073849876</v>
      </c>
      <c r="D10" s="4">
        <v>457.46315780493342</v>
      </c>
      <c r="E10" s="4">
        <v>419.73272322437441</v>
      </c>
      <c r="F10" s="4">
        <v>446.92443830584148</v>
      </c>
      <c r="G10" s="4">
        <v>495</v>
      </c>
      <c r="H10" s="4">
        <v>270</v>
      </c>
      <c r="I10" s="4">
        <v>360</v>
      </c>
      <c r="J10" s="4">
        <v>723.85069693301034</v>
      </c>
      <c r="K10" s="4">
        <v>706.33722311339773</v>
      </c>
      <c r="L10" s="4">
        <v>603.24044271589992</v>
      </c>
      <c r="M10" s="4">
        <v>731.67619482445514</v>
      </c>
      <c r="N10" s="4">
        <v>718.2067663841807</v>
      </c>
      <c r="O10" s="4">
        <v>726.17445606335752</v>
      </c>
      <c r="P10" s="4">
        <v>714.29174470338978</v>
      </c>
      <c r="Q10" s="4">
        <v>582.37667929782083</v>
      </c>
      <c r="R10" s="4">
        <v>737.0736954701373</v>
      </c>
      <c r="S10" s="4">
        <v>720.58662976190476</v>
      </c>
    </row>
    <row r="11" spans="1:19" x14ac:dyDescent="0.25">
      <c r="A11" s="4">
        <v>89</v>
      </c>
      <c r="B11" s="4">
        <v>231</v>
      </c>
      <c r="C11" s="4">
        <v>480.21012481335754</v>
      </c>
      <c r="D11" s="4">
        <v>482.14193553647118</v>
      </c>
      <c r="E11" s="4">
        <v>458.69813875100874</v>
      </c>
      <c r="F11" s="4">
        <v>473.03768557430379</v>
      </c>
      <c r="G11" s="4">
        <v>495</v>
      </c>
      <c r="H11" s="4">
        <v>270</v>
      </c>
      <c r="I11" s="4">
        <v>360</v>
      </c>
      <c r="J11" s="4">
        <v>747.06674756860366</v>
      </c>
      <c r="K11" s="4">
        <v>730.57817083333339</v>
      </c>
      <c r="L11" s="4">
        <v>647.06184857748178</v>
      </c>
      <c r="M11" s="4">
        <v>750.85049038539137</v>
      </c>
      <c r="N11" s="4">
        <v>744.22998847861174</v>
      </c>
      <c r="O11" s="4">
        <v>751.83112310330898</v>
      </c>
      <c r="P11" s="4">
        <v>741.1273790456014</v>
      </c>
      <c r="Q11" s="4">
        <v>621.87259263518968</v>
      </c>
      <c r="R11" s="4">
        <v>764.77272360774805</v>
      </c>
      <c r="S11" s="4">
        <v>741.40886255044393</v>
      </c>
    </row>
    <row r="12" spans="1:19" x14ac:dyDescent="0.25">
      <c r="A12" s="4">
        <v>104</v>
      </c>
      <c r="B12" s="4">
        <v>246</v>
      </c>
      <c r="C12" s="4">
        <v>439.53012602401122</v>
      </c>
      <c r="D12" s="4">
        <v>432.73597193174948</v>
      </c>
      <c r="E12" s="4">
        <v>404.66965577582721</v>
      </c>
      <c r="F12" s="4">
        <v>419.18665073269767</v>
      </c>
      <c r="G12" s="4">
        <v>495</v>
      </c>
      <c r="H12" s="4">
        <v>270</v>
      </c>
      <c r="I12" s="4">
        <v>360</v>
      </c>
      <c r="J12" s="4">
        <v>689.47147173123483</v>
      </c>
      <c r="K12" s="4">
        <v>676.35599931396291</v>
      </c>
      <c r="L12" s="4">
        <v>605.42851977401097</v>
      </c>
      <c r="M12" s="4">
        <v>704.58555782889414</v>
      </c>
      <c r="N12" s="4">
        <v>690.98953360573034</v>
      </c>
      <c r="O12" s="4">
        <v>693.00076277239714</v>
      </c>
      <c r="P12" s="4">
        <v>679.58730077683629</v>
      </c>
      <c r="Q12" s="4">
        <v>569.1233728309121</v>
      </c>
      <c r="R12" s="4">
        <v>707.95283849878933</v>
      </c>
      <c r="S12" s="4">
        <v>686.2602256355932</v>
      </c>
    </row>
    <row r="13" spans="1:19" x14ac:dyDescent="0.25">
      <c r="A13" s="4">
        <v>111</v>
      </c>
      <c r="B13" s="4">
        <v>253</v>
      </c>
      <c r="C13" s="4">
        <v>427.98357819814368</v>
      </c>
      <c r="D13" s="4">
        <v>420.81244861783699</v>
      </c>
      <c r="E13" s="4">
        <v>403.4166227956012</v>
      </c>
      <c r="F13" s="4">
        <v>414.43386972861168</v>
      </c>
      <c r="G13" s="4">
        <v>495</v>
      </c>
      <c r="H13" s="4">
        <v>270</v>
      </c>
      <c r="I13" s="4">
        <v>360</v>
      </c>
      <c r="J13" s="4">
        <v>678.30765674939482</v>
      </c>
      <c r="K13" s="4">
        <v>662.00200930185622</v>
      </c>
      <c r="L13" s="4">
        <v>592.20140969531883</v>
      </c>
      <c r="M13" s="4">
        <v>691.30898978006439</v>
      </c>
      <c r="N13" s="4">
        <v>674.95354118240527</v>
      </c>
      <c r="O13" s="4">
        <v>699.28921730225989</v>
      </c>
      <c r="P13" s="4">
        <v>668.95298325262308</v>
      </c>
      <c r="Q13" s="4">
        <v>566.03219429983858</v>
      </c>
      <c r="R13" s="4">
        <v>697.5040433716706</v>
      </c>
      <c r="S13" s="4">
        <v>677.14301705004038</v>
      </c>
    </row>
    <row r="14" spans="1:19" x14ac:dyDescent="0.25">
      <c r="A14" s="4">
        <v>127</v>
      </c>
      <c r="B14" s="4">
        <v>269</v>
      </c>
      <c r="C14" s="4">
        <v>436.86971938559321</v>
      </c>
      <c r="D14" s="4">
        <v>428.87389596448742</v>
      </c>
      <c r="E14" s="4">
        <v>416.18995093825663</v>
      </c>
      <c r="F14" s="4">
        <v>418.99131176982434</v>
      </c>
      <c r="G14" s="4">
        <v>495</v>
      </c>
      <c r="H14" s="4">
        <v>270</v>
      </c>
      <c r="I14" s="4">
        <v>360</v>
      </c>
      <c r="J14" s="4">
        <v>681.01519716505254</v>
      </c>
      <c r="K14" s="4">
        <v>664.93760038337382</v>
      </c>
      <c r="L14" s="4">
        <v>600.65786723163842</v>
      </c>
      <c r="M14" s="4">
        <v>698.2461990012107</v>
      </c>
      <c r="N14" s="4">
        <v>682.97544380548823</v>
      </c>
      <c r="O14" s="4">
        <v>698.71402070217903</v>
      </c>
      <c r="P14" s="4">
        <v>678.97546579903167</v>
      </c>
      <c r="Q14" s="4">
        <v>579.15690383373669</v>
      </c>
      <c r="R14" s="4">
        <v>698.40233980024232</v>
      </c>
      <c r="S14" s="4">
        <v>676.13500245157388</v>
      </c>
    </row>
    <row r="16" spans="1:19" s="11" customFormat="1" x14ac:dyDescent="0.25"/>
    <row r="53" s="11" customFormat="1" x14ac:dyDescent="0.25"/>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0BE84-37AB-4CEB-BDCF-5C410885EAEC}">
  <dimension ref="A1:H9"/>
  <sheetViews>
    <sheetView workbookViewId="0"/>
  </sheetViews>
  <sheetFormatPr defaultRowHeight="13.2" x14ac:dyDescent="0.25"/>
  <cols>
    <col min="1" max="1" width="21.21875" style="4" customWidth="1"/>
    <col min="2" max="2" width="18.77734375" style="4" customWidth="1"/>
    <col min="3" max="3" width="49.5546875" style="11" customWidth="1"/>
    <col min="4" max="4" width="29.77734375" style="11" customWidth="1"/>
    <col min="5" max="5" width="18.77734375" style="4" customWidth="1"/>
    <col min="6" max="6" width="20.44140625" style="4" customWidth="1"/>
    <col min="7" max="7" width="12" style="4" customWidth="1"/>
    <col min="8" max="8" width="22.21875" style="4" customWidth="1"/>
    <col min="9" max="16384" width="8.88671875" style="4"/>
  </cols>
  <sheetData>
    <row r="1" spans="1:8" ht="34.200000000000003" customHeight="1" x14ac:dyDescent="0.25">
      <c r="A1" s="10" t="s">
        <v>71</v>
      </c>
      <c r="B1" s="10" t="s">
        <v>72</v>
      </c>
      <c r="C1" s="10" t="s">
        <v>73</v>
      </c>
      <c r="D1" s="10" t="s">
        <v>74</v>
      </c>
      <c r="E1" s="10" t="s">
        <v>75</v>
      </c>
      <c r="F1" s="10" t="s">
        <v>76</v>
      </c>
      <c r="G1" s="10" t="s">
        <v>77</v>
      </c>
      <c r="H1" s="10" t="s">
        <v>78</v>
      </c>
    </row>
    <row r="2" spans="1:8" x14ac:dyDescent="0.25">
      <c r="A2" s="4" t="s">
        <v>165</v>
      </c>
      <c r="B2" s="9" t="s">
        <v>5</v>
      </c>
      <c r="C2" s="11" t="s">
        <v>5</v>
      </c>
      <c r="D2" s="11" t="s">
        <v>109</v>
      </c>
      <c r="E2" s="4">
        <v>4</v>
      </c>
      <c r="G2" s="4" t="s">
        <v>81</v>
      </c>
      <c r="H2" s="4" t="s">
        <v>82</v>
      </c>
    </row>
    <row r="3" spans="1:8" x14ac:dyDescent="0.25">
      <c r="A3" s="4" t="s">
        <v>165</v>
      </c>
      <c r="B3" s="9" t="s">
        <v>43</v>
      </c>
      <c r="C3" s="11" t="s">
        <v>84</v>
      </c>
      <c r="D3" s="11" t="s">
        <v>83</v>
      </c>
      <c r="E3" s="4">
        <v>3</v>
      </c>
      <c r="F3" s="4" t="s">
        <v>85</v>
      </c>
      <c r="G3" s="4" t="s">
        <v>81</v>
      </c>
      <c r="H3" s="4" t="s">
        <v>82</v>
      </c>
    </row>
    <row r="4" spans="1:8" ht="28.8" x14ac:dyDescent="0.25">
      <c r="A4" s="4" t="s">
        <v>165</v>
      </c>
      <c r="B4" s="8" t="s">
        <v>79</v>
      </c>
      <c r="C4" s="11" t="s">
        <v>80</v>
      </c>
      <c r="D4" s="12" t="s">
        <v>110</v>
      </c>
      <c r="E4" s="4">
        <v>10</v>
      </c>
      <c r="G4" s="4" t="s">
        <v>81</v>
      </c>
      <c r="H4" s="4" t="s">
        <v>82</v>
      </c>
    </row>
    <row r="5" spans="1:8" ht="14.4" x14ac:dyDescent="0.25">
      <c r="A5" s="4" t="s">
        <v>165</v>
      </c>
      <c r="B5" s="8" t="s">
        <v>111</v>
      </c>
      <c r="C5" s="11" t="s">
        <v>147</v>
      </c>
      <c r="D5" s="12" t="s">
        <v>148</v>
      </c>
      <c r="F5" s="4" t="s">
        <v>149</v>
      </c>
      <c r="G5" s="4" t="s">
        <v>81</v>
      </c>
      <c r="H5" s="4" t="s">
        <v>89</v>
      </c>
    </row>
    <row r="6" spans="1:8" ht="26.4" x14ac:dyDescent="0.25">
      <c r="A6" s="4" t="s">
        <v>165</v>
      </c>
      <c r="B6" s="9" t="s">
        <v>112</v>
      </c>
      <c r="C6" s="11" t="s">
        <v>113</v>
      </c>
      <c r="D6" s="11" t="s">
        <v>88</v>
      </c>
      <c r="G6" s="4" t="s">
        <v>81</v>
      </c>
      <c r="H6" s="4" t="s">
        <v>82</v>
      </c>
    </row>
    <row r="7" spans="1:8" ht="52.8" x14ac:dyDescent="0.25">
      <c r="A7" s="4" t="s">
        <v>165</v>
      </c>
      <c r="B7" s="9" t="s">
        <v>114</v>
      </c>
      <c r="C7" s="11" t="s">
        <v>115</v>
      </c>
      <c r="D7" s="11" t="s">
        <v>83</v>
      </c>
      <c r="F7" s="4" t="s">
        <v>116</v>
      </c>
      <c r="G7" s="4" t="s">
        <v>81</v>
      </c>
      <c r="H7" s="4" t="s">
        <v>82</v>
      </c>
    </row>
    <row r="8" spans="1:8" x14ac:dyDescent="0.25">
      <c r="A8" s="4" t="s">
        <v>165</v>
      </c>
      <c r="B8" s="13" t="s">
        <v>117</v>
      </c>
      <c r="C8" s="11" t="s">
        <v>118</v>
      </c>
      <c r="D8" s="11" t="s">
        <v>88</v>
      </c>
      <c r="F8" s="4" t="s">
        <v>119</v>
      </c>
      <c r="G8" s="4" t="s">
        <v>81</v>
      </c>
      <c r="H8" s="4" t="s">
        <v>89</v>
      </c>
    </row>
    <row r="9" spans="1:8" ht="52.8" x14ac:dyDescent="0.25">
      <c r="A9" s="4" t="s">
        <v>165</v>
      </c>
      <c r="B9" s="9" t="s">
        <v>120</v>
      </c>
      <c r="C9" s="11" t="s">
        <v>121</v>
      </c>
      <c r="D9" s="19" t="s">
        <v>122</v>
      </c>
      <c r="E9" s="4">
        <v>6</v>
      </c>
      <c r="H9" s="4" t="s">
        <v>82</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413BC-77B3-419B-AAD6-55D933A8A9FB}">
  <dimension ref="A1:Z3361"/>
  <sheetViews>
    <sheetView workbookViewId="0"/>
  </sheetViews>
  <sheetFormatPr defaultRowHeight="13.2" x14ac:dyDescent="0.25"/>
  <cols>
    <col min="1" max="2" width="8.88671875" style="4"/>
    <col min="3" max="3" width="11.109375" style="20" customWidth="1"/>
    <col min="4" max="4" width="11.109375" style="16" customWidth="1"/>
    <col min="5" max="5" width="11.6640625" style="4" customWidth="1"/>
    <col min="6" max="6" width="8.88671875" style="22"/>
    <col min="7" max="9" width="8.88671875" style="4"/>
    <col min="10" max="10" width="10.109375" style="4" bestFit="1" customWidth="1"/>
    <col min="11" max="11" width="10.109375" style="4" customWidth="1"/>
    <col min="12" max="16" width="8.88671875" style="4"/>
    <col min="17" max="17" width="10.109375" style="4" bestFit="1" customWidth="1"/>
    <col min="18" max="23" width="10.109375" style="4" customWidth="1"/>
    <col min="24" max="16384" width="8.88671875" style="4"/>
  </cols>
  <sheetData>
    <row r="1" spans="1:26" x14ac:dyDescent="0.25">
      <c r="A1" s="25" t="s">
        <v>5</v>
      </c>
      <c r="B1" s="25" t="s">
        <v>43</v>
      </c>
      <c r="C1" s="26" t="s">
        <v>79</v>
      </c>
      <c r="D1" s="27" t="s">
        <v>111</v>
      </c>
      <c r="E1" s="25" t="s">
        <v>112</v>
      </c>
      <c r="F1" s="28" t="s">
        <v>114</v>
      </c>
      <c r="G1" s="29" t="s">
        <v>117</v>
      </c>
      <c r="H1" s="30" t="s">
        <v>120</v>
      </c>
      <c r="I1" s="14"/>
      <c r="O1" s="14"/>
      <c r="P1" s="14"/>
    </row>
    <row r="2" spans="1:26" x14ac:dyDescent="0.25">
      <c r="A2" s="14">
        <v>2013</v>
      </c>
      <c r="B2" s="14">
        <v>156</v>
      </c>
      <c r="C2" s="20">
        <v>41430</v>
      </c>
      <c r="D2" s="16" t="e">
        <v>#N/A</v>
      </c>
      <c r="E2" s="14">
        <v>230</v>
      </c>
      <c r="F2" s="23">
        <v>1</v>
      </c>
      <c r="G2" s="17" t="e">
        <v>#N/A</v>
      </c>
      <c r="H2" s="4" t="s">
        <v>123</v>
      </c>
      <c r="I2" s="14"/>
      <c r="O2" s="14"/>
      <c r="P2" s="14"/>
      <c r="Q2" s="15"/>
    </row>
    <row r="3" spans="1:26" x14ac:dyDescent="0.25">
      <c r="A3" s="14">
        <v>2013</v>
      </c>
      <c r="B3" s="14">
        <v>156</v>
      </c>
      <c r="C3" s="20">
        <v>41430</v>
      </c>
      <c r="D3" s="16" t="e">
        <v>#N/A</v>
      </c>
      <c r="E3" s="14">
        <v>230</v>
      </c>
      <c r="F3" s="23">
        <v>2</v>
      </c>
      <c r="G3" s="17" t="e">
        <v>#N/A</v>
      </c>
      <c r="H3" s="4" t="s">
        <v>123</v>
      </c>
      <c r="I3" s="14"/>
      <c r="O3" s="14"/>
      <c r="P3" s="14"/>
      <c r="Q3" s="15"/>
    </row>
    <row r="4" spans="1:26" x14ac:dyDescent="0.25">
      <c r="A4" s="14">
        <v>2013</v>
      </c>
      <c r="B4" s="14">
        <v>156</v>
      </c>
      <c r="C4" s="20">
        <v>41430</v>
      </c>
      <c r="D4" s="16" t="e">
        <v>#N/A</v>
      </c>
      <c r="E4" s="14">
        <v>230</v>
      </c>
      <c r="F4" s="23">
        <v>3</v>
      </c>
      <c r="G4" s="17" t="e">
        <v>#N/A</v>
      </c>
      <c r="H4" s="4" t="s">
        <v>123</v>
      </c>
      <c r="I4" s="14"/>
      <c r="Y4" s="14"/>
    </row>
    <row r="5" spans="1:26" x14ac:dyDescent="0.25">
      <c r="A5" s="14">
        <v>2013</v>
      </c>
      <c r="B5" s="14">
        <v>156</v>
      </c>
      <c r="C5" s="20">
        <v>41430</v>
      </c>
      <c r="D5" s="16" t="e">
        <v>#N/A</v>
      </c>
      <c r="E5" s="14">
        <v>230</v>
      </c>
      <c r="F5" s="23">
        <v>4</v>
      </c>
      <c r="G5" s="17" t="e">
        <v>#N/A</v>
      </c>
      <c r="H5" s="4" t="s">
        <v>123</v>
      </c>
      <c r="I5" s="14"/>
      <c r="Z5" s="14"/>
    </row>
    <row r="6" spans="1:26" x14ac:dyDescent="0.25">
      <c r="A6" s="14">
        <v>2013</v>
      </c>
      <c r="B6" s="14">
        <v>156</v>
      </c>
      <c r="C6" s="20">
        <v>41430</v>
      </c>
      <c r="D6" s="16">
        <v>0.4861111111111111</v>
      </c>
      <c r="E6" s="14">
        <v>230</v>
      </c>
      <c r="F6" s="23">
        <v>5</v>
      </c>
      <c r="G6" s="17" t="e">
        <v>#N/A</v>
      </c>
      <c r="H6" s="4" t="s">
        <v>0</v>
      </c>
      <c r="I6" s="14"/>
    </row>
    <row r="7" spans="1:26" x14ac:dyDescent="0.25">
      <c r="A7" s="14">
        <v>2013</v>
      </c>
      <c r="B7" s="14">
        <v>156</v>
      </c>
      <c r="C7" s="20">
        <v>41430</v>
      </c>
      <c r="D7" s="16">
        <v>0.4909722222222222</v>
      </c>
      <c r="E7" s="14">
        <v>230</v>
      </c>
      <c r="F7" s="23">
        <v>6</v>
      </c>
      <c r="G7" s="17" t="e">
        <v>#N/A</v>
      </c>
      <c r="H7" s="4" t="s">
        <v>0</v>
      </c>
      <c r="I7" s="14"/>
    </row>
    <row r="8" spans="1:26" x14ac:dyDescent="0.25">
      <c r="A8" s="14">
        <v>2013</v>
      </c>
      <c r="B8" s="14">
        <v>156</v>
      </c>
      <c r="C8" s="20">
        <v>41430</v>
      </c>
      <c r="D8" s="16" t="e">
        <v>#N/A</v>
      </c>
      <c r="E8" s="14">
        <v>230</v>
      </c>
      <c r="F8" s="23">
        <v>7</v>
      </c>
      <c r="G8" s="17" t="e">
        <v>#N/A</v>
      </c>
      <c r="H8" s="4" t="s">
        <v>123</v>
      </c>
      <c r="I8" s="14"/>
    </row>
    <row r="9" spans="1:26" x14ac:dyDescent="0.25">
      <c r="A9" s="14">
        <v>2013</v>
      </c>
      <c r="B9" s="14">
        <v>156</v>
      </c>
      <c r="C9" s="20">
        <v>41430</v>
      </c>
      <c r="D9" s="16" t="e">
        <v>#N/A</v>
      </c>
      <c r="E9" s="14">
        <v>230</v>
      </c>
      <c r="F9" s="23">
        <v>8</v>
      </c>
      <c r="G9" s="17" t="e">
        <v>#N/A</v>
      </c>
      <c r="H9" s="4" t="s">
        <v>123</v>
      </c>
      <c r="I9" s="14"/>
    </row>
    <row r="10" spans="1:26" x14ac:dyDescent="0.25">
      <c r="A10" s="14">
        <v>2013</v>
      </c>
      <c r="B10" s="14">
        <v>156</v>
      </c>
      <c r="C10" s="20">
        <v>41430</v>
      </c>
      <c r="D10" s="16" t="e">
        <v>#N/A</v>
      </c>
      <c r="E10" s="14">
        <v>230</v>
      </c>
      <c r="F10" s="23">
        <v>9</v>
      </c>
      <c r="G10" s="17" t="e">
        <v>#N/A</v>
      </c>
      <c r="H10" s="4" t="s">
        <v>123</v>
      </c>
      <c r="I10" s="14"/>
    </row>
    <row r="11" spans="1:26" x14ac:dyDescent="0.25">
      <c r="A11" s="14">
        <v>2013</v>
      </c>
      <c r="B11" s="14">
        <v>156</v>
      </c>
      <c r="C11" s="20">
        <v>41430</v>
      </c>
      <c r="D11" s="16" t="e">
        <v>#N/A</v>
      </c>
      <c r="E11" s="14">
        <v>230</v>
      </c>
      <c r="F11" s="23">
        <v>10</v>
      </c>
      <c r="G11" s="17" t="e">
        <v>#N/A</v>
      </c>
      <c r="H11" s="4" t="s">
        <v>123</v>
      </c>
      <c r="I11" s="14"/>
    </row>
    <row r="12" spans="1:26" x14ac:dyDescent="0.25">
      <c r="A12" s="14">
        <v>2013</v>
      </c>
      <c r="B12" s="14">
        <v>156</v>
      </c>
      <c r="C12" s="20">
        <v>41430</v>
      </c>
      <c r="D12" s="16" t="e">
        <v>#N/A</v>
      </c>
      <c r="E12" s="14">
        <v>230</v>
      </c>
      <c r="F12" s="23">
        <v>11</v>
      </c>
      <c r="G12" s="17" t="e">
        <v>#N/A</v>
      </c>
      <c r="H12" s="4" t="s">
        <v>124</v>
      </c>
      <c r="I12" s="14"/>
    </row>
    <row r="13" spans="1:26" x14ac:dyDescent="0.25">
      <c r="A13" s="14">
        <v>2013</v>
      </c>
      <c r="B13" s="14">
        <v>156</v>
      </c>
      <c r="C13" s="20">
        <v>41430</v>
      </c>
      <c r="D13" s="16" t="e">
        <v>#N/A</v>
      </c>
      <c r="E13" s="14">
        <v>230</v>
      </c>
      <c r="F13" s="23">
        <v>12</v>
      </c>
      <c r="G13" s="17" t="e">
        <v>#N/A</v>
      </c>
      <c r="H13" s="4" t="s">
        <v>124</v>
      </c>
      <c r="I13" s="14"/>
    </row>
    <row r="14" spans="1:26" x14ac:dyDescent="0.25">
      <c r="A14" s="14">
        <v>2013</v>
      </c>
      <c r="B14" s="14">
        <v>156</v>
      </c>
      <c r="C14" s="20">
        <v>41430</v>
      </c>
      <c r="D14" s="16" t="e">
        <v>#N/A</v>
      </c>
      <c r="E14" s="14">
        <v>230</v>
      </c>
      <c r="F14" s="23">
        <v>13</v>
      </c>
      <c r="G14" s="17" t="e">
        <v>#N/A</v>
      </c>
      <c r="H14" s="4" t="s">
        <v>124</v>
      </c>
      <c r="I14" s="14"/>
    </row>
    <row r="15" spans="1:26" x14ac:dyDescent="0.25">
      <c r="A15" s="14">
        <v>2013</v>
      </c>
      <c r="B15" s="14">
        <v>156</v>
      </c>
      <c r="C15" s="20">
        <v>41430</v>
      </c>
      <c r="D15" s="16" t="e">
        <v>#N/A</v>
      </c>
      <c r="E15" s="14">
        <v>230</v>
      </c>
      <c r="F15" s="23">
        <v>14</v>
      </c>
      <c r="G15" s="17" t="e">
        <v>#N/A</v>
      </c>
      <c r="H15" s="4" t="s">
        <v>124</v>
      </c>
      <c r="I15" s="14"/>
    </row>
    <row r="16" spans="1:26" x14ac:dyDescent="0.25">
      <c r="A16" s="14">
        <v>2013</v>
      </c>
      <c r="B16" s="14">
        <v>156</v>
      </c>
      <c r="C16" s="20">
        <v>41430</v>
      </c>
      <c r="D16" s="16">
        <v>0.50486111111111109</v>
      </c>
      <c r="E16" s="14">
        <v>230</v>
      </c>
      <c r="F16" s="23">
        <v>15</v>
      </c>
      <c r="G16" s="17" t="e">
        <v>#N/A</v>
      </c>
      <c r="H16" s="4" t="s">
        <v>1</v>
      </c>
      <c r="I16" s="14"/>
    </row>
    <row r="17" spans="1:9" x14ac:dyDescent="0.25">
      <c r="A17" s="14">
        <v>2013</v>
      </c>
      <c r="B17" s="14">
        <v>156</v>
      </c>
      <c r="C17" s="20">
        <v>41430</v>
      </c>
      <c r="D17" s="16">
        <v>0.50972222222222219</v>
      </c>
      <c r="E17" s="14">
        <v>230</v>
      </c>
      <c r="F17" s="23">
        <v>16</v>
      </c>
      <c r="G17" s="17" t="e">
        <v>#N/A</v>
      </c>
      <c r="H17" s="4" t="s">
        <v>1</v>
      </c>
      <c r="I17" s="14"/>
    </row>
    <row r="18" spans="1:9" x14ac:dyDescent="0.25">
      <c r="A18" s="14">
        <v>2013</v>
      </c>
      <c r="B18" s="14">
        <v>156</v>
      </c>
      <c r="C18" s="20">
        <v>41430</v>
      </c>
      <c r="D18" s="16" t="e">
        <v>#N/A</v>
      </c>
      <c r="E18" s="14">
        <v>230</v>
      </c>
      <c r="F18" s="23">
        <v>17</v>
      </c>
      <c r="G18" s="17" t="e">
        <v>#N/A</v>
      </c>
      <c r="H18" s="4" t="s">
        <v>124</v>
      </c>
      <c r="I18" s="14"/>
    </row>
    <row r="19" spans="1:9" x14ac:dyDescent="0.25">
      <c r="A19" s="14">
        <v>2013</v>
      </c>
      <c r="B19" s="14">
        <v>156</v>
      </c>
      <c r="C19" s="20">
        <v>41430</v>
      </c>
      <c r="D19" s="16" t="e">
        <v>#N/A</v>
      </c>
      <c r="E19" s="14">
        <v>230</v>
      </c>
      <c r="F19" s="23">
        <v>18</v>
      </c>
      <c r="G19" s="17" t="e">
        <v>#N/A</v>
      </c>
      <c r="H19" s="4" t="s">
        <v>124</v>
      </c>
      <c r="I19" s="14"/>
    </row>
    <row r="20" spans="1:9" x14ac:dyDescent="0.25">
      <c r="A20" s="14">
        <v>2013</v>
      </c>
      <c r="B20" s="14">
        <v>156</v>
      </c>
      <c r="C20" s="20">
        <v>41430</v>
      </c>
      <c r="D20" s="16" t="e">
        <v>#N/A</v>
      </c>
      <c r="E20" s="14">
        <v>230</v>
      </c>
      <c r="F20" s="23">
        <v>19</v>
      </c>
      <c r="G20" s="17" t="e">
        <v>#N/A</v>
      </c>
      <c r="H20" s="4" t="s">
        <v>124</v>
      </c>
      <c r="I20" s="14"/>
    </row>
    <row r="21" spans="1:9" x14ac:dyDescent="0.25">
      <c r="A21" s="14">
        <v>2013</v>
      </c>
      <c r="B21" s="14">
        <v>156</v>
      </c>
      <c r="C21" s="20">
        <v>41430</v>
      </c>
      <c r="D21" s="16" t="e">
        <v>#N/A</v>
      </c>
      <c r="E21" s="14">
        <v>230</v>
      </c>
      <c r="F21" s="23">
        <v>20</v>
      </c>
      <c r="G21" s="17" t="e">
        <v>#N/A</v>
      </c>
      <c r="H21" s="4" t="s">
        <v>124</v>
      </c>
      <c r="I21" s="14"/>
    </row>
    <row r="22" spans="1:9" x14ac:dyDescent="0.25">
      <c r="A22" s="14">
        <v>2013</v>
      </c>
      <c r="B22" s="14">
        <v>156</v>
      </c>
      <c r="C22" s="20">
        <v>41430</v>
      </c>
      <c r="D22" s="16" t="e">
        <v>#N/A</v>
      </c>
      <c r="E22" s="14">
        <v>210</v>
      </c>
      <c r="F22" s="23">
        <v>1</v>
      </c>
      <c r="G22" s="17" t="e">
        <v>#N/A</v>
      </c>
      <c r="H22" s="4" t="s">
        <v>123</v>
      </c>
      <c r="I22" s="14"/>
    </row>
    <row r="23" spans="1:9" x14ac:dyDescent="0.25">
      <c r="A23" s="14">
        <v>2013</v>
      </c>
      <c r="B23" s="14">
        <v>156</v>
      </c>
      <c r="C23" s="20">
        <v>41430</v>
      </c>
      <c r="D23" s="16" t="e">
        <v>#N/A</v>
      </c>
      <c r="E23" s="14">
        <v>210</v>
      </c>
      <c r="F23" s="23">
        <v>2</v>
      </c>
      <c r="G23" s="17" t="e">
        <v>#N/A</v>
      </c>
      <c r="H23" s="4" t="s">
        <v>123</v>
      </c>
      <c r="I23" s="14"/>
    </row>
    <row r="24" spans="1:9" x14ac:dyDescent="0.25">
      <c r="A24" s="14">
        <v>2013</v>
      </c>
      <c r="B24" s="14">
        <v>156</v>
      </c>
      <c r="C24" s="20">
        <v>41430</v>
      </c>
      <c r="D24" s="16" t="e">
        <v>#N/A</v>
      </c>
      <c r="E24" s="14">
        <v>210</v>
      </c>
      <c r="F24" s="23">
        <v>3</v>
      </c>
      <c r="G24" s="17" t="e">
        <v>#N/A</v>
      </c>
      <c r="H24" s="4" t="s">
        <v>123</v>
      </c>
      <c r="I24" s="14"/>
    </row>
    <row r="25" spans="1:9" x14ac:dyDescent="0.25">
      <c r="A25" s="14">
        <v>2013</v>
      </c>
      <c r="B25" s="14">
        <v>156</v>
      </c>
      <c r="C25" s="20">
        <v>41430</v>
      </c>
      <c r="D25" s="16" t="e">
        <v>#N/A</v>
      </c>
      <c r="E25" s="14">
        <v>210</v>
      </c>
      <c r="F25" s="23">
        <v>4</v>
      </c>
      <c r="G25" s="17" t="e">
        <v>#N/A</v>
      </c>
      <c r="H25" s="4" t="s">
        <v>123</v>
      </c>
      <c r="I25" s="14"/>
    </row>
    <row r="26" spans="1:9" x14ac:dyDescent="0.25">
      <c r="A26" s="14">
        <v>2013</v>
      </c>
      <c r="B26" s="14">
        <v>156</v>
      </c>
      <c r="C26" s="20">
        <v>41430</v>
      </c>
      <c r="D26" s="16">
        <v>0.4861111111111111</v>
      </c>
      <c r="E26" s="14">
        <v>210</v>
      </c>
      <c r="F26" s="23">
        <v>5</v>
      </c>
      <c r="G26" s="17" t="e">
        <v>#N/A</v>
      </c>
      <c r="H26" s="4" t="s">
        <v>0</v>
      </c>
      <c r="I26" s="14"/>
    </row>
    <row r="27" spans="1:9" x14ac:dyDescent="0.25">
      <c r="A27" s="14">
        <v>2013</v>
      </c>
      <c r="B27" s="14">
        <v>156</v>
      </c>
      <c r="C27" s="20">
        <v>41430</v>
      </c>
      <c r="D27" s="16">
        <v>0.4909722222222222</v>
      </c>
      <c r="E27" s="14">
        <v>210</v>
      </c>
      <c r="F27" s="23">
        <v>6</v>
      </c>
      <c r="G27" s="17" t="e">
        <v>#N/A</v>
      </c>
      <c r="H27" s="4" t="s">
        <v>0</v>
      </c>
      <c r="I27" s="14"/>
    </row>
    <row r="28" spans="1:9" x14ac:dyDescent="0.25">
      <c r="A28" s="14">
        <v>2013</v>
      </c>
      <c r="B28" s="14">
        <v>156</v>
      </c>
      <c r="C28" s="20">
        <v>41430</v>
      </c>
      <c r="D28" s="16" t="e">
        <v>#N/A</v>
      </c>
      <c r="E28" s="14">
        <v>210</v>
      </c>
      <c r="F28" s="23">
        <v>7</v>
      </c>
      <c r="G28" s="17" t="e">
        <v>#N/A</v>
      </c>
      <c r="H28" s="4" t="s">
        <v>123</v>
      </c>
      <c r="I28" s="14"/>
    </row>
    <row r="29" spans="1:9" x14ac:dyDescent="0.25">
      <c r="A29" s="14">
        <v>2013</v>
      </c>
      <c r="B29" s="14">
        <v>156</v>
      </c>
      <c r="C29" s="20">
        <v>41430</v>
      </c>
      <c r="D29" s="16" t="e">
        <v>#N/A</v>
      </c>
      <c r="E29" s="14">
        <v>210</v>
      </c>
      <c r="F29" s="23">
        <v>8</v>
      </c>
      <c r="G29" s="17" t="e">
        <v>#N/A</v>
      </c>
      <c r="H29" s="4" t="s">
        <v>123</v>
      </c>
      <c r="I29" s="14"/>
    </row>
    <row r="30" spans="1:9" x14ac:dyDescent="0.25">
      <c r="A30" s="14">
        <v>2013</v>
      </c>
      <c r="B30" s="14">
        <v>156</v>
      </c>
      <c r="C30" s="20">
        <v>41430</v>
      </c>
      <c r="D30" s="16" t="e">
        <v>#N/A</v>
      </c>
      <c r="E30" s="14">
        <v>210</v>
      </c>
      <c r="F30" s="23">
        <v>9</v>
      </c>
      <c r="G30" s="17" t="e">
        <v>#N/A</v>
      </c>
      <c r="H30" s="4" t="s">
        <v>123</v>
      </c>
      <c r="I30" s="14"/>
    </row>
    <row r="31" spans="1:9" x14ac:dyDescent="0.25">
      <c r="A31" s="14">
        <v>2013</v>
      </c>
      <c r="B31" s="14">
        <v>156</v>
      </c>
      <c r="C31" s="20">
        <v>41430</v>
      </c>
      <c r="D31" s="16" t="e">
        <v>#N/A</v>
      </c>
      <c r="E31" s="14">
        <v>210</v>
      </c>
      <c r="F31" s="23">
        <v>10</v>
      </c>
      <c r="G31" s="17" t="e">
        <v>#N/A</v>
      </c>
      <c r="H31" s="4" t="s">
        <v>123</v>
      </c>
      <c r="I31" s="14"/>
    </row>
    <row r="32" spans="1:9" x14ac:dyDescent="0.25">
      <c r="A32" s="14">
        <v>2013</v>
      </c>
      <c r="B32" s="14">
        <v>156</v>
      </c>
      <c r="C32" s="20">
        <v>41430</v>
      </c>
      <c r="D32" s="16" t="e">
        <v>#N/A</v>
      </c>
      <c r="E32" s="14">
        <v>210</v>
      </c>
      <c r="F32" s="23">
        <v>11</v>
      </c>
      <c r="G32" s="17" t="e">
        <v>#N/A</v>
      </c>
      <c r="H32" s="4" t="s">
        <v>124</v>
      </c>
      <c r="I32" s="14"/>
    </row>
    <row r="33" spans="1:9" x14ac:dyDescent="0.25">
      <c r="A33" s="14">
        <v>2013</v>
      </c>
      <c r="B33" s="14">
        <v>156</v>
      </c>
      <c r="C33" s="20">
        <v>41430</v>
      </c>
      <c r="D33" s="16" t="e">
        <v>#N/A</v>
      </c>
      <c r="E33" s="14">
        <v>210</v>
      </c>
      <c r="F33" s="23">
        <v>12</v>
      </c>
      <c r="G33" s="17" t="e">
        <v>#N/A</v>
      </c>
      <c r="H33" s="4" t="s">
        <v>124</v>
      </c>
      <c r="I33" s="14"/>
    </row>
    <row r="34" spans="1:9" x14ac:dyDescent="0.25">
      <c r="A34" s="14">
        <v>2013</v>
      </c>
      <c r="B34" s="14">
        <v>156</v>
      </c>
      <c r="C34" s="20">
        <v>41430</v>
      </c>
      <c r="D34" s="16" t="e">
        <v>#N/A</v>
      </c>
      <c r="E34" s="14">
        <v>210</v>
      </c>
      <c r="F34" s="23">
        <v>13</v>
      </c>
      <c r="G34" s="17" t="e">
        <v>#N/A</v>
      </c>
      <c r="H34" s="4" t="s">
        <v>124</v>
      </c>
      <c r="I34" s="14"/>
    </row>
    <row r="35" spans="1:9" x14ac:dyDescent="0.25">
      <c r="A35" s="14">
        <v>2013</v>
      </c>
      <c r="B35" s="14">
        <v>156</v>
      </c>
      <c r="C35" s="20">
        <v>41430</v>
      </c>
      <c r="D35" s="16" t="e">
        <v>#N/A</v>
      </c>
      <c r="E35" s="14">
        <v>210</v>
      </c>
      <c r="F35" s="23">
        <v>14</v>
      </c>
      <c r="G35" s="17" t="e">
        <v>#N/A</v>
      </c>
      <c r="H35" s="4" t="s">
        <v>124</v>
      </c>
      <c r="I35" s="14"/>
    </row>
    <row r="36" spans="1:9" x14ac:dyDescent="0.25">
      <c r="A36" s="14">
        <v>2013</v>
      </c>
      <c r="B36" s="14">
        <v>156</v>
      </c>
      <c r="C36" s="20">
        <v>41430</v>
      </c>
      <c r="D36" s="16">
        <v>0.50486111111111109</v>
      </c>
      <c r="E36" s="14">
        <v>210</v>
      </c>
      <c r="F36" s="23">
        <v>15</v>
      </c>
      <c r="G36" s="17" t="e">
        <v>#N/A</v>
      </c>
      <c r="H36" s="4" t="s">
        <v>1</v>
      </c>
      <c r="I36" s="14"/>
    </row>
    <row r="37" spans="1:9" x14ac:dyDescent="0.25">
      <c r="A37" s="14">
        <v>2013</v>
      </c>
      <c r="B37" s="14">
        <v>156</v>
      </c>
      <c r="C37" s="20">
        <v>41430</v>
      </c>
      <c r="D37" s="16">
        <v>0.50972222222222219</v>
      </c>
      <c r="E37" s="14">
        <v>210</v>
      </c>
      <c r="F37" s="23">
        <v>16</v>
      </c>
      <c r="G37" s="17" t="e">
        <v>#N/A</v>
      </c>
      <c r="H37" s="4" t="s">
        <v>1</v>
      </c>
      <c r="I37" s="14"/>
    </row>
    <row r="38" spans="1:9" x14ac:dyDescent="0.25">
      <c r="A38" s="14">
        <v>2013</v>
      </c>
      <c r="B38" s="14">
        <v>156</v>
      </c>
      <c r="C38" s="20">
        <v>41430</v>
      </c>
      <c r="D38" s="16" t="e">
        <v>#N/A</v>
      </c>
      <c r="E38" s="14">
        <v>210</v>
      </c>
      <c r="F38" s="23">
        <v>17</v>
      </c>
      <c r="G38" s="17" t="e">
        <v>#N/A</v>
      </c>
      <c r="H38" s="4" t="s">
        <v>124</v>
      </c>
      <c r="I38" s="14"/>
    </row>
    <row r="39" spans="1:9" x14ac:dyDescent="0.25">
      <c r="A39" s="14">
        <v>2013</v>
      </c>
      <c r="B39" s="14">
        <v>156</v>
      </c>
      <c r="C39" s="20">
        <v>41430</v>
      </c>
      <c r="D39" s="16" t="e">
        <v>#N/A</v>
      </c>
      <c r="E39" s="14">
        <v>210</v>
      </c>
      <c r="F39" s="23">
        <v>18</v>
      </c>
      <c r="G39" s="17" t="e">
        <v>#N/A</v>
      </c>
      <c r="H39" s="4" t="s">
        <v>124</v>
      </c>
      <c r="I39" s="14"/>
    </row>
    <row r="40" spans="1:9" x14ac:dyDescent="0.25">
      <c r="A40" s="14">
        <v>2013</v>
      </c>
      <c r="B40" s="14">
        <v>156</v>
      </c>
      <c r="C40" s="20">
        <v>41430</v>
      </c>
      <c r="D40" s="16" t="e">
        <v>#N/A</v>
      </c>
      <c r="E40" s="14">
        <v>210</v>
      </c>
      <c r="F40" s="23">
        <v>19</v>
      </c>
      <c r="G40" s="17" t="e">
        <v>#N/A</v>
      </c>
      <c r="H40" s="4" t="s">
        <v>124</v>
      </c>
      <c r="I40" s="14"/>
    </row>
    <row r="41" spans="1:9" x14ac:dyDescent="0.25">
      <c r="A41" s="14">
        <v>2013</v>
      </c>
      <c r="B41" s="14">
        <v>156</v>
      </c>
      <c r="C41" s="20">
        <v>41430</v>
      </c>
      <c r="D41" s="16" t="e">
        <v>#N/A</v>
      </c>
      <c r="E41" s="14">
        <v>210</v>
      </c>
      <c r="F41" s="23">
        <v>20</v>
      </c>
      <c r="G41" s="17" t="e">
        <v>#N/A</v>
      </c>
      <c r="H41" s="4" t="s">
        <v>124</v>
      </c>
      <c r="I41" s="14"/>
    </row>
    <row r="42" spans="1:9" x14ac:dyDescent="0.25">
      <c r="A42" s="14">
        <v>2013</v>
      </c>
      <c r="B42" s="14">
        <v>156</v>
      </c>
      <c r="C42" s="20">
        <v>41430</v>
      </c>
      <c r="D42" s="16" t="e">
        <v>#N/A</v>
      </c>
      <c r="E42" s="14">
        <v>190</v>
      </c>
      <c r="F42" s="23">
        <v>1</v>
      </c>
      <c r="G42" s="17" t="e">
        <v>#N/A</v>
      </c>
      <c r="H42" s="4" t="s">
        <v>123</v>
      </c>
      <c r="I42" s="14"/>
    </row>
    <row r="43" spans="1:9" x14ac:dyDescent="0.25">
      <c r="A43" s="14">
        <v>2013</v>
      </c>
      <c r="B43" s="14">
        <v>156</v>
      </c>
      <c r="C43" s="20">
        <v>41430</v>
      </c>
      <c r="D43" s="16" t="e">
        <v>#N/A</v>
      </c>
      <c r="E43" s="14">
        <v>190</v>
      </c>
      <c r="F43" s="23">
        <v>2</v>
      </c>
      <c r="G43" s="17" t="e">
        <v>#N/A</v>
      </c>
      <c r="H43" s="4" t="s">
        <v>123</v>
      </c>
      <c r="I43" s="14"/>
    </row>
    <row r="44" spans="1:9" x14ac:dyDescent="0.25">
      <c r="A44" s="14">
        <v>2013</v>
      </c>
      <c r="B44" s="14">
        <v>156</v>
      </c>
      <c r="C44" s="20">
        <v>41430</v>
      </c>
      <c r="D44" s="16" t="e">
        <v>#N/A</v>
      </c>
      <c r="E44" s="14">
        <v>190</v>
      </c>
      <c r="F44" s="23">
        <v>3</v>
      </c>
      <c r="G44" s="17" t="e">
        <v>#N/A</v>
      </c>
      <c r="H44" s="4" t="s">
        <v>123</v>
      </c>
      <c r="I44" s="14"/>
    </row>
    <row r="45" spans="1:9" x14ac:dyDescent="0.25">
      <c r="A45" s="14">
        <v>2013</v>
      </c>
      <c r="B45" s="14">
        <v>156</v>
      </c>
      <c r="C45" s="20">
        <v>41430</v>
      </c>
      <c r="D45" s="16" t="e">
        <v>#N/A</v>
      </c>
      <c r="E45" s="14">
        <v>190</v>
      </c>
      <c r="F45" s="23">
        <v>4</v>
      </c>
      <c r="G45" s="17" t="e">
        <v>#N/A</v>
      </c>
      <c r="H45" s="4" t="s">
        <v>123</v>
      </c>
      <c r="I45" s="14"/>
    </row>
    <row r="46" spans="1:9" x14ac:dyDescent="0.25">
      <c r="A46" s="14">
        <v>2013</v>
      </c>
      <c r="B46" s="14">
        <v>156</v>
      </c>
      <c r="C46" s="20">
        <v>41430</v>
      </c>
      <c r="D46" s="16">
        <v>0.4861111111111111</v>
      </c>
      <c r="E46" s="14">
        <v>190</v>
      </c>
      <c r="F46" s="23">
        <v>5</v>
      </c>
      <c r="G46" s="17">
        <v>0.32060152189265539</v>
      </c>
      <c r="H46" s="4" t="s">
        <v>0</v>
      </c>
      <c r="I46" s="14"/>
    </row>
    <row r="47" spans="1:9" x14ac:dyDescent="0.25">
      <c r="A47" s="14">
        <v>2013</v>
      </c>
      <c r="B47" s="14">
        <v>156</v>
      </c>
      <c r="C47" s="20">
        <v>41430</v>
      </c>
      <c r="D47" s="16">
        <v>0.4909722222222222</v>
      </c>
      <c r="E47" s="14">
        <v>190</v>
      </c>
      <c r="F47" s="23">
        <v>6</v>
      </c>
      <c r="G47" s="17">
        <v>0.33293412782485876</v>
      </c>
      <c r="H47" s="4" t="s">
        <v>0</v>
      </c>
      <c r="I47" s="14"/>
    </row>
    <row r="48" spans="1:9" x14ac:dyDescent="0.25">
      <c r="A48" s="14">
        <v>2013</v>
      </c>
      <c r="B48" s="14">
        <v>156</v>
      </c>
      <c r="C48" s="20">
        <v>41430</v>
      </c>
      <c r="D48" s="16" t="e">
        <v>#N/A</v>
      </c>
      <c r="E48" s="14">
        <v>190</v>
      </c>
      <c r="F48" s="23">
        <v>7</v>
      </c>
      <c r="G48" s="17" t="e">
        <v>#N/A</v>
      </c>
      <c r="H48" s="4" t="s">
        <v>123</v>
      </c>
      <c r="I48" s="14"/>
    </row>
    <row r="49" spans="1:9" x14ac:dyDescent="0.25">
      <c r="A49" s="14">
        <v>2013</v>
      </c>
      <c r="B49" s="14">
        <v>156</v>
      </c>
      <c r="C49" s="20">
        <v>41430</v>
      </c>
      <c r="D49" s="16" t="e">
        <v>#N/A</v>
      </c>
      <c r="E49" s="14">
        <v>190</v>
      </c>
      <c r="F49" s="23">
        <v>8</v>
      </c>
      <c r="G49" s="17" t="e">
        <v>#N/A</v>
      </c>
      <c r="H49" s="4" t="s">
        <v>123</v>
      </c>
      <c r="I49" s="14"/>
    </row>
    <row r="50" spans="1:9" x14ac:dyDescent="0.25">
      <c r="A50" s="14">
        <v>2013</v>
      </c>
      <c r="B50" s="14">
        <v>156</v>
      </c>
      <c r="C50" s="20">
        <v>41430</v>
      </c>
      <c r="D50" s="16" t="e">
        <v>#N/A</v>
      </c>
      <c r="E50" s="14">
        <v>190</v>
      </c>
      <c r="F50" s="23">
        <v>9</v>
      </c>
      <c r="G50" s="17" t="e">
        <v>#N/A</v>
      </c>
      <c r="H50" s="4" t="s">
        <v>123</v>
      </c>
      <c r="I50" s="14"/>
    </row>
    <row r="51" spans="1:9" x14ac:dyDescent="0.25">
      <c r="A51" s="14">
        <v>2013</v>
      </c>
      <c r="B51" s="14">
        <v>156</v>
      </c>
      <c r="C51" s="20">
        <v>41430</v>
      </c>
      <c r="D51" s="16" t="e">
        <v>#N/A</v>
      </c>
      <c r="E51" s="14">
        <v>190</v>
      </c>
      <c r="F51" s="23">
        <v>10</v>
      </c>
      <c r="G51" s="17" t="e">
        <v>#N/A</v>
      </c>
      <c r="H51" s="4" t="s">
        <v>123</v>
      </c>
      <c r="I51" s="14"/>
    </row>
    <row r="52" spans="1:9" x14ac:dyDescent="0.25">
      <c r="A52" s="14">
        <v>2013</v>
      </c>
      <c r="B52" s="14">
        <v>156</v>
      </c>
      <c r="C52" s="20">
        <v>41430</v>
      </c>
      <c r="D52" s="16" t="e">
        <v>#N/A</v>
      </c>
      <c r="E52" s="14">
        <v>190</v>
      </c>
      <c r="F52" s="23">
        <v>11</v>
      </c>
      <c r="G52" s="17" t="e">
        <v>#N/A</v>
      </c>
      <c r="H52" s="4" t="s">
        <v>124</v>
      </c>
      <c r="I52" s="14"/>
    </row>
    <row r="53" spans="1:9" x14ac:dyDescent="0.25">
      <c r="A53" s="14">
        <v>2013</v>
      </c>
      <c r="B53" s="14">
        <v>156</v>
      </c>
      <c r="C53" s="20">
        <v>41430</v>
      </c>
      <c r="D53" s="16" t="e">
        <v>#N/A</v>
      </c>
      <c r="E53" s="14">
        <v>190</v>
      </c>
      <c r="F53" s="23">
        <v>12</v>
      </c>
      <c r="G53" s="17" t="e">
        <v>#N/A</v>
      </c>
      <c r="H53" s="4" t="s">
        <v>124</v>
      </c>
      <c r="I53" s="14"/>
    </row>
    <row r="54" spans="1:9" x14ac:dyDescent="0.25">
      <c r="A54" s="14">
        <v>2013</v>
      </c>
      <c r="B54" s="14">
        <v>156</v>
      </c>
      <c r="C54" s="20">
        <v>41430</v>
      </c>
      <c r="D54" s="16" t="e">
        <v>#N/A</v>
      </c>
      <c r="E54" s="14">
        <v>190</v>
      </c>
      <c r="F54" s="23">
        <v>13</v>
      </c>
      <c r="G54" s="17" t="e">
        <v>#N/A</v>
      </c>
      <c r="H54" s="4" t="s">
        <v>124</v>
      </c>
      <c r="I54" s="14"/>
    </row>
    <row r="55" spans="1:9" x14ac:dyDescent="0.25">
      <c r="A55" s="14">
        <v>2013</v>
      </c>
      <c r="B55" s="14">
        <v>156</v>
      </c>
      <c r="C55" s="20">
        <v>41430</v>
      </c>
      <c r="D55" s="16" t="e">
        <v>#N/A</v>
      </c>
      <c r="E55" s="14">
        <v>190</v>
      </c>
      <c r="F55" s="23">
        <v>14</v>
      </c>
      <c r="G55" s="17" t="e">
        <v>#N/A</v>
      </c>
      <c r="H55" s="4" t="s">
        <v>124</v>
      </c>
      <c r="I55" s="14"/>
    </row>
    <row r="56" spans="1:9" x14ac:dyDescent="0.25">
      <c r="A56" s="14">
        <v>2013</v>
      </c>
      <c r="B56" s="14">
        <v>156</v>
      </c>
      <c r="C56" s="20">
        <v>41430</v>
      </c>
      <c r="D56" s="16">
        <v>0.50486111111111109</v>
      </c>
      <c r="E56" s="14">
        <v>190</v>
      </c>
      <c r="F56" s="23">
        <v>15</v>
      </c>
      <c r="G56" s="17">
        <v>0.31257554025423728</v>
      </c>
      <c r="H56" s="4" t="s">
        <v>1</v>
      </c>
      <c r="I56" s="14"/>
    </row>
    <row r="57" spans="1:9" x14ac:dyDescent="0.25">
      <c r="A57" s="14">
        <v>2013</v>
      </c>
      <c r="B57" s="14">
        <v>156</v>
      </c>
      <c r="C57" s="20">
        <v>41430</v>
      </c>
      <c r="D57" s="16">
        <v>0.50972222222222219</v>
      </c>
      <c r="E57" s="14">
        <v>190</v>
      </c>
      <c r="F57" s="23">
        <v>16</v>
      </c>
      <c r="G57" s="17">
        <v>0.30012548093220337</v>
      </c>
      <c r="H57" s="4" t="s">
        <v>1</v>
      </c>
      <c r="I57" s="14"/>
    </row>
    <row r="58" spans="1:9" x14ac:dyDescent="0.25">
      <c r="A58" s="14">
        <v>2013</v>
      </c>
      <c r="B58" s="14">
        <v>156</v>
      </c>
      <c r="C58" s="20">
        <v>41430</v>
      </c>
      <c r="D58" s="16" t="e">
        <v>#N/A</v>
      </c>
      <c r="E58" s="14">
        <v>190</v>
      </c>
      <c r="F58" s="23">
        <v>17</v>
      </c>
      <c r="G58" s="17" t="e">
        <v>#N/A</v>
      </c>
      <c r="H58" s="4" t="s">
        <v>124</v>
      </c>
      <c r="I58" s="14"/>
    </row>
    <row r="59" spans="1:9" x14ac:dyDescent="0.25">
      <c r="A59" s="14">
        <v>2013</v>
      </c>
      <c r="B59" s="14">
        <v>156</v>
      </c>
      <c r="C59" s="20">
        <v>41430</v>
      </c>
      <c r="D59" s="16" t="e">
        <v>#N/A</v>
      </c>
      <c r="E59" s="14">
        <v>190</v>
      </c>
      <c r="F59" s="23">
        <v>18</v>
      </c>
      <c r="G59" s="17" t="e">
        <v>#N/A</v>
      </c>
      <c r="H59" s="4" t="s">
        <v>124</v>
      </c>
      <c r="I59" s="14"/>
    </row>
    <row r="60" spans="1:9" x14ac:dyDescent="0.25">
      <c r="A60" s="14">
        <v>2013</v>
      </c>
      <c r="B60" s="14">
        <v>156</v>
      </c>
      <c r="C60" s="20">
        <v>41430</v>
      </c>
      <c r="D60" s="16" t="e">
        <v>#N/A</v>
      </c>
      <c r="E60" s="14">
        <v>190</v>
      </c>
      <c r="F60" s="23">
        <v>19</v>
      </c>
      <c r="G60" s="17" t="e">
        <v>#N/A</v>
      </c>
      <c r="H60" s="4" t="s">
        <v>124</v>
      </c>
      <c r="I60" s="14"/>
    </row>
    <row r="61" spans="1:9" x14ac:dyDescent="0.25">
      <c r="A61" s="14">
        <v>2013</v>
      </c>
      <c r="B61" s="14">
        <v>156</v>
      </c>
      <c r="C61" s="20">
        <v>41430</v>
      </c>
      <c r="D61" s="16" t="e">
        <v>#N/A</v>
      </c>
      <c r="E61" s="14">
        <v>190</v>
      </c>
      <c r="F61" s="23">
        <v>20</v>
      </c>
      <c r="G61" s="17" t="e">
        <v>#N/A</v>
      </c>
      <c r="H61" s="4" t="s">
        <v>124</v>
      </c>
      <c r="I61" s="14"/>
    </row>
    <row r="62" spans="1:9" x14ac:dyDescent="0.25">
      <c r="A62" s="14">
        <v>2013</v>
      </c>
      <c r="B62" s="14">
        <v>156</v>
      </c>
      <c r="C62" s="20">
        <v>41430</v>
      </c>
      <c r="D62" s="16" t="e">
        <v>#N/A</v>
      </c>
      <c r="E62" s="14">
        <v>170</v>
      </c>
      <c r="F62" s="23">
        <v>1</v>
      </c>
      <c r="G62" s="17" t="e">
        <v>#N/A</v>
      </c>
      <c r="H62" s="4" t="s">
        <v>123</v>
      </c>
      <c r="I62" s="14"/>
    </row>
    <row r="63" spans="1:9" x14ac:dyDescent="0.25">
      <c r="A63" s="14">
        <v>2013</v>
      </c>
      <c r="B63" s="14">
        <v>156</v>
      </c>
      <c r="C63" s="20">
        <v>41430</v>
      </c>
      <c r="D63" s="16" t="e">
        <v>#N/A</v>
      </c>
      <c r="E63" s="14">
        <v>170</v>
      </c>
      <c r="F63" s="23">
        <v>2</v>
      </c>
      <c r="G63" s="17" t="e">
        <v>#N/A</v>
      </c>
      <c r="H63" s="4" t="s">
        <v>123</v>
      </c>
      <c r="I63" s="14"/>
    </row>
    <row r="64" spans="1:9" x14ac:dyDescent="0.25">
      <c r="A64" s="14">
        <v>2013</v>
      </c>
      <c r="B64" s="14">
        <v>156</v>
      </c>
      <c r="C64" s="20">
        <v>41430</v>
      </c>
      <c r="D64" s="16" t="e">
        <v>#N/A</v>
      </c>
      <c r="E64" s="14">
        <v>170</v>
      </c>
      <c r="F64" s="23">
        <v>3</v>
      </c>
      <c r="G64" s="17" t="e">
        <v>#N/A</v>
      </c>
      <c r="H64" s="4" t="s">
        <v>123</v>
      </c>
      <c r="I64" s="14"/>
    </row>
    <row r="65" spans="1:9" x14ac:dyDescent="0.25">
      <c r="A65" s="14">
        <v>2013</v>
      </c>
      <c r="B65" s="14">
        <v>156</v>
      </c>
      <c r="C65" s="20">
        <v>41430</v>
      </c>
      <c r="D65" s="16" t="e">
        <v>#N/A</v>
      </c>
      <c r="E65" s="14">
        <v>170</v>
      </c>
      <c r="F65" s="23">
        <v>4</v>
      </c>
      <c r="G65" s="17" t="e">
        <v>#N/A</v>
      </c>
      <c r="H65" s="4" t="s">
        <v>123</v>
      </c>
      <c r="I65" s="14"/>
    </row>
    <row r="66" spans="1:9" x14ac:dyDescent="0.25">
      <c r="A66" s="14">
        <v>2013</v>
      </c>
      <c r="B66" s="14">
        <v>156</v>
      </c>
      <c r="C66" s="20">
        <v>41430</v>
      </c>
      <c r="D66" s="16">
        <v>0.4861111111111111</v>
      </c>
      <c r="E66" s="14">
        <v>170</v>
      </c>
      <c r="F66" s="23">
        <v>5</v>
      </c>
      <c r="G66" s="17">
        <v>0.32506475070621471</v>
      </c>
      <c r="H66" s="4" t="s">
        <v>0</v>
      </c>
      <c r="I66" s="14"/>
    </row>
    <row r="67" spans="1:9" x14ac:dyDescent="0.25">
      <c r="A67" s="14">
        <v>2013</v>
      </c>
      <c r="B67" s="14">
        <v>156</v>
      </c>
      <c r="C67" s="20">
        <v>41430</v>
      </c>
      <c r="D67" s="16">
        <v>0.4909722222222222</v>
      </c>
      <c r="E67" s="14">
        <v>170</v>
      </c>
      <c r="F67" s="23">
        <v>6</v>
      </c>
      <c r="G67" s="17">
        <v>0.32340082768361583</v>
      </c>
      <c r="H67" s="4" t="s">
        <v>0</v>
      </c>
      <c r="I67" s="14"/>
    </row>
    <row r="68" spans="1:9" x14ac:dyDescent="0.25">
      <c r="A68" s="14">
        <v>2013</v>
      </c>
      <c r="B68" s="14">
        <v>156</v>
      </c>
      <c r="C68" s="20">
        <v>41430</v>
      </c>
      <c r="D68" s="16" t="e">
        <v>#N/A</v>
      </c>
      <c r="E68" s="14">
        <v>170</v>
      </c>
      <c r="F68" s="23">
        <v>7</v>
      </c>
      <c r="G68" s="17" t="e">
        <v>#N/A</v>
      </c>
      <c r="H68" s="4" t="s">
        <v>123</v>
      </c>
      <c r="I68" s="14"/>
    </row>
    <row r="69" spans="1:9" x14ac:dyDescent="0.25">
      <c r="A69" s="14">
        <v>2013</v>
      </c>
      <c r="B69" s="14">
        <v>156</v>
      </c>
      <c r="C69" s="20">
        <v>41430</v>
      </c>
      <c r="D69" s="16" t="e">
        <v>#N/A</v>
      </c>
      <c r="E69" s="14">
        <v>170</v>
      </c>
      <c r="F69" s="23">
        <v>8</v>
      </c>
      <c r="G69" s="17" t="e">
        <v>#N/A</v>
      </c>
      <c r="H69" s="4" t="s">
        <v>123</v>
      </c>
      <c r="I69" s="14"/>
    </row>
    <row r="70" spans="1:9" x14ac:dyDescent="0.25">
      <c r="A70" s="14">
        <v>2013</v>
      </c>
      <c r="B70" s="14">
        <v>156</v>
      </c>
      <c r="C70" s="20">
        <v>41430</v>
      </c>
      <c r="D70" s="16" t="e">
        <v>#N/A</v>
      </c>
      <c r="E70" s="14">
        <v>170</v>
      </c>
      <c r="F70" s="23">
        <v>9</v>
      </c>
      <c r="G70" s="17" t="e">
        <v>#N/A</v>
      </c>
      <c r="H70" s="4" t="s">
        <v>123</v>
      </c>
      <c r="I70" s="14"/>
    </row>
    <row r="71" spans="1:9" x14ac:dyDescent="0.25">
      <c r="A71" s="14">
        <v>2013</v>
      </c>
      <c r="B71" s="14">
        <v>156</v>
      </c>
      <c r="C71" s="20">
        <v>41430</v>
      </c>
      <c r="D71" s="16" t="e">
        <v>#N/A</v>
      </c>
      <c r="E71" s="14">
        <v>170</v>
      </c>
      <c r="F71" s="23">
        <v>10</v>
      </c>
      <c r="G71" s="17" t="e">
        <v>#N/A</v>
      </c>
      <c r="H71" s="4" t="s">
        <v>123</v>
      </c>
      <c r="I71" s="14"/>
    </row>
    <row r="72" spans="1:9" x14ac:dyDescent="0.25">
      <c r="A72" s="14">
        <v>2013</v>
      </c>
      <c r="B72" s="14">
        <v>156</v>
      </c>
      <c r="C72" s="20">
        <v>41430</v>
      </c>
      <c r="D72" s="16" t="e">
        <v>#N/A</v>
      </c>
      <c r="E72" s="14">
        <v>170</v>
      </c>
      <c r="F72" s="23">
        <v>11</v>
      </c>
      <c r="G72" s="17" t="e">
        <v>#N/A</v>
      </c>
      <c r="H72" s="4" t="s">
        <v>124</v>
      </c>
      <c r="I72" s="14"/>
    </row>
    <row r="73" spans="1:9" x14ac:dyDescent="0.25">
      <c r="A73" s="14">
        <v>2013</v>
      </c>
      <c r="B73" s="14">
        <v>156</v>
      </c>
      <c r="C73" s="20">
        <v>41430</v>
      </c>
      <c r="D73" s="16" t="e">
        <v>#N/A</v>
      </c>
      <c r="E73" s="14">
        <v>170</v>
      </c>
      <c r="F73" s="23">
        <v>12</v>
      </c>
      <c r="G73" s="17" t="e">
        <v>#N/A</v>
      </c>
      <c r="H73" s="4" t="s">
        <v>124</v>
      </c>
      <c r="I73" s="14"/>
    </row>
    <row r="74" spans="1:9" x14ac:dyDescent="0.25">
      <c r="A74" s="14">
        <v>2013</v>
      </c>
      <c r="B74" s="14">
        <v>156</v>
      </c>
      <c r="C74" s="20">
        <v>41430</v>
      </c>
      <c r="D74" s="16" t="e">
        <v>#N/A</v>
      </c>
      <c r="E74" s="14">
        <v>170</v>
      </c>
      <c r="F74" s="23">
        <v>13</v>
      </c>
      <c r="G74" s="17" t="e">
        <v>#N/A</v>
      </c>
      <c r="H74" s="4" t="s">
        <v>124</v>
      </c>
      <c r="I74" s="14"/>
    </row>
    <row r="75" spans="1:9" x14ac:dyDescent="0.25">
      <c r="A75" s="14">
        <v>2013</v>
      </c>
      <c r="B75" s="14">
        <v>156</v>
      </c>
      <c r="C75" s="20">
        <v>41430</v>
      </c>
      <c r="D75" s="16" t="e">
        <v>#N/A</v>
      </c>
      <c r="E75" s="14">
        <v>170</v>
      </c>
      <c r="F75" s="23">
        <v>14</v>
      </c>
      <c r="G75" s="17" t="e">
        <v>#N/A</v>
      </c>
      <c r="H75" s="4" t="s">
        <v>124</v>
      </c>
      <c r="I75" s="14"/>
    </row>
    <row r="76" spans="1:9" x14ac:dyDescent="0.25">
      <c r="A76" s="14">
        <v>2013</v>
      </c>
      <c r="B76" s="14">
        <v>156</v>
      </c>
      <c r="C76" s="20">
        <v>41430</v>
      </c>
      <c r="D76" s="16">
        <v>0.50486111111111109</v>
      </c>
      <c r="E76" s="14">
        <v>170</v>
      </c>
      <c r="F76" s="23">
        <v>15</v>
      </c>
      <c r="G76" s="17">
        <v>0.3302131242937853</v>
      </c>
      <c r="H76" s="4" t="s">
        <v>1</v>
      </c>
      <c r="I76" s="14"/>
    </row>
    <row r="77" spans="1:9" x14ac:dyDescent="0.25">
      <c r="A77" s="14">
        <v>2013</v>
      </c>
      <c r="B77" s="14">
        <v>156</v>
      </c>
      <c r="C77" s="20">
        <v>41430</v>
      </c>
      <c r="D77" s="16">
        <v>0.50972222222222219</v>
      </c>
      <c r="E77" s="14">
        <v>170</v>
      </c>
      <c r="F77" s="23">
        <v>16</v>
      </c>
      <c r="G77" s="17">
        <v>0.32085600423728816</v>
      </c>
      <c r="H77" s="4" t="s">
        <v>1</v>
      </c>
      <c r="I77" s="14"/>
    </row>
    <row r="78" spans="1:9" x14ac:dyDescent="0.25">
      <c r="A78" s="14">
        <v>2013</v>
      </c>
      <c r="B78" s="14">
        <v>156</v>
      </c>
      <c r="C78" s="20">
        <v>41430</v>
      </c>
      <c r="D78" s="16" t="e">
        <v>#N/A</v>
      </c>
      <c r="E78" s="14">
        <v>170</v>
      </c>
      <c r="F78" s="23">
        <v>17</v>
      </c>
      <c r="G78" s="17" t="e">
        <v>#N/A</v>
      </c>
      <c r="H78" s="4" t="s">
        <v>124</v>
      </c>
      <c r="I78" s="14"/>
    </row>
    <row r="79" spans="1:9" x14ac:dyDescent="0.25">
      <c r="A79" s="14">
        <v>2013</v>
      </c>
      <c r="B79" s="14">
        <v>156</v>
      </c>
      <c r="C79" s="20">
        <v>41430</v>
      </c>
      <c r="D79" s="16" t="e">
        <v>#N/A</v>
      </c>
      <c r="E79" s="14">
        <v>170</v>
      </c>
      <c r="F79" s="23">
        <v>18</v>
      </c>
      <c r="G79" s="17" t="e">
        <v>#N/A</v>
      </c>
      <c r="H79" s="4" t="s">
        <v>124</v>
      </c>
      <c r="I79" s="14"/>
    </row>
    <row r="80" spans="1:9" x14ac:dyDescent="0.25">
      <c r="A80" s="14">
        <v>2013</v>
      </c>
      <c r="B80" s="14">
        <v>156</v>
      </c>
      <c r="C80" s="20">
        <v>41430</v>
      </c>
      <c r="D80" s="16" t="e">
        <v>#N/A</v>
      </c>
      <c r="E80" s="14">
        <v>170</v>
      </c>
      <c r="F80" s="23">
        <v>19</v>
      </c>
      <c r="G80" s="17" t="e">
        <v>#N/A</v>
      </c>
      <c r="H80" s="4" t="s">
        <v>124</v>
      </c>
      <c r="I80" s="14"/>
    </row>
    <row r="81" spans="1:9" x14ac:dyDescent="0.25">
      <c r="A81" s="14">
        <v>2013</v>
      </c>
      <c r="B81" s="14">
        <v>156</v>
      </c>
      <c r="C81" s="20">
        <v>41430</v>
      </c>
      <c r="D81" s="16" t="e">
        <v>#N/A</v>
      </c>
      <c r="E81" s="14">
        <v>170</v>
      </c>
      <c r="F81" s="23">
        <v>20</v>
      </c>
      <c r="G81" s="17" t="e">
        <v>#N/A</v>
      </c>
      <c r="H81" s="4" t="s">
        <v>124</v>
      </c>
      <c r="I81" s="14"/>
    </row>
    <row r="82" spans="1:9" x14ac:dyDescent="0.25">
      <c r="A82" s="14">
        <v>2013</v>
      </c>
      <c r="B82" s="14">
        <v>156</v>
      </c>
      <c r="C82" s="20">
        <v>41430</v>
      </c>
      <c r="D82" s="16" t="e">
        <v>#N/A</v>
      </c>
      <c r="E82" s="14">
        <v>150</v>
      </c>
      <c r="F82" s="23">
        <v>1</v>
      </c>
      <c r="G82" s="17" t="e">
        <v>#N/A</v>
      </c>
      <c r="H82" s="4" t="s">
        <v>123</v>
      </c>
      <c r="I82" s="14"/>
    </row>
    <row r="83" spans="1:9" x14ac:dyDescent="0.25">
      <c r="A83" s="14">
        <v>2013</v>
      </c>
      <c r="B83" s="14">
        <v>156</v>
      </c>
      <c r="C83" s="20">
        <v>41430</v>
      </c>
      <c r="D83" s="16" t="e">
        <v>#N/A</v>
      </c>
      <c r="E83" s="14">
        <v>150</v>
      </c>
      <c r="F83" s="23">
        <v>2</v>
      </c>
      <c r="G83" s="17" t="e">
        <v>#N/A</v>
      </c>
      <c r="H83" s="4" t="s">
        <v>123</v>
      </c>
      <c r="I83" s="14"/>
    </row>
    <row r="84" spans="1:9" x14ac:dyDescent="0.25">
      <c r="A84" s="14">
        <v>2013</v>
      </c>
      <c r="B84" s="14">
        <v>156</v>
      </c>
      <c r="C84" s="20">
        <v>41430</v>
      </c>
      <c r="D84" s="16" t="e">
        <v>#N/A</v>
      </c>
      <c r="E84" s="14">
        <v>150</v>
      </c>
      <c r="F84" s="23">
        <v>3</v>
      </c>
      <c r="G84" s="17" t="e">
        <v>#N/A</v>
      </c>
      <c r="H84" s="4" t="s">
        <v>123</v>
      </c>
      <c r="I84" s="14"/>
    </row>
    <row r="85" spans="1:9" x14ac:dyDescent="0.25">
      <c r="A85" s="14">
        <v>2013</v>
      </c>
      <c r="B85" s="14">
        <v>156</v>
      </c>
      <c r="C85" s="20">
        <v>41430</v>
      </c>
      <c r="D85" s="16" t="e">
        <v>#N/A</v>
      </c>
      <c r="E85" s="14">
        <v>150</v>
      </c>
      <c r="F85" s="23">
        <v>4</v>
      </c>
      <c r="G85" s="17" t="e">
        <v>#N/A</v>
      </c>
      <c r="H85" s="4" t="s">
        <v>123</v>
      </c>
      <c r="I85" s="14"/>
    </row>
    <row r="86" spans="1:9" x14ac:dyDescent="0.25">
      <c r="A86" s="14">
        <v>2013</v>
      </c>
      <c r="B86" s="14">
        <v>156</v>
      </c>
      <c r="C86" s="20">
        <v>41430</v>
      </c>
      <c r="D86" s="16">
        <v>0.4861111111111111</v>
      </c>
      <c r="E86" s="14">
        <v>150</v>
      </c>
      <c r="F86" s="23">
        <v>5</v>
      </c>
      <c r="G86" s="17">
        <v>0.36339370692090395</v>
      </c>
      <c r="H86" s="4" t="s">
        <v>0</v>
      </c>
      <c r="I86" s="14"/>
    </row>
    <row r="87" spans="1:9" x14ac:dyDescent="0.25">
      <c r="A87" s="14">
        <v>2013</v>
      </c>
      <c r="B87" s="14">
        <v>156</v>
      </c>
      <c r="C87" s="20">
        <v>41430</v>
      </c>
      <c r="D87" s="16">
        <v>0.4909722222222222</v>
      </c>
      <c r="E87" s="14">
        <v>150</v>
      </c>
      <c r="F87" s="23">
        <v>6</v>
      </c>
      <c r="G87" s="17">
        <v>0.35090449646892657</v>
      </c>
      <c r="H87" s="4" t="s">
        <v>0</v>
      </c>
      <c r="I87" s="14"/>
    </row>
    <row r="88" spans="1:9" x14ac:dyDescent="0.25">
      <c r="A88" s="14">
        <v>2013</v>
      </c>
      <c r="B88" s="14">
        <v>156</v>
      </c>
      <c r="C88" s="20">
        <v>41430</v>
      </c>
      <c r="D88" s="16" t="e">
        <v>#N/A</v>
      </c>
      <c r="E88" s="14">
        <v>150</v>
      </c>
      <c r="F88" s="23">
        <v>7</v>
      </c>
      <c r="G88" s="17" t="e">
        <v>#N/A</v>
      </c>
      <c r="H88" s="4" t="s">
        <v>123</v>
      </c>
      <c r="I88" s="14"/>
    </row>
    <row r="89" spans="1:9" x14ac:dyDescent="0.25">
      <c r="A89" s="14">
        <v>2013</v>
      </c>
      <c r="B89" s="14">
        <v>156</v>
      </c>
      <c r="C89" s="20">
        <v>41430</v>
      </c>
      <c r="D89" s="16" t="e">
        <v>#N/A</v>
      </c>
      <c r="E89" s="14">
        <v>150</v>
      </c>
      <c r="F89" s="23">
        <v>8</v>
      </c>
      <c r="G89" s="17" t="e">
        <v>#N/A</v>
      </c>
      <c r="H89" s="4" t="s">
        <v>123</v>
      </c>
      <c r="I89" s="14"/>
    </row>
    <row r="90" spans="1:9" x14ac:dyDescent="0.25">
      <c r="A90" s="14">
        <v>2013</v>
      </c>
      <c r="B90" s="14">
        <v>156</v>
      </c>
      <c r="C90" s="20">
        <v>41430</v>
      </c>
      <c r="D90" s="16" t="e">
        <v>#N/A</v>
      </c>
      <c r="E90" s="14">
        <v>150</v>
      </c>
      <c r="F90" s="23">
        <v>9</v>
      </c>
      <c r="G90" s="17" t="e">
        <v>#N/A</v>
      </c>
      <c r="H90" s="4" t="s">
        <v>123</v>
      </c>
      <c r="I90" s="14"/>
    </row>
    <row r="91" spans="1:9" x14ac:dyDescent="0.25">
      <c r="A91" s="14">
        <v>2013</v>
      </c>
      <c r="B91" s="14">
        <v>156</v>
      </c>
      <c r="C91" s="20">
        <v>41430</v>
      </c>
      <c r="D91" s="16" t="e">
        <v>#N/A</v>
      </c>
      <c r="E91" s="14">
        <v>150</v>
      </c>
      <c r="F91" s="23">
        <v>10</v>
      </c>
      <c r="G91" s="17" t="e">
        <v>#N/A</v>
      </c>
      <c r="H91" s="4" t="s">
        <v>123</v>
      </c>
      <c r="I91" s="14"/>
    </row>
    <row r="92" spans="1:9" x14ac:dyDescent="0.25">
      <c r="A92" s="14">
        <v>2013</v>
      </c>
      <c r="B92" s="14">
        <v>156</v>
      </c>
      <c r="C92" s="20">
        <v>41430</v>
      </c>
      <c r="D92" s="16" t="e">
        <v>#N/A</v>
      </c>
      <c r="E92" s="14">
        <v>150</v>
      </c>
      <c r="F92" s="23">
        <v>11</v>
      </c>
      <c r="G92" s="17" t="e">
        <v>#N/A</v>
      </c>
      <c r="H92" s="4" t="s">
        <v>124</v>
      </c>
      <c r="I92" s="14"/>
    </row>
    <row r="93" spans="1:9" x14ac:dyDescent="0.25">
      <c r="A93" s="14">
        <v>2013</v>
      </c>
      <c r="B93" s="14">
        <v>156</v>
      </c>
      <c r="C93" s="20">
        <v>41430</v>
      </c>
      <c r="D93" s="16" t="e">
        <v>#N/A</v>
      </c>
      <c r="E93" s="14">
        <v>150</v>
      </c>
      <c r="F93" s="23">
        <v>12</v>
      </c>
      <c r="G93" s="17" t="e">
        <v>#N/A</v>
      </c>
      <c r="H93" s="4" t="s">
        <v>124</v>
      </c>
      <c r="I93" s="14"/>
    </row>
    <row r="94" spans="1:9" x14ac:dyDescent="0.25">
      <c r="A94" s="14">
        <v>2013</v>
      </c>
      <c r="B94" s="14">
        <v>156</v>
      </c>
      <c r="C94" s="20">
        <v>41430</v>
      </c>
      <c r="D94" s="16" t="e">
        <v>#N/A</v>
      </c>
      <c r="E94" s="14">
        <v>150</v>
      </c>
      <c r="F94" s="23">
        <v>13</v>
      </c>
      <c r="G94" s="17" t="e">
        <v>#N/A</v>
      </c>
      <c r="H94" s="4" t="s">
        <v>124</v>
      </c>
      <c r="I94" s="14"/>
    </row>
    <row r="95" spans="1:9" x14ac:dyDescent="0.25">
      <c r="A95" s="14">
        <v>2013</v>
      </c>
      <c r="B95" s="14">
        <v>156</v>
      </c>
      <c r="C95" s="20">
        <v>41430</v>
      </c>
      <c r="D95" s="16" t="e">
        <v>#N/A</v>
      </c>
      <c r="E95" s="14">
        <v>150</v>
      </c>
      <c r="F95" s="23">
        <v>14</v>
      </c>
      <c r="G95" s="17" t="e">
        <v>#N/A</v>
      </c>
      <c r="H95" s="4" t="s">
        <v>124</v>
      </c>
      <c r="I95" s="14"/>
    </row>
    <row r="96" spans="1:9" x14ac:dyDescent="0.25">
      <c r="A96" s="14">
        <v>2013</v>
      </c>
      <c r="B96" s="14">
        <v>156</v>
      </c>
      <c r="C96" s="20">
        <v>41430</v>
      </c>
      <c r="D96" s="16">
        <v>0.50486111111111109</v>
      </c>
      <c r="E96" s="14">
        <v>150</v>
      </c>
      <c r="F96" s="23">
        <v>15</v>
      </c>
      <c r="G96" s="17">
        <v>0.34452286228813561</v>
      </c>
      <c r="H96" s="4" t="s">
        <v>1</v>
      </c>
      <c r="I96" s="14"/>
    </row>
    <row r="97" spans="1:9" x14ac:dyDescent="0.25">
      <c r="A97" s="14">
        <v>2013</v>
      </c>
      <c r="B97" s="14">
        <v>156</v>
      </c>
      <c r="C97" s="20">
        <v>41430</v>
      </c>
      <c r="D97" s="16">
        <v>0.50972222222222219</v>
      </c>
      <c r="E97" s="14">
        <v>150</v>
      </c>
      <c r="F97" s="23">
        <v>16</v>
      </c>
      <c r="G97" s="17">
        <v>0.33123105367231642</v>
      </c>
      <c r="H97" s="4" t="s">
        <v>1</v>
      </c>
      <c r="I97" s="14"/>
    </row>
    <row r="98" spans="1:9" x14ac:dyDescent="0.25">
      <c r="A98" s="14">
        <v>2013</v>
      </c>
      <c r="B98" s="14">
        <v>156</v>
      </c>
      <c r="C98" s="20">
        <v>41430</v>
      </c>
      <c r="D98" s="16" t="e">
        <v>#N/A</v>
      </c>
      <c r="E98" s="14">
        <v>150</v>
      </c>
      <c r="F98" s="23">
        <v>17</v>
      </c>
      <c r="G98" s="17" t="e">
        <v>#N/A</v>
      </c>
      <c r="H98" s="4" t="s">
        <v>124</v>
      </c>
      <c r="I98" s="14"/>
    </row>
    <row r="99" spans="1:9" x14ac:dyDescent="0.25">
      <c r="A99" s="14">
        <v>2013</v>
      </c>
      <c r="B99" s="14">
        <v>156</v>
      </c>
      <c r="C99" s="20">
        <v>41430</v>
      </c>
      <c r="D99" s="16" t="e">
        <v>#N/A</v>
      </c>
      <c r="E99" s="14">
        <v>150</v>
      </c>
      <c r="F99" s="23">
        <v>18</v>
      </c>
      <c r="G99" s="17" t="e">
        <v>#N/A</v>
      </c>
      <c r="H99" s="4" t="s">
        <v>124</v>
      </c>
      <c r="I99" s="14"/>
    </row>
    <row r="100" spans="1:9" x14ac:dyDescent="0.25">
      <c r="A100" s="14">
        <v>2013</v>
      </c>
      <c r="B100" s="14">
        <v>156</v>
      </c>
      <c r="C100" s="20">
        <v>41430</v>
      </c>
      <c r="D100" s="16" t="e">
        <v>#N/A</v>
      </c>
      <c r="E100" s="14">
        <v>150</v>
      </c>
      <c r="F100" s="23">
        <v>19</v>
      </c>
      <c r="G100" s="17" t="e">
        <v>#N/A</v>
      </c>
      <c r="H100" s="4" t="s">
        <v>124</v>
      </c>
      <c r="I100" s="14"/>
    </row>
    <row r="101" spans="1:9" x14ac:dyDescent="0.25">
      <c r="A101" s="14">
        <v>2013</v>
      </c>
      <c r="B101" s="14">
        <v>156</v>
      </c>
      <c r="C101" s="20">
        <v>41430</v>
      </c>
      <c r="D101" s="16" t="e">
        <v>#N/A</v>
      </c>
      <c r="E101" s="14">
        <v>150</v>
      </c>
      <c r="F101" s="23">
        <v>20</v>
      </c>
      <c r="G101" s="17" t="e">
        <v>#N/A</v>
      </c>
      <c r="H101" s="4" t="s">
        <v>124</v>
      </c>
      <c r="I101" s="14"/>
    </row>
    <row r="102" spans="1:9" x14ac:dyDescent="0.25">
      <c r="A102" s="14">
        <v>2013</v>
      </c>
      <c r="B102" s="14">
        <v>156</v>
      </c>
      <c r="C102" s="20">
        <v>41430</v>
      </c>
      <c r="D102" s="16" t="e">
        <v>#N/A</v>
      </c>
      <c r="E102" s="14">
        <v>130</v>
      </c>
      <c r="F102" s="23">
        <v>1</v>
      </c>
      <c r="G102" s="17" t="e">
        <v>#N/A</v>
      </c>
      <c r="H102" s="4" t="s">
        <v>123</v>
      </c>
      <c r="I102" s="14"/>
    </row>
    <row r="103" spans="1:9" x14ac:dyDescent="0.25">
      <c r="A103" s="14">
        <v>2013</v>
      </c>
      <c r="B103" s="14">
        <v>156</v>
      </c>
      <c r="C103" s="20">
        <v>41430</v>
      </c>
      <c r="D103" s="16" t="e">
        <v>#N/A</v>
      </c>
      <c r="E103" s="14">
        <v>130</v>
      </c>
      <c r="F103" s="23">
        <v>2</v>
      </c>
      <c r="G103" s="17" t="e">
        <v>#N/A</v>
      </c>
      <c r="H103" s="4" t="s">
        <v>123</v>
      </c>
      <c r="I103" s="14"/>
    </row>
    <row r="104" spans="1:9" x14ac:dyDescent="0.25">
      <c r="A104" s="14">
        <v>2013</v>
      </c>
      <c r="B104" s="14">
        <v>156</v>
      </c>
      <c r="C104" s="20">
        <v>41430</v>
      </c>
      <c r="D104" s="16" t="e">
        <v>#N/A</v>
      </c>
      <c r="E104" s="14">
        <v>130</v>
      </c>
      <c r="F104" s="23">
        <v>3</v>
      </c>
      <c r="G104" s="17" t="e">
        <v>#N/A</v>
      </c>
      <c r="H104" s="4" t="s">
        <v>123</v>
      </c>
      <c r="I104" s="14"/>
    </row>
    <row r="105" spans="1:9" x14ac:dyDescent="0.25">
      <c r="A105" s="14">
        <v>2013</v>
      </c>
      <c r="B105" s="14">
        <v>156</v>
      </c>
      <c r="C105" s="20">
        <v>41430</v>
      </c>
      <c r="D105" s="16" t="e">
        <v>#N/A</v>
      </c>
      <c r="E105" s="14">
        <v>130</v>
      </c>
      <c r="F105" s="23">
        <v>4</v>
      </c>
      <c r="G105" s="17" t="e">
        <v>#N/A</v>
      </c>
      <c r="H105" s="4" t="s">
        <v>123</v>
      </c>
      <c r="I105" s="14"/>
    </row>
    <row r="106" spans="1:9" x14ac:dyDescent="0.25">
      <c r="A106" s="14">
        <v>2013</v>
      </c>
      <c r="B106" s="14">
        <v>156</v>
      </c>
      <c r="C106" s="20">
        <v>41430</v>
      </c>
      <c r="D106" s="16">
        <v>0.4861111111111111</v>
      </c>
      <c r="E106" s="14">
        <v>130</v>
      </c>
      <c r="F106" s="23">
        <v>5</v>
      </c>
      <c r="G106" s="17">
        <v>0.32060152189265539</v>
      </c>
      <c r="H106" s="4" t="s">
        <v>0</v>
      </c>
      <c r="I106" s="14"/>
    </row>
    <row r="107" spans="1:9" x14ac:dyDescent="0.25">
      <c r="A107" s="14">
        <v>2013</v>
      </c>
      <c r="B107" s="14">
        <v>156</v>
      </c>
      <c r="C107" s="20">
        <v>41430</v>
      </c>
      <c r="D107" s="16">
        <v>0.4909722222222222</v>
      </c>
      <c r="E107" s="14">
        <v>130</v>
      </c>
      <c r="F107" s="23">
        <v>6</v>
      </c>
      <c r="G107" s="17">
        <v>0.31314323163841806</v>
      </c>
      <c r="H107" s="4" t="s">
        <v>0</v>
      </c>
      <c r="I107" s="14"/>
    </row>
    <row r="108" spans="1:9" x14ac:dyDescent="0.25">
      <c r="A108" s="14">
        <v>2013</v>
      </c>
      <c r="B108" s="14">
        <v>156</v>
      </c>
      <c r="C108" s="20">
        <v>41430</v>
      </c>
      <c r="D108" s="16" t="e">
        <v>#N/A</v>
      </c>
      <c r="E108" s="14">
        <v>130</v>
      </c>
      <c r="F108" s="23">
        <v>7</v>
      </c>
      <c r="G108" s="17" t="e">
        <v>#N/A</v>
      </c>
      <c r="H108" s="4" t="s">
        <v>123</v>
      </c>
      <c r="I108" s="14"/>
    </row>
    <row r="109" spans="1:9" x14ac:dyDescent="0.25">
      <c r="A109" s="14">
        <v>2013</v>
      </c>
      <c r="B109" s="14">
        <v>156</v>
      </c>
      <c r="C109" s="20">
        <v>41430</v>
      </c>
      <c r="D109" s="16" t="e">
        <v>#N/A</v>
      </c>
      <c r="E109" s="14">
        <v>130</v>
      </c>
      <c r="F109" s="23">
        <v>8</v>
      </c>
      <c r="G109" s="17" t="e">
        <v>#N/A</v>
      </c>
      <c r="H109" s="4" t="s">
        <v>123</v>
      </c>
      <c r="I109" s="14"/>
    </row>
    <row r="110" spans="1:9" x14ac:dyDescent="0.25">
      <c r="A110" s="14">
        <v>2013</v>
      </c>
      <c r="B110" s="14">
        <v>156</v>
      </c>
      <c r="C110" s="20">
        <v>41430</v>
      </c>
      <c r="D110" s="16" t="e">
        <v>#N/A</v>
      </c>
      <c r="E110" s="14">
        <v>130</v>
      </c>
      <c r="F110" s="23">
        <v>9</v>
      </c>
      <c r="G110" s="17" t="e">
        <v>#N/A</v>
      </c>
      <c r="H110" s="4" t="s">
        <v>123</v>
      </c>
      <c r="I110" s="14"/>
    </row>
    <row r="111" spans="1:9" x14ac:dyDescent="0.25">
      <c r="A111" s="14">
        <v>2013</v>
      </c>
      <c r="B111" s="14">
        <v>156</v>
      </c>
      <c r="C111" s="20">
        <v>41430</v>
      </c>
      <c r="D111" s="16" t="e">
        <v>#N/A</v>
      </c>
      <c r="E111" s="14">
        <v>130</v>
      </c>
      <c r="F111" s="23">
        <v>10</v>
      </c>
      <c r="G111" s="17" t="e">
        <v>#N/A</v>
      </c>
      <c r="H111" s="4" t="s">
        <v>123</v>
      </c>
      <c r="I111" s="14"/>
    </row>
    <row r="112" spans="1:9" x14ac:dyDescent="0.25">
      <c r="A112" s="14">
        <v>2013</v>
      </c>
      <c r="B112" s="14">
        <v>156</v>
      </c>
      <c r="C112" s="20">
        <v>41430</v>
      </c>
      <c r="D112" s="16" t="e">
        <v>#N/A</v>
      </c>
      <c r="E112" s="14">
        <v>130</v>
      </c>
      <c r="F112" s="23">
        <v>11</v>
      </c>
      <c r="G112" s="17" t="e">
        <v>#N/A</v>
      </c>
      <c r="H112" s="4" t="s">
        <v>124</v>
      </c>
      <c r="I112" s="14"/>
    </row>
    <row r="113" spans="1:9" x14ac:dyDescent="0.25">
      <c r="A113" s="14">
        <v>2013</v>
      </c>
      <c r="B113" s="14">
        <v>156</v>
      </c>
      <c r="C113" s="20">
        <v>41430</v>
      </c>
      <c r="D113" s="16" t="e">
        <v>#N/A</v>
      </c>
      <c r="E113" s="14">
        <v>130</v>
      </c>
      <c r="F113" s="23">
        <v>12</v>
      </c>
      <c r="G113" s="17" t="e">
        <v>#N/A</v>
      </c>
      <c r="H113" s="4" t="s">
        <v>124</v>
      </c>
      <c r="I113" s="14"/>
    </row>
    <row r="114" spans="1:9" x14ac:dyDescent="0.25">
      <c r="A114" s="14">
        <v>2013</v>
      </c>
      <c r="B114" s="14">
        <v>156</v>
      </c>
      <c r="C114" s="20">
        <v>41430</v>
      </c>
      <c r="D114" s="16" t="e">
        <v>#N/A</v>
      </c>
      <c r="E114" s="14">
        <v>130</v>
      </c>
      <c r="F114" s="23">
        <v>13</v>
      </c>
      <c r="G114" s="17" t="e">
        <v>#N/A</v>
      </c>
      <c r="H114" s="4" t="s">
        <v>124</v>
      </c>
      <c r="I114" s="14"/>
    </row>
    <row r="115" spans="1:9" x14ac:dyDescent="0.25">
      <c r="A115" s="14">
        <v>2013</v>
      </c>
      <c r="B115" s="14">
        <v>156</v>
      </c>
      <c r="C115" s="20">
        <v>41430</v>
      </c>
      <c r="D115" s="16" t="e">
        <v>#N/A</v>
      </c>
      <c r="E115" s="14">
        <v>130</v>
      </c>
      <c r="F115" s="23">
        <v>14</v>
      </c>
      <c r="G115" s="17" t="e">
        <v>#N/A</v>
      </c>
      <c r="H115" s="4" t="s">
        <v>124</v>
      </c>
      <c r="I115" s="14"/>
    </row>
    <row r="116" spans="1:9" x14ac:dyDescent="0.25">
      <c r="A116" s="14">
        <v>2013</v>
      </c>
      <c r="B116" s="14">
        <v>156</v>
      </c>
      <c r="C116" s="20">
        <v>41430</v>
      </c>
      <c r="D116" s="16">
        <v>0.50486111111111109</v>
      </c>
      <c r="E116" s="14">
        <v>130</v>
      </c>
      <c r="F116" s="23">
        <v>15</v>
      </c>
      <c r="G116" s="17">
        <v>0.3093847231638418</v>
      </c>
      <c r="H116" s="4" t="s">
        <v>1</v>
      </c>
      <c r="I116" s="14"/>
    </row>
    <row r="117" spans="1:9" x14ac:dyDescent="0.25">
      <c r="A117" s="14">
        <v>2013</v>
      </c>
      <c r="B117" s="14">
        <v>156</v>
      </c>
      <c r="C117" s="20">
        <v>41430</v>
      </c>
      <c r="D117" s="16">
        <v>0.50972222222222219</v>
      </c>
      <c r="E117" s="14">
        <v>130</v>
      </c>
      <c r="F117" s="23">
        <v>16</v>
      </c>
      <c r="G117" s="17">
        <v>0.30570451694915257</v>
      </c>
      <c r="H117" s="4" t="s">
        <v>1</v>
      </c>
      <c r="I117" s="14"/>
    </row>
    <row r="118" spans="1:9" x14ac:dyDescent="0.25">
      <c r="A118" s="14">
        <v>2013</v>
      </c>
      <c r="B118" s="14">
        <v>156</v>
      </c>
      <c r="C118" s="20">
        <v>41430</v>
      </c>
      <c r="D118" s="16" t="e">
        <v>#N/A</v>
      </c>
      <c r="E118" s="14">
        <v>130</v>
      </c>
      <c r="F118" s="23">
        <v>17</v>
      </c>
      <c r="G118" s="17" t="e">
        <v>#N/A</v>
      </c>
      <c r="H118" s="4" t="s">
        <v>124</v>
      </c>
      <c r="I118" s="14"/>
    </row>
    <row r="119" spans="1:9" x14ac:dyDescent="0.25">
      <c r="A119" s="14">
        <v>2013</v>
      </c>
      <c r="B119" s="14">
        <v>156</v>
      </c>
      <c r="C119" s="20">
        <v>41430</v>
      </c>
      <c r="D119" s="16" t="e">
        <v>#N/A</v>
      </c>
      <c r="E119" s="14">
        <v>130</v>
      </c>
      <c r="F119" s="23">
        <v>18</v>
      </c>
      <c r="G119" s="17" t="e">
        <v>#N/A</v>
      </c>
      <c r="H119" s="4" t="s">
        <v>124</v>
      </c>
      <c r="I119" s="14"/>
    </row>
    <row r="120" spans="1:9" x14ac:dyDescent="0.25">
      <c r="A120" s="14">
        <v>2013</v>
      </c>
      <c r="B120" s="14">
        <v>156</v>
      </c>
      <c r="C120" s="20">
        <v>41430</v>
      </c>
      <c r="D120" s="16" t="e">
        <v>#N/A</v>
      </c>
      <c r="E120" s="14">
        <v>130</v>
      </c>
      <c r="F120" s="23">
        <v>19</v>
      </c>
      <c r="G120" s="17" t="e">
        <v>#N/A</v>
      </c>
      <c r="H120" s="4" t="s">
        <v>124</v>
      </c>
      <c r="I120" s="14"/>
    </row>
    <row r="121" spans="1:9" x14ac:dyDescent="0.25">
      <c r="A121" s="14">
        <v>2013</v>
      </c>
      <c r="B121" s="14">
        <v>156</v>
      </c>
      <c r="C121" s="20">
        <v>41430</v>
      </c>
      <c r="D121" s="16" t="e">
        <v>#N/A</v>
      </c>
      <c r="E121" s="14">
        <v>130</v>
      </c>
      <c r="F121" s="23">
        <v>20</v>
      </c>
      <c r="G121" s="17" t="e">
        <v>#N/A</v>
      </c>
      <c r="H121" s="4" t="s">
        <v>124</v>
      </c>
      <c r="I121" s="14"/>
    </row>
    <row r="122" spans="1:9" x14ac:dyDescent="0.25">
      <c r="A122" s="14">
        <v>2013</v>
      </c>
      <c r="B122" s="14">
        <v>156</v>
      </c>
      <c r="C122" s="20">
        <v>41430</v>
      </c>
      <c r="D122" s="16" t="e">
        <v>#N/A</v>
      </c>
      <c r="E122" s="14">
        <v>110</v>
      </c>
      <c r="F122" s="23">
        <v>1</v>
      </c>
      <c r="G122" s="17" t="e">
        <v>#N/A</v>
      </c>
      <c r="H122" s="4" t="s">
        <v>123</v>
      </c>
      <c r="I122" s="14"/>
    </row>
    <row r="123" spans="1:9" x14ac:dyDescent="0.25">
      <c r="A123" s="14">
        <v>2013</v>
      </c>
      <c r="B123" s="14">
        <v>156</v>
      </c>
      <c r="C123" s="20">
        <v>41430</v>
      </c>
      <c r="D123" s="16" t="e">
        <v>#N/A</v>
      </c>
      <c r="E123" s="14">
        <v>110</v>
      </c>
      <c r="F123" s="23">
        <v>2</v>
      </c>
      <c r="G123" s="17" t="e">
        <v>#N/A</v>
      </c>
      <c r="H123" s="4" t="s">
        <v>123</v>
      </c>
      <c r="I123" s="14"/>
    </row>
    <row r="124" spans="1:9" x14ac:dyDescent="0.25">
      <c r="A124" s="14">
        <v>2013</v>
      </c>
      <c r="B124" s="14">
        <v>156</v>
      </c>
      <c r="C124" s="20">
        <v>41430</v>
      </c>
      <c r="D124" s="16" t="e">
        <v>#N/A</v>
      </c>
      <c r="E124" s="14">
        <v>110</v>
      </c>
      <c r="F124" s="23">
        <v>3</v>
      </c>
      <c r="G124" s="17" t="e">
        <v>#N/A</v>
      </c>
      <c r="H124" s="4" t="s">
        <v>123</v>
      </c>
      <c r="I124" s="14"/>
    </row>
    <row r="125" spans="1:9" x14ac:dyDescent="0.25">
      <c r="A125" s="14">
        <v>2013</v>
      </c>
      <c r="B125" s="14">
        <v>156</v>
      </c>
      <c r="C125" s="20">
        <v>41430</v>
      </c>
      <c r="D125" s="16" t="e">
        <v>#N/A</v>
      </c>
      <c r="E125" s="14">
        <v>110</v>
      </c>
      <c r="F125" s="23">
        <v>4</v>
      </c>
      <c r="G125" s="17" t="e">
        <v>#N/A</v>
      </c>
      <c r="H125" s="4" t="s">
        <v>123</v>
      </c>
      <c r="I125" s="14"/>
    </row>
    <row r="126" spans="1:9" x14ac:dyDescent="0.25">
      <c r="A126" s="14">
        <v>2013</v>
      </c>
      <c r="B126" s="14">
        <v>156</v>
      </c>
      <c r="C126" s="20">
        <v>41430</v>
      </c>
      <c r="D126" s="16">
        <v>0.4861111111111111</v>
      </c>
      <c r="E126" s="14">
        <v>110</v>
      </c>
      <c r="F126" s="23">
        <v>5</v>
      </c>
      <c r="G126" s="17">
        <v>0.34926599929378527</v>
      </c>
      <c r="H126" s="4" t="s">
        <v>0</v>
      </c>
      <c r="I126" s="14"/>
    </row>
    <row r="127" spans="1:9" x14ac:dyDescent="0.25">
      <c r="A127" s="14">
        <v>2013</v>
      </c>
      <c r="B127" s="14">
        <v>156</v>
      </c>
      <c r="C127" s="20">
        <v>41430</v>
      </c>
      <c r="D127" s="16">
        <v>0.4909722222222222</v>
      </c>
      <c r="E127" s="14">
        <v>110</v>
      </c>
      <c r="F127" s="23">
        <v>6</v>
      </c>
      <c r="G127" s="17">
        <v>0.34058408333333334</v>
      </c>
      <c r="H127" s="4" t="s">
        <v>0</v>
      </c>
      <c r="I127" s="14"/>
    </row>
    <row r="128" spans="1:9" x14ac:dyDescent="0.25">
      <c r="A128" s="14">
        <v>2013</v>
      </c>
      <c r="B128" s="14">
        <v>156</v>
      </c>
      <c r="C128" s="20">
        <v>41430</v>
      </c>
      <c r="D128" s="16" t="e">
        <v>#N/A</v>
      </c>
      <c r="E128" s="14">
        <v>110</v>
      </c>
      <c r="F128" s="23">
        <v>7</v>
      </c>
      <c r="G128" s="17" t="e">
        <v>#N/A</v>
      </c>
      <c r="H128" s="4" t="s">
        <v>123</v>
      </c>
      <c r="I128" s="14"/>
    </row>
    <row r="129" spans="1:9" x14ac:dyDescent="0.25">
      <c r="A129" s="14">
        <v>2013</v>
      </c>
      <c r="B129" s="14">
        <v>156</v>
      </c>
      <c r="C129" s="20">
        <v>41430</v>
      </c>
      <c r="D129" s="16" t="e">
        <v>#N/A</v>
      </c>
      <c r="E129" s="14">
        <v>110</v>
      </c>
      <c r="F129" s="23">
        <v>8</v>
      </c>
      <c r="G129" s="17" t="e">
        <v>#N/A</v>
      </c>
      <c r="H129" s="4" t="s">
        <v>123</v>
      </c>
      <c r="I129" s="14"/>
    </row>
    <row r="130" spans="1:9" x14ac:dyDescent="0.25">
      <c r="A130" s="14">
        <v>2013</v>
      </c>
      <c r="B130" s="14">
        <v>156</v>
      </c>
      <c r="C130" s="20">
        <v>41430</v>
      </c>
      <c r="D130" s="16" t="e">
        <v>#N/A</v>
      </c>
      <c r="E130" s="14">
        <v>110</v>
      </c>
      <c r="F130" s="23">
        <v>9</v>
      </c>
      <c r="G130" s="17" t="e">
        <v>#N/A</v>
      </c>
      <c r="H130" s="4" t="s">
        <v>123</v>
      </c>
      <c r="I130" s="14"/>
    </row>
    <row r="131" spans="1:9" x14ac:dyDescent="0.25">
      <c r="A131" s="14">
        <v>2013</v>
      </c>
      <c r="B131" s="14">
        <v>156</v>
      </c>
      <c r="C131" s="20">
        <v>41430</v>
      </c>
      <c r="D131" s="16" t="e">
        <v>#N/A</v>
      </c>
      <c r="E131" s="14">
        <v>110</v>
      </c>
      <c r="F131" s="23">
        <v>10</v>
      </c>
      <c r="G131" s="17" t="e">
        <v>#N/A</v>
      </c>
      <c r="H131" s="4" t="s">
        <v>123</v>
      </c>
      <c r="I131" s="14"/>
    </row>
    <row r="132" spans="1:9" x14ac:dyDescent="0.25">
      <c r="A132" s="14">
        <v>2013</v>
      </c>
      <c r="B132" s="14">
        <v>156</v>
      </c>
      <c r="C132" s="20">
        <v>41430</v>
      </c>
      <c r="D132" s="16" t="e">
        <v>#N/A</v>
      </c>
      <c r="E132" s="14">
        <v>110</v>
      </c>
      <c r="F132" s="23">
        <v>11</v>
      </c>
      <c r="G132" s="17" t="e">
        <v>#N/A</v>
      </c>
      <c r="H132" s="4" t="s">
        <v>124</v>
      </c>
      <c r="I132" s="14"/>
    </row>
    <row r="133" spans="1:9" x14ac:dyDescent="0.25">
      <c r="A133" s="14">
        <v>2013</v>
      </c>
      <c r="B133" s="14">
        <v>156</v>
      </c>
      <c r="C133" s="20">
        <v>41430</v>
      </c>
      <c r="D133" s="16" t="e">
        <v>#N/A</v>
      </c>
      <c r="E133" s="14">
        <v>110</v>
      </c>
      <c r="F133" s="23">
        <v>12</v>
      </c>
      <c r="G133" s="17" t="e">
        <v>#N/A</v>
      </c>
      <c r="H133" s="4" t="s">
        <v>124</v>
      </c>
      <c r="I133" s="14"/>
    </row>
    <row r="134" spans="1:9" x14ac:dyDescent="0.25">
      <c r="A134" s="14">
        <v>2013</v>
      </c>
      <c r="B134" s="14">
        <v>156</v>
      </c>
      <c r="C134" s="20">
        <v>41430</v>
      </c>
      <c r="D134" s="16" t="e">
        <v>#N/A</v>
      </c>
      <c r="E134" s="14">
        <v>110</v>
      </c>
      <c r="F134" s="23">
        <v>13</v>
      </c>
      <c r="G134" s="17" t="e">
        <v>#N/A</v>
      </c>
      <c r="H134" s="4" t="s">
        <v>124</v>
      </c>
      <c r="I134" s="14"/>
    </row>
    <row r="135" spans="1:9" x14ac:dyDescent="0.25">
      <c r="A135" s="14">
        <v>2013</v>
      </c>
      <c r="B135" s="14">
        <v>156</v>
      </c>
      <c r="C135" s="20">
        <v>41430</v>
      </c>
      <c r="D135" s="16" t="e">
        <v>#N/A</v>
      </c>
      <c r="E135" s="14">
        <v>110</v>
      </c>
      <c r="F135" s="23">
        <v>14</v>
      </c>
      <c r="G135" s="17" t="e">
        <v>#N/A</v>
      </c>
      <c r="H135" s="4" t="s">
        <v>124</v>
      </c>
      <c r="I135" s="14"/>
    </row>
    <row r="136" spans="1:9" x14ac:dyDescent="0.25">
      <c r="A136" s="14">
        <v>2013</v>
      </c>
      <c r="B136" s="14">
        <v>156</v>
      </c>
      <c r="C136" s="20">
        <v>41430</v>
      </c>
      <c r="D136" s="16">
        <v>0.50486111111111109</v>
      </c>
      <c r="E136" s="14">
        <v>110</v>
      </c>
      <c r="F136" s="23">
        <v>15</v>
      </c>
      <c r="G136" s="17">
        <v>0.34060711228813556</v>
      </c>
      <c r="H136" s="4" t="s">
        <v>1</v>
      </c>
      <c r="I136" s="14"/>
    </row>
    <row r="137" spans="1:9" x14ac:dyDescent="0.25">
      <c r="A137" s="14">
        <v>2013</v>
      </c>
      <c r="B137" s="14">
        <v>156</v>
      </c>
      <c r="C137" s="20">
        <v>41430</v>
      </c>
      <c r="D137" s="16">
        <v>0.50972222222222219</v>
      </c>
      <c r="E137" s="14">
        <v>110</v>
      </c>
      <c r="F137" s="23">
        <v>16</v>
      </c>
      <c r="G137" s="17">
        <v>0.3338826574858757</v>
      </c>
      <c r="H137" s="4" t="s">
        <v>1</v>
      </c>
      <c r="I137" s="14"/>
    </row>
    <row r="138" spans="1:9" x14ac:dyDescent="0.25">
      <c r="A138" s="14">
        <v>2013</v>
      </c>
      <c r="B138" s="14">
        <v>156</v>
      </c>
      <c r="C138" s="20">
        <v>41430</v>
      </c>
      <c r="D138" s="16" t="e">
        <v>#N/A</v>
      </c>
      <c r="E138" s="14">
        <v>110</v>
      </c>
      <c r="F138" s="23">
        <v>17</v>
      </c>
      <c r="G138" s="17" t="e">
        <v>#N/A</v>
      </c>
      <c r="H138" s="4" t="s">
        <v>124</v>
      </c>
      <c r="I138" s="14"/>
    </row>
    <row r="139" spans="1:9" x14ac:dyDescent="0.25">
      <c r="A139" s="14">
        <v>2013</v>
      </c>
      <c r="B139" s="14">
        <v>156</v>
      </c>
      <c r="C139" s="20">
        <v>41430</v>
      </c>
      <c r="D139" s="16" t="e">
        <v>#N/A</v>
      </c>
      <c r="E139" s="14">
        <v>110</v>
      </c>
      <c r="F139" s="23">
        <v>18</v>
      </c>
      <c r="G139" s="17" t="e">
        <v>#N/A</v>
      </c>
      <c r="H139" s="4" t="s">
        <v>124</v>
      </c>
      <c r="I139" s="14"/>
    </row>
    <row r="140" spans="1:9" x14ac:dyDescent="0.25">
      <c r="A140" s="14">
        <v>2013</v>
      </c>
      <c r="B140" s="14">
        <v>156</v>
      </c>
      <c r="C140" s="20">
        <v>41430</v>
      </c>
      <c r="D140" s="16" t="e">
        <v>#N/A</v>
      </c>
      <c r="E140" s="14">
        <v>110</v>
      </c>
      <c r="F140" s="23">
        <v>19</v>
      </c>
      <c r="G140" s="17" t="e">
        <v>#N/A</v>
      </c>
      <c r="H140" s="4" t="s">
        <v>124</v>
      </c>
      <c r="I140" s="14"/>
    </row>
    <row r="141" spans="1:9" x14ac:dyDescent="0.25">
      <c r="A141" s="14">
        <v>2013</v>
      </c>
      <c r="B141" s="14">
        <v>156</v>
      </c>
      <c r="C141" s="20">
        <v>41430</v>
      </c>
      <c r="D141" s="16" t="e">
        <v>#N/A</v>
      </c>
      <c r="E141" s="14">
        <v>110</v>
      </c>
      <c r="F141" s="23">
        <v>20</v>
      </c>
      <c r="G141" s="17" t="e">
        <v>#N/A</v>
      </c>
      <c r="H141" s="4" t="s">
        <v>124</v>
      </c>
      <c r="I141" s="14"/>
    </row>
    <row r="142" spans="1:9" x14ac:dyDescent="0.25">
      <c r="A142" s="14">
        <v>2013</v>
      </c>
      <c r="B142" s="14">
        <v>156</v>
      </c>
      <c r="C142" s="20">
        <v>41430</v>
      </c>
      <c r="D142" s="16" t="e">
        <v>#N/A</v>
      </c>
      <c r="E142" s="14">
        <v>90</v>
      </c>
      <c r="F142" s="23">
        <v>1</v>
      </c>
      <c r="G142" s="17" t="e">
        <v>#N/A</v>
      </c>
      <c r="H142" s="4" t="s">
        <v>123</v>
      </c>
      <c r="I142" s="14"/>
    </row>
    <row r="143" spans="1:9" x14ac:dyDescent="0.25">
      <c r="A143" s="14">
        <v>2013</v>
      </c>
      <c r="B143" s="14">
        <v>156</v>
      </c>
      <c r="C143" s="20">
        <v>41430</v>
      </c>
      <c r="D143" s="16" t="e">
        <v>#N/A</v>
      </c>
      <c r="E143" s="14">
        <v>90</v>
      </c>
      <c r="F143" s="23">
        <v>2</v>
      </c>
      <c r="G143" s="17" t="e">
        <v>#N/A</v>
      </c>
      <c r="H143" s="4" t="s">
        <v>123</v>
      </c>
      <c r="I143" s="14"/>
    </row>
    <row r="144" spans="1:9" x14ac:dyDescent="0.25">
      <c r="A144" s="14">
        <v>2013</v>
      </c>
      <c r="B144" s="14">
        <v>156</v>
      </c>
      <c r="C144" s="20">
        <v>41430</v>
      </c>
      <c r="D144" s="16" t="e">
        <v>#N/A</v>
      </c>
      <c r="E144" s="14">
        <v>90</v>
      </c>
      <c r="F144" s="23">
        <v>3</v>
      </c>
      <c r="G144" s="17" t="e">
        <v>#N/A</v>
      </c>
      <c r="H144" s="4" t="s">
        <v>123</v>
      </c>
      <c r="I144" s="14"/>
    </row>
    <row r="145" spans="1:9" x14ac:dyDescent="0.25">
      <c r="A145" s="14">
        <v>2013</v>
      </c>
      <c r="B145" s="14">
        <v>156</v>
      </c>
      <c r="C145" s="20">
        <v>41430</v>
      </c>
      <c r="D145" s="16" t="e">
        <v>#N/A</v>
      </c>
      <c r="E145" s="14">
        <v>90</v>
      </c>
      <c r="F145" s="23">
        <v>4</v>
      </c>
      <c r="G145" s="17" t="e">
        <v>#N/A</v>
      </c>
      <c r="H145" s="4" t="s">
        <v>123</v>
      </c>
      <c r="I145" s="14"/>
    </row>
    <row r="146" spans="1:9" x14ac:dyDescent="0.25">
      <c r="A146" s="14">
        <v>2013</v>
      </c>
      <c r="B146" s="14">
        <v>156</v>
      </c>
      <c r="C146" s="20">
        <v>41430</v>
      </c>
      <c r="D146" s="16">
        <v>0.4861111111111111</v>
      </c>
      <c r="E146" s="14">
        <v>90</v>
      </c>
      <c r="F146" s="23">
        <v>5</v>
      </c>
      <c r="G146" s="17">
        <v>0.35221370550847453</v>
      </c>
      <c r="H146" s="4" t="s">
        <v>0</v>
      </c>
      <c r="I146" s="14"/>
    </row>
    <row r="147" spans="1:9" x14ac:dyDescent="0.25">
      <c r="A147" s="14">
        <v>2013</v>
      </c>
      <c r="B147" s="14">
        <v>156</v>
      </c>
      <c r="C147" s="20">
        <v>41430</v>
      </c>
      <c r="D147" s="16">
        <v>0.4909722222222222</v>
      </c>
      <c r="E147" s="14">
        <v>90</v>
      </c>
      <c r="F147" s="23">
        <v>6</v>
      </c>
      <c r="G147" s="17">
        <v>0.34546622175141239</v>
      </c>
      <c r="H147" s="4" t="s">
        <v>0</v>
      </c>
      <c r="I147" s="14"/>
    </row>
    <row r="148" spans="1:9" x14ac:dyDescent="0.25">
      <c r="A148" s="14">
        <v>2013</v>
      </c>
      <c r="B148" s="14">
        <v>156</v>
      </c>
      <c r="C148" s="20">
        <v>41430</v>
      </c>
      <c r="D148" s="16" t="e">
        <v>#N/A</v>
      </c>
      <c r="E148" s="14">
        <v>90</v>
      </c>
      <c r="F148" s="23">
        <v>7</v>
      </c>
      <c r="G148" s="17" t="e">
        <v>#N/A</v>
      </c>
      <c r="H148" s="4" t="s">
        <v>123</v>
      </c>
      <c r="I148" s="14"/>
    </row>
    <row r="149" spans="1:9" x14ac:dyDescent="0.25">
      <c r="A149" s="14">
        <v>2013</v>
      </c>
      <c r="B149" s="14">
        <v>156</v>
      </c>
      <c r="C149" s="20">
        <v>41430</v>
      </c>
      <c r="D149" s="16" t="e">
        <v>#N/A</v>
      </c>
      <c r="E149" s="14">
        <v>90</v>
      </c>
      <c r="F149" s="23">
        <v>8</v>
      </c>
      <c r="G149" s="17" t="e">
        <v>#N/A</v>
      </c>
      <c r="H149" s="4" t="s">
        <v>123</v>
      </c>
      <c r="I149" s="14"/>
    </row>
    <row r="150" spans="1:9" x14ac:dyDescent="0.25">
      <c r="A150" s="14">
        <v>2013</v>
      </c>
      <c r="B150" s="14">
        <v>156</v>
      </c>
      <c r="C150" s="20">
        <v>41430</v>
      </c>
      <c r="D150" s="16" t="e">
        <v>#N/A</v>
      </c>
      <c r="E150" s="14">
        <v>90</v>
      </c>
      <c r="F150" s="23">
        <v>9</v>
      </c>
      <c r="G150" s="17" t="e">
        <v>#N/A</v>
      </c>
      <c r="H150" s="4" t="s">
        <v>123</v>
      </c>
      <c r="I150" s="14"/>
    </row>
    <row r="151" spans="1:9" x14ac:dyDescent="0.25">
      <c r="A151" s="14">
        <v>2013</v>
      </c>
      <c r="B151" s="14">
        <v>156</v>
      </c>
      <c r="C151" s="20">
        <v>41430</v>
      </c>
      <c r="D151" s="16" t="e">
        <v>#N/A</v>
      </c>
      <c r="E151" s="14">
        <v>90</v>
      </c>
      <c r="F151" s="23">
        <v>10</v>
      </c>
      <c r="G151" s="17" t="e">
        <v>#N/A</v>
      </c>
      <c r="H151" s="4" t="s">
        <v>123</v>
      </c>
      <c r="I151" s="14"/>
    </row>
    <row r="152" spans="1:9" x14ac:dyDescent="0.25">
      <c r="A152" s="14">
        <v>2013</v>
      </c>
      <c r="B152" s="14">
        <v>156</v>
      </c>
      <c r="C152" s="20">
        <v>41430</v>
      </c>
      <c r="D152" s="16" t="e">
        <v>#N/A</v>
      </c>
      <c r="E152" s="14">
        <v>90</v>
      </c>
      <c r="F152" s="23">
        <v>11</v>
      </c>
      <c r="G152" s="17" t="e">
        <v>#N/A</v>
      </c>
      <c r="H152" s="4" t="s">
        <v>124</v>
      </c>
      <c r="I152" s="14"/>
    </row>
    <row r="153" spans="1:9" x14ac:dyDescent="0.25">
      <c r="A153" s="14">
        <v>2013</v>
      </c>
      <c r="B153" s="14">
        <v>156</v>
      </c>
      <c r="C153" s="20">
        <v>41430</v>
      </c>
      <c r="D153" s="16" t="e">
        <v>#N/A</v>
      </c>
      <c r="E153" s="14">
        <v>90</v>
      </c>
      <c r="F153" s="23">
        <v>12</v>
      </c>
      <c r="G153" s="17" t="e">
        <v>#N/A</v>
      </c>
      <c r="H153" s="4" t="s">
        <v>124</v>
      </c>
      <c r="I153" s="14"/>
    </row>
    <row r="154" spans="1:9" x14ac:dyDescent="0.25">
      <c r="A154" s="14">
        <v>2013</v>
      </c>
      <c r="B154" s="14">
        <v>156</v>
      </c>
      <c r="C154" s="20">
        <v>41430</v>
      </c>
      <c r="D154" s="16" t="e">
        <v>#N/A</v>
      </c>
      <c r="E154" s="14">
        <v>90</v>
      </c>
      <c r="F154" s="23">
        <v>13</v>
      </c>
      <c r="G154" s="17" t="e">
        <v>#N/A</v>
      </c>
      <c r="H154" s="4" t="s">
        <v>124</v>
      </c>
      <c r="I154" s="14"/>
    </row>
    <row r="155" spans="1:9" x14ac:dyDescent="0.25">
      <c r="A155" s="14">
        <v>2013</v>
      </c>
      <c r="B155" s="14">
        <v>156</v>
      </c>
      <c r="C155" s="20">
        <v>41430</v>
      </c>
      <c r="D155" s="16" t="e">
        <v>#N/A</v>
      </c>
      <c r="E155" s="14">
        <v>90</v>
      </c>
      <c r="F155" s="23">
        <v>14</v>
      </c>
      <c r="G155" s="17" t="e">
        <v>#N/A</v>
      </c>
      <c r="H155" s="4" t="s">
        <v>124</v>
      </c>
      <c r="I155" s="14"/>
    </row>
    <row r="156" spans="1:9" x14ac:dyDescent="0.25">
      <c r="A156" s="14">
        <v>2013</v>
      </c>
      <c r="B156" s="14">
        <v>156</v>
      </c>
      <c r="C156" s="20">
        <v>41430</v>
      </c>
      <c r="D156" s="16">
        <v>0.50486111111111109</v>
      </c>
      <c r="E156" s="14">
        <v>90</v>
      </c>
      <c r="F156" s="23">
        <v>15</v>
      </c>
      <c r="G156" s="17">
        <v>0.34558136652542371</v>
      </c>
      <c r="H156" s="4" t="s">
        <v>1</v>
      </c>
      <c r="I156" s="14"/>
    </row>
    <row r="157" spans="1:9" x14ac:dyDescent="0.25">
      <c r="A157" s="14">
        <v>2013</v>
      </c>
      <c r="B157" s="14">
        <v>156</v>
      </c>
      <c r="C157" s="20">
        <v>41430</v>
      </c>
      <c r="D157" s="16">
        <v>0.50972222222222219</v>
      </c>
      <c r="E157" s="14">
        <v>90</v>
      </c>
      <c r="F157" s="23">
        <v>16</v>
      </c>
      <c r="G157" s="17">
        <v>0.34254154449152541</v>
      </c>
      <c r="H157" s="4" t="s">
        <v>1</v>
      </c>
      <c r="I157" s="14"/>
    </row>
    <row r="158" spans="1:9" x14ac:dyDescent="0.25">
      <c r="A158" s="14">
        <v>2013</v>
      </c>
      <c r="B158" s="14">
        <v>156</v>
      </c>
      <c r="C158" s="20">
        <v>41430</v>
      </c>
      <c r="D158" s="16" t="e">
        <v>#N/A</v>
      </c>
      <c r="E158" s="14">
        <v>90</v>
      </c>
      <c r="F158" s="23">
        <v>17</v>
      </c>
      <c r="G158" s="17" t="e">
        <v>#N/A</v>
      </c>
      <c r="H158" s="4" t="s">
        <v>124</v>
      </c>
      <c r="I158" s="14"/>
    </row>
    <row r="159" spans="1:9" x14ac:dyDescent="0.25">
      <c r="A159" s="14">
        <v>2013</v>
      </c>
      <c r="B159" s="14">
        <v>156</v>
      </c>
      <c r="C159" s="20">
        <v>41430</v>
      </c>
      <c r="D159" s="16" t="e">
        <v>#N/A</v>
      </c>
      <c r="E159" s="14">
        <v>90</v>
      </c>
      <c r="F159" s="23">
        <v>18</v>
      </c>
      <c r="G159" s="17" t="e">
        <v>#N/A</v>
      </c>
      <c r="H159" s="4" t="s">
        <v>124</v>
      </c>
      <c r="I159" s="14"/>
    </row>
    <row r="160" spans="1:9" x14ac:dyDescent="0.25">
      <c r="A160" s="14">
        <v>2013</v>
      </c>
      <c r="B160" s="14">
        <v>156</v>
      </c>
      <c r="C160" s="20">
        <v>41430</v>
      </c>
      <c r="D160" s="16" t="e">
        <v>#N/A</v>
      </c>
      <c r="E160" s="14">
        <v>90</v>
      </c>
      <c r="F160" s="23">
        <v>19</v>
      </c>
      <c r="G160" s="17" t="e">
        <v>#N/A</v>
      </c>
      <c r="H160" s="4" t="s">
        <v>124</v>
      </c>
      <c r="I160" s="14"/>
    </row>
    <row r="161" spans="1:9" x14ac:dyDescent="0.25">
      <c r="A161" s="14">
        <v>2013</v>
      </c>
      <c r="B161" s="14">
        <v>156</v>
      </c>
      <c r="C161" s="20">
        <v>41430</v>
      </c>
      <c r="D161" s="16" t="e">
        <v>#N/A</v>
      </c>
      <c r="E161" s="14">
        <v>90</v>
      </c>
      <c r="F161" s="23">
        <v>20</v>
      </c>
      <c r="G161" s="17" t="e">
        <v>#N/A</v>
      </c>
      <c r="H161" s="4" t="s">
        <v>124</v>
      </c>
      <c r="I161" s="14"/>
    </row>
    <row r="162" spans="1:9" x14ac:dyDescent="0.25">
      <c r="A162" s="14">
        <v>2013</v>
      </c>
      <c r="B162" s="14">
        <v>156</v>
      </c>
      <c r="C162" s="20">
        <v>41430</v>
      </c>
      <c r="D162" s="16" t="e">
        <v>#N/A</v>
      </c>
      <c r="E162" s="14">
        <v>70</v>
      </c>
      <c r="F162" s="23">
        <v>1</v>
      </c>
      <c r="G162" s="17" t="e">
        <v>#N/A</v>
      </c>
      <c r="H162" s="4" t="s">
        <v>123</v>
      </c>
      <c r="I162" s="14"/>
    </row>
    <row r="163" spans="1:9" x14ac:dyDescent="0.25">
      <c r="A163" s="14">
        <v>2013</v>
      </c>
      <c r="B163" s="14">
        <v>156</v>
      </c>
      <c r="C163" s="20">
        <v>41430</v>
      </c>
      <c r="D163" s="16" t="e">
        <v>#N/A</v>
      </c>
      <c r="E163" s="14">
        <v>70</v>
      </c>
      <c r="F163" s="23">
        <v>2</v>
      </c>
      <c r="G163" s="17" t="e">
        <v>#N/A</v>
      </c>
      <c r="H163" s="4" t="s">
        <v>123</v>
      </c>
      <c r="I163" s="14"/>
    </row>
    <row r="164" spans="1:9" x14ac:dyDescent="0.25">
      <c r="A164" s="14">
        <v>2013</v>
      </c>
      <c r="B164" s="14">
        <v>156</v>
      </c>
      <c r="C164" s="20">
        <v>41430</v>
      </c>
      <c r="D164" s="16" t="e">
        <v>#N/A</v>
      </c>
      <c r="E164" s="14">
        <v>70</v>
      </c>
      <c r="F164" s="23">
        <v>3</v>
      </c>
      <c r="G164" s="17" t="e">
        <v>#N/A</v>
      </c>
      <c r="H164" s="4" t="s">
        <v>123</v>
      </c>
      <c r="I164" s="14"/>
    </row>
    <row r="165" spans="1:9" x14ac:dyDescent="0.25">
      <c r="A165" s="14">
        <v>2013</v>
      </c>
      <c r="B165" s="14">
        <v>156</v>
      </c>
      <c r="C165" s="20">
        <v>41430</v>
      </c>
      <c r="D165" s="16" t="e">
        <v>#N/A</v>
      </c>
      <c r="E165" s="14">
        <v>70</v>
      </c>
      <c r="F165" s="23">
        <v>4</v>
      </c>
      <c r="G165" s="17" t="e">
        <v>#N/A</v>
      </c>
      <c r="H165" s="4" t="s">
        <v>123</v>
      </c>
      <c r="I165" s="14"/>
    </row>
    <row r="166" spans="1:9" x14ac:dyDescent="0.25">
      <c r="A166" s="14">
        <v>2013</v>
      </c>
      <c r="B166" s="14">
        <v>156</v>
      </c>
      <c r="C166" s="20">
        <v>41430</v>
      </c>
      <c r="D166" s="16">
        <v>0.4861111111111111</v>
      </c>
      <c r="E166" s="14">
        <v>70</v>
      </c>
      <c r="F166" s="23">
        <v>5</v>
      </c>
      <c r="G166" s="17">
        <v>0.36220827189265531</v>
      </c>
      <c r="H166" s="4" t="s">
        <v>0</v>
      </c>
      <c r="I166" s="14"/>
    </row>
    <row r="167" spans="1:9" x14ac:dyDescent="0.25">
      <c r="A167" s="14">
        <v>2013</v>
      </c>
      <c r="B167" s="14">
        <v>156</v>
      </c>
      <c r="C167" s="20">
        <v>41430</v>
      </c>
      <c r="D167" s="16">
        <v>0.4909722222222222</v>
      </c>
      <c r="E167" s="14">
        <v>70</v>
      </c>
      <c r="F167" s="23">
        <v>6</v>
      </c>
      <c r="G167" s="17">
        <v>0.35472386158192093</v>
      </c>
      <c r="H167" s="4" t="s">
        <v>0</v>
      </c>
      <c r="I167" s="14"/>
    </row>
    <row r="168" spans="1:9" x14ac:dyDescent="0.25">
      <c r="A168" s="14">
        <v>2013</v>
      </c>
      <c r="B168" s="14">
        <v>156</v>
      </c>
      <c r="C168" s="20">
        <v>41430</v>
      </c>
      <c r="D168" s="16" t="e">
        <v>#N/A</v>
      </c>
      <c r="E168" s="14">
        <v>70</v>
      </c>
      <c r="F168" s="23">
        <v>7</v>
      </c>
      <c r="G168" s="17" t="e">
        <v>#N/A</v>
      </c>
      <c r="H168" s="4" t="s">
        <v>123</v>
      </c>
      <c r="I168" s="14"/>
    </row>
    <row r="169" spans="1:9" x14ac:dyDescent="0.25">
      <c r="A169" s="14">
        <v>2013</v>
      </c>
      <c r="B169" s="14">
        <v>156</v>
      </c>
      <c r="C169" s="20">
        <v>41430</v>
      </c>
      <c r="D169" s="16" t="e">
        <v>#N/A</v>
      </c>
      <c r="E169" s="14">
        <v>70</v>
      </c>
      <c r="F169" s="23">
        <v>8</v>
      </c>
      <c r="G169" s="17" t="e">
        <v>#N/A</v>
      </c>
      <c r="H169" s="4" t="s">
        <v>123</v>
      </c>
      <c r="I169" s="14"/>
    </row>
    <row r="170" spans="1:9" x14ac:dyDescent="0.25">
      <c r="A170" s="14">
        <v>2013</v>
      </c>
      <c r="B170" s="14">
        <v>156</v>
      </c>
      <c r="C170" s="20">
        <v>41430</v>
      </c>
      <c r="D170" s="16" t="e">
        <v>#N/A</v>
      </c>
      <c r="E170" s="14">
        <v>70</v>
      </c>
      <c r="F170" s="23">
        <v>9</v>
      </c>
      <c r="G170" s="17" t="e">
        <v>#N/A</v>
      </c>
      <c r="H170" s="4" t="s">
        <v>123</v>
      </c>
      <c r="I170" s="14"/>
    </row>
    <row r="171" spans="1:9" x14ac:dyDescent="0.25">
      <c r="A171" s="14">
        <v>2013</v>
      </c>
      <c r="B171" s="14">
        <v>156</v>
      </c>
      <c r="C171" s="20">
        <v>41430</v>
      </c>
      <c r="D171" s="16" t="e">
        <v>#N/A</v>
      </c>
      <c r="E171" s="14">
        <v>70</v>
      </c>
      <c r="F171" s="23">
        <v>10</v>
      </c>
      <c r="G171" s="17" t="e">
        <v>#N/A</v>
      </c>
      <c r="H171" s="4" t="s">
        <v>123</v>
      </c>
      <c r="I171" s="14"/>
    </row>
    <row r="172" spans="1:9" x14ac:dyDescent="0.25">
      <c r="A172" s="14">
        <v>2013</v>
      </c>
      <c r="B172" s="14">
        <v>156</v>
      </c>
      <c r="C172" s="20">
        <v>41430</v>
      </c>
      <c r="D172" s="16" t="e">
        <v>#N/A</v>
      </c>
      <c r="E172" s="14">
        <v>70</v>
      </c>
      <c r="F172" s="23">
        <v>11</v>
      </c>
      <c r="G172" s="17" t="e">
        <v>#N/A</v>
      </c>
      <c r="H172" s="4" t="s">
        <v>124</v>
      </c>
      <c r="I172" s="14"/>
    </row>
    <row r="173" spans="1:9" x14ac:dyDescent="0.25">
      <c r="A173" s="14">
        <v>2013</v>
      </c>
      <c r="B173" s="14">
        <v>156</v>
      </c>
      <c r="C173" s="20">
        <v>41430</v>
      </c>
      <c r="D173" s="16" t="e">
        <v>#N/A</v>
      </c>
      <c r="E173" s="14">
        <v>70</v>
      </c>
      <c r="F173" s="23">
        <v>12</v>
      </c>
      <c r="G173" s="17" t="e">
        <v>#N/A</v>
      </c>
      <c r="H173" s="4" t="s">
        <v>124</v>
      </c>
      <c r="I173" s="14"/>
    </row>
    <row r="174" spans="1:9" x14ac:dyDescent="0.25">
      <c r="A174" s="14">
        <v>2013</v>
      </c>
      <c r="B174" s="14">
        <v>156</v>
      </c>
      <c r="C174" s="20">
        <v>41430</v>
      </c>
      <c r="D174" s="16" t="e">
        <v>#N/A</v>
      </c>
      <c r="E174" s="14">
        <v>70</v>
      </c>
      <c r="F174" s="23">
        <v>13</v>
      </c>
      <c r="G174" s="17" t="e">
        <v>#N/A</v>
      </c>
      <c r="H174" s="4" t="s">
        <v>124</v>
      </c>
      <c r="I174" s="14"/>
    </row>
    <row r="175" spans="1:9" x14ac:dyDescent="0.25">
      <c r="A175" s="14">
        <v>2013</v>
      </c>
      <c r="B175" s="14">
        <v>156</v>
      </c>
      <c r="C175" s="20">
        <v>41430</v>
      </c>
      <c r="D175" s="16" t="e">
        <v>#N/A</v>
      </c>
      <c r="E175" s="14">
        <v>70</v>
      </c>
      <c r="F175" s="23">
        <v>14</v>
      </c>
      <c r="G175" s="17" t="e">
        <v>#N/A</v>
      </c>
      <c r="H175" s="4" t="s">
        <v>124</v>
      </c>
      <c r="I175" s="14"/>
    </row>
    <row r="176" spans="1:9" x14ac:dyDescent="0.25">
      <c r="A176" s="14">
        <v>2013</v>
      </c>
      <c r="B176" s="14">
        <v>156</v>
      </c>
      <c r="C176" s="20">
        <v>41430</v>
      </c>
      <c r="D176" s="16">
        <v>0.50486111111111109</v>
      </c>
      <c r="E176" s="14">
        <v>70</v>
      </c>
      <c r="F176" s="23">
        <v>15</v>
      </c>
      <c r="G176" s="17">
        <v>0.34935811511299431</v>
      </c>
      <c r="H176" s="4" t="s">
        <v>1</v>
      </c>
      <c r="I176" s="14"/>
    </row>
    <row r="177" spans="1:9" x14ac:dyDescent="0.25">
      <c r="A177" s="14">
        <v>2013</v>
      </c>
      <c r="B177" s="14">
        <v>156</v>
      </c>
      <c r="C177" s="20">
        <v>41430</v>
      </c>
      <c r="D177" s="16">
        <v>0.50972222222222219</v>
      </c>
      <c r="E177" s="14">
        <v>70</v>
      </c>
      <c r="F177" s="23">
        <v>16</v>
      </c>
      <c r="G177" s="17">
        <v>0.34026167796610168</v>
      </c>
      <c r="H177" s="4" t="s">
        <v>1</v>
      </c>
      <c r="I177" s="14"/>
    </row>
    <row r="178" spans="1:9" x14ac:dyDescent="0.25">
      <c r="A178" s="14">
        <v>2013</v>
      </c>
      <c r="B178" s="14">
        <v>156</v>
      </c>
      <c r="C178" s="20">
        <v>41430</v>
      </c>
      <c r="D178" s="16" t="e">
        <v>#N/A</v>
      </c>
      <c r="E178" s="14">
        <v>70</v>
      </c>
      <c r="F178" s="23">
        <v>17</v>
      </c>
      <c r="G178" s="17" t="e">
        <v>#N/A</v>
      </c>
      <c r="H178" s="4" t="s">
        <v>124</v>
      </c>
      <c r="I178" s="14"/>
    </row>
    <row r="179" spans="1:9" x14ac:dyDescent="0.25">
      <c r="A179" s="14">
        <v>2013</v>
      </c>
      <c r="B179" s="14">
        <v>156</v>
      </c>
      <c r="C179" s="20">
        <v>41430</v>
      </c>
      <c r="D179" s="16" t="e">
        <v>#N/A</v>
      </c>
      <c r="E179" s="14">
        <v>70</v>
      </c>
      <c r="F179" s="23">
        <v>18</v>
      </c>
      <c r="G179" s="17" t="e">
        <v>#N/A</v>
      </c>
      <c r="H179" s="4" t="s">
        <v>124</v>
      </c>
      <c r="I179" s="14"/>
    </row>
    <row r="180" spans="1:9" x14ac:dyDescent="0.25">
      <c r="A180" s="14">
        <v>2013</v>
      </c>
      <c r="B180" s="14">
        <v>156</v>
      </c>
      <c r="C180" s="20">
        <v>41430</v>
      </c>
      <c r="D180" s="16" t="e">
        <v>#N/A</v>
      </c>
      <c r="E180" s="14">
        <v>70</v>
      </c>
      <c r="F180" s="23">
        <v>19</v>
      </c>
      <c r="G180" s="17" t="e">
        <v>#N/A</v>
      </c>
      <c r="H180" s="4" t="s">
        <v>124</v>
      </c>
      <c r="I180" s="14"/>
    </row>
    <row r="181" spans="1:9" x14ac:dyDescent="0.25">
      <c r="A181" s="14">
        <v>2013</v>
      </c>
      <c r="B181" s="14">
        <v>156</v>
      </c>
      <c r="C181" s="20">
        <v>41430</v>
      </c>
      <c r="D181" s="16" t="e">
        <v>#N/A</v>
      </c>
      <c r="E181" s="14">
        <v>70</v>
      </c>
      <c r="F181" s="23">
        <v>20</v>
      </c>
      <c r="G181" s="17" t="e">
        <v>#N/A</v>
      </c>
      <c r="H181" s="4" t="s">
        <v>124</v>
      </c>
      <c r="I181" s="14"/>
    </row>
    <row r="182" spans="1:9" x14ac:dyDescent="0.25">
      <c r="A182" s="14">
        <v>2013</v>
      </c>
      <c r="B182" s="14">
        <v>156</v>
      </c>
      <c r="C182" s="20">
        <v>41430</v>
      </c>
      <c r="D182" s="16" t="e">
        <v>#N/A</v>
      </c>
      <c r="E182" s="14">
        <v>50</v>
      </c>
      <c r="F182" s="23">
        <v>1</v>
      </c>
      <c r="G182" s="17" t="e">
        <v>#N/A</v>
      </c>
      <c r="H182" s="4" t="s">
        <v>123</v>
      </c>
      <c r="I182" s="14"/>
    </row>
    <row r="183" spans="1:9" x14ac:dyDescent="0.25">
      <c r="A183" s="14">
        <v>2013</v>
      </c>
      <c r="B183" s="14">
        <v>156</v>
      </c>
      <c r="C183" s="20">
        <v>41430</v>
      </c>
      <c r="D183" s="16" t="e">
        <v>#N/A</v>
      </c>
      <c r="E183" s="14">
        <v>50</v>
      </c>
      <c r="F183" s="23">
        <v>2</v>
      </c>
      <c r="G183" s="17" t="e">
        <v>#N/A</v>
      </c>
      <c r="H183" s="4" t="s">
        <v>123</v>
      </c>
      <c r="I183" s="14"/>
    </row>
    <row r="184" spans="1:9" x14ac:dyDescent="0.25">
      <c r="A184" s="14">
        <v>2013</v>
      </c>
      <c r="B184" s="14">
        <v>156</v>
      </c>
      <c r="C184" s="20">
        <v>41430</v>
      </c>
      <c r="D184" s="16" t="e">
        <v>#N/A</v>
      </c>
      <c r="E184" s="14">
        <v>50</v>
      </c>
      <c r="F184" s="23">
        <v>3</v>
      </c>
      <c r="G184" s="17" t="e">
        <v>#N/A</v>
      </c>
      <c r="H184" s="4" t="s">
        <v>123</v>
      </c>
      <c r="I184" s="14"/>
    </row>
    <row r="185" spans="1:9" x14ac:dyDescent="0.25">
      <c r="A185" s="14">
        <v>2013</v>
      </c>
      <c r="B185" s="14">
        <v>156</v>
      </c>
      <c r="C185" s="20">
        <v>41430</v>
      </c>
      <c r="D185" s="16" t="e">
        <v>#N/A</v>
      </c>
      <c r="E185" s="14">
        <v>50</v>
      </c>
      <c r="F185" s="23">
        <v>4</v>
      </c>
      <c r="G185" s="17" t="e">
        <v>#N/A</v>
      </c>
      <c r="H185" s="4" t="s">
        <v>123</v>
      </c>
      <c r="I185" s="14"/>
    </row>
    <row r="186" spans="1:9" x14ac:dyDescent="0.25">
      <c r="A186" s="14">
        <v>2013</v>
      </c>
      <c r="B186" s="14">
        <v>156</v>
      </c>
      <c r="C186" s="20">
        <v>41430</v>
      </c>
      <c r="D186" s="16">
        <v>0.4861111111111111</v>
      </c>
      <c r="E186" s="14">
        <v>50</v>
      </c>
      <c r="F186" s="23">
        <v>5</v>
      </c>
      <c r="G186" s="17">
        <v>0.36121802683615817</v>
      </c>
      <c r="H186" s="4" t="s">
        <v>0</v>
      </c>
      <c r="I186" s="14"/>
    </row>
    <row r="187" spans="1:9" x14ac:dyDescent="0.25">
      <c r="A187" s="14">
        <v>2013</v>
      </c>
      <c r="B187" s="14">
        <v>156</v>
      </c>
      <c r="C187" s="20">
        <v>41430</v>
      </c>
      <c r="D187" s="16">
        <v>0.4909722222222222</v>
      </c>
      <c r="E187" s="14">
        <v>50</v>
      </c>
      <c r="F187" s="23">
        <v>6</v>
      </c>
      <c r="G187" s="17">
        <v>0.36253067725988697</v>
      </c>
      <c r="H187" s="4" t="s">
        <v>0</v>
      </c>
      <c r="I187" s="14"/>
    </row>
    <row r="188" spans="1:9" x14ac:dyDescent="0.25">
      <c r="A188" s="14">
        <v>2013</v>
      </c>
      <c r="B188" s="14">
        <v>156</v>
      </c>
      <c r="C188" s="20">
        <v>41430</v>
      </c>
      <c r="D188" s="16" t="e">
        <v>#N/A</v>
      </c>
      <c r="E188" s="14">
        <v>50</v>
      </c>
      <c r="F188" s="23">
        <v>7</v>
      </c>
      <c r="G188" s="17" t="e">
        <v>#N/A</v>
      </c>
      <c r="H188" s="4" t="s">
        <v>123</v>
      </c>
      <c r="I188" s="14"/>
    </row>
    <row r="189" spans="1:9" x14ac:dyDescent="0.25">
      <c r="A189" s="14">
        <v>2013</v>
      </c>
      <c r="B189" s="14">
        <v>156</v>
      </c>
      <c r="C189" s="20">
        <v>41430</v>
      </c>
      <c r="D189" s="16" t="e">
        <v>#N/A</v>
      </c>
      <c r="E189" s="14">
        <v>50</v>
      </c>
      <c r="F189" s="23">
        <v>8</v>
      </c>
      <c r="G189" s="17" t="e">
        <v>#N/A</v>
      </c>
      <c r="H189" s="4" t="s">
        <v>123</v>
      </c>
      <c r="I189" s="14"/>
    </row>
    <row r="190" spans="1:9" x14ac:dyDescent="0.25">
      <c r="A190" s="14">
        <v>2013</v>
      </c>
      <c r="B190" s="14">
        <v>156</v>
      </c>
      <c r="C190" s="20">
        <v>41430</v>
      </c>
      <c r="D190" s="16" t="e">
        <v>#N/A</v>
      </c>
      <c r="E190" s="14">
        <v>50</v>
      </c>
      <c r="F190" s="23">
        <v>9</v>
      </c>
      <c r="G190" s="17" t="e">
        <v>#N/A</v>
      </c>
      <c r="H190" s="4" t="s">
        <v>123</v>
      </c>
      <c r="I190" s="14"/>
    </row>
    <row r="191" spans="1:9" x14ac:dyDescent="0.25">
      <c r="A191" s="14">
        <v>2013</v>
      </c>
      <c r="B191" s="14">
        <v>156</v>
      </c>
      <c r="C191" s="20">
        <v>41430</v>
      </c>
      <c r="D191" s="16" t="e">
        <v>#N/A</v>
      </c>
      <c r="E191" s="14">
        <v>50</v>
      </c>
      <c r="F191" s="23">
        <v>10</v>
      </c>
      <c r="G191" s="17" t="e">
        <v>#N/A</v>
      </c>
      <c r="H191" s="4" t="s">
        <v>123</v>
      </c>
      <c r="I191" s="14"/>
    </row>
    <row r="192" spans="1:9" x14ac:dyDescent="0.25">
      <c r="A192" s="14">
        <v>2013</v>
      </c>
      <c r="B192" s="14">
        <v>156</v>
      </c>
      <c r="C192" s="20">
        <v>41430</v>
      </c>
      <c r="D192" s="16" t="e">
        <v>#N/A</v>
      </c>
      <c r="E192" s="14">
        <v>50</v>
      </c>
      <c r="F192" s="23">
        <v>11</v>
      </c>
      <c r="G192" s="17" t="e">
        <v>#N/A</v>
      </c>
      <c r="H192" s="4" t="s">
        <v>124</v>
      </c>
      <c r="I192" s="14"/>
    </row>
    <row r="193" spans="1:9" x14ac:dyDescent="0.25">
      <c r="A193" s="14">
        <v>2013</v>
      </c>
      <c r="B193" s="14">
        <v>156</v>
      </c>
      <c r="C193" s="20">
        <v>41430</v>
      </c>
      <c r="D193" s="16" t="e">
        <v>#N/A</v>
      </c>
      <c r="E193" s="14">
        <v>50</v>
      </c>
      <c r="F193" s="23">
        <v>12</v>
      </c>
      <c r="G193" s="17" t="e">
        <v>#N/A</v>
      </c>
      <c r="H193" s="4" t="s">
        <v>124</v>
      </c>
      <c r="I193" s="14"/>
    </row>
    <row r="194" spans="1:9" x14ac:dyDescent="0.25">
      <c r="A194" s="14">
        <v>2013</v>
      </c>
      <c r="B194" s="14">
        <v>156</v>
      </c>
      <c r="C194" s="20">
        <v>41430</v>
      </c>
      <c r="D194" s="16" t="e">
        <v>#N/A</v>
      </c>
      <c r="E194" s="14">
        <v>50</v>
      </c>
      <c r="F194" s="23">
        <v>13</v>
      </c>
      <c r="G194" s="17" t="e">
        <v>#N/A</v>
      </c>
      <c r="H194" s="4" t="s">
        <v>124</v>
      </c>
      <c r="I194" s="14"/>
    </row>
    <row r="195" spans="1:9" x14ac:dyDescent="0.25">
      <c r="A195" s="14">
        <v>2013</v>
      </c>
      <c r="B195" s="14">
        <v>156</v>
      </c>
      <c r="C195" s="20">
        <v>41430</v>
      </c>
      <c r="D195" s="16" t="e">
        <v>#N/A</v>
      </c>
      <c r="E195" s="14">
        <v>50</v>
      </c>
      <c r="F195" s="23">
        <v>14</v>
      </c>
      <c r="G195" s="17" t="e">
        <v>#N/A</v>
      </c>
      <c r="H195" s="4" t="s">
        <v>124</v>
      </c>
      <c r="I195" s="14"/>
    </row>
    <row r="196" spans="1:9" x14ac:dyDescent="0.25">
      <c r="A196" s="14">
        <v>2013</v>
      </c>
      <c r="B196" s="14">
        <v>156</v>
      </c>
      <c r="C196" s="20">
        <v>41430</v>
      </c>
      <c r="D196" s="16">
        <v>0.50486111111111109</v>
      </c>
      <c r="E196" s="14">
        <v>50</v>
      </c>
      <c r="F196" s="23">
        <v>15</v>
      </c>
      <c r="G196" s="17">
        <v>0.35198341596045196</v>
      </c>
      <c r="H196" s="4" t="s">
        <v>1</v>
      </c>
      <c r="I196" s="14"/>
    </row>
    <row r="197" spans="1:9" x14ac:dyDescent="0.25">
      <c r="A197" s="14">
        <v>2013</v>
      </c>
      <c r="B197" s="14">
        <v>156</v>
      </c>
      <c r="C197" s="20">
        <v>41430</v>
      </c>
      <c r="D197" s="16">
        <v>0.50972222222222219</v>
      </c>
      <c r="E197" s="14">
        <v>50</v>
      </c>
      <c r="F197" s="23">
        <v>16</v>
      </c>
      <c r="G197" s="17">
        <v>0.35529958545197743</v>
      </c>
      <c r="H197" s="4" t="s">
        <v>1</v>
      </c>
      <c r="I197" s="14"/>
    </row>
    <row r="198" spans="1:9" x14ac:dyDescent="0.25">
      <c r="A198" s="14">
        <v>2013</v>
      </c>
      <c r="B198" s="14">
        <v>156</v>
      </c>
      <c r="C198" s="20">
        <v>41430</v>
      </c>
      <c r="D198" s="16" t="e">
        <v>#N/A</v>
      </c>
      <c r="E198" s="14">
        <v>50</v>
      </c>
      <c r="F198" s="23">
        <v>17</v>
      </c>
      <c r="G198" s="17" t="e">
        <v>#N/A</v>
      </c>
      <c r="H198" s="4" t="s">
        <v>124</v>
      </c>
      <c r="I198" s="14"/>
    </row>
    <row r="199" spans="1:9" x14ac:dyDescent="0.25">
      <c r="A199" s="14">
        <v>2013</v>
      </c>
      <c r="B199" s="14">
        <v>156</v>
      </c>
      <c r="C199" s="20">
        <v>41430</v>
      </c>
      <c r="D199" s="16" t="e">
        <v>#N/A</v>
      </c>
      <c r="E199" s="14">
        <v>50</v>
      </c>
      <c r="F199" s="23">
        <v>18</v>
      </c>
      <c r="G199" s="17" t="e">
        <v>#N/A</v>
      </c>
      <c r="H199" s="4" t="s">
        <v>124</v>
      </c>
      <c r="I199" s="14"/>
    </row>
    <row r="200" spans="1:9" x14ac:dyDescent="0.25">
      <c r="A200" s="14">
        <v>2013</v>
      </c>
      <c r="B200" s="14">
        <v>156</v>
      </c>
      <c r="C200" s="20">
        <v>41430</v>
      </c>
      <c r="D200" s="16" t="e">
        <v>#N/A</v>
      </c>
      <c r="E200" s="14">
        <v>50</v>
      </c>
      <c r="F200" s="23">
        <v>19</v>
      </c>
      <c r="G200" s="17" t="e">
        <v>#N/A</v>
      </c>
      <c r="H200" s="4" t="s">
        <v>124</v>
      </c>
      <c r="I200" s="14"/>
    </row>
    <row r="201" spans="1:9" x14ac:dyDescent="0.25">
      <c r="A201" s="14">
        <v>2013</v>
      </c>
      <c r="B201" s="14">
        <v>156</v>
      </c>
      <c r="C201" s="20">
        <v>41430</v>
      </c>
      <c r="D201" s="16" t="e">
        <v>#N/A</v>
      </c>
      <c r="E201" s="14">
        <v>50</v>
      </c>
      <c r="F201" s="23">
        <v>20</v>
      </c>
      <c r="G201" s="17" t="e">
        <v>#N/A</v>
      </c>
      <c r="H201" s="4" t="s">
        <v>124</v>
      </c>
      <c r="I201" s="14"/>
    </row>
    <row r="202" spans="1:9" x14ac:dyDescent="0.25">
      <c r="A202" s="14">
        <v>2013</v>
      </c>
      <c r="B202" s="14">
        <v>156</v>
      </c>
      <c r="C202" s="20">
        <v>41430</v>
      </c>
      <c r="D202" s="16" t="e">
        <v>#N/A</v>
      </c>
      <c r="E202" s="14">
        <v>30</v>
      </c>
      <c r="F202" s="23">
        <v>1</v>
      </c>
      <c r="G202" s="17" t="e">
        <v>#N/A</v>
      </c>
      <c r="H202" s="4" t="s">
        <v>123</v>
      </c>
      <c r="I202" s="14"/>
    </row>
    <row r="203" spans="1:9" x14ac:dyDescent="0.25">
      <c r="A203" s="14">
        <v>2013</v>
      </c>
      <c r="B203" s="14">
        <v>156</v>
      </c>
      <c r="C203" s="20">
        <v>41430</v>
      </c>
      <c r="D203" s="16" t="e">
        <v>#N/A</v>
      </c>
      <c r="E203" s="14">
        <v>30</v>
      </c>
      <c r="F203" s="23">
        <v>2</v>
      </c>
      <c r="G203" s="17" t="e">
        <v>#N/A</v>
      </c>
      <c r="H203" s="4" t="s">
        <v>123</v>
      </c>
      <c r="I203" s="14"/>
    </row>
    <row r="204" spans="1:9" x14ac:dyDescent="0.25">
      <c r="A204" s="14">
        <v>2013</v>
      </c>
      <c r="B204" s="14">
        <v>156</v>
      </c>
      <c r="C204" s="20">
        <v>41430</v>
      </c>
      <c r="D204" s="16" t="e">
        <v>#N/A</v>
      </c>
      <c r="E204" s="14">
        <v>30</v>
      </c>
      <c r="F204" s="23">
        <v>3</v>
      </c>
      <c r="G204" s="17" t="e">
        <v>#N/A</v>
      </c>
      <c r="H204" s="4" t="s">
        <v>123</v>
      </c>
      <c r="I204" s="14"/>
    </row>
    <row r="205" spans="1:9" x14ac:dyDescent="0.25">
      <c r="A205" s="14">
        <v>2013</v>
      </c>
      <c r="B205" s="14">
        <v>156</v>
      </c>
      <c r="C205" s="20">
        <v>41430</v>
      </c>
      <c r="D205" s="16" t="e">
        <v>#N/A</v>
      </c>
      <c r="E205" s="14">
        <v>30</v>
      </c>
      <c r="F205" s="23">
        <v>4</v>
      </c>
      <c r="G205" s="17" t="e">
        <v>#N/A</v>
      </c>
      <c r="H205" s="4" t="s">
        <v>123</v>
      </c>
      <c r="I205" s="14"/>
    </row>
    <row r="206" spans="1:9" x14ac:dyDescent="0.25">
      <c r="A206" s="14">
        <v>2013</v>
      </c>
      <c r="B206" s="14">
        <v>156</v>
      </c>
      <c r="C206" s="20">
        <v>41430</v>
      </c>
      <c r="D206" s="16">
        <v>0.4861111111111111</v>
      </c>
      <c r="E206" s="14">
        <v>30</v>
      </c>
      <c r="F206" s="23">
        <v>5</v>
      </c>
      <c r="G206" s="17">
        <v>0.35414813771186437</v>
      </c>
      <c r="H206" s="4" t="s">
        <v>0</v>
      </c>
      <c r="I206" s="14"/>
    </row>
    <row r="207" spans="1:9" x14ac:dyDescent="0.25">
      <c r="A207" s="14">
        <v>2013</v>
      </c>
      <c r="B207" s="14">
        <v>156</v>
      </c>
      <c r="C207" s="20">
        <v>41430</v>
      </c>
      <c r="D207" s="16">
        <v>0.4909722222222222</v>
      </c>
      <c r="E207" s="14">
        <v>30</v>
      </c>
      <c r="F207" s="23">
        <v>6</v>
      </c>
      <c r="G207" s="17">
        <v>0.34569651129943502</v>
      </c>
      <c r="H207" s="4" t="s">
        <v>0</v>
      </c>
      <c r="I207" s="14"/>
    </row>
    <row r="208" spans="1:9" x14ac:dyDescent="0.25">
      <c r="A208" s="14">
        <v>2013</v>
      </c>
      <c r="B208" s="14">
        <v>156</v>
      </c>
      <c r="C208" s="20">
        <v>41430</v>
      </c>
      <c r="D208" s="16" t="e">
        <v>#N/A</v>
      </c>
      <c r="E208" s="14">
        <v>30</v>
      </c>
      <c r="F208" s="23">
        <v>7</v>
      </c>
      <c r="G208" s="17" t="e">
        <v>#N/A</v>
      </c>
      <c r="H208" s="4" t="s">
        <v>123</v>
      </c>
      <c r="I208" s="14"/>
    </row>
    <row r="209" spans="1:9" x14ac:dyDescent="0.25">
      <c r="A209" s="14">
        <v>2013</v>
      </c>
      <c r="B209" s="14">
        <v>156</v>
      </c>
      <c r="C209" s="20">
        <v>41430</v>
      </c>
      <c r="D209" s="16" t="e">
        <v>#N/A</v>
      </c>
      <c r="E209" s="14">
        <v>30</v>
      </c>
      <c r="F209" s="23">
        <v>8</v>
      </c>
      <c r="G209" s="17" t="e">
        <v>#N/A</v>
      </c>
      <c r="H209" s="4" t="s">
        <v>123</v>
      </c>
      <c r="I209" s="14"/>
    </row>
    <row r="210" spans="1:9" x14ac:dyDescent="0.25">
      <c r="A210" s="14">
        <v>2013</v>
      </c>
      <c r="B210" s="14">
        <v>156</v>
      </c>
      <c r="C210" s="20">
        <v>41430</v>
      </c>
      <c r="D210" s="16" t="e">
        <v>#N/A</v>
      </c>
      <c r="E210" s="14">
        <v>30</v>
      </c>
      <c r="F210" s="23">
        <v>9</v>
      </c>
      <c r="G210" s="17" t="e">
        <v>#N/A</v>
      </c>
      <c r="H210" s="4" t="s">
        <v>123</v>
      </c>
      <c r="I210" s="14"/>
    </row>
    <row r="211" spans="1:9" x14ac:dyDescent="0.25">
      <c r="A211" s="14">
        <v>2013</v>
      </c>
      <c r="B211" s="14">
        <v>156</v>
      </c>
      <c r="C211" s="20">
        <v>41430</v>
      </c>
      <c r="D211" s="16" t="e">
        <v>#N/A</v>
      </c>
      <c r="E211" s="14">
        <v>30</v>
      </c>
      <c r="F211" s="23">
        <v>10</v>
      </c>
      <c r="G211" s="17" t="e">
        <v>#N/A</v>
      </c>
      <c r="H211" s="4" t="s">
        <v>123</v>
      </c>
      <c r="I211" s="14"/>
    </row>
    <row r="212" spans="1:9" x14ac:dyDescent="0.25">
      <c r="A212" s="14">
        <v>2013</v>
      </c>
      <c r="B212" s="14">
        <v>156</v>
      </c>
      <c r="C212" s="20">
        <v>41430</v>
      </c>
      <c r="D212" s="16" t="e">
        <v>#N/A</v>
      </c>
      <c r="E212" s="14">
        <v>30</v>
      </c>
      <c r="F212" s="23">
        <v>11</v>
      </c>
      <c r="G212" s="17" t="e">
        <v>#N/A</v>
      </c>
      <c r="H212" s="4" t="s">
        <v>124</v>
      </c>
      <c r="I212" s="14"/>
    </row>
    <row r="213" spans="1:9" x14ac:dyDescent="0.25">
      <c r="A213" s="14">
        <v>2013</v>
      </c>
      <c r="B213" s="14">
        <v>156</v>
      </c>
      <c r="C213" s="20">
        <v>41430</v>
      </c>
      <c r="D213" s="16" t="e">
        <v>#N/A</v>
      </c>
      <c r="E213" s="14">
        <v>30</v>
      </c>
      <c r="F213" s="23">
        <v>12</v>
      </c>
      <c r="G213" s="17" t="e">
        <v>#N/A</v>
      </c>
      <c r="H213" s="4" t="s">
        <v>124</v>
      </c>
      <c r="I213" s="14"/>
    </row>
    <row r="214" spans="1:9" x14ac:dyDescent="0.25">
      <c r="A214" s="14">
        <v>2013</v>
      </c>
      <c r="B214" s="14">
        <v>156</v>
      </c>
      <c r="C214" s="20">
        <v>41430</v>
      </c>
      <c r="D214" s="16" t="e">
        <v>#N/A</v>
      </c>
      <c r="E214" s="14">
        <v>30</v>
      </c>
      <c r="F214" s="23">
        <v>13</v>
      </c>
      <c r="G214" s="17" t="e">
        <v>#N/A</v>
      </c>
      <c r="H214" s="4" t="s">
        <v>124</v>
      </c>
      <c r="I214" s="14"/>
    </row>
    <row r="215" spans="1:9" x14ac:dyDescent="0.25">
      <c r="A215" s="14">
        <v>2013</v>
      </c>
      <c r="B215" s="14">
        <v>156</v>
      </c>
      <c r="C215" s="20">
        <v>41430</v>
      </c>
      <c r="D215" s="16" t="e">
        <v>#N/A</v>
      </c>
      <c r="E215" s="14">
        <v>30</v>
      </c>
      <c r="F215" s="23">
        <v>14</v>
      </c>
      <c r="G215" s="17" t="e">
        <v>#N/A</v>
      </c>
      <c r="H215" s="4" t="s">
        <v>124</v>
      </c>
      <c r="I215" s="14"/>
    </row>
    <row r="216" spans="1:9" x14ac:dyDescent="0.25">
      <c r="A216" s="14">
        <v>2013</v>
      </c>
      <c r="B216" s="14">
        <v>156</v>
      </c>
      <c r="C216" s="20">
        <v>41430</v>
      </c>
      <c r="D216" s="16">
        <v>0.50486111111111109</v>
      </c>
      <c r="E216" s="14">
        <v>30</v>
      </c>
      <c r="F216" s="23">
        <v>15</v>
      </c>
      <c r="G216" s="17">
        <v>0.35290457415254234</v>
      </c>
      <c r="H216" s="4" t="s">
        <v>1</v>
      </c>
      <c r="I216" s="14"/>
    </row>
    <row r="217" spans="1:9" x14ac:dyDescent="0.25">
      <c r="A217" s="14">
        <v>2013</v>
      </c>
      <c r="B217" s="14">
        <v>156</v>
      </c>
      <c r="C217" s="20">
        <v>41430</v>
      </c>
      <c r="D217" s="16">
        <v>0.50972222222222219</v>
      </c>
      <c r="E217" s="14">
        <v>30</v>
      </c>
      <c r="F217" s="23">
        <v>16</v>
      </c>
      <c r="G217" s="17">
        <v>0.35262822669491528</v>
      </c>
      <c r="H217" s="4" t="s">
        <v>1</v>
      </c>
      <c r="I217" s="14"/>
    </row>
    <row r="218" spans="1:9" x14ac:dyDescent="0.25">
      <c r="A218" s="14">
        <v>2013</v>
      </c>
      <c r="B218" s="14">
        <v>156</v>
      </c>
      <c r="C218" s="20">
        <v>41430</v>
      </c>
      <c r="D218" s="16" t="e">
        <v>#N/A</v>
      </c>
      <c r="E218" s="14">
        <v>30</v>
      </c>
      <c r="F218" s="23">
        <v>17</v>
      </c>
      <c r="G218" s="17" t="e">
        <v>#N/A</v>
      </c>
      <c r="H218" s="4" t="s">
        <v>124</v>
      </c>
      <c r="I218" s="14"/>
    </row>
    <row r="219" spans="1:9" x14ac:dyDescent="0.25">
      <c r="A219" s="14">
        <v>2013</v>
      </c>
      <c r="B219" s="14">
        <v>156</v>
      </c>
      <c r="C219" s="20">
        <v>41430</v>
      </c>
      <c r="D219" s="16" t="e">
        <v>#N/A</v>
      </c>
      <c r="E219" s="14">
        <v>30</v>
      </c>
      <c r="F219" s="23">
        <v>18</v>
      </c>
      <c r="G219" s="17" t="e">
        <v>#N/A</v>
      </c>
      <c r="H219" s="4" t="s">
        <v>124</v>
      </c>
      <c r="I219" s="14"/>
    </row>
    <row r="220" spans="1:9" x14ac:dyDescent="0.25">
      <c r="A220" s="14">
        <v>2013</v>
      </c>
      <c r="B220" s="14">
        <v>156</v>
      </c>
      <c r="C220" s="20">
        <v>41430</v>
      </c>
      <c r="D220" s="16" t="e">
        <v>#N/A</v>
      </c>
      <c r="E220" s="14">
        <v>30</v>
      </c>
      <c r="F220" s="23">
        <v>19</v>
      </c>
      <c r="G220" s="17" t="e">
        <v>#N/A</v>
      </c>
      <c r="H220" s="4" t="s">
        <v>124</v>
      </c>
      <c r="I220" s="14"/>
    </row>
    <row r="221" spans="1:9" x14ac:dyDescent="0.25">
      <c r="A221" s="14">
        <v>2013</v>
      </c>
      <c r="B221" s="14">
        <v>156</v>
      </c>
      <c r="C221" s="20">
        <v>41430</v>
      </c>
      <c r="D221" s="16" t="e">
        <v>#N/A</v>
      </c>
      <c r="E221" s="14">
        <v>30</v>
      </c>
      <c r="F221" s="23">
        <v>20</v>
      </c>
      <c r="G221" s="17" t="e">
        <v>#N/A</v>
      </c>
      <c r="H221" s="4" t="s">
        <v>124</v>
      </c>
      <c r="I221" s="14"/>
    </row>
    <row r="222" spans="1:9" x14ac:dyDescent="0.25">
      <c r="A222" s="14">
        <v>2013</v>
      </c>
      <c r="B222" s="14">
        <v>156</v>
      </c>
      <c r="C222" s="20">
        <v>41430</v>
      </c>
      <c r="D222" s="16" t="e">
        <v>#N/A</v>
      </c>
      <c r="E222" s="14">
        <v>10</v>
      </c>
      <c r="F222" s="23">
        <v>1</v>
      </c>
      <c r="G222" s="17" t="e">
        <v>#N/A</v>
      </c>
      <c r="H222" s="4" t="s">
        <v>123</v>
      </c>
      <c r="I222" s="14"/>
    </row>
    <row r="223" spans="1:9" x14ac:dyDescent="0.25">
      <c r="A223" s="14">
        <v>2013</v>
      </c>
      <c r="B223" s="14">
        <v>156</v>
      </c>
      <c r="C223" s="20">
        <v>41430</v>
      </c>
      <c r="D223" s="16" t="e">
        <v>#N/A</v>
      </c>
      <c r="E223" s="14">
        <v>10</v>
      </c>
      <c r="F223" s="23">
        <v>2</v>
      </c>
      <c r="G223" s="17" t="e">
        <v>#N/A</v>
      </c>
      <c r="H223" s="4" t="s">
        <v>123</v>
      </c>
      <c r="I223" s="14"/>
    </row>
    <row r="224" spans="1:9" x14ac:dyDescent="0.25">
      <c r="A224" s="14">
        <v>2013</v>
      </c>
      <c r="B224" s="14">
        <v>156</v>
      </c>
      <c r="C224" s="20">
        <v>41430</v>
      </c>
      <c r="D224" s="16" t="e">
        <v>#N/A</v>
      </c>
      <c r="E224" s="14">
        <v>10</v>
      </c>
      <c r="F224" s="23">
        <v>3</v>
      </c>
      <c r="G224" s="17" t="e">
        <v>#N/A</v>
      </c>
      <c r="H224" s="4" t="s">
        <v>123</v>
      </c>
      <c r="I224" s="14"/>
    </row>
    <row r="225" spans="1:9" x14ac:dyDescent="0.25">
      <c r="A225" s="14">
        <v>2013</v>
      </c>
      <c r="B225" s="14">
        <v>156</v>
      </c>
      <c r="C225" s="20">
        <v>41430</v>
      </c>
      <c r="D225" s="16" t="e">
        <v>#N/A</v>
      </c>
      <c r="E225" s="14">
        <v>10</v>
      </c>
      <c r="F225" s="23">
        <v>4</v>
      </c>
      <c r="G225" s="17" t="e">
        <v>#N/A</v>
      </c>
      <c r="H225" s="4" t="s">
        <v>123</v>
      </c>
      <c r="I225" s="14"/>
    </row>
    <row r="226" spans="1:9" x14ac:dyDescent="0.25">
      <c r="A226" s="14">
        <v>2013</v>
      </c>
      <c r="B226" s="14">
        <v>156</v>
      </c>
      <c r="C226" s="20">
        <v>41430</v>
      </c>
      <c r="D226" s="16">
        <v>0.4861111111111111</v>
      </c>
      <c r="E226" s="14">
        <v>10</v>
      </c>
      <c r="F226" s="23">
        <v>5</v>
      </c>
      <c r="G226" s="17">
        <v>0.28186999424939468</v>
      </c>
      <c r="H226" s="4" t="s">
        <v>0</v>
      </c>
      <c r="I226" s="14"/>
    </row>
    <row r="227" spans="1:9" x14ac:dyDescent="0.25">
      <c r="A227" s="14">
        <v>2013</v>
      </c>
      <c r="B227" s="14">
        <v>156</v>
      </c>
      <c r="C227" s="20">
        <v>41430</v>
      </c>
      <c r="D227" s="16">
        <v>0.4909722222222222</v>
      </c>
      <c r="E227" s="14">
        <v>10</v>
      </c>
      <c r="F227" s="23">
        <v>6</v>
      </c>
      <c r="G227" s="17">
        <v>0.26859788286924935</v>
      </c>
      <c r="H227" s="4" t="s">
        <v>0</v>
      </c>
      <c r="I227" s="14"/>
    </row>
    <row r="228" spans="1:9" x14ac:dyDescent="0.25">
      <c r="A228" s="14">
        <v>2013</v>
      </c>
      <c r="B228" s="14">
        <v>156</v>
      </c>
      <c r="C228" s="20">
        <v>41430</v>
      </c>
      <c r="D228" s="16" t="e">
        <v>#N/A</v>
      </c>
      <c r="E228" s="14">
        <v>10</v>
      </c>
      <c r="F228" s="23">
        <v>7</v>
      </c>
      <c r="G228" s="17" t="e">
        <v>#N/A</v>
      </c>
      <c r="H228" s="4" t="s">
        <v>123</v>
      </c>
      <c r="I228" s="14"/>
    </row>
    <row r="229" spans="1:9" x14ac:dyDescent="0.25">
      <c r="A229" s="14">
        <v>2013</v>
      </c>
      <c r="B229" s="14">
        <v>156</v>
      </c>
      <c r="C229" s="20">
        <v>41430</v>
      </c>
      <c r="D229" s="16" t="e">
        <v>#N/A</v>
      </c>
      <c r="E229" s="14">
        <v>10</v>
      </c>
      <c r="F229" s="23">
        <v>8</v>
      </c>
      <c r="G229" s="17" t="e">
        <v>#N/A</v>
      </c>
      <c r="H229" s="4" t="s">
        <v>123</v>
      </c>
      <c r="I229" s="14"/>
    </row>
    <row r="230" spans="1:9" x14ac:dyDescent="0.25">
      <c r="A230" s="14">
        <v>2013</v>
      </c>
      <c r="B230" s="14">
        <v>156</v>
      </c>
      <c r="C230" s="20">
        <v>41430</v>
      </c>
      <c r="D230" s="16" t="e">
        <v>#N/A</v>
      </c>
      <c r="E230" s="14">
        <v>10</v>
      </c>
      <c r="F230" s="23">
        <v>9</v>
      </c>
      <c r="G230" s="17" t="e">
        <v>#N/A</v>
      </c>
      <c r="H230" s="4" t="s">
        <v>123</v>
      </c>
      <c r="I230" s="14"/>
    </row>
    <row r="231" spans="1:9" x14ac:dyDescent="0.25">
      <c r="A231" s="14">
        <v>2013</v>
      </c>
      <c r="B231" s="14">
        <v>156</v>
      </c>
      <c r="C231" s="20">
        <v>41430</v>
      </c>
      <c r="D231" s="16" t="e">
        <v>#N/A</v>
      </c>
      <c r="E231" s="14">
        <v>10</v>
      </c>
      <c r="F231" s="23">
        <v>10</v>
      </c>
      <c r="G231" s="17" t="e">
        <v>#N/A</v>
      </c>
      <c r="H231" s="4" t="s">
        <v>123</v>
      </c>
      <c r="I231" s="14"/>
    </row>
    <row r="232" spans="1:9" x14ac:dyDescent="0.25">
      <c r="A232" s="14">
        <v>2013</v>
      </c>
      <c r="B232" s="14">
        <v>156</v>
      </c>
      <c r="C232" s="20">
        <v>41430</v>
      </c>
      <c r="D232" s="16" t="e">
        <v>#N/A</v>
      </c>
      <c r="E232" s="14">
        <v>10</v>
      </c>
      <c r="F232" s="23">
        <v>11</v>
      </c>
      <c r="G232" s="17" t="e">
        <v>#N/A</v>
      </c>
      <c r="H232" s="4" t="s">
        <v>124</v>
      </c>
      <c r="I232" s="14"/>
    </row>
    <row r="233" spans="1:9" x14ac:dyDescent="0.25">
      <c r="A233" s="14">
        <v>2013</v>
      </c>
      <c r="B233" s="14">
        <v>156</v>
      </c>
      <c r="C233" s="20">
        <v>41430</v>
      </c>
      <c r="D233" s="16" t="e">
        <v>#N/A</v>
      </c>
      <c r="E233" s="14">
        <v>10</v>
      </c>
      <c r="F233" s="23">
        <v>12</v>
      </c>
      <c r="G233" s="17" t="e">
        <v>#N/A</v>
      </c>
      <c r="H233" s="4" t="s">
        <v>124</v>
      </c>
      <c r="I233" s="14"/>
    </row>
    <row r="234" spans="1:9" x14ac:dyDescent="0.25">
      <c r="A234" s="14">
        <v>2013</v>
      </c>
      <c r="B234" s="14">
        <v>156</v>
      </c>
      <c r="C234" s="20">
        <v>41430</v>
      </c>
      <c r="D234" s="16" t="e">
        <v>#N/A</v>
      </c>
      <c r="E234" s="14">
        <v>10</v>
      </c>
      <c r="F234" s="23">
        <v>13</v>
      </c>
      <c r="G234" s="17" t="e">
        <v>#N/A</v>
      </c>
      <c r="H234" s="4" t="s">
        <v>124</v>
      </c>
      <c r="I234" s="14"/>
    </row>
    <row r="235" spans="1:9" x14ac:dyDescent="0.25">
      <c r="A235" s="14">
        <v>2013</v>
      </c>
      <c r="B235" s="14">
        <v>156</v>
      </c>
      <c r="C235" s="20">
        <v>41430</v>
      </c>
      <c r="D235" s="16" t="e">
        <v>#N/A</v>
      </c>
      <c r="E235" s="14">
        <v>10</v>
      </c>
      <c r="F235" s="23">
        <v>14</v>
      </c>
      <c r="G235" s="17" t="e">
        <v>#N/A</v>
      </c>
      <c r="H235" s="4" t="s">
        <v>124</v>
      </c>
      <c r="I235" s="14"/>
    </row>
    <row r="236" spans="1:9" x14ac:dyDescent="0.25">
      <c r="A236" s="14">
        <v>2013</v>
      </c>
      <c r="B236" s="14">
        <v>156</v>
      </c>
      <c r="C236" s="20">
        <v>41430</v>
      </c>
      <c r="D236" s="16">
        <v>0.50486111111111109</v>
      </c>
      <c r="E236" s="14">
        <v>10</v>
      </c>
      <c r="F236" s="23">
        <v>15</v>
      </c>
      <c r="G236" s="17">
        <v>0.27299619884987891</v>
      </c>
      <c r="H236" s="4" t="s">
        <v>1</v>
      </c>
      <c r="I236" s="14"/>
    </row>
    <row r="237" spans="1:9" x14ac:dyDescent="0.25">
      <c r="A237" s="14">
        <v>2013</v>
      </c>
      <c r="B237" s="14">
        <v>156</v>
      </c>
      <c r="C237" s="20">
        <v>41430</v>
      </c>
      <c r="D237" s="16">
        <v>0.50972222222222219</v>
      </c>
      <c r="E237" s="14">
        <v>10</v>
      </c>
      <c r="F237" s="23">
        <v>16</v>
      </c>
      <c r="G237" s="17">
        <v>0.26533772760290558</v>
      </c>
      <c r="H237" s="4" t="s">
        <v>1</v>
      </c>
      <c r="I237" s="14"/>
    </row>
    <row r="238" spans="1:9" x14ac:dyDescent="0.25">
      <c r="A238" s="14">
        <v>2013</v>
      </c>
      <c r="B238" s="14">
        <v>156</v>
      </c>
      <c r="C238" s="20">
        <v>41430</v>
      </c>
      <c r="D238" s="16" t="e">
        <v>#N/A</v>
      </c>
      <c r="E238" s="14">
        <v>10</v>
      </c>
      <c r="F238" s="23">
        <v>17</v>
      </c>
      <c r="G238" s="17" t="e">
        <v>#N/A</v>
      </c>
      <c r="H238" s="4" t="s">
        <v>124</v>
      </c>
      <c r="I238" s="14"/>
    </row>
    <row r="239" spans="1:9" x14ac:dyDescent="0.25">
      <c r="A239" s="14">
        <v>2013</v>
      </c>
      <c r="B239" s="14">
        <v>156</v>
      </c>
      <c r="C239" s="20">
        <v>41430</v>
      </c>
      <c r="D239" s="16" t="e">
        <v>#N/A</v>
      </c>
      <c r="E239" s="14">
        <v>10</v>
      </c>
      <c r="F239" s="23">
        <v>18</v>
      </c>
      <c r="G239" s="17" t="e">
        <v>#N/A</v>
      </c>
      <c r="H239" s="4" t="s">
        <v>124</v>
      </c>
      <c r="I239" s="14"/>
    </row>
    <row r="240" spans="1:9" x14ac:dyDescent="0.25">
      <c r="A240" s="14">
        <v>2013</v>
      </c>
      <c r="B240" s="14">
        <v>156</v>
      </c>
      <c r="C240" s="20">
        <v>41430</v>
      </c>
      <c r="D240" s="16" t="e">
        <v>#N/A</v>
      </c>
      <c r="E240" s="14">
        <v>10</v>
      </c>
      <c r="F240" s="23">
        <v>19</v>
      </c>
      <c r="G240" s="17" t="e">
        <v>#N/A</v>
      </c>
      <c r="H240" s="4" t="s">
        <v>124</v>
      </c>
      <c r="I240" s="14"/>
    </row>
    <row r="241" spans="1:9" x14ac:dyDescent="0.25">
      <c r="A241" s="14">
        <v>2013</v>
      </c>
      <c r="B241" s="14">
        <v>156</v>
      </c>
      <c r="C241" s="20">
        <v>41430</v>
      </c>
      <c r="D241" s="16" t="e">
        <v>#N/A</v>
      </c>
      <c r="E241" s="14">
        <v>10</v>
      </c>
      <c r="F241" s="23">
        <v>20</v>
      </c>
      <c r="G241" s="17" t="e">
        <v>#N/A</v>
      </c>
      <c r="H241" s="4" t="s">
        <v>124</v>
      </c>
      <c r="I241" s="14"/>
    </row>
    <row r="242" spans="1:9" x14ac:dyDescent="0.25">
      <c r="A242" s="14">
        <v>2013</v>
      </c>
      <c r="B242" s="14">
        <v>157</v>
      </c>
      <c r="C242" s="20">
        <v>41431</v>
      </c>
      <c r="D242" s="16" t="e">
        <v>#N/A</v>
      </c>
      <c r="E242" s="14">
        <v>230</v>
      </c>
      <c r="F242" s="23">
        <v>1</v>
      </c>
      <c r="G242" s="17" t="e">
        <v>#N/A</v>
      </c>
      <c r="H242" s="4" t="s">
        <v>123</v>
      </c>
      <c r="I242" s="14"/>
    </row>
    <row r="243" spans="1:9" x14ac:dyDescent="0.25">
      <c r="A243" s="14">
        <v>2013</v>
      </c>
      <c r="B243" s="14">
        <v>157</v>
      </c>
      <c r="C243" s="20">
        <v>41431</v>
      </c>
      <c r="D243" s="16" t="e">
        <v>#N/A</v>
      </c>
      <c r="E243" s="14">
        <v>230</v>
      </c>
      <c r="F243" s="23">
        <v>2</v>
      </c>
      <c r="G243" s="17" t="e">
        <v>#N/A</v>
      </c>
      <c r="H243" s="4" t="s">
        <v>123</v>
      </c>
      <c r="I243" s="14"/>
    </row>
    <row r="244" spans="1:9" x14ac:dyDescent="0.25">
      <c r="A244" s="14">
        <v>2013</v>
      </c>
      <c r="B244" s="14">
        <v>157</v>
      </c>
      <c r="C244" s="20">
        <v>41431</v>
      </c>
      <c r="D244" s="16" t="e">
        <v>#N/A</v>
      </c>
      <c r="E244" s="14">
        <v>230</v>
      </c>
      <c r="F244" s="23">
        <v>3</v>
      </c>
      <c r="G244" s="17" t="e">
        <v>#N/A</v>
      </c>
      <c r="H244" s="4" t="s">
        <v>123</v>
      </c>
      <c r="I244" s="14"/>
    </row>
    <row r="245" spans="1:9" x14ac:dyDescent="0.25">
      <c r="A245" s="14">
        <v>2013</v>
      </c>
      <c r="B245" s="14">
        <v>157</v>
      </c>
      <c r="C245" s="20">
        <v>41431</v>
      </c>
      <c r="D245" s="16" t="e">
        <v>#N/A</v>
      </c>
      <c r="E245" s="14">
        <v>230</v>
      </c>
      <c r="F245" s="23">
        <v>4</v>
      </c>
      <c r="G245" s="17" t="e">
        <v>#N/A</v>
      </c>
      <c r="H245" s="4" t="s">
        <v>123</v>
      </c>
      <c r="I245" s="14"/>
    </row>
    <row r="246" spans="1:9" x14ac:dyDescent="0.25">
      <c r="A246" s="14">
        <v>2013</v>
      </c>
      <c r="B246" s="14">
        <v>157</v>
      </c>
      <c r="C246" s="20">
        <v>41431</v>
      </c>
      <c r="D246" s="16">
        <v>0.65486111111111112</v>
      </c>
      <c r="E246" s="14">
        <v>230</v>
      </c>
      <c r="F246" s="23">
        <v>5</v>
      </c>
      <c r="G246" s="17" t="e">
        <v>#N/A</v>
      </c>
      <c r="H246" s="4" t="s">
        <v>0</v>
      </c>
      <c r="I246" s="14"/>
    </row>
    <row r="247" spans="1:9" x14ac:dyDescent="0.25">
      <c r="A247" s="14">
        <v>2013</v>
      </c>
      <c r="B247" s="14">
        <v>157</v>
      </c>
      <c r="C247" s="20">
        <v>41431</v>
      </c>
      <c r="D247" s="16">
        <v>0.65972222222222221</v>
      </c>
      <c r="E247" s="14">
        <v>230</v>
      </c>
      <c r="F247" s="23">
        <v>6</v>
      </c>
      <c r="G247" s="17" t="e">
        <v>#N/A</v>
      </c>
      <c r="H247" s="4" t="s">
        <v>0</v>
      </c>
      <c r="I247" s="14"/>
    </row>
    <row r="248" spans="1:9" x14ac:dyDescent="0.25">
      <c r="A248" s="14">
        <v>2013</v>
      </c>
      <c r="B248" s="14">
        <v>157</v>
      </c>
      <c r="C248" s="20">
        <v>41431</v>
      </c>
      <c r="D248" s="16" t="e">
        <v>#N/A</v>
      </c>
      <c r="E248" s="14">
        <v>230</v>
      </c>
      <c r="F248" s="23">
        <v>7</v>
      </c>
      <c r="G248" s="17" t="e">
        <v>#N/A</v>
      </c>
      <c r="H248" s="4" t="s">
        <v>123</v>
      </c>
      <c r="I248" s="14"/>
    </row>
    <row r="249" spans="1:9" x14ac:dyDescent="0.25">
      <c r="A249" s="14">
        <v>2013</v>
      </c>
      <c r="B249" s="14">
        <v>157</v>
      </c>
      <c r="C249" s="20">
        <v>41431</v>
      </c>
      <c r="D249" s="16" t="e">
        <v>#N/A</v>
      </c>
      <c r="E249" s="14">
        <v>230</v>
      </c>
      <c r="F249" s="23">
        <v>8</v>
      </c>
      <c r="G249" s="17" t="e">
        <v>#N/A</v>
      </c>
      <c r="H249" s="4" t="s">
        <v>123</v>
      </c>
      <c r="I249" s="14"/>
    </row>
    <row r="250" spans="1:9" x14ac:dyDescent="0.25">
      <c r="A250" s="14">
        <v>2013</v>
      </c>
      <c r="B250" s="14">
        <v>157</v>
      </c>
      <c r="C250" s="20">
        <v>41431</v>
      </c>
      <c r="D250" s="16" t="e">
        <v>#N/A</v>
      </c>
      <c r="E250" s="14">
        <v>230</v>
      </c>
      <c r="F250" s="23">
        <v>9</v>
      </c>
      <c r="G250" s="17" t="e">
        <v>#N/A</v>
      </c>
      <c r="H250" s="4" t="s">
        <v>123</v>
      </c>
      <c r="I250" s="14"/>
    </row>
    <row r="251" spans="1:9" x14ac:dyDescent="0.25">
      <c r="A251" s="14">
        <v>2013</v>
      </c>
      <c r="B251" s="14">
        <v>157</v>
      </c>
      <c r="C251" s="20">
        <v>41431</v>
      </c>
      <c r="D251" s="16" t="e">
        <v>#N/A</v>
      </c>
      <c r="E251" s="14">
        <v>230</v>
      </c>
      <c r="F251" s="23">
        <v>10</v>
      </c>
      <c r="G251" s="17" t="e">
        <v>#N/A</v>
      </c>
      <c r="H251" s="4" t="s">
        <v>123</v>
      </c>
      <c r="I251" s="14"/>
    </row>
    <row r="252" spans="1:9" x14ac:dyDescent="0.25">
      <c r="A252" s="14">
        <v>2013</v>
      </c>
      <c r="B252" s="14">
        <v>157</v>
      </c>
      <c r="C252" s="20">
        <v>41431</v>
      </c>
      <c r="D252" s="16" t="e">
        <v>#N/A</v>
      </c>
      <c r="E252" s="14">
        <v>230</v>
      </c>
      <c r="F252" s="23">
        <v>11</v>
      </c>
      <c r="G252" s="17" t="e">
        <v>#N/A</v>
      </c>
      <c r="H252" s="4" t="s">
        <v>124</v>
      </c>
      <c r="I252" s="14"/>
    </row>
    <row r="253" spans="1:9" x14ac:dyDescent="0.25">
      <c r="A253" s="14">
        <v>2013</v>
      </c>
      <c r="B253" s="14">
        <v>157</v>
      </c>
      <c r="C253" s="20">
        <v>41431</v>
      </c>
      <c r="D253" s="16" t="e">
        <v>#N/A</v>
      </c>
      <c r="E253" s="14">
        <v>230</v>
      </c>
      <c r="F253" s="23">
        <v>12</v>
      </c>
      <c r="G253" s="17" t="e">
        <v>#N/A</v>
      </c>
      <c r="H253" s="4" t="s">
        <v>124</v>
      </c>
      <c r="I253" s="14"/>
    </row>
    <row r="254" spans="1:9" x14ac:dyDescent="0.25">
      <c r="A254" s="14">
        <v>2013</v>
      </c>
      <c r="B254" s="14">
        <v>157</v>
      </c>
      <c r="C254" s="20">
        <v>41431</v>
      </c>
      <c r="D254" s="16" t="e">
        <v>#N/A</v>
      </c>
      <c r="E254" s="14">
        <v>230</v>
      </c>
      <c r="F254" s="23">
        <v>13</v>
      </c>
      <c r="G254" s="17" t="e">
        <v>#N/A</v>
      </c>
      <c r="H254" s="4" t="s">
        <v>124</v>
      </c>
      <c r="I254" s="14"/>
    </row>
    <row r="255" spans="1:9" x14ac:dyDescent="0.25">
      <c r="A255" s="14">
        <v>2013</v>
      </c>
      <c r="B255" s="14">
        <v>157</v>
      </c>
      <c r="C255" s="20">
        <v>41431</v>
      </c>
      <c r="D255" s="16" t="e">
        <v>#N/A</v>
      </c>
      <c r="E255" s="14">
        <v>230</v>
      </c>
      <c r="F255" s="23">
        <v>14</v>
      </c>
      <c r="G255" s="17" t="e">
        <v>#N/A</v>
      </c>
      <c r="H255" s="4" t="s">
        <v>124</v>
      </c>
      <c r="I255" s="14"/>
    </row>
    <row r="256" spans="1:9" x14ac:dyDescent="0.25">
      <c r="A256" s="14">
        <v>2013</v>
      </c>
      <c r="B256" s="14">
        <v>157</v>
      </c>
      <c r="C256" s="20">
        <v>41431</v>
      </c>
      <c r="D256" s="16">
        <v>0.63680555555555551</v>
      </c>
      <c r="E256" s="14">
        <v>230</v>
      </c>
      <c r="F256" s="23">
        <v>15</v>
      </c>
      <c r="G256" s="17" t="e">
        <v>#N/A</v>
      </c>
      <c r="H256" s="4" t="s">
        <v>1</v>
      </c>
      <c r="I256" s="14"/>
    </row>
    <row r="257" spans="1:9" x14ac:dyDescent="0.25">
      <c r="A257" s="14">
        <v>2013</v>
      </c>
      <c r="B257" s="14">
        <v>157</v>
      </c>
      <c r="C257" s="20">
        <v>41431</v>
      </c>
      <c r="D257" s="16">
        <v>0.64236111111111105</v>
      </c>
      <c r="E257" s="14">
        <v>230</v>
      </c>
      <c r="F257" s="23">
        <v>16</v>
      </c>
      <c r="G257" s="17" t="e">
        <v>#N/A</v>
      </c>
      <c r="H257" s="4" t="s">
        <v>1</v>
      </c>
      <c r="I257" s="14"/>
    </row>
    <row r="258" spans="1:9" x14ac:dyDescent="0.25">
      <c r="A258" s="14">
        <v>2013</v>
      </c>
      <c r="B258" s="14">
        <v>157</v>
      </c>
      <c r="C258" s="20">
        <v>41431</v>
      </c>
      <c r="D258" s="16" t="e">
        <v>#N/A</v>
      </c>
      <c r="E258" s="14">
        <v>230</v>
      </c>
      <c r="F258" s="23">
        <v>17</v>
      </c>
      <c r="G258" s="17" t="e">
        <v>#N/A</v>
      </c>
      <c r="H258" s="4" t="s">
        <v>124</v>
      </c>
      <c r="I258" s="14"/>
    </row>
    <row r="259" spans="1:9" x14ac:dyDescent="0.25">
      <c r="A259" s="14">
        <v>2013</v>
      </c>
      <c r="B259" s="14">
        <v>157</v>
      </c>
      <c r="C259" s="20">
        <v>41431</v>
      </c>
      <c r="D259" s="16" t="e">
        <v>#N/A</v>
      </c>
      <c r="E259" s="14">
        <v>230</v>
      </c>
      <c r="F259" s="23">
        <v>18</v>
      </c>
      <c r="G259" s="17" t="e">
        <v>#N/A</v>
      </c>
      <c r="H259" s="4" t="s">
        <v>124</v>
      </c>
      <c r="I259" s="14"/>
    </row>
    <row r="260" spans="1:9" x14ac:dyDescent="0.25">
      <c r="A260" s="14">
        <v>2013</v>
      </c>
      <c r="B260" s="14">
        <v>157</v>
      </c>
      <c r="C260" s="20">
        <v>41431</v>
      </c>
      <c r="D260" s="16" t="e">
        <v>#N/A</v>
      </c>
      <c r="E260" s="14">
        <v>230</v>
      </c>
      <c r="F260" s="23">
        <v>19</v>
      </c>
      <c r="G260" s="17" t="e">
        <v>#N/A</v>
      </c>
      <c r="H260" s="4" t="s">
        <v>124</v>
      </c>
      <c r="I260" s="14"/>
    </row>
    <row r="261" spans="1:9" x14ac:dyDescent="0.25">
      <c r="A261" s="14">
        <v>2013</v>
      </c>
      <c r="B261" s="14">
        <v>157</v>
      </c>
      <c r="C261" s="20">
        <v>41431</v>
      </c>
      <c r="D261" s="16" t="e">
        <v>#N/A</v>
      </c>
      <c r="E261" s="14">
        <v>230</v>
      </c>
      <c r="F261" s="23">
        <v>20</v>
      </c>
      <c r="G261" s="17" t="e">
        <v>#N/A</v>
      </c>
      <c r="H261" s="4" t="s">
        <v>124</v>
      </c>
      <c r="I261" s="14"/>
    </row>
    <row r="262" spans="1:9" x14ac:dyDescent="0.25">
      <c r="A262" s="14">
        <v>2013</v>
      </c>
      <c r="B262" s="14">
        <v>157</v>
      </c>
      <c r="C262" s="20">
        <v>41431</v>
      </c>
      <c r="D262" s="16" t="e">
        <v>#N/A</v>
      </c>
      <c r="E262" s="14">
        <v>210</v>
      </c>
      <c r="F262" s="23">
        <v>1</v>
      </c>
      <c r="G262" s="17" t="e">
        <v>#N/A</v>
      </c>
      <c r="H262" s="4" t="s">
        <v>123</v>
      </c>
      <c r="I262" s="14"/>
    </row>
    <row r="263" spans="1:9" x14ac:dyDescent="0.25">
      <c r="A263" s="14">
        <v>2013</v>
      </c>
      <c r="B263" s="14">
        <v>157</v>
      </c>
      <c r="C263" s="20">
        <v>41431</v>
      </c>
      <c r="D263" s="16" t="e">
        <v>#N/A</v>
      </c>
      <c r="E263" s="14">
        <v>210</v>
      </c>
      <c r="F263" s="23">
        <v>2</v>
      </c>
      <c r="G263" s="17" t="e">
        <v>#N/A</v>
      </c>
      <c r="H263" s="4" t="s">
        <v>123</v>
      </c>
      <c r="I263" s="14"/>
    </row>
    <row r="264" spans="1:9" x14ac:dyDescent="0.25">
      <c r="A264" s="14">
        <v>2013</v>
      </c>
      <c r="B264" s="14">
        <v>157</v>
      </c>
      <c r="C264" s="20">
        <v>41431</v>
      </c>
      <c r="D264" s="16" t="e">
        <v>#N/A</v>
      </c>
      <c r="E264" s="14">
        <v>210</v>
      </c>
      <c r="F264" s="23">
        <v>3</v>
      </c>
      <c r="G264" s="17" t="e">
        <v>#N/A</v>
      </c>
      <c r="H264" s="4" t="s">
        <v>123</v>
      </c>
      <c r="I264" s="14"/>
    </row>
    <row r="265" spans="1:9" x14ac:dyDescent="0.25">
      <c r="A265" s="14">
        <v>2013</v>
      </c>
      <c r="B265" s="14">
        <v>157</v>
      </c>
      <c r="C265" s="20">
        <v>41431</v>
      </c>
      <c r="D265" s="16" t="e">
        <v>#N/A</v>
      </c>
      <c r="E265" s="14">
        <v>210</v>
      </c>
      <c r="F265" s="23">
        <v>4</v>
      </c>
      <c r="G265" s="17" t="e">
        <v>#N/A</v>
      </c>
      <c r="H265" s="4" t="s">
        <v>123</v>
      </c>
      <c r="I265" s="14"/>
    </row>
    <row r="266" spans="1:9" x14ac:dyDescent="0.25">
      <c r="A266" s="14">
        <v>2013</v>
      </c>
      <c r="B266" s="14">
        <v>157</v>
      </c>
      <c r="C266" s="20">
        <v>41431</v>
      </c>
      <c r="D266" s="16">
        <v>0.65486111111111112</v>
      </c>
      <c r="E266" s="14">
        <v>210</v>
      </c>
      <c r="F266" s="23">
        <v>5</v>
      </c>
      <c r="G266" s="17" t="e">
        <v>#N/A</v>
      </c>
      <c r="H266" s="4" t="s">
        <v>0</v>
      </c>
      <c r="I266" s="14"/>
    </row>
    <row r="267" spans="1:9" x14ac:dyDescent="0.25">
      <c r="A267" s="14">
        <v>2013</v>
      </c>
      <c r="B267" s="14">
        <v>157</v>
      </c>
      <c r="C267" s="20">
        <v>41431</v>
      </c>
      <c r="D267" s="16">
        <v>0.65972222222222221</v>
      </c>
      <c r="E267" s="14">
        <v>210</v>
      </c>
      <c r="F267" s="23">
        <v>6</v>
      </c>
      <c r="G267" s="17" t="e">
        <v>#N/A</v>
      </c>
      <c r="H267" s="4" t="s">
        <v>0</v>
      </c>
      <c r="I267" s="14"/>
    </row>
    <row r="268" spans="1:9" x14ac:dyDescent="0.25">
      <c r="A268" s="14">
        <v>2013</v>
      </c>
      <c r="B268" s="14">
        <v>157</v>
      </c>
      <c r="C268" s="20">
        <v>41431</v>
      </c>
      <c r="D268" s="16" t="e">
        <v>#N/A</v>
      </c>
      <c r="E268" s="14">
        <v>210</v>
      </c>
      <c r="F268" s="23">
        <v>7</v>
      </c>
      <c r="G268" s="17" t="e">
        <v>#N/A</v>
      </c>
      <c r="H268" s="4" t="s">
        <v>123</v>
      </c>
      <c r="I268" s="14"/>
    </row>
    <row r="269" spans="1:9" x14ac:dyDescent="0.25">
      <c r="A269" s="14">
        <v>2013</v>
      </c>
      <c r="B269" s="14">
        <v>157</v>
      </c>
      <c r="C269" s="20">
        <v>41431</v>
      </c>
      <c r="D269" s="16" t="e">
        <v>#N/A</v>
      </c>
      <c r="E269" s="14">
        <v>210</v>
      </c>
      <c r="F269" s="23">
        <v>8</v>
      </c>
      <c r="G269" s="17" t="e">
        <v>#N/A</v>
      </c>
      <c r="H269" s="4" t="s">
        <v>123</v>
      </c>
      <c r="I269" s="14"/>
    </row>
    <row r="270" spans="1:9" x14ac:dyDescent="0.25">
      <c r="A270" s="14">
        <v>2013</v>
      </c>
      <c r="B270" s="14">
        <v>157</v>
      </c>
      <c r="C270" s="20">
        <v>41431</v>
      </c>
      <c r="D270" s="16" t="e">
        <v>#N/A</v>
      </c>
      <c r="E270" s="14">
        <v>210</v>
      </c>
      <c r="F270" s="23">
        <v>9</v>
      </c>
      <c r="G270" s="17" t="e">
        <v>#N/A</v>
      </c>
      <c r="H270" s="4" t="s">
        <v>123</v>
      </c>
      <c r="I270" s="14"/>
    </row>
    <row r="271" spans="1:9" x14ac:dyDescent="0.25">
      <c r="A271" s="14">
        <v>2013</v>
      </c>
      <c r="B271" s="14">
        <v>157</v>
      </c>
      <c r="C271" s="20">
        <v>41431</v>
      </c>
      <c r="D271" s="16" t="e">
        <v>#N/A</v>
      </c>
      <c r="E271" s="14">
        <v>210</v>
      </c>
      <c r="F271" s="23">
        <v>10</v>
      </c>
      <c r="G271" s="17" t="e">
        <v>#N/A</v>
      </c>
      <c r="H271" s="4" t="s">
        <v>123</v>
      </c>
      <c r="I271" s="14"/>
    </row>
    <row r="272" spans="1:9" x14ac:dyDescent="0.25">
      <c r="A272" s="14">
        <v>2013</v>
      </c>
      <c r="B272" s="14">
        <v>157</v>
      </c>
      <c r="C272" s="20">
        <v>41431</v>
      </c>
      <c r="D272" s="16" t="e">
        <v>#N/A</v>
      </c>
      <c r="E272" s="14">
        <v>210</v>
      </c>
      <c r="F272" s="23">
        <v>11</v>
      </c>
      <c r="G272" s="17" t="e">
        <v>#N/A</v>
      </c>
      <c r="H272" s="4" t="s">
        <v>124</v>
      </c>
      <c r="I272" s="14"/>
    </row>
    <row r="273" spans="1:9" x14ac:dyDescent="0.25">
      <c r="A273" s="14">
        <v>2013</v>
      </c>
      <c r="B273" s="14">
        <v>157</v>
      </c>
      <c r="C273" s="20">
        <v>41431</v>
      </c>
      <c r="D273" s="16" t="e">
        <v>#N/A</v>
      </c>
      <c r="E273" s="14">
        <v>210</v>
      </c>
      <c r="F273" s="23">
        <v>12</v>
      </c>
      <c r="G273" s="17" t="e">
        <v>#N/A</v>
      </c>
      <c r="H273" s="4" t="s">
        <v>124</v>
      </c>
      <c r="I273" s="14"/>
    </row>
    <row r="274" spans="1:9" x14ac:dyDescent="0.25">
      <c r="A274" s="14">
        <v>2013</v>
      </c>
      <c r="B274" s="14">
        <v>157</v>
      </c>
      <c r="C274" s="20">
        <v>41431</v>
      </c>
      <c r="D274" s="16" t="e">
        <v>#N/A</v>
      </c>
      <c r="E274" s="14">
        <v>210</v>
      </c>
      <c r="F274" s="23">
        <v>13</v>
      </c>
      <c r="G274" s="17" t="e">
        <v>#N/A</v>
      </c>
      <c r="H274" s="4" t="s">
        <v>124</v>
      </c>
      <c r="I274" s="14"/>
    </row>
    <row r="275" spans="1:9" x14ac:dyDescent="0.25">
      <c r="A275" s="14">
        <v>2013</v>
      </c>
      <c r="B275" s="14">
        <v>157</v>
      </c>
      <c r="C275" s="20">
        <v>41431</v>
      </c>
      <c r="D275" s="16" t="e">
        <v>#N/A</v>
      </c>
      <c r="E275" s="14">
        <v>210</v>
      </c>
      <c r="F275" s="23">
        <v>14</v>
      </c>
      <c r="G275" s="17" t="e">
        <v>#N/A</v>
      </c>
      <c r="H275" s="4" t="s">
        <v>124</v>
      </c>
      <c r="I275" s="14"/>
    </row>
    <row r="276" spans="1:9" x14ac:dyDescent="0.25">
      <c r="A276" s="14">
        <v>2013</v>
      </c>
      <c r="B276" s="14">
        <v>157</v>
      </c>
      <c r="C276" s="20">
        <v>41431</v>
      </c>
      <c r="D276" s="16">
        <v>0.63680555555555551</v>
      </c>
      <c r="E276" s="14">
        <v>210</v>
      </c>
      <c r="F276" s="23">
        <v>15</v>
      </c>
      <c r="G276" s="17" t="e">
        <v>#N/A</v>
      </c>
      <c r="H276" s="4" t="s">
        <v>1</v>
      </c>
      <c r="I276" s="14"/>
    </row>
    <row r="277" spans="1:9" x14ac:dyDescent="0.25">
      <c r="A277" s="14">
        <v>2013</v>
      </c>
      <c r="B277" s="14">
        <v>157</v>
      </c>
      <c r="C277" s="20">
        <v>41431</v>
      </c>
      <c r="D277" s="16">
        <v>0.64236111111111105</v>
      </c>
      <c r="E277" s="14">
        <v>210</v>
      </c>
      <c r="F277" s="23">
        <v>16</v>
      </c>
      <c r="G277" s="17" t="e">
        <v>#N/A</v>
      </c>
      <c r="H277" s="4" t="s">
        <v>1</v>
      </c>
      <c r="I277" s="14"/>
    </row>
    <row r="278" spans="1:9" x14ac:dyDescent="0.25">
      <c r="A278" s="14">
        <v>2013</v>
      </c>
      <c r="B278" s="14">
        <v>157</v>
      </c>
      <c r="C278" s="20">
        <v>41431</v>
      </c>
      <c r="D278" s="16" t="e">
        <v>#N/A</v>
      </c>
      <c r="E278" s="14">
        <v>210</v>
      </c>
      <c r="F278" s="23">
        <v>17</v>
      </c>
      <c r="G278" s="17" t="e">
        <v>#N/A</v>
      </c>
      <c r="H278" s="4" t="s">
        <v>124</v>
      </c>
      <c r="I278" s="14"/>
    </row>
    <row r="279" spans="1:9" x14ac:dyDescent="0.25">
      <c r="A279" s="14">
        <v>2013</v>
      </c>
      <c r="B279" s="14">
        <v>157</v>
      </c>
      <c r="C279" s="20">
        <v>41431</v>
      </c>
      <c r="D279" s="16" t="e">
        <v>#N/A</v>
      </c>
      <c r="E279" s="14">
        <v>210</v>
      </c>
      <c r="F279" s="23">
        <v>18</v>
      </c>
      <c r="G279" s="17" t="e">
        <v>#N/A</v>
      </c>
      <c r="H279" s="4" t="s">
        <v>124</v>
      </c>
      <c r="I279" s="14"/>
    </row>
    <row r="280" spans="1:9" x14ac:dyDescent="0.25">
      <c r="A280" s="14">
        <v>2013</v>
      </c>
      <c r="B280" s="14">
        <v>157</v>
      </c>
      <c r="C280" s="20">
        <v>41431</v>
      </c>
      <c r="D280" s="16" t="e">
        <v>#N/A</v>
      </c>
      <c r="E280" s="14">
        <v>210</v>
      </c>
      <c r="F280" s="23">
        <v>19</v>
      </c>
      <c r="G280" s="17" t="e">
        <v>#N/A</v>
      </c>
      <c r="H280" s="4" t="s">
        <v>124</v>
      </c>
      <c r="I280" s="14"/>
    </row>
    <row r="281" spans="1:9" x14ac:dyDescent="0.25">
      <c r="A281" s="14">
        <v>2013</v>
      </c>
      <c r="B281" s="14">
        <v>157</v>
      </c>
      <c r="C281" s="20">
        <v>41431</v>
      </c>
      <c r="D281" s="16" t="e">
        <v>#N/A</v>
      </c>
      <c r="E281" s="14">
        <v>210</v>
      </c>
      <c r="F281" s="23">
        <v>20</v>
      </c>
      <c r="G281" s="17" t="e">
        <v>#N/A</v>
      </c>
      <c r="H281" s="4" t="s">
        <v>124</v>
      </c>
      <c r="I281" s="14"/>
    </row>
    <row r="282" spans="1:9" x14ac:dyDescent="0.25">
      <c r="A282" s="14">
        <v>2013</v>
      </c>
      <c r="B282" s="14">
        <v>157</v>
      </c>
      <c r="C282" s="20">
        <v>41431</v>
      </c>
      <c r="D282" s="16" t="e">
        <v>#N/A</v>
      </c>
      <c r="E282" s="14">
        <v>190</v>
      </c>
      <c r="F282" s="23">
        <v>1</v>
      </c>
      <c r="G282" s="17" t="e">
        <v>#N/A</v>
      </c>
      <c r="H282" s="4" t="s">
        <v>123</v>
      </c>
      <c r="I282" s="14"/>
    </row>
    <row r="283" spans="1:9" x14ac:dyDescent="0.25">
      <c r="A283" s="14">
        <v>2013</v>
      </c>
      <c r="B283" s="14">
        <v>157</v>
      </c>
      <c r="C283" s="20">
        <v>41431</v>
      </c>
      <c r="D283" s="16" t="e">
        <v>#N/A</v>
      </c>
      <c r="E283" s="14">
        <v>190</v>
      </c>
      <c r="F283" s="23">
        <v>2</v>
      </c>
      <c r="G283" s="17" t="e">
        <v>#N/A</v>
      </c>
      <c r="H283" s="4" t="s">
        <v>123</v>
      </c>
      <c r="I283" s="14"/>
    </row>
    <row r="284" spans="1:9" x14ac:dyDescent="0.25">
      <c r="A284" s="14">
        <v>2013</v>
      </c>
      <c r="B284" s="14">
        <v>157</v>
      </c>
      <c r="C284" s="20">
        <v>41431</v>
      </c>
      <c r="D284" s="16" t="e">
        <v>#N/A</v>
      </c>
      <c r="E284" s="14">
        <v>190</v>
      </c>
      <c r="F284" s="23">
        <v>3</v>
      </c>
      <c r="G284" s="17" t="e">
        <v>#N/A</v>
      </c>
      <c r="H284" s="4" t="s">
        <v>123</v>
      </c>
      <c r="I284" s="14"/>
    </row>
    <row r="285" spans="1:9" x14ac:dyDescent="0.25">
      <c r="A285" s="14">
        <v>2013</v>
      </c>
      <c r="B285" s="14">
        <v>157</v>
      </c>
      <c r="C285" s="20">
        <v>41431</v>
      </c>
      <c r="D285" s="16" t="e">
        <v>#N/A</v>
      </c>
      <c r="E285" s="14">
        <v>190</v>
      </c>
      <c r="F285" s="23">
        <v>4</v>
      </c>
      <c r="G285" s="17" t="e">
        <v>#N/A</v>
      </c>
      <c r="H285" s="4" t="s">
        <v>123</v>
      </c>
      <c r="I285" s="14"/>
    </row>
    <row r="286" spans="1:9" x14ac:dyDescent="0.25">
      <c r="A286" s="14">
        <v>2013</v>
      </c>
      <c r="B286" s="14">
        <v>157</v>
      </c>
      <c r="C286" s="20">
        <v>41431</v>
      </c>
      <c r="D286" s="16">
        <v>0.65486111111111112</v>
      </c>
      <c r="E286" s="14">
        <v>190</v>
      </c>
      <c r="F286" s="23">
        <v>5</v>
      </c>
      <c r="G286" s="17">
        <v>0.32646006053879528</v>
      </c>
      <c r="H286" s="4" t="s">
        <v>0</v>
      </c>
      <c r="I286" s="14"/>
    </row>
    <row r="287" spans="1:9" x14ac:dyDescent="0.25">
      <c r="A287" s="14">
        <v>2013</v>
      </c>
      <c r="B287" s="14">
        <v>157</v>
      </c>
      <c r="C287" s="20">
        <v>41431</v>
      </c>
      <c r="D287" s="16">
        <v>0.65972222222222221</v>
      </c>
      <c r="E287" s="14">
        <v>190</v>
      </c>
      <c r="F287" s="23">
        <v>6</v>
      </c>
      <c r="G287" s="17">
        <v>0.33946158339219046</v>
      </c>
      <c r="H287" s="4" t="s">
        <v>0</v>
      </c>
      <c r="I287" s="14"/>
    </row>
    <row r="288" spans="1:9" x14ac:dyDescent="0.25">
      <c r="A288" s="14">
        <v>2013</v>
      </c>
      <c r="B288" s="14">
        <v>157</v>
      </c>
      <c r="C288" s="20">
        <v>41431</v>
      </c>
      <c r="D288" s="16" t="e">
        <v>#N/A</v>
      </c>
      <c r="E288" s="14">
        <v>190</v>
      </c>
      <c r="F288" s="23">
        <v>7</v>
      </c>
      <c r="G288" s="17" t="e">
        <v>#N/A</v>
      </c>
      <c r="H288" s="4" t="s">
        <v>123</v>
      </c>
      <c r="I288" s="14"/>
    </row>
    <row r="289" spans="1:9" x14ac:dyDescent="0.25">
      <c r="A289" s="14">
        <v>2013</v>
      </c>
      <c r="B289" s="14">
        <v>157</v>
      </c>
      <c r="C289" s="20">
        <v>41431</v>
      </c>
      <c r="D289" s="16" t="e">
        <v>#N/A</v>
      </c>
      <c r="E289" s="14">
        <v>190</v>
      </c>
      <c r="F289" s="23">
        <v>8</v>
      </c>
      <c r="G289" s="17" t="e">
        <v>#N/A</v>
      </c>
      <c r="H289" s="4" t="s">
        <v>123</v>
      </c>
      <c r="I289" s="14"/>
    </row>
    <row r="290" spans="1:9" x14ac:dyDescent="0.25">
      <c r="A290" s="14">
        <v>2013</v>
      </c>
      <c r="B290" s="14">
        <v>157</v>
      </c>
      <c r="C290" s="20">
        <v>41431</v>
      </c>
      <c r="D290" s="16" t="e">
        <v>#N/A</v>
      </c>
      <c r="E290" s="14">
        <v>190</v>
      </c>
      <c r="F290" s="23">
        <v>9</v>
      </c>
      <c r="G290" s="17" t="e">
        <v>#N/A</v>
      </c>
      <c r="H290" s="4" t="s">
        <v>123</v>
      </c>
      <c r="I290" s="14"/>
    </row>
    <row r="291" spans="1:9" x14ac:dyDescent="0.25">
      <c r="A291" s="14">
        <v>2013</v>
      </c>
      <c r="B291" s="14">
        <v>157</v>
      </c>
      <c r="C291" s="20">
        <v>41431</v>
      </c>
      <c r="D291" s="16" t="e">
        <v>#N/A</v>
      </c>
      <c r="E291" s="14">
        <v>190</v>
      </c>
      <c r="F291" s="23">
        <v>10</v>
      </c>
      <c r="G291" s="17" t="e">
        <v>#N/A</v>
      </c>
      <c r="H291" s="4" t="s">
        <v>123</v>
      </c>
      <c r="I291" s="14"/>
    </row>
    <row r="292" spans="1:9" x14ac:dyDescent="0.25">
      <c r="A292" s="14">
        <v>2013</v>
      </c>
      <c r="B292" s="14">
        <v>157</v>
      </c>
      <c r="C292" s="20">
        <v>41431</v>
      </c>
      <c r="D292" s="16" t="e">
        <v>#N/A</v>
      </c>
      <c r="E292" s="14">
        <v>190</v>
      </c>
      <c r="F292" s="23">
        <v>11</v>
      </c>
      <c r="G292" s="17" t="e">
        <v>#N/A</v>
      </c>
      <c r="H292" s="4" t="s">
        <v>124</v>
      </c>
      <c r="I292" s="14"/>
    </row>
    <row r="293" spans="1:9" x14ac:dyDescent="0.25">
      <c r="A293" s="14">
        <v>2013</v>
      </c>
      <c r="B293" s="14">
        <v>157</v>
      </c>
      <c r="C293" s="20">
        <v>41431</v>
      </c>
      <c r="D293" s="16" t="e">
        <v>#N/A</v>
      </c>
      <c r="E293" s="14">
        <v>190</v>
      </c>
      <c r="F293" s="23">
        <v>12</v>
      </c>
      <c r="G293" s="17" t="e">
        <v>#N/A</v>
      </c>
      <c r="H293" s="4" t="s">
        <v>124</v>
      </c>
      <c r="I293" s="14"/>
    </row>
    <row r="294" spans="1:9" x14ac:dyDescent="0.25">
      <c r="A294" s="14">
        <v>2013</v>
      </c>
      <c r="B294" s="14">
        <v>157</v>
      </c>
      <c r="C294" s="20">
        <v>41431</v>
      </c>
      <c r="D294" s="16" t="e">
        <v>#N/A</v>
      </c>
      <c r="E294" s="14">
        <v>190</v>
      </c>
      <c r="F294" s="23">
        <v>13</v>
      </c>
      <c r="G294" s="17" t="e">
        <v>#N/A</v>
      </c>
      <c r="H294" s="4" t="s">
        <v>124</v>
      </c>
      <c r="I294" s="14"/>
    </row>
    <row r="295" spans="1:9" x14ac:dyDescent="0.25">
      <c r="A295" s="14">
        <v>2013</v>
      </c>
      <c r="B295" s="14">
        <v>157</v>
      </c>
      <c r="C295" s="20">
        <v>41431</v>
      </c>
      <c r="D295" s="16" t="e">
        <v>#N/A</v>
      </c>
      <c r="E295" s="14">
        <v>190</v>
      </c>
      <c r="F295" s="23">
        <v>14</v>
      </c>
      <c r="G295" s="17" t="e">
        <v>#N/A</v>
      </c>
      <c r="H295" s="4" t="s">
        <v>124</v>
      </c>
      <c r="I295" s="14"/>
    </row>
    <row r="296" spans="1:9" x14ac:dyDescent="0.25">
      <c r="A296" s="14">
        <v>2013</v>
      </c>
      <c r="B296" s="14">
        <v>157</v>
      </c>
      <c r="C296" s="20">
        <v>41431</v>
      </c>
      <c r="D296" s="16">
        <v>0.63680555555555551</v>
      </c>
      <c r="E296" s="14">
        <v>190</v>
      </c>
      <c r="F296" s="23">
        <v>15</v>
      </c>
      <c r="G296" s="17">
        <v>0.31703038462314592</v>
      </c>
      <c r="H296" s="4" t="s">
        <v>1</v>
      </c>
      <c r="I296" s="14"/>
    </row>
    <row r="297" spans="1:9" x14ac:dyDescent="0.25">
      <c r="A297" s="14">
        <v>2013</v>
      </c>
      <c r="B297" s="14">
        <v>157</v>
      </c>
      <c r="C297" s="20">
        <v>41431</v>
      </c>
      <c r="D297" s="16">
        <v>0.64236111111111105</v>
      </c>
      <c r="E297" s="14">
        <v>190</v>
      </c>
      <c r="F297" s="23">
        <v>16</v>
      </c>
      <c r="G297" s="17">
        <v>0.31192774614065177</v>
      </c>
      <c r="H297" s="4" t="s">
        <v>1</v>
      </c>
      <c r="I297" s="14"/>
    </row>
    <row r="298" spans="1:9" x14ac:dyDescent="0.25">
      <c r="A298" s="14">
        <v>2013</v>
      </c>
      <c r="B298" s="14">
        <v>157</v>
      </c>
      <c r="C298" s="20">
        <v>41431</v>
      </c>
      <c r="D298" s="16" t="e">
        <v>#N/A</v>
      </c>
      <c r="E298" s="14">
        <v>190</v>
      </c>
      <c r="F298" s="23">
        <v>17</v>
      </c>
      <c r="G298" s="17" t="e">
        <v>#N/A</v>
      </c>
      <c r="H298" s="4" t="s">
        <v>124</v>
      </c>
      <c r="I298" s="14"/>
    </row>
    <row r="299" spans="1:9" x14ac:dyDescent="0.25">
      <c r="A299" s="14">
        <v>2013</v>
      </c>
      <c r="B299" s="14">
        <v>157</v>
      </c>
      <c r="C299" s="20">
        <v>41431</v>
      </c>
      <c r="D299" s="16" t="e">
        <v>#N/A</v>
      </c>
      <c r="E299" s="14">
        <v>190</v>
      </c>
      <c r="F299" s="23">
        <v>18</v>
      </c>
      <c r="G299" s="17" t="e">
        <v>#N/A</v>
      </c>
      <c r="H299" s="4" t="s">
        <v>124</v>
      </c>
      <c r="I299" s="14"/>
    </row>
    <row r="300" spans="1:9" x14ac:dyDescent="0.25">
      <c r="A300" s="14">
        <v>2013</v>
      </c>
      <c r="B300" s="14">
        <v>157</v>
      </c>
      <c r="C300" s="20">
        <v>41431</v>
      </c>
      <c r="D300" s="16" t="e">
        <v>#N/A</v>
      </c>
      <c r="E300" s="14">
        <v>190</v>
      </c>
      <c r="F300" s="23">
        <v>19</v>
      </c>
      <c r="G300" s="17" t="e">
        <v>#N/A</v>
      </c>
      <c r="H300" s="4" t="s">
        <v>124</v>
      </c>
      <c r="I300" s="14"/>
    </row>
    <row r="301" spans="1:9" x14ac:dyDescent="0.25">
      <c r="A301" s="14">
        <v>2013</v>
      </c>
      <c r="B301" s="14">
        <v>157</v>
      </c>
      <c r="C301" s="20">
        <v>41431</v>
      </c>
      <c r="D301" s="16" t="e">
        <v>#N/A</v>
      </c>
      <c r="E301" s="14">
        <v>190</v>
      </c>
      <c r="F301" s="23">
        <v>20</v>
      </c>
      <c r="G301" s="17" t="e">
        <v>#N/A</v>
      </c>
      <c r="H301" s="4" t="s">
        <v>124</v>
      </c>
      <c r="I301" s="14"/>
    </row>
    <row r="302" spans="1:9" x14ac:dyDescent="0.25">
      <c r="A302" s="14">
        <v>2013</v>
      </c>
      <c r="B302" s="14">
        <v>157</v>
      </c>
      <c r="C302" s="20">
        <v>41431</v>
      </c>
      <c r="D302" s="16" t="e">
        <v>#N/A</v>
      </c>
      <c r="E302" s="14">
        <v>170</v>
      </c>
      <c r="F302" s="23">
        <v>1</v>
      </c>
      <c r="G302" s="17" t="e">
        <v>#N/A</v>
      </c>
      <c r="H302" s="4" t="s">
        <v>123</v>
      </c>
      <c r="I302" s="14"/>
    </row>
    <row r="303" spans="1:9" x14ac:dyDescent="0.25">
      <c r="A303" s="14">
        <v>2013</v>
      </c>
      <c r="B303" s="14">
        <v>157</v>
      </c>
      <c r="C303" s="20">
        <v>41431</v>
      </c>
      <c r="D303" s="16" t="e">
        <v>#N/A</v>
      </c>
      <c r="E303" s="14">
        <v>170</v>
      </c>
      <c r="F303" s="23">
        <v>2</v>
      </c>
      <c r="G303" s="17" t="e">
        <v>#N/A</v>
      </c>
      <c r="H303" s="4" t="s">
        <v>123</v>
      </c>
      <c r="I303" s="14"/>
    </row>
    <row r="304" spans="1:9" x14ac:dyDescent="0.25">
      <c r="A304" s="14">
        <v>2013</v>
      </c>
      <c r="B304" s="14">
        <v>157</v>
      </c>
      <c r="C304" s="20">
        <v>41431</v>
      </c>
      <c r="D304" s="16" t="e">
        <v>#N/A</v>
      </c>
      <c r="E304" s="14">
        <v>170</v>
      </c>
      <c r="F304" s="23">
        <v>3</v>
      </c>
      <c r="G304" s="17" t="e">
        <v>#N/A</v>
      </c>
      <c r="H304" s="4" t="s">
        <v>123</v>
      </c>
      <c r="I304" s="14"/>
    </row>
    <row r="305" spans="1:9" x14ac:dyDescent="0.25">
      <c r="A305" s="14">
        <v>2013</v>
      </c>
      <c r="B305" s="14">
        <v>157</v>
      </c>
      <c r="C305" s="20">
        <v>41431</v>
      </c>
      <c r="D305" s="16" t="e">
        <v>#N/A</v>
      </c>
      <c r="E305" s="14">
        <v>170</v>
      </c>
      <c r="F305" s="23">
        <v>4</v>
      </c>
      <c r="G305" s="17" t="e">
        <v>#N/A</v>
      </c>
      <c r="H305" s="4" t="s">
        <v>123</v>
      </c>
      <c r="I305" s="14"/>
    </row>
    <row r="306" spans="1:9" x14ac:dyDescent="0.25">
      <c r="A306" s="14">
        <v>2013</v>
      </c>
      <c r="B306" s="14">
        <v>157</v>
      </c>
      <c r="C306" s="20">
        <v>41431</v>
      </c>
      <c r="D306" s="16">
        <v>0.65486111111111112</v>
      </c>
      <c r="E306" s="14">
        <v>170</v>
      </c>
      <c r="F306" s="23">
        <v>5</v>
      </c>
      <c r="G306" s="17">
        <v>0.32480680567046716</v>
      </c>
      <c r="H306" s="4" t="s">
        <v>0</v>
      </c>
      <c r="I306" s="14"/>
    </row>
    <row r="307" spans="1:9" x14ac:dyDescent="0.25">
      <c r="A307" s="14">
        <v>2013</v>
      </c>
      <c r="B307" s="14">
        <v>157</v>
      </c>
      <c r="C307" s="20">
        <v>41431</v>
      </c>
      <c r="D307" s="16">
        <v>0.65972222222222221</v>
      </c>
      <c r="E307" s="14">
        <v>170</v>
      </c>
      <c r="F307" s="23">
        <v>6</v>
      </c>
      <c r="G307" s="17">
        <v>0.32878686368681265</v>
      </c>
      <c r="H307" s="4" t="s">
        <v>0</v>
      </c>
      <c r="I307" s="14"/>
    </row>
    <row r="308" spans="1:9" x14ac:dyDescent="0.25">
      <c r="A308" s="14">
        <v>2013</v>
      </c>
      <c r="B308" s="14">
        <v>157</v>
      </c>
      <c r="C308" s="20">
        <v>41431</v>
      </c>
      <c r="D308" s="16" t="e">
        <v>#N/A</v>
      </c>
      <c r="E308" s="14">
        <v>170</v>
      </c>
      <c r="F308" s="23">
        <v>7</v>
      </c>
      <c r="G308" s="17" t="e">
        <v>#N/A</v>
      </c>
      <c r="H308" s="4" t="s">
        <v>123</v>
      </c>
      <c r="I308" s="14"/>
    </row>
    <row r="309" spans="1:9" x14ac:dyDescent="0.25">
      <c r="A309" s="14">
        <v>2013</v>
      </c>
      <c r="B309" s="14">
        <v>157</v>
      </c>
      <c r="C309" s="20">
        <v>41431</v>
      </c>
      <c r="D309" s="16" t="e">
        <v>#N/A</v>
      </c>
      <c r="E309" s="14">
        <v>170</v>
      </c>
      <c r="F309" s="23">
        <v>8</v>
      </c>
      <c r="G309" s="17" t="e">
        <v>#N/A</v>
      </c>
      <c r="H309" s="4" t="s">
        <v>123</v>
      </c>
      <c r="I309" s="14"/>
    </row>
    <row r="310" spans="1:9" x14ac:dyDescent="0.25">
      <c r="A310" s="14">
        <v>2013</v>
      </c>
      <c r="B310" s="14">
        <v>157</v>
      </c>
      <c r="C310" s="20">
        <v>41431</v>
      </c>
      <c r="D310" s="16" t="e">
        <v>#N/A</v>
      </c>
      <c r="E310" s="14">
        <v>170</v>
      </c>
      <c r="F310" s="23">
        <v>9</v>
      </c>
      <c r="G310" s="17" t="e">
        <v>#N/A</v>
      </c>
      <c r="H310" s="4" t="s">
        <v>123</v>
      </c>
      <c r="I310" s="14"/>
    </row>
    <row r="311" spans="1:9" x14ac:dyDescent="0.25">
      <c r="A311" s="14">
        <v>2013</v>
      </c>
      <c r="B311" s="14">
        <v>157</v>
      </c>
      <c r="C311" s="20">
        <v>41431</v>
      </c>
      <c r="D311" s="16" t="e">
        <v>#N/A</v>
      </c>
      <c r="E311" s="14">
        <v>170</v>
      </c>
      <c r="F311" s="23">
        <v>10</v>
      </c>
      <c r="G311" s="17" t="e">
        <v>#N/A</v>
      </c>
      <c r="H311" s="4" t="s">
        <v>123</v>
      </c>
      <c r="I311" s="14"/>
    </row>
    <row r="312" spans="1:9" x14ac:dyDescent="0.25">
      <c r="A312" s="14">
        <v>2013</v>
      </c>
      <c r="B312" s="14">
        <v>157</v>
      </c>
      <c r="C312" s="20">
        <v>41431</v>
      </c>
      <c r="D312" s="16" t="e">
        <v>#N/A</v>
      </c>
      <c r="E312" s="14">
        <v>170</v>
      </c>
      <c r="F312" s="23">
        <v>11</v>
      </c>
      <c r="G312" s="17" t="e">
        <v>#N/A</v>
      </c>
      <c r="H312" s="4" t="s">
        <v>124</v>
      </c>
      <c r="I312" s="14"/>
    </row>
    <row r="313" spans="1:9" x14ac:dyDescent="0.25">
      <c r="A313" s="14">
        <v>2013</v>
      </c>
      <c r="B313" s="14">
        <v>157</v>
      </c>
      <c r="C313" s="20">
        <v>41431</v>
      </c>
      <c r="D313" s="16" t="e">
        <v>#N/A</v>
      </c>
      <c r="E313" s="14">
        <v>170</v>
      </c>
      <c r="F313" s="23">
        <v>12</v>
      </c>
      <c r="G313" s="17" t="e">
        <v>#N/A</v>
      </c>
      <c r="H313" s="4" t="s">
        <v>124</v>
      </c>
      <c r="I313" s="14"/>
    </row>
    <row r="314" spans="1:9" x14ac:dyDescent="0.25">
      <c r="A314" s="14">
        <v>2013</v>
      </c>
      <c r="B314" s="14">
        <v>157</v>
      </c>
      <c r="C314" s="20">
        <v>41431</v>
      </c>
      <c r="D314" s="16" t="e">
        <v>#N/A</v>
      </c>
      <c r="E314" s="14">
        <v>170</v>
      </c>
      <c r="F314" s="23">
        <v>13</v>
      </c>
      <c r="G314" s="17" t="e">
        <v>#N/A</v>
      </c>
      <c r="H314" s="4" t="s">
        <v>124</v>
      </c>
      <c r="I314" s="14"/>
    </row>
    <row r="315" spans="1:9" x14ac:dyDescent="0.25">
      <c r="A315" s="14">
        <v>2013</v>
      </c>
      <c r="B315" s="14">
        <v>157</v>
      </c>
      <c r="C315" s="20">
        <v>41431</v>
      </c>
      <c r="D315" s="16" t="e">
        <v>#N/A</v>
      </c>
      <c r="E315" s="14">
        <v>170</v>
      </c>
      <c r="F315" s="23">
        <v>14</v>
      </c>
      <c r="G315" s="17" t="e">
        <v>#N/A</v>
      </c>
      <c r="H315" s="4" t="s">
        <v>124</v>
      </c>
      <c r="I315" s="14"/>
    </row>
    <row r="316" spans="1:9" x14ac:dyDescent="0.25">
      <c r="A316" s="14">
        <v>2013</v>
      </c>
      <c r="B316" s="14">
        <v>157</v>
      </c>
      <c r="C316" s="20">
        <v>41431</v>
      </c>
      <c r="D316" s="16">
        <v>0.63680555555555551</v>
      </c>
      <c r="E316" s="14">
        <v>170</v>
      </c>
      <c r="F316" s="23">
        <v>15</v>
      </c>
      <c r="G316" s="17">
        <v>0.32941959085864192</v>
      </c>
      <c r="H316" s="4" t="s">
        <v>1</v>
      </c>
      <c r="I316" s="14"/>
    </row>
    <row r="317" spans="1:9" x14ac:dyDescent="0.25">
      <c r="A317" s="14">
        <v>2013</v>
      </c>
      <c r="B317" s="14">
        <v>157</v>
      </c>
      <c r="C317" s="20">
        <v>41431</v>
      </c>
      <c r="D317" s="16">
        <v>0.64236111111111105</v>
      </c>
      <c r="E317" s="14">
        <v>170</v>
      </c>
      <c r="F317" s="23">
        <v>16</v>
      </c>
      <c r="G317" s="17">
        <v>0.32245959196851981</v>
      </c>
      <c r="H317" s="4" t="s">
        <v>1</v>
      </c>
      <c r="I317" s="14"/>
    </row>
    <row r="318" spans="1:9" x14ac:dyDescent="0.25">
      <c r="A318" s="14">
        <v>2013</v>
      </c>
      <c r="B318" s="14">
        <v>157</v>
      </c>
      <c r="C318" s="20">
        <v>41431</v>
      </c>
      <c r="D318" s="16" t="e">
        <v>#N/A</v>
      </c>
      <c r="E318" s="14">
        <v>170</v>
      </c>
      <c r="F318" s="23">
        <v>17</v>
      </c>
      <c r="G318" s="17" t="e">
        <v>#N/A</v>
      </c>
      <c r="H318" s="4" t="s">
        <v>124</v>
      </c>
      <c r="I318" s="14"/>
    </row>
    <row r="319" spans="1:9" x14ac:dyDescent="0.25">
      <c r="A319" s="14">
        <v>2013</v>
      </c>
      <c r="B319" s="14">
        <v>157</v>
      </c>
      <c r="C319" s="20">
        <v>41431</v>
      </c>
      <c r="D319" s="16" t="e">
        <v>#N/A</v>
      </c>
      <c r="E319" s="14">
        <v>170</v>
      </c>
      <c r="F319" s="23">
        <v>18</v>
      </c>
      <c r="G319" s="17" t="e">
        <v>#N/A</v>
      </c>
      <c r="H319" s="4" t="s">
        <v>124</v>
      </c>
      <c r="I319" s="14"/>
    </row>
    <row r="320" spans="1:9" x14ac:dyDescent="0.25">
      <c r="A320" s="14">
        <v>2013</v>
      </c>
      <c r="B320" s="14">
        <v>157</v>
      </c>
      <c r="C320" s="20">
        <v>41431</v>
      </c>
      <c r="D320" s="16" t="e">
        <v>#N/A</v>
      </c>
      <c r="E320" s="14">
        <v>170</v>
      </c>
      <c r="F320" s="23">
        <v>19</v>
      </c>
      <c r="G320" s="17" t="e">
        <v>#N/A</v>
      </c>
      <c r="H320" s="4" t="s">
        <v>124</v>
      </c>
      <c r="I320" s="14"/>
    </row>
    <row r="321" spans="1:9" x14ac:dyDescent="0.25">
      <c r="A321" s="14">
        <v>2013</v>
      </c>
      <c r="B321" s="14">
        <v>157</v>
      </c>
      <c r="C321" s="20">
        <v>41431</v>
      </c>
      <c r="D321" s="16" t="e">
        <v>#N/A</v>
      </c>
      <c r="E321" s="14">
        <v>170</v>
      </c>
      <c r="F321" s="23">
        <v>20</v>
      </c>
      <c r="G321" s="17" t="e">
        <v>#N/A</v>
      </c>
      <c r="H321" s="4" t="s">
        <v>124</v>
      </c>
      <c r="I321" s="14"/>
    </row>
    <row r="322" spans="1:9" x14ac:dyDescent="0.25">
      <c r="A322" s="14">
        <v>2013</v>
      </c>
      <c r="B322" s="14">
        <v>157</v>
      </c>
      <c r="C322" s="20">
        <v>41431</v>
      </c>
      <c r="D322" s="16" t="e">
        <v>#N/A</v>
      </c>
      <c r="E322" s="14">
        <v>150</v>
      </c>
      <c r="F322" s="23">
        <v>1</v>
      </c>
      <c r="G322" s="17" t="e">
        <v>#N/A</v>
      </c>
      <c r="H322" s="4" t="s">
        <v>123</v>
      </c>
      <c r="I322" s="14"/>
    </row>
    <row r="323" spans="1:9" x14ac:dyDescent="0.25">
      <c r="A323" s="14">
        <v>2013</v>
      </c>
      <c r="B323" s="14">
        <v>157</v>
      </c>
      <c r="C323" s="20">
        <v>41431</v>
      </c>
      <c r="D323" s="16" t="e">
        <v>#N/A</v>
      </c>
      <c r="E323" s="14">
        <v>150</v>
      </c>
      <c r="F323" s="23">
        <v>2</v>
      </c>
      <c r="G323" s="17" t="e">
        <v>#N/A</v>
      </c>
      <c r="H323" s="4" t="s">
        <v>123</v>
      </c>
      <c r="I323" s="14"/>
    </row>
    <row r="324" spans="1:9" x14ac:dyDescent="0.25">
      <c r="A324" s="14">
        <v>2013</v>
      </c>
      <c r="B324" s="14">
        <v>157</v>
      </c>
      <c r="C324" s="20">
        <v>41431</v>
      </c>
      <c r="D324" s="16" t="e">
        <v>#N/A</v>
      </c>
      <c r="E324" s="14">
        <v>150</v>
      </c>
      <c r="F324" s="23">
        <v>3</v>
      </c>
      <c r="G324" s="17" t="e">
        <v>#N/A</v>
      </c>
      <c r="H324" s="4" t="s">
        <v>123</v>
      </c>
      <c r="I324" s="14"/>
    </row>
    <row r="325" spans="1:9" x14ac:dyDescent="0.25">
      <c r="A325" s="14">
        <v>2013</v>
      </c>
      <c r="B325" s="14">
        <v>157</v>
      </c>
      <c r="C325" s="20">
        <v>41431</v>
      </c>
      <c r="D325" s="16" t="e">
        <v>#N/A</v>
      </c>
      <c r="E325" s="14">
        <v>150</v>
      </c>
      <c r="F325" s="23">
        <v>4</v>
      </c>
      <c r="G325" s="17" t="e">
        <v>#N/A</v>
      </c>
      <c r="H325" s="4" t="s">
        <v>123</v>
      </c>
      <c r="I325" s="14"/>
    </row>
    <row r="326" spans="1:9" x14ac:dyDescent="0.25">
      <c r="A326" s="14">
        <v>2013</v>
      </c>
      <c r="B326" s="14">
        <v>157</v>
      </c>
      <c r="C326" s="20">
        <v>41431</v>
      </c>
      <c r="D326" s="16">
        <v>0.65486111111111112</v>
      </c>
      <c r="E326" s="14">
        <v>150</v>
      </c>
      <c r="F326" s="23">
        <v>5</v>
      </c>
      <c r="G326" s="17">
        <v>0.36301536262738376</v>
      </c>
      <c r="H326" s="4" t="s">
        <v>0</v>
      </c>
      <c r="I326" s="14"/>
    </row>
    <row r="327" spans="1:9" x14ac:dyDescent="0.25">
      <c r="A327" s="14">
        <v>2013</v>
      </c>
      <c r="B327" s="14">
        <v>157</v>
      </c>
      <c r="C327" s="20">
        <v>41431</v>
      </c>
      <c r="D327" s="16">
        <v>0.65972222222222221</v>
      </c>
      <c r="E327" s="14">
        <v>150</v>
      </c>
      <c r="F327" s="23">
        <v>6</v>
      </c>
      <c r="G327" s="17">
        <v>0.35274885400060541</v>
      </c>
      <c r="H327" s="4" t="s">
        <v>0</v>
      </c>
      <c r="I327" s="14"/>
    </row>
    <row r="328" spans="1:9" x14ac:dyDescent="0.25">
      <c r="A328" s="14">
        <v>2013</v>
      </c>
      <c r="B328" s="14">
        <v>157</v>
      </c>
      <c r="C328" s="20">
        <v>41431</v>
      </c>
      <c r="D328" s="16" t="e">
        <v>#N/A</v>
      </c>
      <c r="E328" s="14">
        <v>150</v>
      </c>
      <c r="F328" s="23">
        <v>7</v>
      </c>
      <c r="G328" s="17" t="e">
        <v>#N/A</v>
      </c>
      <c r="H328" s="4" t="s">
        <v>123</v>
      </c>
      <c r="I328" s="14"/>
    </row>
    <row r="329" spans="1:9" x14ac:dyDescent="0.25">
      <c r="A329" s="14">
        <v>2013</v>
      </c>
      <c r="B329" s="14">
        <v>157</v>
      </c>
      <c r="C329" s="20">
        <v>41431</v>
      </c>
      <c r="D329" s="16" t="e">
        <v>#N/A</v>
      </c>
      <c r="E329" s="14">
        <v>150</v>
      </c>
      <c r="F329" s="23">
        <v>8</v>
      </c>
      <c r="G329" s="17" t="e">
        <v>#N/A</v>
      </c>
      <c r="H329" s="4" t="s">
        <v>123</v>
      </c>
      <c r="I329" s="14"/>
    </row>
    <row r="330" spans="1:9" x14ac:dyDescent="0.25">
      <c r="A330" s="14">
        <v>2013</v>
      </c>
      <c r="B330" s="14">
        <v>157</v>
      </c>
      <c r="C330" s="20">
        <v>41431</v>
      </c>
      <c r="D330" s="16" t="e">
        <v>#N/A</v>
      </c>
      <c r="E330" s="14">
        <v>150</v>
      </c>
      <c r="F330" s="23">
        <v>9</v>
      </c>
      <c r="G330" s="17" t="e">
        <v>#N/A</v>
      </c>
      <c r="H330" s="4" t="s">
        <v>123</v>
      </c>
      <c r="I330" s="14"/>
    </row>
    <row r="331" spans="1:9" x14ac:dyDescent="0.25">
      <c r="A331" s="14">
        <v>2013</v>
      </c>
      <c r="B331" s="14">
        <v>157</v>
      </c>
      <c r="C331" s="20">
        <v>41431</v>
      </c>
      <c r="D331" s="16" t="e">
        <v>#N/A</v>
      </c>
      <c r="E331" s="14">
        <v>150</v>
      </c>
      <c r="F331" s="23">
        <v>10</v>
      </c>
      <c r="G331" s="17" t="e">
        <v>#N/A</v>
      </c>
      <c r="H331" s="4" t="s">
        <v>123</v>
      </c>
      <c r="I331" s="14"/>
    </row>
    <row r="332" spans="1:9" x14ac:dyDescent="0.25">
      <c r="A332" s="14">
        <v>2013</v>
      </c>
      <c r="B332" s="14">
        <v>157</v>
      </c>
      <c r="C332" s="20">
        <v>41431</v>
      </c>
      <c r="D332" s="16" t="e">
        <v>#N/A</v>
      </c>
      <c r="E332" s="14">
        <v>150</v>
      </c>
      <c r="F332" s="23">
        <v>11</v>
      </c>
      <c r="G332" s="17" t="e">
        <v>#N/A</v>
      </c>
      <c r="H332" s="4" t="s">
        <v>124</v>
      </c>
      <c r="I332" s="14"/>
    </row>
    <row r="333" spans="1:9" x14ac:dyDescent="0.25">
      <c r="A333" s="14">
        <v>2013</v>
      </c>
      <c r="B333" s="14">
        <v>157</v>
      </c>
      <c r="C333" s="20">
        <v>41431</v>
      </c>
      <c r="D333" s="16" t="e">
        <v>#N/A</v>
      </c>
      <c r="E333" s="14">
        <v>150</v>
      </c>
      <c r="F333" s="23">
        <v>12</v>
      </c>
      <c r="G333" s="17" t="e">
        <v>#N/A</v>
      </c>
      <c r="H333" s="4" t="s">
        <v>124</v>
      </c>
      <c r="I333" s="14"/>
    </row>
    <row r="334" spans="1:9" x14ac:dyDescent="0.25">
      <c r="A334" s="14">
        <v>2013</v>
      </c>
      <c r="B334" s="14">
        <v>157</v>
      </c>
      <c r="C334" s="20">
        <v>41431</v>
      </c>
      <c r="D334" s="16" t="e">
        <v>#N/A</v>
      </c>
      <c r="E334" s="14">
        <v>150</v>
      </c>
      <c r="F334" s="23">
        <v>13</v>
      </c>
      <c r="G334" s="17" t="e">
        <v>#N/A</v>
      </c>
      <c r="H334" s="4" t="s">
        <v>124</v>
      </c>
      <c r="I334" s="14"/>
    </row>
    <row r="335" spans="1:9" x14ac:dyDescent="0.25">
      <c r="A335" s="14">
        <v>2013</v>
      </c>
      <c r="B335" s="14">
        <v>157</v>
      </c>
      <c r="C335" s="20">
        <v>41431</v>
      </c>
      <c r="D335" s="16" t="e">
        <v>#N/A</v>
      </c>
      <c r="E335" s="14">
        <v>150</v>
      </c>
      <c r="F335" s="23">
        <v>14</v>
      </c>
      <c r="G335" s="17" t="e">
        <v>#N/A</v>
      </c>
      <c r="H335" s="4" t="s">
        <v>124</v>
      </c>
      <c r="I335" s="14"/>
    </row>
    <row r="336" spans="1:9" x14ac:dyDescent="0.25">
      <c r="A336" s="14">
        <v>2013</v>
      </c>
      <c r="B336" s="14">
        <v>157</v>
      </c>
      <c r="C336" s="20">
        <v>41431</v>
      </c>
      <c r="D336" s="16">
        <v>0.63680555555555551</v>
      </c>
      <c r="E336" s="14">
        <v>150</v>
      </c>
      <c r="F336" s="23">
        <v>15</v>
      </c>
      <c r="G336" s="17">
        <v>0.35264680123095549</v>
      </c>
      <c r="H336" s="4" t="s">
        <v>1</v>
      </c>
      <c r="I336" s="14"/>
    </row>
    <row r="337" spans="1:9" x14ac:dyDescent="0.25">
      <c r="A337" s="14">
        <v>2013</v>
      </c>
      <c r="B337" s="14">
        <v>157</v>
      </c>
      <c r="C337" s="20">
        <v>41431</v>
      </c>
      <c r="D337" s="16">
        <v>0.64236111111111105</v>
      </c>
      <c r="E337" s="14">
        <v>150</v>
      </c>
      <c r="F337" s="23">
        <v>16</v>
      </c>
      <c r="G337" s="17">
        <v>0.33558357814549489</v>
      </c>
      <c r="H337" s="4" t="s">
        <v>1</v>
      </c>
      <c r="I337" s="14"/>
    </row>
    <row r="338" spans="1:9" x14ac:dyDescent="0.25">
      <c r="A338" s="14">
        <v>2013</v>
      </c>
      <c r="B338" s="14">
        <v>157</v>
      </c>
      <c r="C338" s="20">
        <v>41431</v>
      </c>
      <c r="D338" s="16" t="e">
        <v>#N/A</v>
      </c>
      <c r="E338" s="14">
        <v>150</v>
      </c>
      <c r="F338" s="23">
        <v>17</v>
      </c>
      <c r="G338" s="17" t="e">
        <v>#N/A</v>
      </c>
      <c r="H338" s="4" t="s">
        <v>124</v>
      </c>
      <c r="I338" s="14"/>
    </row>
    <row r="339" spans="1:9" x14ac:dyDescent="0.25">
      <c r="A339" s="14">
        <v>2013</v>
      </c>
      <c r="B339" s="14">
        <v>157</v>
      </c>
      <c r="C339" s="20">
        <v>41431</v>
      </c>
      <c r="D339" s="16" t="e">
        <v>#N/A</v>
      </c>
      <c r="E339" s="14">
        <v>150</v>
      </c>
      <c r="F339" s="23">
        <v>18</v>
      </c>
      <c r="G339" s="17" t="e">
        <v>#N/A</v>
      </c>
      <c r="H339" s="4" t="s">
        <v>124</v>
      </c>
      <c r="I339" s="14"/>
    </row>
    <row r="340" spans="1:9" x14ac:dyDescent="0.25">
      <c r="A340" s="14">
        <v>2013</v>
      </c>
      <c r="B340" s="14">
        <v>157</v>
      </c>
      <c r="C340" s="20">
        <v>41431</v>
      </c>
      <c r="D340" s="16" t="e">
        <v>#N/A</v>
      </c>
      <c r="E340" s="14">
        <v>150</v>
      </c>
      <c r="F340" s="23">
        <v>19</v>
      </c>
      <c r="G340" s="17" t="e">
        <v>#N/A</v>
      </c>
      <c r="H340" s="4" t="s">
        <v>124</v>
      </c>
      <c r="I340" s="14"/>
    </row>
    <row r="341" spans="1:9" x14ac:dyDescent="0.25">
      <c r="A341" s="14">
        <v>2013</v>
      </c>
      <c r="B341" s="14">
        <v>157</v>
      </c>
      <c r="C341" s="20">
        <v>41431</v>
      </c>
      <c r="D341" s="16" t="e">
        <v>#N/A</v>
      </c>
      <c r="E341" s="14">
        <v>150</v>
      </c>
      <c r="F341" s="23">
        <v>20</v>
      </c>
      <c r="G341" s="17" t="e">
        <v>#N/A</v>
      </c>
      <c r="H341" s="4" t="s">
        <v>124</v>
      </c>
      <c r="I341" s="14"/>
    </row>
    <row r="342" spans="1:9" x14ac:dyDescent="0.25">
      <c r="A342" s="14">
        <v>2013</v>
      </c>
      <c r="B342" s="14">
        <v>157</v>
      </c>
      <c r="C342" s="20">
        <v>41431</v>
      </c>
      <c r="D342" s="16" t="e">
        <v>#N/A</v>
      </c>
      <c r="E342" s="14">
        <v>130</v>
      </c>
      <c r="F342" s="23">
        <v>1</v>
      </c>
      <c r="G342" s="17" t="e">
        <v>#N/A</v>
      </c>
      <c r="H342" s="4" t="s">
        <v>123</v>
      </c>
      <c r="I342" s="14"/>
    </row>
    <row r="343" spans="1:9" x14ac:dyDescent="0.25">
      <c r="A343" s="14">
        <v>2013</v>
      </c>
      <c r="B343" s="14">
        <v>157</v>
      </c>
      <c r="C343" s="20">
        <v>41431</v>
      </c>
      <c r="D343" s="16" t="e">
        <v>#N/A</v>
      </c>
      <c r="E343" s="14">
        <v>130</v>
      </c>
      <c r="F343" s="23">
        <v>2</v>
      </c>
      <c r="G343" s="17" t="e">
        <v>#N/A</v>
      </c>
      <c r="H343" s="4" t="s">
        <v>123</v>
      </c>
      <c r="I343" s="14"/>
    </row>
    <row r="344" spans="1:9" x14ac:dyDescent="0.25">
      <c r="A344" s="14">
        <v>2013</v>
      </c>
      <c r="B344" s="14">
        <v>157</v>
      </c>
      <c r="C344" s="20">
        <v>41431</v>
      </c>
      <c r="D344" s="16" t="e">
        <v>#N/A</v>
      </c>
      <c r="E344" s="14">
        <v>130</v>
      </c>
      <c r="F344" s="23">
        <v>3</v>
      </c>
      <c r="G344" s="17" t="e">
        <v>#N/A</v>
      </c>
      <c r="H344" s="4" t="s">
        <v>123</v>
      </c>
      <c r="I344" s="14"/>
    </row>
    <row r="345" spans="1:9" x14ac:dyDescent="0.25">
      <c r="A345" s="14">
        <v>2013</v>
      </c>
      <c r="B345" s="14">
        <v>157</v>
      </c>
      <c r="C345" s="20">
        <v>41431</v>
      </c>
      <c r="D345" s="16" t="e">
        <v>#N/A</v>
      </c>
      <c r="E345" s="14">
        <v>130</v>
      </c>
      <c r="F345" s="23">
        <v>4</v>
      </c>
      <c r="G345" s="17" t="e">
        <v>#N/A</v>
      </c>
      <c r="H345" s="4" t="s">
        <v>123</v>
      </c>
      <c r="I345" s="14"/>
    </row>
    <row r="346" spans="1:9" x14ac:dyDescent="0.25">
      <c r="A346" s="14">
        <v>2013</v>
      </c>
      <c r="B346" s="14">
        <v>157</v>
      </c>
      <c r="C346" s="20">
        <v>41431</v>
      </c>
      <c r="D346" s="16">
        <v>0.65486111111111112</v>
      </c>
      <c r="E346" s="14">
        <v>130</v>
      </c>
      <c r="F346" s="23">
        <v>5</v>
      </c>
      <c r="G346" s="17">
        <v>0.3314810568055695</v>
      </c>
      <c r="H346" s="4" t="s">
        <v>0</v>
      </c>
      <c r="I346" s="14"/>
    </row>
    <row r="347" spans="1:9" x14ac:dyDescent="0.25">
      <c r="A347" s="14">
        <v>2013</v>
      </c>
      <c r="B347" s="14">
        <v>157</v>
      </c>
      <c r="C347" s="20">
        <v>41431</v>
      </c>
      <c r="D347" s="16">
        <v>0.65972222222222221</v>
      </c>
      <c r="E347" s="14">
        <v>130</v>
      </c>
      <c r="F347" s="23">
        <v>6</v>
      </c>
      <c r="G347" s="17">
        <v>0.31968375663404303</v>
      </c>
      <c r="H347" s="4" t="s">
        <v>0</v>
      </c>
      <c r="I347" s="14"/>
    </row>
    <row r="348" spans="1:9" x14ac:dyDescent="0.25">
      <c r="A348" s="14">
        <v>2013</v>
      </c>
      <c r="B348" s="14">
        <v>157</v>
      </c>
      <c r="C348" s="20">
        <v>41431</v>
      </c>
      <c r="D348" s="16" t="e">
        <v>#N/A</v>
      </c>
      <c r="E348" s="14">
        <v>130</v>
      </c>
      <c r="F348" s="23">
        <v>7</v>
      </c>
      <c r="G348" s="17" t="e">
        <v>#N/A</v>
      </c>
      <c r="H348" s="4" t="s">
        <v>123</v>
      </c>
      <c r="I348" s="14"/>
    </row>
    <row r="349" spans="1:9" x14ac:dyDescent="0.25">
      <c r="A349" s="14">
        <v>2013</v>
      </c>
      <c r="B349" s="14">
        <v>157</v>
      </c>
      <c r="C349" s="20">
        <v>41431</v>
      </c>
      <c r="D349" s="16" t="e">
        <v>#N/A</v>
      </c>
      <c r="E349" s="14">
        <v>130</v>
      </c>
      <c r="F349" s="23">
        <v>8</v>
      </c>
      <c r="G349" s="17" t="e">
        <v>#N/A</v>
      </c>
      <c r="H349" s="4" t="s">
        <v>123</v>
      </c>
      <c r="I349" s="14"/>
    </row>
    <row r="350" spans="1:9" x14ac:dyDescent="0.25">
      <c r="A350" s="14">
        <v>2013</v>
      </c>
      <c r="B350" s="14">
        <v>157</v>
      </c>
      <c r="C350" s="20">
        <v>41431</v>
      </c>
      <c r="D350" s="16" t="e">
        <v>#N/A</v>
      </c>
      <c r="E350" s="14">
        <v>130</v>
      </c>
      <c r="F350" s="23">
        <v>9</v>
      </c>
      <c r="G350" s="17" t="e">
        <v>#N/A</v>
      </c>
      <c r="H350" s="4" t="s">
        <v>123</v>
      </c>
      <c r="I350" s="14"/>
    </row>
    <row r="351" spans="1:9" x14ac:dyDescent="0.25">
      <c r="A351" s="14">
        <v>2013</v>
      </c>
      <c r="B351" s="14">
        <v>157</v>
      </c>
      <c r="C351" s="20">
        <v>41431</v>
      </c>
      <c r="D351" s="16" t="e">
        <v>#N/A</v>
      </c>
      <c r="E351" s="14">
        <v>130</v>
      </c>
      <c r="F351" s="23">
        <v>10</v>
      </c>
      <c r="G351" s="17" t="e">
        <v>#N/A</v>
      </c>
      <c r="H351" s="4" t="s">
        <v>123</v>
      </c>
      <c r="I351" s="14"/>
    </row>
    <row r="352" spans="1:9" x14ac:dyDescent="0.25">
      <c r="A352" s="14">
        <v>2013</v>
      </c>
      <c r="B352" s="14">
        <v>157</v>
      </c>
      <c r="C352" s="20">
        <v>41431</v>
      </c>
      <c r="D352" s="16" t="e">
        <v>#N/A</v>
      </c>
      <c r="E352" s="14">
        <v>130</v>
      </c>
      <c r="F352" s="23">
        <v>11</v>
      </c>
      <c r="G352" s="17" t="e">
        <v>#N/A</v>
      </c>
      <c r="H352" s="4" t="s">
        <v>124</v>
      </c>
      <c r="I352" s="14"/>
    </row>
    <row r="353" spans="1:9" x14ac:dyDescent="0.25">
      <c r="A353" s="14">
        <v>2013</v>
      </c>
      <c r="B353" s="14">
        <v>157</v>
      </c>
      <c r="C353" s="20">
        <v>41431</v>
      </c>
      <c r="D353" s="16" t="e">
        <v>#N/A</v>
      </c>
      <c r="E353" s="14">
        <v>130</v>
      </c>
      <c r="F353" s="23">
        <v>12</v>
      </c>
      <c r="G353" s="17" t="e">
        <v>#N/A</v>
      </c>
      <c r="H353" s="4" t="s">
        <v>124</v>
      </c>
      <c r="I353" s="14"/>
    </row>
    <row r="354" spans="1:9" x14ac:dyDescent="0.25">
      <c r="A354" s="14">
        <v>2013</v>
      </c>
      <c r="B354" s="14">
        <v>157</v>
      </c>
      <c r="C354" s="20">
        <v>41431</v>
      </c>
      <c r="D354" s="16" t="e">
        <v>#N/A</v>
      </c>
      <c r="E354" s="14">
        <v>130</v>
      </c>
      <c r="F354" s="23">
        <v>13</v>
      </c>
      <c r="G354" s="17" t="e">
        <v>#N/A</v>
      </c>
      <c r="H354" s="4" t="s">
        <v>124</v>
      </c>
      <c r="I354" s="14"/>
    </row>
    <row r="355" spans="1:9" x14ac:dyDescent="0.25">
      <c r="A355" s="14">
        <v>2013</v>
      </c>
      <c r="B355" s="14">
        <v>157</v>
      </c>
      <c r="C355" s="20">
        <v>41431</v>
      </c>
      <c r="D355" s="16" t="e">
        <v>#N/A</v>
      </c>
      <c r="E355" s="14">
        <v>130</v>
      </c>
      <c r="F355" s="23">
        <v>14</v>
      </c>
      <c r="G355" s="17" t="e">
        <v>#N/A</v>
      </c>
      <c r="H355" s="4" t="s">
        <v>124</v>
      </c>
      <c r="I355" s="14"/>
    </row>
    <row r="356" spans="1:9" x14ac:dyDescent="0.25">
      <c r="A356" s="14">
        <v>2013</v>
      </c>
      <c r="B356" s="14">
        <v>157</v>
      </c>
      <c r="C356" s="20">
        <v>41431</v>
      </c>
      <c r="D356" s="16">
        <v>0.63680555555555551</v>
      </c>
      <c r="E356" s="14">
        <v>130</v>
      </c>
      <c r="F356" s="23">
        <v>15</v>
      </c>
      <c r="G356" s="17">
        <v>0.31860199727575422</v>
      </c>
      <c r="H356" s="4" t="s">
        <v>1</v>
      </c>
      <c r="I356" s="14"/>
    </row>
    <row r="357" spans="1:9" x14ac:dyDescent="0.25">
      <c r="A357" s="14">
        <v>2013</v>
      </c>
      <c r="B357" s="14">
        <v>157</v>
      </c>
      <c r="C357" s="20">
        <v>41431</v>
      </c>
      <c r="D357" s="16">
        <v>0.64236111111111105</v>
      </c>
      <c r="E357" s="14">
        <v>130</v>
      </c>
      <c r="F357" s="23">
        <v>16</v>
      </c>
      <c r="G357" s="17">
        <v>0.31449947593582883</v>
      </c>
      <c r="H357" s="4" t="s">
        <v>1</v>
      </c>
      <c r="I357" s="14"/>
    </row>
    <row r="358" spans="1:9" x14ac:dyDescent="0.25">
      <c r="A358" s="14">
        <v>2013</v>
      </c>
      <c r="B358" s="14">
        <v>157</v>
      </c>
      <c r="C358" s="20">
        <v>41431</v>
      </c>
      <c r="D358" s="16" t="e">
        <v>#N/A</v>
      </c>
      <c r="E358" s="14">
        <v>130</v>
      </c>
      <c r="F358" s="23">
        <v>17</v>
      </c>
      <c r="G358" s="17" t="e">
        <v>#N/A</v>
      </c>
      <c r="H358" s="4" t="s">
        <v>124</v>
      </c>
      <c r="I358" s="14"/>
    </row>
    <row r="359" spans="1:9" x14ac:dyDescent="0.25">
      <c r="A359" s="14">
        <v>2013</v>
      </c>
      <c r="B359" s="14">
        <v>157</v>
      </c>
      <c r="C359" s="20">
        <v>41431</v>
      </c>
      <c r="D359" s="16" t="e">
        <v>#N/A</v>
      </c>
      <c r="E359" s="14">
        <v>130</v>
      </c>
      <c r="F359" s="23">
        <v>18</v>
      </c>
      <c r="G359" s="17" t="e">
        <v>#N/A</v>
      </c>
      <c r="H359" s="4" t="s">
        <v>124</v>
      </c>
      <c r="I359" s="14"/>
    </row>
    <row r="360" spans="1:9" x14ac:dyDescent="0.25">
      <c r="A360" s="14">
        <v>2013</v>
      </c>
      <c r="B360" s="14">
        <v>157</v>
      </c>
      <c r="C360" s="20">
        <v>41431</v>
      </c>
      <c r="D360" s="16" t="e">
        <v>#N/A</v>
      </c>
      <c r="E360" s="14">
        <v>130</v>
      </c>
      <c r="F360" s="23">
        <v>19</v>
      </c>
      <c r="G360" s="17" t="e">
        <v>#N/A</v>
      </c>
      <c r="H360" s="4" t="s">
        <v>124</v>
      </c>
      <c r="I360" s="14"/>
    </row>
    <row r="361" spans="1:9" x14ac:dyDescent="0.25">
      <c r="A361" s="14">
        <v>2013</v>
      </c>
      <c r="B361" s="14">
        <v>157</v>
      </c>
      <c r="C361" s="20">
        <v>41431</v>
      </c>
      <c r="D361" s="16" t="e">
        <v>#N/A</v>
      </c>
      <c r="E361" s="14">
        <v>130</v>
      </c>
      <c r="F361" s="23">
        <v>20</v>
      </c>
      <c r="G361" s="17" t="e">
        <v>#N/A</v>
      </c>
      <c r="H361" s="4" t="s">
        <v>124</v>
      </c>
      <c r="I361" s="14"/>
    </row>
    <row r="362" spans="1:9" x14ac:dyDescent="0.25">
      <c r="A362" s="14">
        <v>2013</v>
      </c>
      <c r="B362" s="14">
        <v>157</v>
      </c>
      <c r="C362" s="20">
        <v>41431</v>
      </c>
      <c r="D362" s="16" t="e">
        <v>#N/A</v>
      </c>
      <c r="E362" s="14">
        <v>110</v>
      </c>
      <c r="F362" s="23">
        <v>1</v>
      </c>
      <c r="G362" s="17" t="e">
        <v>#N/A</v>
      </c>
      <c r="H362" s="4" t="s">
        <v>123</v>
      </c>
      <c r="I362" s="14"/>
    </row>
    <row r="363" spans="1:9" x14ac:dyDescent="0.25">
      <c r="A363" s="14">
        <v>2013</v>
      </c>
      <c r="B363" s="14">
        <v>157</v>
      </c>
      <c r="C363" s="20">
        <v>41431</v>
      </c>
      <c r="D363" s="16" t="e">
        <v>#N/A</v>
      </c>
      <c r="E363" s="14">
        <v>110</v>
      </c>
      <c r="F363" s="23">
        <v>2</v>
      </c>
      <c r="G363" s="17" t="e">
        <v>#N/A</v>
      </c>
      <c r="H363" s="4" t="s">
        <v>123</v>
      </c>
      <c r="I363" s="14"/>
    </row>
    <row r="364" spans="1:9" x14ac:dyDescent="0.25">
      <c r="A364" s="14">
        <v>2013</v>
      </c>
      <c r="B364" s="14">
        <v>157</v>
      </c>
      <c r="C364" s="20">
        <v>41431</v>
      </c>
      <c r="D364" s="16" t="e">
        <v>#N/A</v>
      </c>
      <c r="E364" s="14">
        <v>110</v>
      </c>
      <c r="F364" s="23">
        <v>3</v>
      </c>
      <c r="G364" s="17" t="e">
        <v>#N/A</v>
      </c>
      <c r="H364" s="4" t="s">
        <v>123</v>
      </c>
      <c r="I364" s="14"/>
    </row>
    <row r="365" spans="1:9" x14ac:dyDescent="0.25">
      <c r="A365" s="14">
        <v>2013</v>
      </c>
      <c r="B365" s="14">
        <v>157</v>
      </c>
      <c r="C365" s="20">
        <v>41431</v>
      </c>
      <c r="D365" s="16" t="e">
        <v>#N/A</v>
      </c>
      <c r="E365" s="14">
        <v>110</v>
      </c>
      <c r="F365" s="23">
        <v>4</v>
      </c>
      <c r="G365" s="17" t="e">
        <v>#N/A</v>
      </c>
      <c r="H365" s="4" t="s">
        <v>123</v>
      </c>
      <c r="I365" s="14"/>
    </row>
    <row r="366" spans="1:9" x14ac:dyDescent="0.25">
      <c r="A366" s="14">
        <v>2013</v>
      </c>
      <c r="B366" s="14">
        <v>157</v>
      </c>
      <c r="C366" s="20">
        <v>41431</v>
      </c>
      <c r="D366" s="16">
        <v>0.65486111111111112</v>
      </c>
      <c r="E366" s="14">
        <v>110</v>
      </c>
      <c r="F366" s="23">
        <v>5</v>
      </c>
      <c r="G366" s="17">
        <v>0.36031699424881447</v>
      </c>
      <c r="H366" s="4" t="s">
        <v>0</v>
      </c>
      <c r="I366" s="14"/>
    </row>
    <row r="367" spans="1:9" x14ac:dyDescent="0.25">
      <c r="A367" s="14">
        <v>2013</v>
      </c>
      <c r="B367" s="14">
        <v>157</v>
      </c>
      <c r="C367" s="20">
        <v>41431</v>
      </c>
      <c r="D367" s="16">
        <v>0.65972222222222221</v>
      </c>
      <c r="E367" s="14">
        <v>110</v>
      </c>
      <c r="F367" s="23">
        <v>6</v>
      </c>
      <c r="G367" s="17">
        <v>0.34808488033498136</v>
      </c>
      <c r="H367" s="4" t="s">
        <v>0</v>
      </c>
      <c r="I367" s="14"/>
    </row>
    <row r="368" spans="1:9" x14ac:dyDescent="0.25">
      <c r="A368" s="14">
        <v>2013</v>
      </c>
      <c r="B368" s="14">
        <v>157</v>
      </c>
      <c r="C368" s="20">
        <v>41431</v>
      </c>
      <c r="D368" s="16" t="e">
        <v>#N/A</v>
      </c>
      <c r="E368" s="14">
        <v>110</v>
      </c>
      <c r="F368" s="23">
        <v>7</v>
      </c>
      <c r="G368" s="17" t="e">
        <v>#N/A</v>
      </c>
      <c r="H368" s="4" t="s">
        <v>123</v>
      </c>
      <c r="I368" s="14"/>
    </row>
    <row r="369" spans="1:9" x14ac:dyDescent="0.25">
      <c r="A369" s="14">
        <v>2013</v>
      </c>
      <c r="B369" s="14">
        <v>157</v>
      </c>
      <c r="C369" s="20">
        <v>41431</v>
      </c>
      <c r="D369" s="16" t="e">
        <v>#N/A</v>
      </c>
      <c r="E369" s="14">
        <v>110</v>
      </c>
      <c r="F369" s="23">
        <v>8</v>
      </c>
      <c r="G369" s="17" t="e">
        <v>#N/A</v>
      </c>
      <c r="H369" s="4" t="s">
        <v>123</v>
      </c>
      <c r="I369" s="14"/>
    </row>
    <row r="370" spans="1:9" x14ac:dyDescent="0.25">
      <c r="A370" s="14">
        <v>2013</v>
      </c>
      <c r="B370" s="14">
        <v>157</v>
      </c>
      <c r="C370" s="20">
        <v>41431</v>
      </c>
      <c r="D370" s="16" t="e">
        <v>#N/A</v>
      </c>
      <c r="E370" s="14">
        <v>110</v>
      </c>
      <c r="F370" s="23">
        <v>9</v>
      </c>
      <c r="G370" s="17" t="e">
        <v>#N/A</v>
      </c>
      <c r="H370" s="4" t="s">
        <v>123</v>
      </c>
      <c r="I370" s="14"/>
    </row>
    <row r="371" spans="1:9" x14ac:dyDescent="0.25">
      <c r="A371" s="14">
        <v>2013</v>
      </c>
      <c r="B371" s="14">
        <v>157</v>
      </c>
      <c r="C371" s="20">
        <v>41431</v>
      </c>
      <c r="D371" s="16" t="e">
        <v>#N/A</v>
      </c>
      <c r="E371" s="14">
        <v>110</v>
      </c>
      <c r="F371" s="23">
        <v>10</v>
      </c>
      <c r="G371" s="17" t="e">
        <v>#N/A</v>
      </c>
      <c r="H371" s="4" t="s">
        <v>123</v>
      </c>
      <c r="I371" s="14"/>
    </row>
    <row r="372" spans="1:9" x14ac:dyDescent="0.25">
      <c r="A372" s="14">
        <v>2013</v>
      </c>
      <c r="B372" s="14">
        <v>157</v>
      </c>
      <c r="C372" s="20">
        <v>41431</v>
      </c>
      <c r="D372" s="16" t="e">
        <v>#N/A</v>
      </c>
      <c r="E372" s="14">
        <v>110</v>
      </c>
      <c r="F372" s="23">
        <v>11</v>
      </c>
      <c r="G372" s="17" t="e">
        <v>#N/A</v>
      </c>
      <c r="H372" s="4" t="s">
        <v>124</v>
      </c>
      <c r="I372" s="14"/>
    </row>
    <row r="373" spans="1:9" x14ac:dyDescent="0.25">
      <c r="A373" s="14">
        <v>2013</v>
      </c>
      <c r="B373" s="14">
        <v>157</v>
      </c>
      <c r="C373" s="20">
        <v>41431</v>
      </c>
      <c r="D373" s="16" t="e">
        <v>#N/A</v>
      </c>
      <c r="E373" s="14">
        <v>110</v>
      </c>
      <c r="F373" s="23">
        <v>12</v>
      </c>
      <c r="G373" s="17" t="e">
        <v>#N/A</v>
      </c>
      <c r="H373" s="4" t="s">
        <v>124</v>
      </c>
      <c r="I373" s="14"/>
    </row>
    <row r="374" spans="1:9" x14ac:dyDescent="0.25">
      <c r="A374" s="14">
        <v>2013</v>
      </c>
      <c r="B374" s="14">
        <v>157</v>
      </c>
      <c r="C374" s="20">
        <v>41431</v>
      </c>
      <c r="D374" s="16" t="e">
        <v>#N/A</v>
      </c>
      <c r="E374" s="14">
        <v>110</v>
      </c>
      <c r="F374" s="23">
        <v>13</v>
      </c>
      <c r="G374" s="17" t="e">
        <v>#N/A</v>
      </c>
      <c r="H374" s="4" t="s">
        <v>124</v>
      </c>
      <c r="I374" s="14"/>
    </row>
    <row r="375" spans="1:9" x14ac:dyDescent="0.25">
      <c r="A375" s="14">
        <v>2013</v>
      </c>
      <c r="B375" s="14">
        <v>157</v>
      </c>
      <c r="C375" s="20">
        <v>41431</v>
      </c>
      <c r="D375" s="16" t="e">
        <v>#N/A</v>
      </c>
      <c r="E375" s="14">
        <v>110</v>
      </c>
      <c r="F375" s="23">
        <v>14</v>
      </c>
      <c r="G375" s="17" t="e">
        <v>#N/A</v>
      </c>
      <c r="H375" s="4" t="s">
        <v>124</v>
      </c>
      <c r="I375" s="14"/>
    </row>
    <row r="376" spans="1:9" x14ac:dyDescent="0.25">
      <c r="A376" s="14">
        <v>2013</v>
      </c>
      <c r="B376" s="14">
        <v>157</v>
      </c>
      <c r="C376" s="20">
        <v>41431</v>
      </c>
      <c r="D376" s="16">
        <v>0.63680555555555551</v>
      </c>
      <c r="E376" s="14">
        <v>110</v>
      </c>
      <c r="F376" s="23">
        <v>15</v>
      </c>
      <c r="G376" s="17">
        <v>0.35096589718494597</v>
      </c>
      <c r="H376" s="4" t="s">
        <v>1</v>
      </c>
      <c r="I376" s="14"/>
    </row>
    <row r="377" spans="1:9" x14ac:dyDescent="0.25">
      <c r="A377" s="14">
        <v>2013</v>
      </c>
      <c r="B377" s="14">
        <v>157</v>
      </c>
      <c r="C377" s="20">
        <v>41431</v>
      </c>
      <c r="D377" s="16">
        <v>0.64236111111111105</v>
      </c>
      <c r="E377" s="14">
        <v>110</v>
      </c>
      <c r="F377" s="23">
        <v>16</v>
      </c>
      <c r="G377" s="17">
        <v>0.34408075522147114</v>
      </c>
      <c r="H377" s="4" t="s">
        <v>1</v>
      </c>
      <c r="I377" s="14"/>
    </row>
    <row r="378" spans="1:9" x14ac:dyDescent="0.25">
      <c r="A378" s="14">
        <v>2013</v>
      </c>
      <c r="B378" s="14">
        <v>157</v>
      </c>
      <c r="C378" s="20">
        <v>41431</v>
      </c>
      <c r="D378" s="16" t="e">
        <v>#N/A</v>
      </c>
      <c r="E378" s="14">
        <v>110</v>
      </c>
      <c r="F378" s="23">
        <v>17</v>
      </c>
      <c r="G378" s="17" t="e">
        <v>#N/A</v>
      </c>
      <c r="H378" s="4" t="s">
        <v>124</v>
      </c>
      <c r="I378" s="14"/>
    </row>
    <row r="379" spans="1:9" x14ac:dyDescent="0.25">
      <c r="A379" s="14">
        <v>2013</v>
      </c>
      <c r="B379" s="14">
        <v>157</v>
      </c>
      <c r="C379" s="20">
        <v>41431</v>
      </c>
      <c r="D379" s="16" t="e">
        <v>#N/A</v>
      </c>
      <c r="E379" s="14">
        <v>110</v>
      </c>
      <c r="F379" s="23">
        <v>18</v>
      </c>
      <c r="G379" s="17" t="e">
        <v>#N/A</v>
      </c>
      <c r="H379" s="4" t="s">
        <v>124</v>
      </c>
      <c r="I379" s="14"/>
    </row>
    <row r="380" spans="1:9" x14ac:dyDescent="0.25">
      <c r="A380" s="14">
        <v>2013</v>
      </c>
      <c r="B380" s="14">
        <v>157</v>
      </c>
      <c r="C380" s="20">
        <v>41431</v>
      </c>
      <c r="D380" s="16" t="e">
        <v>#N/A</v>
      </c>
      <c r="E380" s="14">
        <v>110</v>
      </c>
      <c r="F380" s="23">
        <v>19</v>
      </c>
      <c r="G380" s="17" t="e">
        <v>#N/A</v>
      </c>
      <c r="H380" s="4" t="s">
        <v>124</v>
      </c>
      <c r="I380" s="14"/>
    </row>
    <row r="381" spans="1:9" x14ac:dyDescent="0.25">
      <c r="A381" s="14">
        <v>2013</v>
      </c>
      <c r="B381" s="14">
        <v>157</v>
      </c>
      <c r="C381" s="20">
        <v>41431</v>
      </c>
      <c r="D381" s="16" t="e">
        <v>#N/A</v>
      </c>
      <c r="E381" s="14">
        <v>110</v>
      </c>
      <c r="F381" s="23">
        <v>20</v>
      </c>
      <c r="G381" s="17" t="e">
        <v>#N/A</v>
      </c>
      <c r="H381" s="4" t="s">
        <v>124</v>
      </c>
      <c r="I381" s="14"/>
    </row>
    <row r="382" spans="1:9" x14ac:dyDescent="0.25">
      <c r="A382" s="14">
        <v>2013</v>
      </c>
      <c r="B382" s="14">
        <v>157</v>
      </c>
      <c r="C382" s="20">
        <v>41431</v>
      </c>
      <c r="D382" s="16" t="e">
        <v>#N/A</v>
      </c>
      <c r="E382" s="14">
        <v>90</v>
      </c>
      <c r="F382" s="23">
        <v>1</v>
      </c>
      <c r="G382" s="17" t="e">
        <v>#N/A</v>
      </c>
      <c r="H382" s="4" t="s">
        <v>123</v>
      </c>
      <c r="I382" s="14"/>
    </row>
    <row r="383" spans="1:9" x14ac:dyDescent="0.25">
      <c r="A383" s="14">
        <v>2013</v>
      </c>
      <c r="B383" s="14">
        <v>157</v>
      </c>
      <c r="C383" s="20">
        <v>41431</v>
      </c>
      <c r="D383" s="16" t="e">
        <v>#N/A</v>
      </c>
      <c r="E383" s="14">
        <v>90</v>
      </c>
      <c r="F383" s="23">
        <v>2</v>
      </c>
      <c r="G383" s="17" t="e">
        <v>#N/A</v>
      </c>
      <c r="H383" s="4" t="s">
        <v>123</v>
      </c>
      <c r="I383" s="14"/>
    </row>
    <row r="384" spans="1:9" x14ac:dyDescent="0.25">
      <c r="A384" s="14">
        <v>2013</v>
      </c>
      <c r="B384" s="14">
        <v>157</v>
      </c>
      <c r="C384" s="20">
        <v>41431</v>
      </c>
      <c r="D384" s="16" t="e">
        <v>#N/A</v>
      </c>
      <c r="E384" s="14">
        <v>90</v>
      </c>
      <c r="F384" s="23">
        <v>3</v>
      </c>
      <c r="G384" s="17" t="e">
        <v>#N/A</v>
      </c>
      <c r="H384" s="4" t="s">
        <v>123</v>
      </c>
      <c r="I384" s="14"/>
    </row>
    <row r="385" spans="1:9" x14ac:dyDescent="0.25">
      <c r="A385" s="14">
        <v>2013</v>
      </c>
      <c r="B385" s="14">
        <v>157</v>
      </c>
      <c r="C385" s="20">
        <v>41431</v>
      </c>
      <c r="D385" s="16" t="e">
        <v>#N/A</v>
      </c>
      <c r="E385" s="14">
        <v>90</v>
      </c>
      <c r="F385" s="23">
        <v>4</v>
      </c>
      <c r="G385" s="17" t="e">
        <v>#N/A</v>
      </c>
      <c r="H385" s="4" t="s">
        <v>123</v>
      </c>
      <c r="I385" s="14"/>
    </row>
    <row r="386" spans="1:9" x14ac:dyDescent="0.25">
      <c r="A386" s="14">
        <v>2013</v>
      </c>
      <c r="B386" s="14">
        <v>157</v>
      </c>
      <c r="C386" s="20">
        <v>41431</v>
      </c>
      <c r="D386" s="16">
        <v>0.65486111111111112</v>
      </c>
      <c r="E386" s="14">
        <v>90</v>
      </c>
      <c r="F386" s="23">
        <v>5</v>
      </c>
      <c r="G386" s="17">
        <v>0.36080530218948648</v>
      </c>
      <c r="H386" s="4" t="s">
        <v>0</v>
      </c>
      <c r="I386" s="14"/>
    </row>
    <row r="387" spans="1:9" x14ac:dyDescent="0.25">
      <c r="A387" s="14">
        <v>2013</v>
      </c>
      <c r="B387" s="14">
        <v>157</v>
      </c>
      <c r="C387" s="20">
        <v>41431</v>
      </c>
      <c r="D387" s="16">
        <v>0.65972222222222221</v>
      </c>
      <c r="E387" s="14">
        <v>90</v>
      </c>
      <c r="F387" s="23">
        <v>6</v>
      </c>
      <c r="G387" s="17">
        <v>0.3543352219755827</v>
      </c>
      <c r="H387" s="4" t="s">
        <v>0</v>
      </c>
      <c r="I387" s="14"/>
    </row>
    <row r="388" spans="1:9" x14ac:dyDescent="0.25">
      <c r="A388" s="14">
        <v>2013</v>
      </c>
      <c r="B388" s="14">
        <v>157</v>
      </c>
      <c r="C388" s="20">
        <v>41431</v>
      </c>
      <c r="D388" s="16" t="e">
        <v>#N/A</v>
      </c>
      <c r="E388" s="14">
        <v>90</v>
      </c>
      <c r="F388" s="23">
        <v>7</v>
      </c>
      <c r="G388" s="17" t="e">
        <v>#N/A</v>
      </c>
      <c r="H388" s="4" t="s">
        <v>123</v>
      </c>
      <c r="I388" s="14"/>
    </row>
    <row r="389" spans="1:9" x14ac:dyDescent="0.25">
      <c r="A389" s="14">
        <v>2013</v>
      </c>
      <c r="B389" s="14">
        <v>157</v>
      </c>
      <c r="C389" s="20">
        <v>41431</v>
      </c>
      <c r="D389" s="16" t="e">
        <v>#N/A</v>
      </c>
      <c r="E389" s="14">
        <v>90</v>
      </c>
      <c r="F389" s="23">
        <v>8</v>
      </c>
      <c r="G389" s="17" t="e">
        <v>#N/A</v>
      </c>
      <c r="H389" s="4" t="s">
        <v>123</v>
      </c>
      <c r="I389" s="14"/>
    </row>
    <row r="390" spans="1:9" x14ac:dyDescent="0.25">
      <c r="A390" s="14">
        <v>2013</v>
      </c>
      <c r="B390" s="14">
        <v>157</v>
      </c>
      <c r="C390" s="20">
        <v>41431</v>
      </c>
      <c r="D390" s="16" t="e">
        <v>#N/A</v>
      </c>
      <c r="E390" s="14">
        <v>90</v>
      </c>
      <c r="F390" s="23">
        <v>9</v>
      </c>
      <c r="G390" s="17" t="e">
        <v>#N/A</v>
      </c>
      <c r="H390" s="4" t="s">
        <v>123</v>
      </c>
      <c r="I390" s="14"/>
    </row>
    <row r="391" spans="1:9" x14ac:dyDescent="0.25">
      <c r="A391" s="14">
        <v>2013</v>
      </c>
      <c r="B391" s="14">
        <v>157</v>
      </c>
      <c r="C391" s="20">
        <v>41431</v>
      </c>
      <c r="D391" s="16" t="e">
        <v>#N/A</v>
      </c>
      <c r="E391" s="14">
        <v>90</v>
      </c>
      <c r="F391" s="23">
        <v>10</v>
      </c>
      <c r="G391" s="17" t="e">
        <v>#N/A</v>
      </c>
      <c r="H391" s="4" t="s">
        <v>123</v>
      </c>
      <c r="I391" s="14"/>
    </row>
    <row r="392" spans="1:9" x14ac:dyDescent="0.25">
      <c r="A392" s="14">
        <v>2013</v>
      </c>
      <c r="B392" s="14">
        <v>157</v>
      </c>
      <c r="C392" s="20">
        <v>41431</v>
      </c>
      <c r="D392" s="16" t="e">
        <v>#N/A</v>
      </c>
      <c r="E392" s="14">
        <v>90</v>
      </c>
      <c r="F392" s="23">
        <v>11</v>
      </c>
      <c r="G392" s="17" t="e">
        <v>#N/A</v>
      </c>
      <c r="H392" s="4" t="s">
        <v>124</v>
      </c>
      <c r="I392" s="14"/>
    </row>
    <row r="393" spans="1:9" x14ac:dyDescent="0.25">
      <c r="A393" s="14">
        <v>2013</v>
      </c>
      <c r="B393" s="14">
        <v>157</v>
      </c>
      <c r="C393" s="20">
        <v>41431</v>
      </c>
      <c r="D393" s="16" t="e">
        <v>#N/A</v>
      </c>
      <c r="E393" s="14">
        <v>90</v>
      </c>
      <c r="F393" s="23">
        <v>12</v>
      </c>
      <c r="G393" s="17" t="e">
        <v>#N/A</v>
      </c>
      <c r="H393" s="4" t="s">
        <v>124</v>
      </c>
      <c r="I393" s="14"/>
    </row>
    <row r="394" spans="1:9" x14ac:dyDescent="0.25">
      <c r="A394" s="14">
        <v>2013</v>
      </c>
      <c r="B394" s="14">
        <v>157</v>
      </c>
      <c r="C394" s="20">
        <v>41431</v>
      </c>
      <c r="D394" s="16" t="e">
        <v>#N/A</v>
      </c>
      <c r="E394" s="14">
        <v>90</v>
      </c>
      <c r="F394" s="23">
        <v>13</v>
      </c>
      <c r="G394" s="17" t="e">
        <v>#N/A</v>
      </c>
      <c r="H394" s="4" t="s">
        <v>124</v>
      </c>
      <c r="I394" s="14"/>
    </row>
    <row r="395" spans="1:9" x14ac:dyDescent="0.25">
      <c r="A395" s="14">
        <v>2013</v>
      </c>
      <c r="B395" s="14">
        <v>157</v>
      </c>
      <c r="C395" s="20">
        <v>41431</v>
      </c>
      <c r="D395" s="16" t="e">
        <v>#N/A</v>
      </c>
      <c r="E395" s="14">
        <v>90</v>
      </c>
      <c r="F395" s="23">
        <v>14</v>
      </c>
      <c r="G395" s="17" t="e">
        <v>#N/A</v>
      </c>
      <c r="H395" s="4" t="s">
        <v>124</v>
      </c>
      <c r="I395" s="14"/>
    </row>
    <row r="396" spans="1:9" x14ac:dyDescent="0.25">
      <c r="A396" s="14">
        <v>2013</v>
      </c>
      <c r="B396" s="14">
        <v>157</v>
      </c>
      <c r="C396" s="20">
        <v>41431</v>
      </c>
      <c r="D396" s="16">
        <v>0.63680555555555551</v>
      </c>
      <c r="E396" s="14">
        <v>90</v>
      </c>
      <c r="F396" s="23">
        <v>15</v>
      </c>
      <c r="G396" s="17">
        <v>0.35299237513873477</v>
      </c>
      <c r="H396" s="4" t="s">
        <v>1</v>
      </c>
      <c r="I396" s="14"/>
    </row>
    <row r="397" spans="1:9" x14ac:dyDescent="0.25">
      <c r="A397" s="14">
        <v>2013</v>
      </c>
      <c r="B397" s="14">
        <v>157</v>
      </c>
      <c r="C397" s="20">
        <v>41431</v>
      </c>
      <c r="D397" s="16">
        <v>0.64236111111111105</v>
      </c>
      <c r="E397" s="14">
        <v>90</v>
      </c>
      <c r="F397" s="23">
        <v>16</v>
      </c>
      <c r="G397" s="17">
        <v>0.34378777045706793</v>
      </c>
      <c r="H397" s="4" t="s">
        <v>1</v>
      </c>
      <c r="I397" s="14"/>
    </row>
    <row r="398" spans="1:9" x14ac:dyDescent="0.25">
      <c r="A398" s="14">
        <v>2013</v>
      </c>
      <c r="B398" s="14">
        <v>157</v>
      </c>
      <c r="C398" s="20">
        <v>41431</v>
      </c>
      <c r="D398" s="16" t="e">
        <v>#N/A</v>
      </c>
      <c r="E398" s="14">
        <v>90</v>
      </c>
      <c r="F398" s="23">
        <v>17</v>
      </c>
      <c r="G398" s="17" t="e">
        <v>#N/A</v>
      </c>
      <c r="H398" s="4" t="s">
        <v>124</v>
      </c>
      <c r="I398" s="14"/>
    </row>
    <row r="399" spans="1:9" x14ac:dyDescent="0.25">
      <c r="A399" s="14">
        <v>2013</v>
      </c>
      <c r="B399" s="14">
        <v>157</v>
      </c>
      <c r="C399" s="20">
        <v>41431</v>
      </c>
      <c r="D399" s="16" t="e">
        <v>#N/A</v>
      </c>
      <c r="E399" s="14">
        <v>90</v>
      </c>
      <c r="F399" s="23">
        <v>18</v>
      </c>
      <c r="G399" s="17" t="e">
        <v>#N/A</v>
      </c>
      <c r="H399" s="4" t="s">
        <v>124</v>
      </c>
      <c r="I399" s="14"/>
    </row>
    <row r="400" spans="1:9" x14ac:dyDescent="0.25">
      <c r="A400" s="14">
        <v>2013</v>
      </c>
      <c r="B400" s="14">
        <v>157</v>
      </c>
      <c r="C400" s="20">
        <v>41431</v>
      </c>
      <c r="D400" s="16" t="e">
        <v>#N/A</v>
      </c>
      <c r="E400" s="14">
        <v>90</v>
      </c>
      <c r="F400" s="23">
        <v>19</v>
      </c>
      <c r="G400" s="17" t="e">
        <v>#N/A</v>
      </c>
      <c r="H400" s="4" t="s">
        <v>124</v>
      </c>
      <c r="I400" s="14"/>
    </row>
    <row r="401" spans="1:9" x14ac:dyDescent="0.25">
      <c r="A401" s="14">
        <v>2013</v>
      </c>
      <c r="B401" s="14">
        <v>157</v>
      </c>
      <c r="C401" s="20">
        <v>41431</v>
      </c>
      <c r="D401" s="16" t="e">
        <v>#N/A</v>
      </c>
      <c r="E401" s="14">
        <v>90</v>
      </c>
      <c r="F401" s="23">
        <v>20</v>
      </c>
      <c r="G401" s="17" t="e">
        <v>#N/A</v>
      </c>
      <c r="H401" s="4" t="s">
        <v>124</v>
      </c>
      <c r="I401" s="14"/>
    </row>
    <row r="402" spans="1:9" x14ac:dyDescent="0.25">
      <c r="A402" s="14">
        <v>2013</v>
      </c>
      <c r="B402" s="14">
        <v>157</v>
      </c>
      <c r="C402" s="20">
        <v>41431</v>
      </c>
      <c r="D402" s="16" t="e">
        <v>#N/A</v>
      </c>
      <c r="E402" s="14">
        <v>70</v>
      </c>
      <c r="F402" s="23">
        <v>1</v>
      </c>
      <c r="G402" s="17" t="e">
        <v>#N/A</v>
      </c>
      <c r="H402" s="4" t="s">
        <v>123</v>
      </c>
      <c r="I402" s="14"/>
    </row>
    <row r="403" spans="1:9" x14ac:dyDescent="0.25">
      <c r="A403" s="14">
        <v>2013</v>
      </c>
      <c r="B403" s="14">
        <v>157</v>
      </c>
      <c r="C403" s="20">
        <v>41431</v>
      </c>
      <c r="D403" s="16" t="e">
        <v>#N/A</v>
      </c>
      <c r="E403" s="14">
        <v>70</v>
      </c>
      <c r="F403" s="23">
        <v>2</v>
      </c>
      <c r="G403" s="17" t="e">
        <v>#N/A</v>
      </c>
      <c r="H403" s="4" t="s">
        <v>123</v>
      </c>
      <c r="I403" s="14"/>
    </row>
    <row r="404" spans="1:9" x14ac:dyDescent="0.25">
      <c r="A404" s="14">
        <v>2013</v>
      </c>
      <c r="B404" s="14">
        <v>157</v>
      </c>
      <c r="C404" s="20">
        <v>41431</v>
      </c>
      <c r="D404" s="16" t="e">
        <v>#N/A</v>
      </c>
      <c r="E404" s="14">
        <v>70</v>
      </c>
      <c r="F404" s="23">
        <v>3</v>
      </c>
      <c r="G404" s="17" t="e">
        <v>#N/A</v>
      </c>
      <c r="H404" s="4" t="s">
        <v>123</v>
      </c>
      <c r="I404" s="14"/>
    </row>
    <row r="405" spans="1:9" x14ac:dyDescent="0.25">
      <c r="A405" s="14">
        <v>2013</v>
      </c>
      <c r="B405" s="14">
        <v>157</v>
      </c>
      <c r="C405" s="20">
        <v>41431</v>
      </c>
      <c r="D405" s="16" t="e">
        <v>#N/A</v>
      </c>
      <c r="E405" s="14">
        <v>70</v>
      </c>
      <c r="F405" s="23">
        <v>4</v>
      </c>
      <c r="G405" s="17" t="e">
        <v>#N/A</v>
      </c>
      <c r="H405" s="4" t="s">
        <v>123</v>
      </c>
      <c r="I405" s="14"/>
    </row>
    <row r="406" spans="1:9" x14ac:dyDescent="0.25">
      <c r="A406" s="14">
        <v>2013</v>
      </c>
      <c r="B406" s="14">
        <v>157</v>
      </c>
      <c r="C406" s="20">
        <v>41431</v>
      </c>
      <c r="D406" s="16">
        <v>0.65486111111111112</v>
      </c>
      <c r="E406" s="14">
        <v>70</v>
      </c>
      <c r="F406" s="23">
        <v>5</v>
      </c>
      <c r="G406" s="17">
        <v>0.36642084350721421</v>
      </c>
      <c r="H406" s="4" t="s">
        <v>0</v>
      </c>
      <c r="I406" s="14"/>
    </row>
    <row r="407" spans="1:9" x14ac:dyDescent="0.25">
      <c r="A407" s="14">
        <v>2013</v>
      </c>
      <c r="B407" s="14">
        <v>157</v>
      </c>
      <c r="C407" s="20">
        <v>41431</v>
      </c>
      <c r="D407" s="16">
        <v>0.65972222222222221</v>
      </c>
      <c r="E407" s="14">
        <v>70</v>
      </c>
      <c r="F407" s="23">
        <v>6</v>
      </c>
      <c r="G407" s="17">
        <v>0.36139127171829277</v>
      </c>
      <c r="H407" s="4" t="s">
        <v>0</v>
      </c>
      <c r="I407" s="14"/>
    </row>
    <row r="408" spans="1:9" x14ac:dyDescent="0.25">
      <c r="A408" s="14">
        <v>2013</v>
      </c>
      <c r="B408" s="14">
        <v>157</v>
      </c>
      <c r="C408" s="20">
        <v>41431</v>
      </c>
      <c r="D408" s="16" t="e">
        <v>#N/A</v>
      </c>
      <c r="E408" s="14">
        <v>70</v>
      </c>
      <c r="F408" s="23">
        <v>7</v>
      </c>
      <c r="G408" s="17" t="e">
        <v>#N/A</v>
      </c>
      <c r="H408" s="4" t="s">
        <v>123</v>
      </c>
      <c r="I408" s="14"/>
    </row>
    <row r="409" spans="1:9" x14ac:dyDescent="0.25">
      <c r="A409" s="14">
        <v>2013</v>
      </c>
      <c r="B409" s="14">
        <v>157</v>
      </c>
      <c r="C409" s="20">
        <v>41431</v>
      </c>
      <c r="D409" s="16" t="e">
        <v>#N/A</v>
      </c>
      <c r="E409" s="14">
        <v>70</v>
      </c>
      <c r="F409" s="23">
        <v>8</v>
      </c>
      <c r="G409" s="17" t="e">
        <v>#N/A</v>
      </c>
      <c r="H409" s="4" t="s">
        <v>123</v>
      </c>
      <c r="I409" s="14"/>
    </row>
    <row r="410" spans="1:9" x14ac:dyDescent="0.25">
      <c r="A410" s="14">
        <v>2013</v>
      </c>
      <c r="B410" s="14">
        <v>157</v>
      </c>
      <c r="C410" s="20">
        <v>41431</v>
      </c>
      <c r="D410" s="16" t="e">
        <v>#N/A</v>
      </c>
      <c r="E410" s="14">
        <v>70</v>
      </c>
      <c r="F410" s="23">
        <v>9</v>
      </c>
      <c r="G410" s="17" t="e">
        <v>#N/A</v>
      </c>
      <c r="H410" s="4" t="s">
        <v>123</v>
      </c>
      <c r="I410" s="14"/>
    </row>
    <row r="411" spans="1:9" x14ac:dyDescent="0.25">
      <c r="A411" s="14">
        <v>2013</v>
      </c>
      <c r="B411" s="14">
        <v>157</v>
      </c>
      <c r="C411" s="20">
        <v>41431</v>
      </c>
      <c r="D411" s="16" t="e">
        <v>#N/A</v>
      </c>
      <c r="E411" s="14">
        <v>70</v>
      </c>
      <c r="F411" s="23">
        <v>10</v>
      </c>
      <c r="G411" s="17" t="e">
        <v>#N/A</v>
      </c>
      <c r="H411" s="4" t="s">
        <v>123</v>
      </c>
      <c r="I411" s="14"/>
    </row>
    <row r="412" spans="1:9" x14ac:dyDescent="0.25">
      <c r="A412" s="14">
        <v>2013</v>
      </c>
      <c r="B412" s="14">
        <v>157</v>
      </c>
      <c r="C412" s="20">
        <v>41431</v>
      </c>
      <c r="D412" s="16" t="e">
        <v>#N/A</v>
      </c>
      <c r="E412" s="14">
        <v>70</v>
      </c>
      <c r="F412" s="23">
        <v>11</v>
      </c>
      <c r="G412" s="17" t="e">
        <v>#N/A</v>
      </c>
      <c r="H412" s="4" t="s">
        <v>124</v>
      </c>
      <c r="I412" s="14"/>
    </row>
    <row r="413" spans="1:9" x14ac:dyDescent="0.25">
      <c r="A413" s="14">
        <v>2013</v>
      </c>
      <c r="B413" s="14">
        <v>157</v>
      </c>
      <c r="C413" s="20">
        <v>41431</v>
      </c>
      <c r="D413" s="16" t="e">
        <v>#N/A</v>
      </c>
      <c r="E413" s="14">
        <v>70</v>
      </c>
      <c r="F413" s="23">
        <v>12</v>
      </c>
      <c r="G413" s="17" t="e">
        <v>#N/A</v>
      </c>
      <c r="H413" s="4" t="s">
        <v>124</v>
      </c>
      <c r="I413" s="14"/>
    </row>
    <row r="414" spans="1:9" x14ac:dyDescent="0.25">
      <c r="A414" s="14">
        <v>2013</v>
      </c>
      <c r="B414" s="14">
        <v>157</v>
      </c>
      <c r="C414" s="20">
        <v>41431</v>
      </c>
      <c r="D414" s="16" t="e">
        <v>#N/A</v>
      </c>
      <c r="E414" s="14">
        <v>70</v>
      </c>
      <c r="F414" s="23">
        <v>13</v>
      </c>
      <c r="G414" s="17" t="e">
        <v>#N/A</v>
      </c>
      <c r="H414" s="4" t="s">
        <v>124</v>
      </c>
      <c r="I414" s="14"/>
    </row>
    <row r="415" spans="1:9" x14ac:dyDescent="0.25">
      <c r="A415" s="14">
        <v>2013</v>
      </c>
      <c r="B415" s="14">
        <v>157</v>
      </c>
      <c r="C415" s="20">
        <v>41431</v>
      </c>
      <c r="D415" s="16" t="e">
        <v>#N/A</v>
      </c>
      <c r="E415" s="14">
        <v>70</v>
      </c>
      <c r="F415" s="23">
        <v>14</v>
      </c>
      <c r="G415" s="17" t="e">
        <v>#N/A</v>
      </c>
      <c r="H415" s="4" t="s">
        <v>124</v>
      </c>
      <c r="I415" s="14"/>
    </row>
    <row r="416" spans="1:9" x14ac:dyDescent="0.25">
      <c r="A416" s="14">
        <v>2013</v>
      </c>
      <c r="B416" s="14">
        <v>157</v>
      </c>
      <c r="C416" s="20">
        <v>41431</v>
      </c>
      <c r="D416" s="16">
        <v>0.63680555555555551</v>
      </c>
      <c r="E416" s="14">
        <v>70</v>
      </c>
      <c r="F416" s="23">
        <v>15</v>
      </c>
      <c r="G416" s="17">
        <v>0.35902297820603374</v>
      </c>
      <c r="H416" s="4" t="s">
        <v>1</v>
      </c>
      <c r="I416" s="14"/>
    </row>
    <row r="417" spans="1:9" x14ac:dyDescent="0.25">
      <c r="A417" s="14">
        <v>2013</v>
      </c>
      <c r="B417" s="14">
        <v>157</v>
      </c>
      <c r="C417" s="20">
        <v>41431</v>
      </c>
      <c r="D417" s="16">
        <v>0.64236111111111105</v>
      </c>
      <c r="E417" s="14">
        <v>70</v>
      </c>
      <c r="F417" s="23">
        <v>16</v>
      </c>
      <c r="G417" s="17">
        <v>0.34791397255574619</v>
      </c>
      <c r="H417" s="4" t="s">
        <v>1</v>
      </c>
      <c r="I417" s="14"/>
    </row>
    <row r="418" spans="1:9" x14ac:dyDescent="0.25">
      <c r="A418" s="14">
        <v>2013</v>
      </c>
      <c r="B418" s="14">
        <v>157</v>
      </c>
      <c r="C418" s="20">
        <v>41431</v>
      </c>
      <c r="D418" s="16" t="e">
        <v>#N/A</v>
      </c>
      <c r="E418" s="14">
        <v>70</v>
      </c>
      <c r="F418" s="23">
        <v>17</v>
      </c>
      <c r="G418" s="17" t="e">
        <v>#N/A</v>
      </c>
      <c r="H418" s="4" t="s">
        <v>124</v>
      </c>
      <c r="I418" s="14"/>
    </row>
    <row r="419" spans="1:9" x14ac:dyDescent="0.25">
      <c r="A419" s="14">
        <v>2013</v>
      </c>
      <c r="B419" s="14">
        <v>157</v>
      </c>
      <c r="C419" s="20">
        <v>41431</v>
      </c>
      <c r="D419" s="16" t="e">
        <v>#N/A</v>
      </c>
      <c r="E419" s="14">
        <v>70</v>
      </c>
      <c r="F419" s="23">
        <v>18</v>
      </c>
      <c r="G419" s="17" t="e">
        <v>#N/A</v>
      </c>
      <c r="H419" s="4" t="s">
        <v>124</v>
      </c>
      <c r="I419" s="14"/>
    </row>
    <row r="420" spans="1:9" x14ac:dyDescent="0.25">
      <c r="A420" s="14">
        <v>2013</v>
      </c>
      <c r="B420" s="14">
        <v>157</v>
      </c>
      <c r="C420" s="20">
        <v>41431</v>
      </c>
      <c r="D420" s="16" t="e">
        <v>#N/A</v>
      </c>
      <c r="E420" s="14">
        <v>70</v>
      </c>
      <c r="F420" s="23">
        <v>19</v>
      </c>
      <c r="G420" s="17" t="e">
        <v>#N/A</v>
      </c>
      <c r="H420" s="4" t="s">
        <v>124</v>
      </c>
      <c r="I420" s="14"/>
    </row>
    <row r="421" spans="1:9" x14ac:dyDescent="0.25">
      <c r="A421" s="14">
        <v>2013</v>
      </c>
      <c r="B421" s="14">
        <v>157</v>
      </c>
      <c r="C421" s="20">
        <v>41431</v>
      </c>
      <c r="D421" s="16" t="e">
        <v>#N/A</v>
      </c>
      <c r="E421" s="14">
        <v>70</v>
      </c>
      <c r="F421" s="23">
        <v>20</v>
      </c>
      <c r="G421" s="17" t="e">
        <v>#N/A</v>
      </c>
      <c r="H421" s="4" t="s">
        <v>124</v>
      </c>
      <c r="I421" s="14"/>
    </row>
    <row r="422" spans="1:9" x14ac:dyDescent="0.25">
      <c r="A422" s="14">
        <v>2013</v>
      </c>
      <c r="B422" s="14">
        <v>157</v>
      </c>
      <c r="C422" s="20">
        <v>41431</v>
      </c>
      <c r="D422" s="16" t="e">
        <v>#N/A</v>
      </c>
      <c r="E422" s="14">
        <v>50</v>
      </c>
      <c r="F422" s="23">
        <v>1</v>
      </c>
      <c r="G422" s="17" t="e">
        <v>#N/A</v>
      </c>
      <c r="H422" s="4" t="s">
        <v>123</v>
      </c>
      <c r="I422" s="14"/>
    </row>
    <row r="423" spans="1:9" x14ac:dyDescent="0.25">
      <c r="A423" s="14">
        <v>2013</v>
      </c>
      <c r="B423" s="14">
        <v>157</v>
      </c>
      <c r="C423" s="20">
        <v>41431</v>
      </c>
      <c r="D423" s="16" t="e">
        <v>#N/A</v>
      </c>
      <c r="E423" s="14">
        <v>50</v>
      </c>
      <c r="F423" s="23">
        <v>2</v>
      </c>
      <c r="G423" s="17" t="e">
        <v>#N/A</v>
      </c>
      <c r="H423" s="4" t="s">
        <v>123</v>
      </c>
      <c r="I423" s="14"/>
    </row>
    <row r="424" spans="1:9" x14ac:dyDescent="0.25">
      <c r="A424" s="14">
        <v>2013</v>
      </c>
      <c r="B424" s="14">
        <v>157</v>
      </c>
      <c r="C424" s="20">
        <v>41431</v>
      </c>
      <c r="D424" s="16" t="e">
        <v>#N/A</v>
      </c>
      <c r="E424" s="14">
        <v>50</v>
      </c>
      <c r="F424" s="23">
        <v>3</v>
      </c>
      <c r="G424" s="17" t="e">
        <v>#N/A</v>
      </c>
      <c r="H424" s="4" t="s">
        <v>123</v>
      </c>
      <c r="I424" s="14"/>
    </row>
    <row r="425" spans="1:9" x14ac:dyDescent="0.25">
      <c r="A425" s="14">
        <v>2013</v>
      </c>
      <c r="B425" s="14">
        <v>157</v>
      </c>
      <c r="C425" s="20">
        <v>41431</v>
      </c>
      <c r="D425" s="16" t="e">
        <v>#N/A</v>
      </c>
      <c r="E425" s="14">
        <v>50</v>
      </c>
      <c r="F425" s="23">
        <v>4</v>
      </c>
      <c r="G425" s="17" t="e">
        <v>#N/A</v>
      </c>
      <c r="H425" s="4" t="s">
        <v>123</v>
      </c>
      <c r="I425" s="14"/>
    </row>
    <row r="426" spans="1:9" x14ac:dyDescent="0.25">
      <c r="A426" s="14">
        <v>2013</v>
      </c>
      <c r="B426" s="14">
        <v>157</v>
      </c>
      <c r="C426" s="20">
        <v>41431</v>
      </c>
      <c r="D426" s="16">
        <v>0.65486111111111112</v>
      </c>
      <c r="E426" s="14">
        <v>50</v>
      </c>
      <c r="F426" s="23">
        <v>5</v>
      </c>
      <c r="G426" s="17">
        <v>0.37384312420542831</v>
      </c>
      <c r="H426" s="4" t="s">
        <v>0</v>
      </c>
      <c r="I426" s="14"/>
    </row>
    <row r="427" spans="1:9" x14ac:dyDescent="0.25">
      <c r="A427" s="14">
        <v>2013</v>
      </c>
      <c r="B427" s="14">
        <v>157</v>
      </c>
      <c r="C427" s="20">
        <v>41431</v>
      </c>
      <c r="D427" s="16">
        <v>0.65972222222222221</v>
      </c>
      <c r="E427" s="14">
        <v>50</v>
      </c>
      <c r="F427" s="23">
        <v>6</v>
      </c>
      <c r="G427" s="17">
        <v>0.37044938401775807</v>
      </c>
      <c r="H427" s="4" t="s">
        <v>0</v>
      </c>
      <c r="I427" s="14"/>
    </row>
    <row r="428" spans="1:9" x14ac:dyDescent="0.25">
      <c r="A428" s="14">
        <v>2013</v>
      </c>
      <c r="B428" s="14">
        <v>157</v>
      </c>
      <c r="C428" s="20">
        <v>41431</v>
      </c>
      <c r="D428" s="16" t="e">
        <v>#N/A</v>
      </c>
      <c r="E428" s="14">
        <v>50</v>
      </c>
      <c r="F428" s="23">
        <v>7</v>
      </c>
      <c r="G428" s="17" t="e">
        <v>#N/A</v>
      </c>
      <c r="H428" s="4" t="s">
        <v>123</v>
      </c>
      <c r="I428" s="14"/>
    </row>
    <row r="429" spans="1:9" x14ac:dyDescent="0.25">
      <c r="A429" s="14">
        <v>2013</v>
      </c>
      <c r="B429" s="14">
        <v>157</v>
      </c>
      <c r="C429" s="20">
        <v>41431</v>
      </c>
      <c r="D429" s="16" t="e">
        <v>#N/A</v>
      </c>
      <c r="E429" s="14">
        <v>50</v>
      </c>
      <c r="F429" s="23">
        <v>8</v>
      </c>
      <c r="G429" s="17" t="e">
        <v>#N/A</v>
      </c>
      <c r="H429" s="4" t="s">
        <v>123</v>
      </c>
      <c r="I429" s="14"/>
    </row>
    <row r="430" spans="1:9" x14ac:dyDescent="0.25">
      <c r="A430" s="14">
        <v>2013</v>
      </c>
      <c r="B430" s="14">
        <v>157</v>
      </c>
      <c r="C430" s="20">
        <v>41431</v>
      </c>
      <c r="D430" s="16" t="e">
        <v>#N/A</v>
      </c>
      <c r="E430" s="14">
        <v>50</v>
      </c>
      <c r="F430" s="23">
        <v>9</v>
      </c>
      <c r="G430" s="17" t="e">
        <v>#N/A</v>
      </c>
      <c r="H430" s="4" t="s">
        <v>123</v>
      </c>
      <c r="I430" s="14"/>
    </row>
    <row r="431" spans="1:9" x14ac:dyDescent="0.25">
      <c r="A431" s="14">
        <v>2013</v>
      </c>
      <c r="B431" s="14">
        <v>157</v>
      </c>
      <c r="C431" s="20">
        <v>41431</v>
      </c>
      <c r="D431" s="16" t="e">
        <v>#N/A</v>
      </c>
      <c r="E431" s="14">
        <v>50</v>
      </c>
      <c r="F431" s="23">
        <v>10</v>
      </c>
      <c r="G431" s="17" t="e">
        <v>#N/A</v>
      </c>
      <c r="H431" s="4" t="s">
        <v>123</v>
      </c>
      <c r="I431" s="14"/>
    </row>
    <row r="432" spans="1:9" x14ac:dyDescent="0.25">
      <c r="A432" s="14">
        <v>2013</v>
      </c>
      <c r="B432" s="14">
        <v>157</v>
      </c>
      <c r="C432" s="20">
        <v>41431</v>
      </c>
      <c r="D432" s="16" t="e">
        <v>#N/A</v>
      </c>
      <c r="E432" s="14">
        <v>50</v>
      </c>
      <c r="F432" s="23">
        <v>11</v>
      </c>
      <c r="G432" s="17" t="e">
        <v>#N/A</v>
      </c>
      <c r="H432" s="4" t="s">
        <v>124</v>
      </c>
      <c r="I432" s="14"/>
    </row>
    <row r="433" spans="1:9" x14ac:dyDescent="0.25">
      <c r="A433" s="14">
        <v>2013</v>
      </c>
      <c r="B433" s="14">
        <v>157</v>
      </c>
      <c r="C433" s="20">
        <v>41431</v>
      </c>
      <c r="D433" s="16" t="e">
        <v>#N/A</v>
      </c>
      <c r="E433" s="14">
        <v>50</v>
      </c>
      <c r="F433" s="23">
        <v>12</v>
      </c>
      <c r="G433" s="17" t="e">
        <v>#N/A</v>
      </c>
      <c r="H433" s="4" t="s">
        <v>124</v>
      </c>
      <c r="I433" s="14"/>
    </row>
    <row r="434" spans="1:9" x14ac:dyDescent="0.25">
      <c r="A434" s="14">
        <v>2013</v>
      </c>
      <c r="B434" s="14">
        <v>157</v>
      </c>
      <c r="C434" s="20">
        <v>41431</v>
      </c>
      <c r="D434" s="16" t="e">
        <v>#N/A</v>
      </c>
      <c r="E434" s="14">
        <v>50</v>
      </c>
      <c r="F434" s="23">
        <v>13</v>
      </c>
      <c r="G434" s="17" t="e">
        <v>#N/A</v>
      </c>
      <c r="H434" s="4" t="s">
        <v>124</v>
      </c>
      <c r="I434" s="14"/>
    </row>
    <row r="435" spans="1:9" x14ac:dyDescent="0.25">
      <c r="A435" s="14">
        <v>2013</v>
      </c>
      <c r="B435" s="14">
        <v>157</v>
      </c>
      <c r="C435" s="20">
        <v>41431</v>
      </c>
      <c r="D435" s="16" t="e">
        <v>#N/A</v>
      </c>
      <c r="E435" s="14">
        <v>50</v>
      </c>
      <c r="F435" s="23">
        <v>14</v>
      </c>
      <c r="G435" s="17" t="e">
        <v>#N/A</v>
      </c>
      <c r="H435" s="4" t="s">
        <v>124</v>
      </c>
      <c r="I435" s="14"/>
    </row>
    <row r="436" spans="1:9" x14ac:dyDescent="0.25">
      <c r="A436" s="14">
        <v>2013</v>
      </c>
      <c r="B436" s="14">
        <v>157</v>
      </c>
      <c r="C436" s="20">
        <v>41431</v>
      </c>
      <c r="D436" s="16">
        <v>0.63680555555555551</v>
      </c>
      <c r="E436" s="14">
        <v>50</v>
      </c>
      <c r="F436" s="23">
        <v>15</v>
      </c>
      <c r="G436" s="17">
        <v>0.36322242649581271</v>
      </c>
      <c r="H436" s="4" t="s">
        <v>1</v>
      </c>
      <c r="I436" s="14"/>
    </row>
    <row r="437" spans="1:9" x14ac:dyDescent="0.25">
      <c r="A437" s="14">
        <v>2013</v>
      </c>
      <c r="B437" s="14">
        <v>157</v>
      </c>
      <c r="C437" s="20">
        <v>41431</v>
      </c>
      <c r="D437" s="16">
        <v>0.64236111111111105</v>
      </c>
      <c r="E437" s="14">
        <v>50</v>
      </c>
      <c r="F437" s="23">
        <v>16</v>
      </c>
      <c r="G437" s="17">
        <v>0.36158659489456163</v>
      </c>
      <c r="H437" s="4" t="s">
        <v>1</v>
      </c>
      <c r="I437" s="14"/>
    </row>
    <row r="438" spans="1:9" x14ac:dyDescent="0.25">
      <c r="A438" s="14">
        <v>2013</v>
      </c>
      <c r="B438" s="14">
        <v>157</v>
      </c>
      <c r="C438" s="20">
        <v>41431</v>
      </c>
      <c r="D438" s="16" t="e">
        <v>#N/A</v>
      </c>
      <c r="E438" s="14">
        <v>50</v>
      </c>
      <c r="F438" s="23">
        <v>17</v>
      </c>
      <c r="G438" s="17" t="e">
        <v>#N/A</v>
      </c>
      <c r="H438" s="4" t="s">
        <v>124</v>
      </c>
      <c r="I438" s="14"/>
    </row>
    <row r="439" spans="1:9" x14ac:dyDescent="0.25">
      <c r="A439" s="14">
        <v>2013</v>
      </c>
      <c r="B439" s="14">
        <v>157</v>
      </c>
      <c r="C439" s="20">
        <v>41431</v>
      </c>
      <c r="D439" s="16" t="e">
        <v>#N/A</v>
      </c>
      <c r="E439" s="14">
        <v>50</v>
      </c>
      <c r="F439" s="23">
        <v>18</v>
      </c>
      <c r="G439" s="17" t="e">
        <v>#N/A</v>
      </c>
      <c r="H439" s="4" t="s">
        <v>124</v>
      </c>
      <c r="I439" s="14"/>
    </row>
    <row r="440" spans="1:9" x14ac:dyDescent="0.25">
      <c r="A440" s="14">
        <v>2013</v>
      </c>
      <c r="B440" s="14">
        <v>157</v>
      </c>
      <c r="C440" s="20">
        <v>41431</v>
      </c>
      <c r="D440" s="16" t="e">
        <v>#N/A</v>
      </c>
      <c r="E440" s="14">
        <v>50</v>
      </c>
      <c r="F440" s="23">
        <v>19</v>
      </c>
      <c r="G440" s="17" t="e">
        <v>#N/A</v>
      </c>
      <c r="H440" s="4" t="s">
        <v>124</v>
      </c>
      <c r="I440" s="14"/>
    </row>
    <row r="441" spans="1:9" x14ac:dyDescent="0.25">
      <c r="A441" s="14">
        <v>2013</v>
      </c>
      <c r="B441" s="14">
        <v>157</v>
      </c>
      <c r="C441" s="20">
        <v>41431</v>
      </c>
      <c r="D441" s="16" t="e">
        <v>#N/A</v>
      </c>
      <c r="E441" s="14">
        <v>50</v>
      </c>
      <c r="F441" s="23">
        <v>20</v>
      </c>
      <c r="G441" s="17" t="e">
        <v>#N/A</v>
      </c>
      <c r="H441" s="4" t="s">
        <v>124</v>
      </c>
      <c r="I441" s="14"/>
    </row>
    <row r="442" spans="1:9" x14ac:dyDescent="0.25">
      <c r="A442" s="14">
        <v>2013</v>
      </c>
      <c r="B442" s="14">
        <v>157</v>
      </c>
      <c r="C442" s="20">
        <v>41431</v>
      </c>
      <c r="D442" s="16" t="e">
        <v>#N/A</v>
      </c>
      <c r="E442" s="14">
        <v>30</v>
      </c>
      <c r="F442" s="23">
        <v>1</v>
      </c>
      <c r="G442" s="17" t="e">
        <v>#N/A</v>
      </c>
      <c r="H442" s="4" t="s">
        <v>123</v>
      </c>
      <c r="I442" s="14"/>
    </row>
    <row r="443" spans="1:9" x14ac:dyDescent="0.25">
      <c r="A443" s="14">
        <v>2013</v>
      </c>
      <c r="B443" s="14">
        <v>157</v>
      </c>
      <c r="C443" s="20">
        <v>41431</v>
      </c>
      <c r="D443" s="16" t="e">
        <v>#N/A</v>
      </c>
      <c r="E443" s="14">
        <v>30</v>
      </c>
      <c r="F443" s="23">
        <v>2</v>
      </c>
      <c r="G443" s="17" t="e">
        <v>#N/A</v>
      </c>
      <c r="H443" s="4" t="s">
        <v>123</v>
      </c>
      <c r="I443" s="14"/>
    </row>
    <row r="444" spans="1:9" x14ac:dyDescent="0.25">
      <c r="A444" s="14">
        <v>2013</v>
      </c>
      <c r="B444" s="14">
        <v>157</v>
      </c>
      <c r="C444" s="20">
        <v>41431</v>
      </c>
      <c r="D444" s="16" t="e">
        <v>#N/A</v>
      </c>
      <c r="E444" s="14">
        <v>30</v>
      </c>
      <c r="F444" s="23">
        <v>3</v>
      </c>
      <c r="G444" s="17" t="e">
        <v>#N/A</v>
      </c>
      <c r="H444" s="4" t="s">
        <v>123</v>
      </c>
      <c r="I444" s="14"/>
    </row>
    <row r="445" spans="1:9" x14ac:dyDescent="0.25">
      <c r="A445" s="14">
        <v>2013</v>
      </c>
      <c r="B445" s="14">
        <v>157</v>
      </c>
      <c r="C445" s="20">
        <v>41431</v>
      </c>
      <c r="D445" s="16" t="e">
        <v>#N/A</v>
      </c>
      <c r="E445" s="14">
        <v>30</v>
      </c>
      <c r="F445" s="23">
        <v>4</v>
      </c>
      <c r="G445" s="17" t="e">
        <v>#N/A</v>
      </c>
      <c r="H445" s="4" t="s">
        <v>123</v>
      </c>
      <c r="I445" s="14"/>
    </row>
    <row r="446" spans="1:9" x14ac:dyDescent="0.25">
      <c r="A446" s="14">
        <v>2013</v>
      </c>
      <c r="B446" s="14">
        <v>157</v>
      </c>
      <c r="C446" s="20">
        <v>41431</v>
      </c>
      <c r="D446" s="16">
        <v>0.65486111111111112</v>
      </c>
      <c r="E446" s="14">
        <v>30</v>
      </c>
      <c r="F446" s="23">
        <v>5</v>
      </c>
      <c r="G446" s="17">
        <v>0.36712889002118859</v>
      </c>
      <c r="H446" s="4" t="s">
        <v>0</v>
      </c>
      <c r="I446" s="14"/>
    </row>
    <row r="447" spans="1:9" x14ac:dyDescent="0.25">
      <c r="A447" s="14">
        <v>2013</v>
      </c>
      <c r="B447" s="14">
        <v>157</v>
      </c>
      <c r="C447" s="20">
        <v>41431</v>
      </c>
      <c r="D447" s="16">
        <v>0.65972222222222221</v>
      </c>
      <c r="E447" s="14">
        <v>30</v>
      </c>
      <c r="F447" s="23">
        <v>6</v>
      </c>
      <c r="G447" s="17">
        <v>0.35487236071032185</v>
      </c>
      <c r="H447" s="4" t="s">
        <v>0</v>
      </c>
      <c r="I447" s="14"/>
    </row>
    <row r="448" spans="1:9" x14ac:dyDescent="0.25">
      <c r="A448" s="14">
        <v>2013</v>
      </c>
      <c r="B448" s="14">
        <v>157</v>
      </c>
      <c r="C448" s="20">
        <v>41431</v>
      </c>
      <c r="D448" s="16" t="e">
        <v>#N/A</v>
      </c>
      <c r="E448" s="14">
        <v>30</v>
      </c>
      <c r="F448" s="23">
        <v>7</v>
      </c>
      <c r="G448" s="17" t="e">
        <v>#N/A</v>
      </c>
      <c r="H448" s="4" t="s">
        <v>123</v>
      </c>
      <c r="I448" s="14"/>
    </row>
    <row r="449" spans="1:9" x14ac:dyDescent="0.25">
      <c r="A449" s="14">
        <v>2013</v>
      </c>
      <c r="B449" s="14">
        <v>157</v>
      </c>
      <c r="C449" s="20">
        <v>41431</v>
      </c>
      <c r="D449" s="16" t="e">
        <v>#N/A</v>
      </c>
      <c r="E449" s="14">
        <v>30</v>
      </c>
      <c r="F449" s="23">
        <v>8</v>
      </c>
      <c r="G449" s="17" t="e">
        <v>#N/A</v>
      </c>
      <c r="H449" s="4" t="s">
        <v>123</v>
      </c>
      <c r="I449" s="14"/>
    </row>
    <row r="450" spans="1:9" x14ac:dyDescent="0.25">
      <c r="A450" s="14">
        <v>2013</v>
      </c>
      <c r="B450" s="14">
        <v>157</v>
      </c>
      <c r="C450" s="20">
        <v>41431</v>
      </c>
      <c r="D450" s="16" t="e">
        <v>#N/A</v>
      </c>
      <c r="E450" s="14">
        <v>30</v>
      </c>
      <c r="F450" s="23">
        <v>9</v>
      </c>
      <c r="G450" s="17" t="e">
        <v>#N/A</v>
      </c>
      <c r="H450" s="4" t="s">
        <v>123</v>
      </c>
      <c r="I450" s="14"/>
    </row>
    <row r="451" spans="1:9" x14ac:dyDescent="0.25">
      <c r="A451" s="14">
        <v>2013</v>
      </c>
      <c r="B451" s="14">
        <v>157</v>
      </c>
      <c r="C451" s="20">
        <v>41431</v>
      </c>
      <c r="D451" s="16" t="e">
        <v>#N/A</v>
      </c>
      <c r="E451" s="14">
        <v>30</v>
      </c>
      <c r="F451" s="23">
        <v>10</v>
      </c>
      <c r="G451" s="17" t="e">
        <v>#N/A</v>
      </c>
      <c r="H451" s="4" t="s">
        <v>123</v>
      </c>
      <c r="I451" s="14"/>
    </row>
    <row r="452" spans="1:9" x14ac:dyDescent="0.25">
      <c r="A452" s="14">
        <v>2013</v>
      </c>
      <c r="B452" s="14">
        <v>157</v>
      </c>
      <c r="C452" s="20">
        <v>41431</v>
      </c>
      <c r="D452" s="16" t="e">
        <v>#N/A</v>
      </c>
      <c r="E452" s="14">
        <v>30</v>
      </c>
      <c r="F452" s="23">
        <v>11</v>
      </c>
      <c r="G452" s="17" t="e">
        <v>#N/A</v>
      </c>
      <c r="H452" s="4" t="s">
        <v>124</v>
      </c>
      <c r="I452" s="14"/>
    </row>
    <row r="453" spans="1:9" x14ac:dyDescent="0.25">
      <c r="A453" s="14">
        <v>2013</v>
      </c>
      <c r="B453" s="14">
        <v>157</v>
      </c>
      <c r="C453" s="20">
        <v>41431</v>
      </c>
      <c r="D453" s="16" t="e">
        <v>#N/A</v>
      </c>
      <c r="E453" s="14">
        <v>30</v>
      </c>
      <c r="F453" s="23">
        <v>12</v>
      </c>
      <c r="G453" s="17" t="e">
        <v>#N/A</v>
      </c>
      <c r="H453" s="4" t="s">
        <v>124</v>
      </c>
      <c r="I453" s="14"/>
    </row>
    <row r="454" spans="1:9" x14ac:dyDescent="0.25">
      <c r="A454" s="14">
        <v>2013</v>
      </c>
      <c r="B454" s="14">
        <v>157</v>
      </c>
      <c r="C454" s="20">
        <v>41431</v>
      </c>
      <c r="D454" s="16" t="e">
        <v>#N/A</v>
      </c>
      <c r="E454" s="14">
        <v>30</v>
      </c>
      <c r="F454" s="23">
        <v>13</v>
      </c>
      <c r="G454" s="17" t="e">
        <v>#N/A</v>
      </c>
      <c r="H454" s="4" t="s">
        <v>124</v>
      </c>
      <c r="I454" s="14"/>
    </row>
    <row r="455" spans="1:9" x14ac:dyDescent="0.25">
      <c r="A455" s="14">
        <v>2013</v>
      </c>
      <c r="B455" s="14">
        <v>157</v>
      </c>
      <c r="C455" s="20">
        <v>41431</v>
      </c>
      <c r="D455" s="16" t="e">
        <v>#N/A</v>
      </c>
      <c r="E455" s="14">
        <v>30</v>
      </c>
      <c r="F455" s="23">
        <v>14</v>
      </c>
      <c r="G455" s="17" t="e">
        <v>#N/A</v>
      </c>
      <c r="H455" s="4" t="s">
        <v>124</v>
      </c>
      <c r="I455" s="14"/>
    </row>
    <row r="456" spans="1:9" x14ac:dyDescent="0.25">
      <c r="A456" s="14">
        <v>2013</v>
      </c>
      <c r="B456" s="14">
        <v>157</v>
      </c>
      <c r="C456" s="20">
        <v>41431</v>
      </c>
      <c r="D456" s="16">
        <v>0.63680555555555551</v>
      </c>
      <c r="E456" s="14">
        <v>30</v>
      </c>
      <c r="F456" s="23">
        <v>15</v>
      </c>
      <c r="G456" s="17">
        <v>0.36219697982040155</v>
      </c>
      <c r="H456" s="4" t="s">
        <v>1</v>
      </c>
      <c r="I456" s="14"/>
    </row>
    <row r="457" spans="1:9" x14ac:dyDescent="0.25">
      <c r="A457" s="14">
        <v>2013</v>
      </c>
      <c r="B457" s="14">
        <v>157</v>
      </c>
      <c r="C457" s="20">
        <v>41431</v>
      </c>
      <c r="D457" s="16">
        <v>0.64236111111111105</v>
      </c>
      <c r="E457" s="14">
        <v>30</v>
      </c>
      <c r="F457" s="23">
        <v>16</v>
      </c>
      <c r="G457" s="17">
        <v>0.36258762617293916</v>
      </c>
      <c r="H457" s="4" t="s">
        <v>1</v>
      </c>
      <c r="I457" s="14"/>
    </row>
    <row r="458" spans="1:9" x14ac:dyDescent="0.25">
      <c r="A458" s="14">
        <v>2013</v>
      </c>
      <c r="B458" s="14">
        <v>157</v>
      </c>
      <c r="C458" s="20">
        <v>41431</v>
      </c>
      <c r="D458" s="16" t="e">
        <v>#N/A</v>
      </c>
      <c r="E458" s="14">
        <v>30</v>
      </c>
      <c r="F458" s="23">
        <v>17</v>
      </c>
      <c r="G458" s="17" t="e">
        <v>#N/A</v>
      </c>
      <c r="H458" s="4" t="s">
        <v>124</v>
      </c>
      <c r="I458" s="14"/>
    </row>
    <row r="459" spans="1:9" x14ac:dyDescent="0.25">
      <c r="A459" s="14">
        <v>2013</v>
      </c>
      <c r="B459" s="14">
        <v>157</v>
      </c>
      <c r="C459" s="20">
        <v>41431</v>
      </c>
      <c r="D459" s="16" t="e">
        <v>#N/A</v>
      </c>
      <c r="E459" s="14">
        <v>30</v>
      </c>
      <c r="F459" s="23">
        <v>18</v>
      </c>
      <c r="G459" s="17" t="e">
        <v>#N/A</v>
      </c>
      <c r="H459" s="4" t="s">
        <v>124</v>
      </c>
      <c r="I459" s="14"/>
    </row>
    <row r="460" spans="1:9" x14ac:dyDescent="0.25">
      <c r="A460" s="14">
        <v>2013</v>
      </c>
      <c r="B460" s="14">
        <v>157</v>
      </c>
      <c r="C460" s="20">
        <v>41431</v>
      </c>
      <c r="D460" s="16" t="e">
        <v>#N/A</v>
      </c>
      <c r="E460" s="14">
        <v>30</v>
      </c>
      <c r="F460" s="23">
        <v>19</v>
      </c>
      <c r="G460" s="17" t="e">
        <v>#N/A</v>
      </c>
      <c r="H460" s="4" t="s">
        <v>124</v>
      </c>
      <c r="I460" s="14"/>
    </row>
    <row r="461" spans="1:9" x14ac:dyDescent="0.25">
      <c r="A461" s="14">
        <v>2013</v>
      </c>
      <c r="B461" s="14">
        <v>157</v>
      </c>
      <c r="C461" s="20">
        <v>41431</v>
      </c>
      <c r="D461" s="16" t="e">
        <v>#N/A</v>
      </c>
      <c r="E461" s="14">
        <v>30</v>
      </c>
      <c r="F461" s="23">
        <v>20</v>
      </c>
      <c r="G461" s="17" t="e">
        <v>#N/A</v>
      </c>
      <c r="H461" s="4" t="s">
        <v>124</v>
      </c>
      <c r="I461" s="14"/>
    </row>
    <row r="462" spans="1:9" x14ac:dyDescent="0.25">
      <c r="A462" s="14">
        <v>2013</v>
      </c>
      <c r="B462" s="14">
        <v>157</v>
      </c>
      <c r="C462" s="20">
        <v>41431</v>
      </c>
      <c r="D462" s="16" t="e">
        <v>#N/A</v>
      </c>
      <c r="E462" s="14">
        <v>10</v>
      </c>
      <c r="F462" s="23">
        <v>1</v>
      </c>
      <c r="G462" s="17" t="e">
        <v>#N/A</v>
      </c>
      <c r="H462" s="4" t="s">
        <v>123</v>
      </c>
      <c r="I462" s="14"/>
    </row>
    <row r="463" spans="1:9" x14ac:dyDescent="0.25">
      <c r="A463" s="14">
        <v>2013</v>
      </c>
      <c r="B463" s="14">
        <v>157</v>
      </c>
      <c r="C463" s="20">
        <v>41431</v>
      </c>
      <c r="D463" s="16" t="e">
        <v>#N/A</v>
      </c>
      <c r="E463" s="14">
        <v>10</v>
      </c>
      <c r="F463" s="23">
        <v>2</v>
      </c>
      <c r="G463" s="17" t="e">
        <v>#N/A</v>
      </c>
      <c r="H463" s="4" t="s">
        <v>123</v>
      </c>
      <c r="I463" s="14"/>
    </row>
    <row r="464" spans="1:9" x14ac:dyDescent="0.25">
      <c r="A464" s="14">
        <v>2013</v>
      </c>
      <c r="B464" s="14">
        <v>157</v>
      </c>
      <c r="C464" s="20">
        <v>41431</v>
      </c>
      <c r="D464" s="16" t="e">
        <v>#N/A</v>
      </c>
      <c r="E464" s="14">
        <v>10</v>
      </c>
      <c r="F464" s="23">
        <v>3</v>
      </c>
      <c r="G464" s="17" t="e">
        <v>#N/A</v>
      </c>
      <c r="H464" s="4" t="s">
        <v>123</v>
      </c>
      <c r="I464" s="14"/>
    </row>
    <row r="465" spans="1:9" x14ac:dyDescent="0.25">
      <c r="A465" s="14">
        <v>2013</v>
      </c>
      <c r="B465" s="14">
        <v>157</v>
      </c>
      <c r="C465" s="20">
        <v>41431</v>
      </c>
      <c r="D465" s="16" t="e">
        <v>#N/A</v>
      </c>
      <c r="E465" s="14">
        <v>10</v>
      </c>
      <c r="F465" s="23">
        <v>4</v>
      </c>
      <c r="G465" s="17" t="e">
        <v>#N/A</v>
      </c>
      <c r="H465" s="4" t="s">
        <v>123</v>
      </c>
      <c r="I465" s="14"/>
    </row>
    <row r="466" spans="1:9" x14ac:dyDescent="0.25">
      <c r="A466" s="14">
        <v>2013</v>
      </c>
      <c r="B466" s="14">
        <v>157</v>
      </c>
      <c r="C466" s="20">
        <v>41431</v>
      </c>
      <c r="D466" s="16">
        <v>0.65486111111111112</v>
      </c>
      <c r="E466" s="14">
        <v>10</v>
      </c>
      <c r="F466" s="23">
        <v>5</v>
      </c>
      <c r="G466" s="17">
        <v>0.29291755665422259</v>
      </c>
      <c r="H466" s="4" t="s">
        <v>0</v>
      </c>
      <c r="I466" s="14"/>
    </row>
    <row r="467" spans="1:9" x14ac:dyDescent="0.25">
      <c r="A467" s="14">
        <v>2013</v>
      </c>
      <c r="B467" s="14">
        <v>157</v>
      </c>
      <c r="C467" s="20">
        <v>41431</v>
      </c>
      <c r="D467" s="16">
        <v>0.65972222222222221</v>
      </c>
      <c r="E467" s="14">
        <v>10</v>
      </c>
      <c r="F467" s="23">
        <v>6</v>
      </c>
      <c r="G467" s="17">
        <v>0.27552781999798204</v>
      </c>
      <c r="H467" s="4" t="s">
        <v>0</v>
      </c>
      <c r="I467" s="14"/>
    </row>
    <row r="468" spans="1:9" x14ac:dyDescent="0.25">
      <c r="A468" s="14">
        <v>2013</v>
      </c>
      <c r="B468" s="14">
        <v>157</v>
      </c>
      <c r="C468" s="20">
        <v>41431</v>
      </c>
      <c r="D468" s="16" t="e">
        <v>#N/A</v>
      </c>
      <c r="E468" s="14">
        <v>10</v>
      </c>
      <c r="F468" s="23">
        <v>7</v>
      </c>
      <c r="G468" s="17" t="e">
        <v>#N/A</v>
      </c>
      <c r="H468" s="4" t="s">
        <v>123</v>
      </c>
      <c r="I468" s="14"/>
    </row>
    <row r="469" spans="1:9" x14ac:dyDescent="0.25">
      <c r="A469" s="14">
        <v>2013</v>
      </c>
      <c r="B469" s="14">
        <v>157</v>
      </c>
      <c r="C469" s="20">
        <v>41431</v>
      </c>
      <c r="D469" s="16" t="e">
        <v>#N/A</v>
      </c>
      <c r="E469" s="14">
        <v>10</v>
      </c>
      <c r="F469" s="23">
        <v>8</v>
      </c>
      <c r="G469" s="17" t="e">
        <v>#N/A</v>
      </c>
      <c r="H469" s="4" t="s">
        <v>123</v>
      </c>
      <c r="I469" s="14"/>
    </row>
    <row r="470" spans="1:9" x14ac:dyDescent="0.25">
      <c r="A470" s="14">
        <v>2013</v>
      </c>
      <c r="B470" s="14">
        <v>157</v>
      </c>
      <c r="C470" s="20">
        <v>41431</v>
      </c>
      <c r="D470" s="16" t="e">
        <v>#N/A</v>
      </c>
      <c r="E470" s="14">
        <v>10</v>
      </c>
      <c r="F470" s="23">
        <v>9</v>
      </c>
      <c r="G470" s="17" t="e">
        <v>#N/A</v>
      </c>
      <c r="H470" s="4" t="s">
        <v>123</v>
      </c>
      <c r="I470" s="14"/>
    </row>
    <row r="471" spans="1:9" x14ac:dyDescent="0.25">
      <c r="A471" s="14">
        <v>2013</v>
      </c>
      <c r="B471" s="14">
        <v>157</v>
      </c>
      <c r="C471" s="20">
        <v>41431</v>
      </c>
      <c r="D471" s="16" t="e">
        <v>#N/A</v>
      </c>
      <c r="E471" s="14">
        <v>10</v>
      </c>
      <c r="F471" s="23">
        <v>10</v>
      </c>
      <c r="G471" s="17" t="e">
        <v>#N/A</v>
      </c>
      <c r="H471" s="4" t="s">
        <v>123</v>
      </c>
      <c r="I471" s="14"/>
    </row>
    <row r="472" spans="1:9" x14ac:dyDescent="0.25">
      <c r="A472" s="14">
        <v>2013</v>
      </c>
      <c r="B472" s="14">
        <v>157</v>
      </c>
      <c r="C472" s="20">
        <v>41431</v>
      </c>
      <c r="D472" s="16" t="e">
        <v>#N/A</v>
      </c>
      <c r="E472" s="14">
        <v>10</v>
      </c>
      <c r="F472" s="23">
        <v>11</v>
      </c>
      <c r="G472" s="17" t="e">
        <v>#N/A</v>
      </c>
      <c r="H472" s="4" t="s">
        <v>124</v>
      </c>
      <c r="I472" s="14"/>
    </row>
    <row r="473" spans="1:9" x14ac:dyDescent="0.25">
      <c r="A473" s="14">
        <v>2013</v>
      </c>
      <c r="B473" s="14">
        <v>157</v>
      </c>
      <c r="C473" s="20">
        <v>41431</v>
      </c>
      <c r="D473" s="16" t="e">
        <v>#N/A</v>
      </c>
      <c r="E473" s="14">
        <v>10</v>
      </c>
      <c r="F473" s="23">
        <v>12</v>
      </c>
      <c r="G473" s="17" t="e">
        <v>#N/A</v>
      </c>
      <c r="H473" s="4" t="s">
        <v>124</v>
      </c>
      <c r="I473" s="14"/>
    </row>
    <row r="474" spans="1:9" x14ac:dyDescent="0.25">
      <c r="A474" s="14">
        <v>2013</v>
      </c>
      <c r="B474" s="14">
        <v>157</v>
      </c>
      <c r="C474" s="20">
        <v>41431</v>
      </c>
      <c r="D474" s="16" t="e">
        <v>#N/A</v>
      </c>
      <c r="E474" s="14">
        <v>10</v>
      </c>
      <c r="F474" s="23">
        <v>13</v>
      </c>
      <c r="G474" s="17" t="e">
        <v>#N/A</v>
      </c>
      <c r="H474" s="4" t="s">
        <v>124</v>
      </c>
      <c r="I474" s="14"/>
    </row>
    <row r="475" spans="1:9" x14ac:dyDescent="0.25">
      <c r="A475" s="14">
        <v>2013</v>
      </c>
      <c r="B475" s="14">
        <v>157</v>
      </c>
      <c r="C475" s="20">
        <v>41431</v>
      </c>
      <c r="D475" s="16" t="e">
        <v>#N/A</v>
      </c>
      <c r="E475" s="14">
        <v>10</v>
      </c>
      <c r="F475" s="23">
        <v>14</v>
      </c>
      <c r="G475" s="17" t="e">
        <v>#N/A</v>
      </c>
      <c r="H475" s="4" t="s">
        <v>124</v>
      </c>
      <c r="I475" s="14"/>
    </row>
    <row r="476" spans="1:9" x14ac:dyDescent="0.25">
      <c r="A476" s="14">
        <v>2013</v>
      </c>
      <c r="B476" s="14">
        <v>157</v>
      </c>
      <c r="C476" s="20">
        <v>41431</v>
      </c>
      <c r="D476" s="16">
        <v>0.63680555555555551</v>
      </c>
      <c r="E476" s="14">
        <v>10</v>
      </c>
      <c r="F476" s="23">
        <v>15</v>
      </c>
      <c r="G476" s="17">
        <v>0.28466009888003224</v>
      </c>
      <c r="H476" s="4" t="s">
        <v>1</v>
      </c>
      <c r="I476" s="14"/>
    </row>
    <row r="477" spans="1:9" x14ac:dyDescent="0.25">
      <c r="A477" s="14">
        <v>2013</v>
      </c>
      <c r="B477" s="14">
        <v>157</v>
      </c>
      <c r="C477" s="20">
        <v>41431</v>
      </c>
      <c r="D477" s="16">
        <v>0.64236111111111105</v>
      </c>
      <c r="E477" s="14">
        <v>10</v>
      </c>
      <c r="F477" s="23">
        <v>16</v>
      </c>
      <c r="G477" s="17">
        <v>0.27689339441025124</v>
      </c>
      <c r="H477" s="4" t="s">
        <v>1</v>
      </c>
      <c r="I477" s="14"/>
    </row>
    <row r="478" spans="1:9" x14ac:dyDescent="0.25">
      <c r="A478" s="14">
        <v>2013</v>
      </c>
      <c r="B478" s="14">
        <v>157</v>
      </c>
      <c r="C478" s="20">
        <v>41431</v>
      </c>
      <c r="D478" s="16" t="e">
        <v>#N/A</v>
      </c>
      <c r="E478" s="14">
        <v>10</v>
      </c>
      <c r="F478" s="23">
        <v>17</v>
      </c>
      <c r="G478" s="17" t="e">
        <v>#N/A</v>
      </c>
      <c r="H478" s="4" t="s">
        <v>124</v>
      </c>
      <c r="I478" s="14"/>
    </row>
    <row r="479" spans="1:9" x14ac:dyDescent="0.25">
      <c r="A479" s="14">
        <v>2013</v>
      </c>
      <c r="B479" s="14">
        <v>157</v>
      </c>
      <c r="C479" s="20">
        <v>41431</v>
      </c>
      <c r="D479" s="16" t="e">
        <v>#N/A</v>
      </c>
      <c r="E479" s="14">
        <v>10</v>
      </c>
      <c r="F479" s="23">
        <v>18</v>
      </c>
      <c r="G479" s="17" t="e">
        <v>#N/A</v>
      </c>
      <c r="H479" s="4" t="s">
        <v>124</v>
      </c>
      <c r="I479" s="14"/>
    </row>
    <row r="480" spans="1:9" x14ac:dyDescent="0.25">
      <c r="A480" s="14">
        <v>2013</v>
      </c>
      <c r="B480" s="14">
        <v>157</v>
      </c>
      <c r="C480" s="20">
        <v>41431</v>
      </c>
      <c r="D480" s="16" t="e">
        <v>#N/A</v>
      </c>
      <c r="E480" s="14">
        <v>10</v>
      </c>
      <c r="F480" s="23">
        <v>19</v>
      </c>
      <c r="G480" s="17" t="e">
        <v>#N/A</v>
      </c>
      <c r="H480" s="4" t="s">
        <v>124</v>
      </c>
      <c r="I480" s="14"/>
    </row>
    <row r="481" spans="1:9" x14ac:dyDescent="0.25">
      <c r="A481" s="14">
        <v>2013</v>
      </c>
      <c r="B481" s="14">
        <v>157</v>
      </c>
      <c r="C481" s="20">
        <v>41431</v>
      </c>
      <c r="D481" s="16" t="e">
        <v>#N/A</v>
      </c>
      <c r="E481" s="14">
        <v>10</v>
      </c>
      <c r="F481" s="23">
        <v>20</v>
      </c>
      <c r="G481" s="17" t="e">
        <v>#N/A</v>
      </c>
      <c r="H481" s="4" t="s">
        <v>124</v>
      </c>
      <c r="I481" s="14"/>
    </row>
    <row r="482" spans="1:9" x14ac:dyDescent="0.25">
      <c r="A482" s="14">
        <v>2013</v>
      </c>
      <c r="B482" s="14">
        <v>171</v>
      </c>
      <c r="C482" s="20">
        <v>41445</v>
      </c>
      <c r="D482" s="16">
        <v>0.54305555555555551</v>
      </c>
      <c r="E482" s="14">
        <v>230</v>
      </c>
      <c r="F482" s="23">
        <v>1</v>
      </c>
      <c r="G482" s="17">
        <v>0.29652357697740112</v>
      </c>
      <c r="H482" s="4" t="s">
        <v>123</v>
      </c>
      <c r="I482" s="14"/>
    </row>
    <row r="483" spans="1:9" x14ac:dyDescent="0.25">
      <c r="A483" s="14">
        <v>2013</v>
      </c>
      <c r="B483" s="14">
        <v>171</v>
      </c>
      <c r="C483" s="20">
        <v>41445</v>
      </c>
      <c r="D483" s="16">
        <v>0.54999999999999993</v>
      </c>
      <c r="E483" s="14">
        <v>230</v>
      </c>
      <c r="F483" s="23">
        <v>2</v>
      </c>
      <c r="G483" s="17">
        <v>0.30169152612994349</v>
      </c>
      <c r="H483" s="4" t="s">
        <v>123</v>
      </c>
      <c r="I483" s="14"/>
    </row>
    <row r="484" spans="1:9" x14ac:dyDescent="0.25">
      <c r="A484" s="14">
        <v>2013</v>
      </c>
      <c r="B484" s="14">
        <v>171</v>
      </c>
      <c r="C484" s="20">
        <v>41445</v>
      </c>
      <c r="D484" s="16">
        <v>0.55555555555555558</v>
      </c>
      <c r="E484" s="14">
        <v>230</v>
      </c>
      <c r="F484" s="23">
        <v>3</v>
      </c>
      <c r="G484" s="17">
        <v>0.28990703601694917</v>
      </c>
      <c r="H484" s="4" t="s">
        <v>123</v>
      </c>
      <c r="I484" s="14"/>
    </row>
    <row r="485" spans="1:9" x14ac:dyDescent="0.25">
      <c r="A485" s="14">
        <v>2013</v>
      </c>
      <c r="B485" s="14">
        <v>171</v>
      </c>
      <c r="C485" s="20">
        <v>41445</v>
      </c>
      <c r="D485" s="16">
        <v>0.55625000000000002</v>
      </c>
      <c r="E485" s="14">
        <v>230</v>
      </c>
      <c r="F485" s="23">
        <v>4</v>
      </c>
      <c r="G485" s="17">
        <v>0.2868728234463277</v>
      </c>
      <c r="H485" s="4" t="s">
        <v>123</v>
      </c>
      <c r="I485" s="14"/>
    </row>
    <row r="486" spans="1:9" x14ac:dyDescent="0.25">
      <c r="A486" s="14">
        <v>2013</v>
      </c>
      <c r="B486" s="14">
        <v>171</v>
      </c>
      <c r="C486" s="20">
        <v>41445</v>
      </c>
      <c r="D486" s="16">
        <v>0.5625</v>
      </c>
      <c r="E486" s="14">
        <v>230</v>
      </c>
      <c r="F486" s="23">
        <v>5</v>
      </c>
      <c r="G486" s="17" t="e">
        <v>#N/A</v>
      </c>
      <c r="H486" s="4" t="s">
        <v>0</v>
      </c>
      <c r="I486" s="14"/>
    </row>
    <row r="487" spans="1:9" x14ac:dyDescent="0.25">
      <c r="A487" s="14">
        <v>2013</v>
      </c>
      <c r="B487" s="14">
        <v>171</v>
      </c>
      <c r="C487" s="20">
        <v>41445</v>
      </c>
      <c r="D487" s="16">
        <v>0.57361111111111118</v>
      </c>
      <c r="E487" s="14">
        <v>230</v>
      </c>
      <c r="F487" s="23">
        <v>6</v>
      </c>
      <c r="G487" s="17" t="e">
        <v>#N/A</v>
      </c>
      <c r="H487" s="4" t="s">
        <v>0</v>
      </c>
      <c r="I487" s="14"/>
    </row>
    <row r="488" spans="1:9" x14ac:dyDescent="0.25">
      <c r="A488" s="14">
        <v>2013</v>
      </c>
      <c r="B488" s="14">
        <v>171</v>
      </c>
      <c r="C488" s="20">
        <v>41445</v>
      </c>
      <c r="D488" s="16">
        <v>0.57777777777777783</v>
      </c>
      <c r="E488" s="14">
        <v>230</v>
      </c>
      <c r="F488" s="23">
        <v>7</v>
      </c>
      <c r="G488" s="17">
        <v>0.28608980084745761</v>
      </c>
      <c r="H488" s="4" t="s">
        <v>123</v>
      </c>
      <c r="I488" s="14"/>
    </row>
    <row r="489" spans="1:9" x14ac:dyDescent="0.25">
      <c r="A489" s="14">
        <v>2013</v>
      </c>
      <c r="B489" s="14">
        <v>171</v>
      </c>
      <c r="C489" s="20">
        <v>41445</v>
      </c>
      <c r="D489" s="16">
        <v>0.58402777777777781</v>
      </c>
      <c r="E489" s="14">
        <v>230</v>
      </c>
      <c r="F489" s="23">
        <v>8</v>
      </c>
      <c r="G489" s="17">
        <v>0.31134227966101696</v>
      </c>
      <c r="H489" s="4" t="s">
        <v>123</v>
      </c>
      <c r="I489" s="14"/>
    </row>
    <row r="490" spans="1:9" x14ac:dyDescent="0.25">
      <c r="A490" s="14">
        <v>2013</v>
      </c>
      <c r="B490" s="14">
        <v>171</v>
      </c>
      <c r="C490" s="20">
        <v>41445</v>
      </c>
      <c r="D490" s="16">
        <v>0.59097222222222223</v>
      </c>
      <c r="E490" s="14">
        <v>230</v>
      </c>
      <c r="F490" s="23">
        <v>9</v>
      </c>
      <c r="G490" s="17">
        <v>0.30660499293785309</v>
      </c>
      <c r="H490" s="4" t="s">
        <v>123</v>
      </c>
      <c r="I490" s="14"/>
    </row>
    <row r="491" spans="1:9" x14ac:dyDescent="0.25">
      <c r="A491" s="14">
        <v>2013</v>
      </c>
      <c r="B491" s="14">
        <v>171</v>
      </c>
      <c r="C491" s="20">
        <v>41445</v>
      </c>
      <c r="D491" s="16">
        <v>0.60069444444444442</v>
      </c>
      <c r="E491" s="14">
        <v>230</v>
      </c>
      <c r="F491" s="23">
        <v>10</v>
      </c>
      <c r="G491" s="17">
        <v>0.2723281786723164</v>
      </c>
      <c r="H491" s="4" t="s">
        <v>123</v>
      </c>
      <c r="I491" s="14"/>
    </row>
    <row r="492" spans="1:9" x14ac:dyDescent="0.25">
      <c r="A492" s="14">
        <v>2013</v>
      </c>
      <c r="B492" s="14">
        <v>171</v>
      </c>
      <c r="C492" s="20">
        <v>41445</v>
      </c>
      <c r="D492" s="16">
        <v>0.61319444444444449</v>
      </c>
      <c r="E492" s="14">
        <v>230</v>
      </c>
      <c r="F492" s="23">
        <v>11</v>
      </c>
      <c r="G492" s="17">
        <v>0.29630824576271186</v>
      </c>
      <c r="H492" s="4" t="s">
        <v>124</v>
      </c>
      <c r="I492" s="14"/>
    </row>
    <row r="493" spans="1:9" x14ac:dyDescent="0.25">
      <c r="A493" s="14">
        <v>2013</v>
      </c>
      <c r="B493" s="14">
        <v>171</v>
      </c>
      <c r="C493" s="20">
        <v>41445</v>
      </c>
      <c r="D493" s="16">
        <v>0.61944444444444446</v>
      </c>
      <c r="E493" s="14">
        <v>230</v>
      </c>
      <c r="F493" s="23">
        <v>12</v>
      </c>
      <c r="G493" s="17">
        <v>0.3024941242937853</v>
      </c>
      <c r="H493" s="4" t="s">
        <v>124</v>
      </c>
      <c r="I493" s="14"/>
    </row>
    <row r="494" spans="1:9" x14ac:dyDescent="0.25">
      <c r="A494" s="14">
        <v>2013</v>
      </c>
      <c r="B494" s="14">
        <v>171</v>
      </c>
      <c r="C494" s="20">
        <v>41445</v>
      </c>
      <c r="D494" s="16">
        <v>0.625</v>
      </c>
      <c r="E494" s="14">
        <v>230</v>
      </c>
      <c r="F494" s="23">
        <v>13</v>
      </c>
      <c r="G494" s="17">
        <v>0.29998845197740115</v>
      </c>
      <c r="H494" s="4" t="s">
        <v>124</v>
      </c>
      <c r="I494" s="14"/>
    </row>
    <row r="495" spans="1:9" x14ac:dyDescent="0.25">
      <c r="A495" s="14">
        <v>2013</v>
      </c>
      <c r="B495" s="14">
        <v>171</v>
      </c>
      <c r="C495" s="20">
        <v>41445</v>
      </c>
      <c r="D495" s="16">
        <v>0.62569444444444444</v>
      </c>
      <c r="E495" s="14">
        <v>230</v>
      </c>
      <c r="F495" s="23">
        <v>14</v>
      </c>
      <c r="G495" s="17">
        <v>0.29172756355932206</v>
      </c>
      <c r="H495" s="4" t="s">
        <v>124</v>
      </c>
      <c r="I495" s="14"/>
    </row>
    <row r="496" spans="1:9" x14ac:dyDescent="0.25">
      <c r="A496" s="14">
        <v>2013</v>
      </c>
      <c r="B496" s="14">
        <v>171</v>
      </c>
      <c r="C496" s="20">
        <v>41445</v>
      </c>
      <c r="D496" s="16">
        <v>0.63194444444444442</v>
      </c>
      <c r="E496" s="14">
        <v>230</v>
      </c>
      <c r="F496" s="23">
        <v>15</v>
      </c>
      <c r="G496" s="17" t="e">
        <v>#N/A</v>
      </c>
      <c r="H496" s="4" t="s">
        <v>1</v>
      </c>
      <c r="I496" s="14"/>
    </row>
    <row r="497" spans="1:9" x14ac:dyDescent="0.25">
      <c r="A497" s="14">
        <v>2013</v>
      </c>
      <c r="B497" s="14">
        <v>171</v>
      </c>
      <c r="C497" s="20">
        <v>41445</v>
      </c>
      <c r="D497" s="16">
        <v>0.64236111111111105</v>
      </c>
      <c r="E497" s="14">
        <v>230</v>
      </c>
      <c r="F497" s="23">
        <v>16</v>
      </c>
      <c r="G497" s="17" t="e">
        <v>#N/A</v>
      </c>
      <c r="H497" s="4" t="s">
        <v>1</v>
      </c>
      <c r="I497" s="14"/>
    </row>
    <row r="498" spans="1:9" x14ac:dyDescent="0.25">
      <c r="A498" s="14">
        <v>2013</v>
      </c>
      <c r="B498" s="14">
        <v>171</v>
      </c>
      <c r="C498" s="20">
        <v>41445</v>
      </c>
      <c r="D498" s="16">
        <v>0.6479166666666667</v>
      </c>
      <c r="E498" s="14">
        <v>230</v>
      </c>
      <c r="F498" s="23">
        <v>17</v>
      </c>
      <c r="G498" s="17">
        <v>0.29965566737288141</v>
      </c>
      <c r="H498" s="4" t="s">
        <v>124</v>
      </c>
      <c r="I498" s="14"/>
    </row>
    <row r="499" spans="1:9" x14ac:dyDescent="0.25">
      <c r="A499" s="14">
        <v>2013</v>
      </c>
      <c r="B499" s="14">
        <v>171</v>
      </c>
      <c r="C499" s="20">
        <v>41445</v>
      </c>
      <c r="D499" s="16">
        <v>0.65347222222222223</v>
      </c>
      <c r="E499" s="14">
        <v>230</v>
      </c>
      <c r="F499" s="23">
        <v>18</v>
      </c>
      <c r="G499" s="17">
        <v>0.30341417584745767</v>
      </c>
      <c r="H499" s="4" t="s">
        <v>124</v>
      </c>
      <c r="I499" s="14"/>
    </row>
    <row r="500" spans="1:9" x14ac:dyDescent="0.25">
      <c r="A500" s="14">
        <v>2013</v>
      </c>
      <c r="B500" s="14">
        <v>171</v>
      </c>
      <c r="C500" s="20">
        <v>41445</v>
      </c>
      <c r="D500" s="16">
        <v>0.66041666666666665</v>
      </c>
      <c r="E500" s="14">
        <v>230</v>
      </c>
      <c r="F500" s="23">
        <v>19</v>
      </c>
      <c r="G500" s="17">
        <v>0.29442899152542373</v>
      </c>
      <c r="H500" s="4" t="s">
        <v>124</v>
      </c>
      <c r="I500" s="14"/>
    </row>
    <row r="501" spans="1:9" x14ac:dyDescent="0.25">
      <c r="A501" s="14">
        <v>2013</v>
      </c>
      <c r="B501" s="14">
        <v>171</v>
      </c>
      <c r="C501" s="20">
        <v>41445</v>
      </c>
      <c r="D501" s="16">
        <v>0.66666666666666663</v>
      </c>
      <c r="E501" s="14">
        <v>230</v>
      </c>
      <c r="F501" s="23">
        <v>20</v>
      </c>
      <c r="G501" s="17">
        <v>0.30182855508474576</v>
      </c>
      <c r="H501" s="4" t="s">
        <v>124</v>
      </c>
      <c r="I501" s="14"/>
    </row>
    <row r="502" spans="1:9" x14ac:dyDescent="0.25">
      <c r="A502" s="14">
        <v>2013</v>
      </c>
      <c r="B502" s="14">
        <v>171</v>
      </c>
      <c r="C502" s="20">
        <v>41445</v>
      </c>
      <c r="D502" s="16">
        <v>0.54305555555555551</v>
      </c>
      <c r="E502" s="14">
        <v>210</v>
      </c>
      <c r="F502" s="23">
        <v>1</v>
      </c>
      <c r="G502" s="17">
        <v>0.30362950706214692</v>
      </c>
      <c r="H502" s="4" t="s">
        <v>123</v>
      </c>
      <c r="I502" s="14"/>
    </row>
    <row r="503" spans="1:9" x14ac:dyDescent="0.25">
      <c r="A503" s="14">
        <v>2013</v>
      </c>
      <c r="B503" s="14">
        <v>171</v>
      </c>
      <c r="C503" s="20">
        <v>41445</v>
      </c>
      <c r="D503" s="16">
        <v>0.54999999999999993</v>
      </c>
      <c r="E503" s="14">
        <v>210</v>
      </c>
      <c r="F503" s="23">
        <v>2</v>
      </c>
      <c r="G503" s="17">
        <v>0.29992972528248585</v>
      </c>
      <c r="H503" s="4" t="s">
        <v>123</v>
      </c>
      <c r="I503" s="14"/>
    </row>
    <row r="504" spans="1:9" x14ac:dyDescent="0.25">
      <c r="A504" s="14">
        <v>2013</v>
      </c>
      <c r="B504" s="14">
        <v>171</v>
      </c>
      <c r="C504" s="20">
        <v>41445</v>
      </c>
      <c r="D504" s="16">
        <v>0.55555555555555558</v>
      </c>
      <c r="E504" s="14">
        <v>210</v>
      </c>
      <c r="F504" s="23">
        <v>3</v>
      </c>
      <c r="G504" s="17">
        <v>0.27536239124293782</v>
      </c>
      <c r="H504" s="4" t="s">
        <v>123</v>
      </c>
      <c r="I504" s="14"/>
    </row>
    <row r="505" spans="1:9" x14ac:dyDescent="0.25">
      <c r="A505" s="14">
        <v>2013</v>
      </c>
      <c r="B505" s="14">
        <v>171</v>
      </c>
      <c r="C505" s="20">
        <v>41445</v>
      </c>
      <c r="D505" s="16">
        <v>0.55625000000000002</v>
      </c>
      <c r="E505" s="14">
        <v>210</v>
      </c>
      <c r="F505" s="23">
        <v>4</v>
      </c>
      <c r="G505" s="17">
        <v>0.29176671468926552</v>
      </c>
      <c r="H505" s="4" t="s">
        <v>123</v>
      </c>
      <c r="I505" s="14"/>
    </row>
    <row r="506" spans="1:9" x14ac:dyDescent="0.25">
      <c r="A506" s="14">
        <v>2013</v>
      </c>
      <c r="B506" s="14">
        <v>171</v>
      </c>
      <c r="C506" s="20">
        <v>41445</v>
      </c>
      <c r="D506" s="16">
        <v>0.5625</v>
      </c>
      <c r="E506" s="14">
        <v>210</v>
      </c>
      <c r="F506" s="23">
        <v>5</v>
      </c>
      <c r="G506" s="17" t="e">
        <v>#N/A</v>
      </c>
      <c r="H506" s="4" t="s">
        <v>0</v>
      </c>
      <c r="I506" s="14"/>
    </row>
    <row r="507" spans="1:9" x14ac:dyDescent="0.25">
      <c r="A507" s="14">
        <v>2013</v>
      </c>
      <c r="B507" s="14">
        <v>171</v>
      </c>
      <c r="C507" s="20">
        <v>41445</v>
      </c>
      <c r="D507" s="16">
        <v>0.57361111111111118</v>
      </c>
      <c r="E507" s="14">
        <v>210</v>
      </c>
      <c r="F507" s="23">
        <v>6</v>
      </c>
      <c r="G507" s="17" t="e">
        <v>#N/A</v>
      </c>
      <c r="H507" s="4" t="s">
        <v>0</v>
      </c>
      <c r="I507" s="14"/>
    </row>
    <row r="508" spans="1:9" x14ac:dyDescent="0.25">
      <c r="A508" s="14">
        <v>2013</v>
      </c>
      <c r="B508" s="14">
        <v>171</v>
      </c>
      <c r="C508" s="20">
        <v>41445</v>
      </c>
      <c r="D508" s="16">
        <v>0.57777777777777783</v>
      </c>
      <c r="E508" s="14">
        <v>210</v>
      </c>
      <c r="F508" s="23">
        <v>7</v>
      </c>
      <c r="G508" s="17">
        <v>0.28507187146892654</v>
      </c>
      <c r="H508" s="4" t="s">
        <v>123</v>
      </c>
      <c r="I508" s="14"/>
    </row>
    <row r="509" spans="1:9" x14ac:dyDescent="0.25">
      <c r="A509" s="14">
        <v>2013</v>
      </c>
      <c r="B509" s="14">
        <v>171</v>
      </c>
      <c r="C509" s="20">
        <v>41445</v>
      </c>
      <c r="D509" s="16">
        <v>0.58402777777777781</v>
      </c>
      <c r="E509" s="14">
        <v>210</v>
      </c>
      <c r="F509" s="23">
        <v>8</v>
      </c>
      <c r="G509" s="17">
        <v>0.30223964194915254</v>
      </c>
      <c r="H509" s="4" t="s">
        <v>123</v>
      </c>
      <c r="I509" s="14"/>
    </row>
    <row r="510" spans="1:9" x14ac:dyDescent="0.25">
      <c r="A510" s="14">
        <v>2013</v>
      </c>
      <c r="B510" s="14">
        <v>171</v>
      </c>
      <c r="C510" s="20">
        <v>41445</v>
      </c>
      <c r="D510" s="16">
        <v>0.59097222222222223</v>
      </c>
      <c r="E510" s="14">
        <v>210</v>
      </c>
      <c r="F510" s="23">
        <v>9</v>
      </c>
      <c r="G510" s="17">
        <v>0.30143704378531078</v>
      </c>
      <c r="H510" s="4" t="s">
        <v>123</v>
      </c>
      <c r="I510" s="14"/>
    </row>
    <row r="511" spans="1:9" x14ac:dyDescent="0.25">
      <c r="A511" s="14">
        <v>2013</v>
      </c>
      <c r="B511" s="14">
        <v>171</v>
      </c>
      <c r="C511" s="20">
        <v>41445</v>
      </c>
      <c r="D511" s="16">
        <v>0.60069444444444442</v>
      </c>
      <c r="E511" s="14">
        <v>210</v>
      </c>
      <c r="F511" s="23">
        <v>10</v>
      </c>
      <c r="G511" s="17">
        <v>0.27307205014124292</v>
      </c>
      <c r="H511" s="4" t="s">
        <v>123</v>
      </c>
      <c r="I511" s="14"/>
    </row>
    <row r="512" spans="1:9" x14ac:dyDescent="0.25">
      <c r="A512" s="14">
        <v>2013</v>
      </c>
      <c r="B512" s="14">
        <v>171</v>
      </c>
      <c r="C512" s="20">
        <v>41445</v>
      </c>
      <c r="D512" s="16">
        <v>0.61319444444444449</v>
      </c>
      <c r="E512" s="14">
        <v>210</v>
      </c>
      <c r="F512" s="23">
        <v>11</v>
      </c>
      <c r="G512" s="17">
        <v>0.30382526271186439</v>
      </c>
      <c r="H512" s="4" t="s">
        <v>124</v>
      </c>
      <c r="I512" s="14"/>
    </row>
    <row r="513" spans="1:9" x14ac:dyDescent="0.25">
      <c r="A513" s="14">
        <v>2013</v>
      </c>
      <c r="B513" s="14">
        <v>171</v>
      </c>
      <c r="C513" s="20">
        <v>41445</v>
      </c>
      <c r="D513" s="16">
        <v>0.61944444444444446</v>
      </c>
      <c r="E513" s="14">
        <v>210</v>
      </c>
      <c r="F513" s="23">
        <v>12</v>
      </c>
      <c r="G513" s="17">
        <v>0.31071586158192094</v>
      </c>
      <c r="H513" s="4" t="s">
        <v>124</v>
      </c>
      <c r="I513" s="14"/>
    </row>
    <row r="514" spans="1:9" x14ac:dyDescent="0.25">
      <c r="A514" s="14">
        <v>2013</v>
      </c>
      <c r="B514" s="14">
        <v>171</v>
      </c>
      <c r="C514" s="20">
        <v>41445</v>
      </c>
      <c r="D514" s="16">
        <v>0.625</v>
      </c>
      <c r="E514" s="14">
        <v>210</v>
      </c>
      <c r="F514" s="23">
        <v>13</v>
      </c>
      <c r="G514" s="17">
        <v>0.30366865819209038</v>
      </c>
      <c r="H514" s="4" t="s">
        <v>124</v>
      </c>
      <c r="I514" s="14"/>
    </row>
    <row r="515" spans="1:9" x14ac:dyDescent="0.25">
      <c r="A515" s="14">
        <v>2013</v>
      </c>
      <c r="B515" s="14">
        <v>171</v>
      </c>
      <c r="C515" s="20">
        <v>41445</v>
      </c>
      <c r="D515" s="16">
        <v>0.62569444444444444</v>
      </c>
      <c r="E515" s="14">
        <v>210</v>
      </c>
      <c r="F515" s="23">
        <v>14</v>
      </c>
      <c r="G515" s="17">
        <v>0.2749513043785311</v>
      </c>
      <c r="H515" s="4" t="s">
        <v>124</v>
      </c>
      <c r="I515" s="14"/>
    </row>
    <row r="516" spans="1:9" x14ac:dyDescent="0.25">
      <c r="A516" s="14">
        <v>2013</v>
      </c>
      <c r="B516" s="14">
        <v>171</v>
      </c>
      <c r="C516" s="20">
        <v>41445</v>
      </c>
      <c r="D516" s="16">
        <v>0.63194444444444442</v>
      </c>
      <c r="E516" s="14">
        <v>210</v>
      </c>
      <c r="F516" s="23">
        <v>15</v>
      </c>
      <c r="G516" s="17" t="e">
        <v>#N/A</v>
      </c>
      <c r="H516" s="4" t="s">
        <v>1</v>
      </c>
      <c r="I516" s="14"/>
    </row>
    <row r="517" spans="1:9" x14ac:dyDescent="0.25">
      <c r="A517" s="14">
        <v>2013</v>
      </c>
      <c r="B517" s="14">
        <v>171</v>
      </c>
      <c r="C517" s="20">
        <v>41445</v>
      </c>
      <c r="D517" s="16">
        <v>0.64236111111111105</v>
      </c>
      <c r="E517" s="14">
        <v>210</v>
      </c>
      <c r="F517" s="23">
        <v>16</v>
      </c>
      <c r="G517" s="17" t="e">
        <v>#N/A</v>
      </c>
      <c r="H517" s="4" t="s">
        <v>1</v>
      </c>
      <c r="I517" s="14"/>
    </row>
    <row r="518" spans="1:9" x14ac:dyDescent="0.25">
      <c r="A518" s="14">
        <v>2013</v>
      </c>
      <c r="B518" s="14">
        <v>171</v>
      </c>
      <c r="C518" s="20">
        <v>41445</v>
      </c>
      <c r="D518" s="16">
        <v>0.6479166666666667</v>
      </c>
      <c r="E518" s="14">
        <v>210</v>
      </c>
      <c r="F518" s="23">
        <v>17</v>
      </c>
      <c r="G518" s="17">
        <v>0.30797528248587575</v>
      </c>
      <c r="H518" s="4" t="s">
        <v>124</v>
      </c>
      <c r="I518" s="14"/>
    </row>
    <row r="519" spans="1:9" x14ac:dyDescent="0.25">
      <c r="A519" s="14">
        <v>2013</v>
      </c>
      <c r="B519" s="14">
        <v>171</v>
      </c>
      <c r="C519" s="20">
        <v>41445</v>
      </c>
      <c r="D519" s="16">
        <v>0.65347222222222223</v>
      </c>
      <c r="E519" s="14">
        <v>210</v>
      </c>
      <c r="F519" s="23">
        <v>18</v>
      </c>
      <c r="G519" s="17">
        <v>0.30713353319209041</v>
      </c>
      <c r="H519" s="4" t="s">
        <v>124</v>
      </c>
      <c r="I519" s="14"/>
    </row>
    <row r="520" spans="1:9" x14ac:dyDescent="0.25">
      <c r="A520" s="14">
        <v>2013</v>
      </c>
      <c r="B520" s="14">
        <v>171</v>
      </c>
      <c r="C520" s="20">
        <v>41445</v>
      </c>
      <c r="D520" s="16">
        <v>0.66041666666666665</v>
      </c>
      <c r="E520" s="14">
        <v>210</v>
      </c>
      <c r="F520" s="23">
        <v>19</v>
      </c>
      <c r="G520" s="17">
        <v>0.3005365677966102</v>
      </c>
      <c r="H520" s="4" t="s">
        <v>124</v>
      </c>
      <c r="I520" s="14"/>
    </row>
    <row r="521" spans="1:9" x14ac:dyDescent="0.25">
      <c r="A521" s="14">
        <v>2013</v>
      </c>
      <c r="B521" s="14">
        <v>171</v>
      </c>
      <c r="C521" s="20">
        <v>41445</v>
      </c>
      <c r="D521" s="16">
        <v>0.66666666666666663</v>
      </c>
      <c r="E521" s="14">
        <v>210</v>
      </c>
      <c r="F521" s="23">
        <v>20</v>
      </c>
      <c r="G521" s="17">
        <v>0.30202431073446329</v>
      </c>
      <c r="H521" s="4" t="s">
        <v>124</v>
      </c>
      <c r="I521" s="14"/>
    </row>
    <row r="522" spans="1:9" x14ac:dyDescent="0.25">
      <c r="A522" s="14">
        <v>2013</v>
      </c>
      <c r="B522" s="14">
        <v>171</v>
      </c>
      <c r="C522" s="20">
        <v>41445</v>
      </c>
      <c r="D522" s="16">
        <v>0.54305555555555551</v>
      </c>
      <c r="E522" s="14">
        <v>190</v>
      </c>
      <c r="F522" s="23">
        <v>1</v>
      </c>
      <c r="G522" s="17">
        <v>0.29309785310734465</v>
      </c>
      <c r="H522" s="4" t="s">
        <v>123</v>
      </c>
      <c r="I522" s="14"/>
    </row>
    <row r="523" spans="1:9" x14ac:dyDescent="0.25">
      <c r="A523" s="14">
        <v>2013</v>
      </c>
      <c r="B523" s="14">
        <v>171</v>
      </c>
      <c r="C523" s="20">
        <v>41445</v>
      </c>
      <c r="D523" s="16">
        <v>0.54999999999999993</v>
      </c>
      <c r="E523" s="14">
        <v>190</v>
      </c>
      <c r="F523" s="23">
        <v>2</v>
      </c>
      <c r="G523" s="17">
        <v>0.2914535056497175</v>
      </c>
      <c r="H523" s="4" t="s">
        <v>123</v>
      </c>
      <c r="I523" s="14"/>
    </row>
    <row r="524" spans="1:9" x14ac:dyDescent="0.25">
      <c r="A524" s="14">
        <v>2013</v>
      </c>
      <c r="B524" s="14">
        <v>171</v>
      </c>
      <c r="C524" s="20">
        <v>41445</v>
      </c>
      <c r="D524" s="16">
        <v>0.55555555555555558</v>
      </c>
      <c r="E524" s="14">
        <v>190</v>
      </c>
      <c r="F524" s="23">
        <v>3</v>
      </c>
      <c r="G524" s="17">
        <v>0.29437026483050849</v>
      </c>
      <c r="H524" s="4" t="s">
        <v>123</v>
      </c>
      <c r="I524" s="14"/>
    </row>
    <row r="525" spans="1:9" x14ac:dyDescent="0.25">
      <c r="A525" s="14">
        <v>2013</v>
      </c>
      <c r="B525" s="14">
        <v>171</v>
      </c>
      <c r="C525" s="20">
        <v>41445</v>
      </c>
      <c r="D525" s="16">
        <v>0.55625000000000002</v>
      </c>
      <c r="E525" s="14">
        <v>190</v>
      </c>
      <c r="F525" s="23">
        <v>4</v>
      </c>
      <c r="G525" s="17">
        <v>0.29808962217514123</v>
      </c>
      <c r="H525" s="4" t="s">
        <v>123</v>
      </c>
      <c r="I525" s="14"/>
    </row>
    <row r="526" spans="1:9" x14ac:dyDescent="0.25">
      <c r="A526" s="14">
        <v>2013</v>
      </c>
      <c r="B526" s="14">
        <v>171</v>
      </c>
      <c r="C526" s="20">
        <v>41445</v>
      </c>
      <c r="D526" s="16">
        <v>0.5625</v>
      </c>
      <c r="E526" s="14">
        <v>190</v>
      </c>
      <c r="F526" s="23">
        <v>5</v>
      </c>
      <c r="G526" s="17">
        <v>0.32512347740112996</v>
      </c>
      <c r="H526" s="4" t="s">
        <v>0</v>
      </c>
      <c r="I526" s="14"/>
    </row>
    <row r="527" spans="1:9" x14ac:dyDescent="0.25">
      <c r="A527" s="14">
        <v>2013</v>
      </c>
      <c r="B527" s="14">
        <v>171</v>
      </c>
      <c r="C527" s="20">
        <v>41445</v>
      </c>
      <c r="D527" s="16">
        <v>0.57361111111111118</v>
      </c>
      <c r="E527" s="14">
        <v>190</v>
      </c>
      <c r="F527" s="23">
        <v>6</v>
      </c>
      <c r="G527" s="17">
        <v>0.33859146610169494</v>
      </c>
      <c r="H527" s="4" t="s">
        <v>0</v>
      </c>
      <c r="I527" s="14"/>
    </row>
    <row r="528" spans="1:9" x14ac:dyDescent="0.25">
      <c r="A528" s="14">
        <v>2013</v>
      </c>
      <c r="B528" s="14">
        <v>171</v>
      </c>
      <c r="C528" s="20">
        <v>41445</v>
      </c>
      <c r="D528" s="16">
        <v>0.57777777777777783</v>
      </c>
      <c r="E528" s="14">
        <v>190</v>
      </c>
      <c r="F528" s="23">
        <v>7</v>
      </c>
      <c r="G528" s="17">
        <v>0.28616810310734464</v>
      </c>
      <c r="H528" s="4" t="s">
        <v>123</v>
      </c>
      <c r="I528" s="14"/>
    </row>
    <row r="529" spans="1:9" x14ac:dyDescent="0.25">
      <c r="A529" s="14">
        <v>2013</v>
      </c>
      <c r="B529" s="14">
        <v>171</v>
      </c>
      <c r="C529" s="20">
        <v>41445</v>
      </c>
      <c r="D529" s="16">
        <v>0.58402777777777781</v>
      </c>
      <c r="E529" s="14">
        <v>190</v>
      </c>
      <c r="F529" s="23">
        <v>8</v>
      </c>
      <c r="G529" s="17">
        <v>0.29859858686440677</v>
      </c>
      <c r="H529" s="4" t="s">
        <v>123</v>
      </c>
      <c r="I529" s="14"/>
    </row>
    <row r="530" spans="1:9" x14ac:dyDescent="0.25">
      <c r="A530" s="14">
        <v>2013</v>
      </c>
      <c r="B530" s="14">
        <v>171</v>
      </c>
      <c r="C530" s="20">
        <v>41445</v>
      </c>
      <c r="D530" s="16">
        <v>0.59097222222222223</v>
      </c>
      <c r="E530" s="14">
        <v>190</v>
      </c>
      <c r="F530" s="23">
        <v>9</v>
      </c>
      <c r="G530" s="17">
        <v>0.29397875353107344</v>
      </c>
      <c r="H530" s="4" t="s">
        <v>123</v>
      </c>
      <c r="I530" s="14"/>
    </row>
    <row r="531" spans="1:9" x14ac:dyDescent="0.25">
      <c r="A531" s="14">
        <v>2013</v>
      </c>
      <c r="B531" s="14">
        <v>171</v>
      </c>
      <c r="C531" s="20">
        <v>41445</v>
      </c>
      <c r="D531" s="16">
        <v>0.60069444444444442</v>
      </c>
      <c r="E531" s="14">
        <v>190</v>
      </c>
      <c r="F531" s="23">
        <v>10</v>
      </c>
      <c r="G531" s="17">
        <v>0.29942076059322037</v>
      </c>
      <c r="H531" s="4" t="s">
        <v>123</v>
      </c>
      <c r="I531" s="14"/>
    </row>
    <row r="532" spans="1:9" x14ac:dyDescent="0.25">
      <c r="A532" s="14">
        <v>2013</v>
      </c>
      <c r="B532" s="14">
        <v>171</v>
      </c>
      <c r="C532" s="20">
        <v>41445</v>
      </c>
      <c r="D532" s="16">
        <v>0.61319444444444449</v>
      </c>
      <c r="E532" s="14">
        <v>190</v>
      </c>
      <c r="F532" s="23">
        <v>11</v>
      </c>
      <c r="G532" s="17">
        <v>0.30960005437853111</v>
      </c>
      <c r="H532" s="4" t="s">
        <v>124</v>
      </c>
      <c r="I532" s="14"/>
    </row>
    <row r="533" spans="1:9" x14ac:dyDescent="0.25">
      <c r="A533" s="14">
        <v>2013</v>
      </c>
      <c r="B533" s="14">
        <v>171</v>
      </c>
      <c r="C533" s="20">
        <v>41445</v>
      </c>
      <c r="D533" s="16">
        <v>0.61944444444444446</v>
      </c>
      <c r="E533" s="14">
        <v>190</v>
      </c>
      <c r="F533" s="23">
        <v>12</v>
      </c>
      <c r="G533" s="17">
        <v>0.31236020903954803</v>
      </c>
      <c r="H533" s="4" t="s">
        <v>124</v>
      </c>
      <c r="I533" s="14"/>
    </row>
    <row r="534" spans="1:9" x14ac:dyDescent="0.25">
      <c r="A534" s="14">
        <v>2013</v>
      </c>
      <c r="B534" s="14">
        <v>171</v>
      </c>
      <c r="C534" s="20">
        <v>41445</v>
      </c>
      <c r="D534" s="16">
        <v>0.625</v>
      </c>
      <c r="E534" s="14">
        <v>190</v>
      </c>
      <c r="F534" s="23">
        <v>13</v>
      </c>
      <c r="G534" s="17">
        <v>0.30317926906779663</v>
      </c>
      <c r="H534" s="4" t="s">
        <v>124</v>
      </c>
      <c r="I534" s="14"/>
    </row>
    <row r="535" spans="1:9" x14ac:dyDescent="0.25">
      <c r="A535" s="14">
        <v>2013</v>
      </c>
      <c r="B535" s="14">
        <v>171</v>
      </c>
      <c r="C535" s="20">
        <v>41445</v>
      </c>
      <c r="D535" s="16">
        <v>0.62569444444444444</v>
      </c>
      <c r="E535" s="14">
        <v>190</v>
      </c>
      <c r="F535" s="23">
        <v>14</v>
      </c>
      <c r="G535" s="17">
        <v>0.30335544915254237</v>
      </c>
      <c r="H535" s="4" t="s">
        <v>124</v>
      </c>
      <c r="I535" s="14"/>
    </row>
    <row r="536" spans="1:9" x14ac:dyDescent="0.25">
      <c r="A536" s="14">
        <v>2013</v>
      </c>
      <c r="B536" s="14">
        <v>171</v>
      </c>
      <c r="C536" s="20">
        <v>41445</v>
      </c>
      <c r="D536" s="16">
        <v>0.63194444444444442</v>
      </c>
      <c r="E536" s="14">
        <v>190</v>
      </c>
      <c r="F536" s="23">
        <v>15</v>
      </c>
      <c r="G536" s="17">
        <v>0.32757042302259887</v>
      </c>
      <c r="H536" s="4" t="s">
        <v>1</v>
      </c>
      <c r="I536" s="14"/>
    </row>
    <row r="537" spans="1:9" x14ac:dyDescent="0.25">
      <c r="A537" s="14">
        <v>2013</v>
      </c>
      <c r="B537" s="14">
        <v>171</v>
      </c>
      <c r="C537" s="20">
        <v>41445</v>
      </c>
      <c r="D537" s="16">
        <v>0.64236111111111105</v>
      </c>
      <c r="E537" s="14">
        <v>190</v>
      </c>
      <c r="F537" s="23">
        <v>16</v>
      </c>
      <c r="G537" s="17">
        <v>0.31887887217514127</v>
      </c>
      <c r="H537" s="4" t="s">
        <v>1</v>
      </c>
      <c r="I537" s="14"/>
    </row>
    <row r="538" spans="1:9" x14ac:dyDescent="0.25">
      <c r="A538" s="14">
        <v>2013</v>
      </c>
      <c r="B538" s="14">
        <v>171</v>
      </c>
      <c r="C538" s="20">
        <v>41445</v>
      </c>
      <c r="D538" s="16">
        <v>0.6479166666666667</v>
      </c>
      <c r="E538" s="14">
        <v>190</v>
      </c>
      <c r="F538" s="23">
        <v>17</v>
      </c>
      <c r="G538" s="17">
        <v>0.31895717443502825</v>
      </c>
      <c r="H538" s="4" t="s">
        <v>124</v>
      </c>
      <c r="I538" s="14"/>
    </row>
    <row r="539" spans="1:9" x14ac:dyDescent="0.25">
      <c r="A539" s="14">
        <v>2013</v>
      </c>
      <c r="B539" s="14">
        <v>171</v>
      </c>
      <c r="C539" s="20">
        <v>41445</v>
      </c>
      <c r="D539" s="16">
        <v>0.65347222222222223</v>
      </c>
      <c r="E539" s="14">
        <v>190</v>
      </c>
      <c r="F539" s="23">
        <v>18</v>
      </c>
      <c r="G539" s="17">
        <v>0.31159676200564973</v>
      </c>
      <c r="H539" s="4" t="s">
        <v>124</v>
      </c>
      <c r="I539" s="14"/>
    </row>
    <row r="540" spans="1:9" x14ac:dyDescent="0.25">
      <c r="A540" s="14">
        <v>2013</v>
      </c>
      <c r="B540" s="14">
        <v>171</v>
      </c>
      <c r="C540" s="20">
        <v>41445</v>
      </c>
      <c r="D540" s="16">
        <v>0.66041666666666665</v>
      </c>
      <c r="E540" s="14">
        <v>190</v>
      </c>
      <c r="F540" s="23">
        <v>19</v>
      </c>
      <c r="G540" s="17">
        <v>0.31083331497175143</v>
      </c>
      <c r="H540" s="4" t="s">
        <v>124</v>
      </c>
      <c r="I540" s="14"/>
    </row>
    <row r="541" spans="1:9" x14ac:dyDescent="0.25">
      <c r="A541" s="14">
        <v>2013</v>
      </c>
      <c r="B541" s="14">
        <v>171</v>
      </c>
      <c r="C541" s="20">
        <v>41445</v>
      </c>
      <c r="D541" s="16">
        <v>0.66666666666666663</v>
      </c>
      <c r="E541" s="14">
        <v>190</v>
      </c>
      <c r="F541" s="23">
        <v>20</v>
      </c>
      <c r="G541" s="17">
        <v>0.30474531426553675</v>
      </c>
      <c r="H541" s="4" t="s">
        <v>124</v>
      </c>
      <c r="I541" s="14"/>
    </row>
    <row r="542" spans="1:9" x14ac:dyDescent="0.25">
      <c r="A542" s="14">
        <v>2013</v>
      </c>
      <c r="B542" s="14">
        <v>171</v>
      </c>
      <c r="C542" s="20">
        <v>41445</v>
      </c>
      <c r="D542" s="16">
        <v>0.54305555555555551</v>
      </c>
      <c r="E542" s="14">
        <v>170</v>
      </c>
      <c r="F542" s="23">
        <v>1</v>
      </c>
      <c r="G542" s="17">
        <v>0.27626286723163845</v>
      </c>
      <c r="H542" s="4" t="s">
        <v>123</v>
      </c>
      <c r="I542" s="14"/>
    </row>
    <row r="543" spans="1:9" x14ac:dyDescent="0.25">
      <c r="A543" s="14">
        <v>2013</v>
      </c>
      <c r="B543" s="14">
        <v>171</v>
      </c>
      <c r="C543" s="20">
        <v>41445</v>
      </c>
      <c r="D543" s="16">
        <v>0.54999999999999993</v>
      </c>
      <c r="E543" s="14">
        <v>170</v>
      </c>
      <c r="F543" s="23">
        <v>2</v>
      </c>
      <c r="G543" s="17">
        <v>0.27070340677966104</v>
      </c>
      <c r="H543" s="4" t="s">
        <v>123</v>
      </c>
      <c r="I543" s="14"/>
    </row>
    <row r="544" spans="1:9" x14ac:dyDescent="0.25">
      <c r="A544" s="14">
        <v>2013</v>
      </c>
      <c r="B544" s="14">
        <v>171</v>
      </c>
      <c r="C544" s="20">
        <v>41445</v>
      </c>
      <c r="D544" s="16">
        <v>0.55555555555555558</v>
      </c>
      <c r="E544" s="14">
        <v>170</v>
      </c>
      <c r="F544" s="23">
        <v>3</v>
      </c>
      <c r="G544" s="17">
        <v>0.29317615536723168</v>
      </c>
      <c r="H544" s="4" t="s">
        <v>123</v>
      </c>
      <c r="I544" s="14"/>
    </row>
    <row r="545" spans="1:9" x14ac:dyDescent="0.25">
      <c r="A545" s="14">
        <v>2013</v>
      </c>
      <c r="B545" s="14">
        <v>171</v>
      </c>
      <c r="C545" s="20">
        <v>41445</v>
      </c>
      <c r="D545" s="16">
        <v>0.55625000000000002</v>
      </c>
      <c r="E545" s="14">
        <v>170</v>
      </c>
      <c r="F545" s="23">
        <v>4</v>
      </c>
      <c r="G545" s="17">
        <v>0.29619079237288137</v>
      </c>
      <c r="H545" s="4" t="s">
        <v>123</v>
      </c>
      <c r="I545" s="14"/>
    </row>
    <row r="546" spans="1:9" x14ac:dyDescent="0.25">
      <c r="A546" s="14">
        <v>2013</v>
      </c>
      <c r="B546" s="14">
        <v>171</v>
      </c>
      <c r="C546" s="20">
        <v>41445</v>
      </c>
      <c r="D546" s="16">
        <v>0.5625</v>
      </c>
      <c r="E546" s="14">
        <v>170</v>
      </c>
      <c r="F546" s="23">
        <v>5</v>
      </c>
      <c r="G546" s="17">
        <v>0.32187393361581923</v>
      </c>
      <c r="H546" s="4" t="s">
        <v>0</v>
      </c>
      <c r="I546" s="14"/>
    </row>
    <row r="547" spans="1:9" x14ac:dyDescent="0.25">
      <c r="A547" s="14">
        <v>2013</v>
      </c>
      <c r="B547" s="14">
        <v>171</v>
      </c>
      <c r="C547" s="20">
        <v>41445</v>
      </c>
      <c r="D547" s="16">
        <v>0.57361111111111118</v>
      </c>
      <c r="E547" s="14">
        <v>170</v>
      </c>
      <c r="F547" s="23">
        <v>6</v>
      </c>
      <c r="G547" s="17">
        <v>0.32819684110169495</v>
      </c>
      <c r="H547" s="4" t="s">
        <v>0</v>
      </c>
      <c r="I547" s="14"/>
    </row>
    <row r="548" spans="1:9" x14ac:dyDescent="0.25">
      <c r="A548" s="14">
        <v>2013</v>
      </c>
      <c r="B548" s="14">
        <v>171</v>
      </c>
      <c r="C548" s="20">
        <v>41445</v>
      </c>
      <c r="D548" s="16">
        <v>0.57777777777777783</v>
      </c>
      <c r="E548" s="14">
        <v>170</v>
      </c>
      <c r="F548" s="23">
        <v>7</v>
      </c>
      <c r="G548" s="17">
        <v>0.29996887641242942</v>
      </c>
      <c r="H548" s="4" t="s">
        <v>123</v>
      </c>
      <c r="I548" s="14"/>
    </row>
    <row r="549" spans="1:9" x14ac:dyDescent="0.25">
      <c r="A549" s="14">
        <v>2013</v>
      </c>
      <c r="B549" s="14">
        <v>171</v>
      </c>
      <c r="C549" s="20">
        <v>41445</v>
      </c>
      <c r="D549" s="16">
        <v>0.58402777777777781</v>
      </c>
      <c r="E549" s="14">
        <v>170</v>
      </c>
      <c r="F549" s="23">
        <v>8</v>
      </c>
      <c r="G549" s="17">
        <v>0.30883660734463275</v>
      </c>
      <c r="H549" s="4" t="s">
        <v>123</v>
      </c>
      <c r="I549" s="14"/>
    </row>
    <row r="550" spans="1:9" x14ac:dyDescent="0.25">
      <c r="A550" s="14">
        <v>2013</v>
      </c>
      <c r="B550" s="14">
        <v>171</v>
      </c>
      <c r="C550" s="20">
        <v>41445</v>
      </c>
      <c r="D550" s="16">
        <v>0.59097222222222223</v>
      </c>
      <c r="E550" s="14">
        <v>170</v>
      </c>
      <c r="F550" s="23">
        <v>9</v>
      </c>
      <c r="G550" s="17">
        <v>0.2989509470338983</v>
      </c>
      <c r="H550" s="4" t="s">
        <v>123</v>
      </c>
      <c r="I550" s="14"/>
    </row>
    <row r="551" spans="1:9" x14ac:dyDescent="0.25">
      <c r="A551" s="14">
        <v>2013</v>
      </c>
      <c r="B551" s="14">
        <v>171</v>
      </c>
      <c r="C551" s="20">
        <v>41445</v>
      </c>
      <c r="D551" s="16">
        <v>0.60069444444444442</v>
      </c>
      <c r="E551" s="14">
        <v>170</v>
      </c>
      <c r="F551" s="23">
        <v>10</v>
      </c>
      <c r="G551" s="17">
        <v>0.31251681355932204</v>
      </c>
      <c r="H551" s="4" t="s">
        <v>123</v>
      </c>
      <c r="I551" s="14"/>
    </row>
    <row r="552" spans="1:9" x14ac:dyDescent="0.25">
      <c r="A552" s="14">
        <v>2013</v>
      </c>
      <c r="B552" s="14">
        <v>171</v>
      </c>
      <c r="C552" s="20">
        <v>41445</v>
      </c>
      <c r="D552" s="16">
        <v>0.61319444444444449</v>
      </c>
      <c r="E552" s="14">
        <v>170</v>
      </c>
      <c r="F552" s="23">
        <v>11</v>
      </c>
      <c r="G552" s="17">
        <v>0.32582819774011301</v>
      </c>
      <c r="H552" s="4" t="s">
        <v>124</v>
      </c>
      <c r="I552" s="14"/>
    </row>
    <row r="553" spans="1:9" x14ac:dyDescent="0.25">
      <c r="A553" s="14">
        <v>2013</v>
      </c>
      <c r="B553" s="14">
        <v>171</v>
      </c>
      <c r="C553" s="20">
        <v>41445</v>
      </c>
      <c r="D553" s="16">
        <v>0.61944444444444446</v>
      </c>
      <c r="E553" s="14">
        <v>170</v>
      </c>
      <c r="F553" s="23">
        <v>12</v>
      </c>
      <c r="G553" s="17">
        <v>0.33273837217514124</v>
      </c>
      <c r="H553" s="4" t="s">
        <v>124</v>
      </c>
      <c r="I553" s="14"/>
    </row>
    <row r="554" spans="1:9" x14ac:dyDescent="0.25">
      <c r="A554" s="14">
        <v>2013</v>
      </c>
      <c r="B554" s="14">
        <v>171</v>
      </c>
      <c r="C554" s="20">
        <v>41445</v>
      </c>
      <c r="D554" s="16">
        <v>0.625</v>
      </c>
      <c r="E554" s="14">
        <v>170</v>
      </c>
      <c r="F554" s="23">
        <v>13</v>
      </c>
      <c r="G554" s="17">
        <v>0.30828849152542376</v>
      </c>
      <c r="H554" s="4" t="s">
        <v>124</v>
      </c>
      <c r="I554" s="14"/>
    </row>
    <row r="555" spans="1:9" x14ac:dyDescent="0.25">
      <c r="A555" s="14">
        <v>2013</v>
      </c>
      <c r="B555" s="14">
        <v>171</v>
      </c>
      <c r="C555" s="20">
        <v>41445</v>
      </c>
      <c r="D555" s="16">
        <v>0.62569444444444444</v>
      </c>
      <c r="E555" s="14">
        <v>170</v>
      </c>
      <c r="F555" s="23">
        <v>14</v>
      </c>
      <c r="G555" s="17">
        <v>0.32064067302259891</v>
      </c>
      <c r="H555" s="4" t="s">
        <v>124</v>
      </c>
      <c r="I555" s="14"/>
    </row>
    <row r="556" spans="1:9" x14ac:dyDescent="0.25">
      <c r="A556" s="14">
        <v>2013</v>
      </c>
      <c r="B556" s="14">
        <v>171</v>
      </c>
      <c r="C556" s="20">
        <v>41445</v>
      </c>
      <c r="D556" s="16">
        <v>0.63194444444444442</v>
      </c>
      <c r="E556" s="14">
        <v>170</v>
      </c>
      <c r="F556" s="23">
        <v>15</v>
      </c>
      <c r="G556" s="17">
        <v>0.3314659604519774</v>
      </c>
      <c r="H556" s="4" t="s">
        <v>1</v>
      </c>
      <c r="I556" s="14"/>
    </row>
    <row r="557" spans="1:9" x14ac:dyDescent="0.25">
      <c r="A557" s="14">
        <v>2013</v>
      </c>
      <c r="B557" s="14">
        <v>171</v>
      </c>
      <c r="C557" s="20">
        <v>41445</v>
      </c>
      <c r="D557" s="16">
        <v>0.64236111111111105</v>
      </c>
      <c r="E557" s="14">
        <v>170</v>
      </c>
      <c r="F557" s="23">
        <v>16</v>
      </c>
      <c r="G557" s="17">
        <v>0.32214799152542373</v>
      </c>
      <c r="H557" s="4" t="s">
        <v>1</v>
      </c>
      <c r="I557" s="14"/>
    </row>
    <row r="558" spans="1:9" x14ac:dyDescent="0.25">
      <c r="A558" s="14">
        <v>2013</v>
      </c>
      <c r="B558" s="14">
        <v>171</v>
      </c>
      <c r="C558" s="20">
        <v>41445</v>
      </c>
      <c r="D558" s="16">
        <v>0.6479166666666667</v>
      </c>
      <c r="E558" s="14">
        <v>170</v>
      </c>
      <c r="F558" s="23">
        <v>17</v>
      </c>
      <c r="G558" s="17">
        <v>0.32363573446327687</v>
      </c>
      <c r="H558" s="4" t="s">
        <v>124</v>
      </c>
      <c r="I558" s="14"/>
    </row>
    <row r="559" spans="1:9" x14ac:dyDescent="0.25">
      <c r="A559" s="14">
        <v>2013</v>
      </c>
      <c r="B559" s="14">
        <v>171</v>
      </c>
      <c r="C559" s="20">
        <v>41445</v>
      </c>
      <c r="D559" s="16">
        <v>0.65347222222222223</v>
      </c>
      <c r="E559" s="14">
        <v>170</v>
      </c>
      <c r="F559" s="23">
        <v>18</v>
      </c>
      <c r="G559" s="17">
        <v>0.33046760663841812</v>
      </c>
      <c r="H559" s="4" t="s">
        <v>124</v>
      </c>
      <c r="I559" s="14"/>
    </row>
    <row r="560" spans="1:9" x14ac:dyDescent="0.25">
      <c r="A560" s="14">
        <v>2013</v>
      </c>
      <c r="B560" s="14">
        <v>171</v>
      </c>
      <c r="C560" s="20">
        <v>41445</v>
      </c>
      <c r="D560" s="16">
        <v>0.66041666666666665</v>
      </c>
      <c r="E560" s="14">
        <v>170</v>
      </c>
      <c r="F560" s="23">
        <v>19</v>
      </c>
      <c r="G560" s="17">
        <v>0.31251681355932204</v>
      </c>
      <c r="H560" s="4" t="s">
        <v>124</v>
      </c>
      <c r="I560" s="14"/>
    </row>
    <row r="561" spans="1:9" x14ac:dyDescent="0.25">
      <c r="A561" s="14">
        <v>2013</v>
      </c>
      <c r="B561" s="14">
        <v>171</v>
      </c>
      <c r="C561" s="20">
        <v>41445</v>
      </c>
      <c r="D561" s="16">
        <v>0.66666666666666663</v>
      </c>
      <c r="E561" s="14">
        <v>170</v>
      </c>
      <c r="F561" s="23">
        <v>20</v>
      </c>
      <c r="G561" s="17">
        <v>0.32293101412429381</v>
      </c>
      <c r="H561" s="4" t="s">
        <v>124</v>
      </c>
      <c r="I561" s="14"/>
    </row>
    <row r="562" spans="1:9" x14ac:dyDescent="0.25">
      <c r="A562" s="14">
        <v>2013</v>
      </c>
      <c r="B562" s="14">
        <v>171</v>
      </c>
      <c r="C562" s="20">
        <v>41445</v>
      </c>
      <c r="D562" s="16">
        <v>0.54305555555555551</v>
      </c>
      <c r="E562" s="14">
        <v>150</v>
      </c>
      <c r="F562" s="23">
        <v>1</v>
      </c>
      <c r="G562" s="17">
        <v>0.33637942725988701</v>
      </c>
      <c r="H562" s="4" t="s">
        <v>123</v>
      </c>
      <c r="I562" s="14"/>
    </row>
    <row r="563" spans="1:9" x14ac:dyDescent="0.25">
      <c r="A563" s="14">
        <v>2013</v>
      </c>
      <c r="B563" s="14">
        <v>171</v>
      </c>
      <c r="C563" s="20">
        <v>41445</v>
      </c>
      <c r="D563" s="16">
        <v>0.54999999999999993</v>
      </c>
      <c r="E563" s="14">
        <v>150</v>
      </c>
      <c r="F563" s="23">
        <v>2</v>
      </c>
      <c r="G563" s="17">
        <v>0.33015439759887005</v>
      </c>
      <c r="H563" s="4" t="s">
        <v>123</v>
      </c>
      <c r="I563" s="14"/>
    </row>
    <row r="564" spans="1:9" x14ac:dyDescent="0.25">
      <c r="A564" s="14">
        <v>2013</v>
      </c>
      <c r="B564" s="14">
        <v>171</v>
      </c>
      <c r="C564" s="20">
        <v>41445</v>
      </c>
      <c r="D564" s="16">
        <v>0.55555555555555558</v>
      </c>
      <c r="E564" s="14">
        <v>150</v>
      </c>
      <c r="F564" s="23">
        <v>3</v>
      </c>
      <c r="G564" s="17">
        <v>0.3133781384180791</v>
      </c>
      <c r="H564" s="4" t="s">
        <v>123</v>
      </c>
      <c r="I564" s="14"/>
    </row>
    <row r="565" spans="1:9" x14ac:dyDescent="0.25">
      <c r="A565" s="14">
        <v>2013</v>
      </c>
      <c r="B565" s="14">
        <v>171</v>
      </c>
      <c r="C565" s="20">
        <v>41445</v>
      </c>
      <c r="D565" s="16">
        <v>0.55625000000000002</v>
      </c>
      <c r="E565" s="14">
        <v>150</v>
      </c>
      <c r="F565" s="23">
        <v>4</v>
      </c>
      <c r="G565" s="17">
        <v>0.30235709533898303</v>
      </c>
      <c r="H565" s="4" t="s">
        <v>123</v>
      </c>
      <c r="I565" s="14"/>
    </row>
    <row r="566" spans="1:9" x14ac:dyDescent="0.25">
      <c r="A566" s="14">
        <v>2013</v>
      </c>
      <c r="B566" s="14">
        <v>171</v>
      </c>
      <c r="C566" s="20">
        <v>41445</v>
      </c>
      <c r="D566" s="16">
        <v>0.5625</v>
      </c>
      <c r="E566" s="14">
        <v>150</v>
      </c>
      <c r="F566" s="23">
        <v>5</v>
      </c>
      <c r="G566" s="17">
        <v>0.3552502718926554</v>
      </c>
      <c r="H566" s="4" t="s">
        <v>0</v>
      </c>
      <c r="I566" s="14"/>
    </row>
    <row r="567" spans="1:9" x14ac:dyDescent="0.25">
      <c r="A567" s="14">
        <v>2013</v>
      </c>
      <c r="B567" s="14">
        <v>171</v>
      </c>
      <c r="C567" s="20">
        <v>41445</v>
      </c>
      <c r="D567" s="16">
        <v>0.57361111111111118</v>
      </c>
      <c r="E567" s="14">
        <v>150</v>
      </c>
      <c r="F567" s="23">
        <v>6</v>
      </c>
      <c r="G567" s="17">
        <v>0.34352450847457633</v>
      </c>
      <c r="H567" s="4" t="s">
        <v>0</v>
      </c>
      <c r="I567" s="14"/>
    </row>
    <row r="568" spans="1:9" x14ac:dyDescent="0.25">
      <c r="A568" s="14">
        <v>2013</v>
      </c>
      <c r="B568" s="14">
        <v>171</v>
      </c>
      <c r="C568" s="20">
        <v>41445</v>
      </c>
      <c r="D568" s="16">
        <v>0.57777777777777783</v>
      </c>
      <c r="E568" s="14">
        <v>150</v>
      </c>
      <c r="F568" s="23">
        <v>7</v>
      </c>
      <c r="G568" s="17">
        <v>0.32755084745762714</v>
      </c>
      <c r="H568" s="4" t="s">
        <v>123</v>
      </c>
      <c r="I568" s="14"/>
    </row>
    <row r="569" spans="1:9" x14ac:dyDescent="0.25">
      <c r="A569" s="14">
        <v>2013</v>
      </c>
      <c r="B569" s="14">
        <v>171</v>
      </c>
      <c r="C569" s="20">
        <v>41445</v>
      </c>
      <c r="D569" s="16">
        <v>0.58402777777777781</v>
      </c>
      <c r="E569" s="14">
        <v>150</v>
      </c>
      <c r="F569" s="23">
        <v>8</v>
      </c>
      <c r="G569" s="17">
        <v>0.34023581355932203</v>
      </c>
      <c r="H569" s="4" t="s">
        <v>123</v>
      </c>
      <c r="I569" s="14"/>
    </row>
    <row r="570" spans="1:9" x14ac:dyDescent="0.25">
      <c r="A570" s="14">
        <v>2013</v>
      </c>
      <c r="B570" s="14">
        <v>171</v>
      </c>
      <c r="C570" s="20">
        <v>41445</v>
      </c>
      <c r="D570" s="16">
        <v>0.59097222222222223</v>
      </c>
      <c r="E570" s="14">
        <v>150</v>
      </c>
      <c r="F570" s="23">
        <v>9</v>
      </c>
      <c r="G570" s="17">
        <v>0.33504828884180793</v>
      </c>
      <c r="H570" s="4" t="s">
        <v>123</v>
      </c>
      <c r="I570" s="14"/>
    </row>
    <row r="571" spans="1:9" x14ac:dyDescent="0.25">
      <c r="A571" s="14">
        <v>2013</v>
      </c>
      <c r="B571" s="14">
        <v>171</v>
      </c>
      <c r="C571" s="20">
        <v>41445</v>
      </c>
      <c r="D571" s="16">
        <v>0.60069444444444442</v>
      </c>
      <c r="E571" s="14">
        <v>150</v>
      </c>
      <c r="F571" s="23">
        <v>10</v>
      </c>
      <c r="G571" s="17">
        <v>0.35247054166666675</v>
      </c>
      <c r="H571" s="4" t="s">
        <v>123</v>
      </c>
      <c r="I571" s="14"/>
    </row>
    <row r="572" spans="1:9" x14ac:dyDescent="0.25">
      <c r="A572" s="14">
        <v>2013</v>
      </c>
      <c r="B572" s="14">
        <v>171</v>
      </c>
      <c r="C572" s="20">
        <v>41445</v>
      </c>
      <c r="D572" s="16">
        <v>0.61319444444444449</v>
      </c>
      <c r="E572" s="14">
        <v>150</v>
      </c>
      <c r="F572" s="23">
        <v>11</v>
      </c>
      <c r="G572" s="17">
        <v>0.33888509957627122</v>
      </c>
      <c r="H572" s="4" t="s">
        <v>124</v>
      </c>
      <c r="I572" s="14"/>
    </row>
    <row r="573" spans="1:9" x14ac:dyDescent="0.25">
      <c r="A573" s="14">
        <v>2013</v>
      </c>
      <c r="B573" s="14">
        <v>171</v>
      </c>
      <c r="C573" s="20">
        <v>41445</v>
      </c>
      <c r="D573" s="16">
        <v>0.61944444444444446</v>
      </c>
      <c r="E573" s="14">
        <v>150</v>
      </c>
      <c r="F573" s="23">
        <v>12</v>
      </c>
      <c r="G573" s="17">
        <v>0.34522758262711861</v>
      </c>
      <c r="H573" s="4" t="s">
        <v>124</v>
      </c>
      <c r="I573" s="14"/>
    </row>
    <row r="574" spans="1:9" x14ac:dyDescent="0.25">
      <c r="A574" s="14">
        <v>2013</v>
      </c>
      <c r="B574" s="14">
        <v>171</v>
      </c>
      <c r="C574" s="20">
        <v>41445</v>
      </c>
      <c r="D574" s="16">
        <v>0.625</v>
      </c>
      <c r="E574" s="14">
        <v>150</v>
      </c>
      <c r="F574" s="23">
        <v>13</v>
      </c>
      <c r="G574" s="17">
        <v>0.31416116101694919</v>
      </c>
      <c r="H574" s="4" t="s">
        <v>124</v>
      </c>
      <c r="I574" s="14"/>
    </row>
    <row r="575" spans="1:9" x14ac:dyDescent="0.25">
      <c r="A575" s="14">
        <v>2013</v>
      </c>
      <c r="B575" s="14">
        <v>171</v>
      </c>
      <c r="C575" s="20">
        <v>41445</v>
      </c>
      <c r="D575" s="16">
        <v>0.62569444444444444</v>
      </c>
      <c r="E575" s="14">
        <v>150</v>
      </c>
      <c r="F575" s="23">
        <v>14</v>
      </c>
      <c r="G575" s="17">
        <v>0.3052347033898305</v>
      </c>
      <c r="H575" s="4" t="s">
        <v>124</v>
      </c>
      <c r="I575" s="14"/>
    </row>
    <row r="576" spans="1:9" x14ac:dyDescent="0.25">
      <c r="A576" s="14">
        <v>2013</v>
      </c>
      <c r="B576" s="14">
        <v>171</v>
      </c>
      <c r="C576" s="20">
        <v>41445</v>
      </c>
      <c r="D576" s="16">
        <v>0.63194444444444442</v>
      </c>
      <c r="E576" s="14">
        <v>150</v>
      </c>
      <c r="F576" s="23">
        <v>15</v>
      </c>
      <c r="G576" s="17">
        <v>0.34139077189265532</v>
      </c>
      <c r="H576" s="4" t="s">
        <v>1</v>
      </c>
      <c r="I576" s="14"/>
    </row>
    <row r="577" spans="1:9" x14ac:dyDescent="0.25">
      <c r="A577" s="14">
        <v>2013</v>
      </c>
      <c r="B577" s="14">
        <v>171</v>
      </c>
      <c r="C577" s="20">
        <v>41445</v>
      </c>
      <c r="D577" s="16">
        <v>0.64236111111111105</v>
      </c>
      <c r="E577" s="14">
        <v>150</v>
      </c>
      <c r="F577" s="23">
        <v>16</v>
      </c>
      <c r="G577" s="17">
        <v>0.32876453248587573</v>
      </c>
      <c r="H577" s="4" t="s">
        <v>1</v>
      </c>
      <c r="I577" s="14"/>
    </row>
    <row r="578" spans="1:9" x14ac:dyDescent="0.25">
      <c r="A578" s="14">
        <v>2013</v>
      </c>
      <c r="B578" s="14">
        <v>171</v>
      </c>
      <c r="C578" s="20">
        <v>41445</v>
      </c>
      <c r="D578" s="16">
        <v>0.6479166666666667</v>
      </c>
      <c r="E578" s="14">
        <v>150</v>
      </c>
      <c r="F578" s="23">
        <v>17</v>
      </c>
      <c r="G578" s="17">
        <v>0.3246928149717514</v>
      </c>
      <c r="H578" s="4" t="s">
        <v>124</v>
      </c>
      <c r="I578" s="14"/>
    </row>
    <row r="579" spans="1:9" x14ac:dyDescent="0.25">
      <c r="A579" s="14">
        <v>2013</v>
      </c>
      <c r="B579" s="14">
        <v>171</v>
      </c>
      <c r="C579" s="20">
        <v>41445</v>
      </c>
      <c r="D579" s="16">
        <v>0.65347222222222223</v>
      </c>
      <c r="E579" s="14">
        <v>150</v>
      </c>
      <c r="F579" s="23">
        <v>18</v>
      </c>
      <c r="G579" s="17">
        <v>0.3362815494350283</v>
      </c>
      <c r="H579" s="4" t="s">
        <v>124</v>
      </c>
      <c r="I579" s="14"/>
    </row>
    <row r="580" spans="1:9" x14ac:dyDescent="0.25">
      <c r="A580" s="14">
        <v>2013</v>
      </c>
      <c r="B580" s="14">
        <v>171</v>
      </c>
      <c r="C580" s="20">
        <v>41445</v>
      </c>
      <c r="D580" s="16">
        <v>0.66041666666666665</v>
      </c>
      <c r="E580" s="14">
        <v>150</v>
      </c>
      <c r="F580" s="23">
        <v>19</v>
      </c>
      <c r="G580" s="17">
        <v>0.33056548446327683</v>
      </c>
      <c r="H580" s="4" t="s">
        <v>124</v>
      </c>
      <c r="I580" s="14"/>
    </row>
    <row r="581" spans="1:9" x14ac:dyDescent="0.25">
      <c r="A581" s="14">
        <v>2013</v>
      </c>
      <c r="B581" s="14">
        <v>171</v>
      </c>
      <c r="C581" s="20">
        <v>41445</v>
      </c>
      <c r="D581" s="16">
        <v>0.66666666666666663</v>
      </c>
      <c r="E581" s="14">
        <v>150</v>
      </c>
      <c r="F581" s="23">
        <v>20</v>
      </c>
      <c r="G581" s="17">
        <v>0.34651956991525423</v>
      </c>
      <c r="H581" s="4" t="s">
        <v>124</v>
      </c>
      <c r="I581" s="14"/>
    </row>
    <row r="582" spans="1:9" x14ac:dyDescent="0.25">
      <c r="A582" s="14">
        <v>2013</v>
      </c>
      <c r="B582" s="14">
        <v>171</v>
      </c>
      <c r="C582" s="20">
        <v>41445</v>
      </c>
      <c r="D582" s="16">
        <v>0.54305555555555551</v>
      </c>
      <c r="E582" s="14">
        <v>130</v>
      </c>
      <c r="F582" s="23">
        <v>1</v>
      </c>
      <c r="G582" s="17">
        <v>0.30817103813559321</v>
      </c>
      <c r="H582" s="4" t="s">
        <v>123</v>
      </c>
      <c r="I582" s="14"/>
    </row>
    <row r="583" spans="1:9" x14ac:dyDescent="0.25">
      <c r="A583" s="14">
        <v>2013</v>
      </c>
      <c r="B583" s="14">
        <v>171</v>
      </c>
      <c r="C583" s="20">
        <v>41445</v>
      </c>
      <c r="D583" s="16">
        <v>0.54999999999999993</v>
      </c>
      <c r="E583" s="14">
        <v>130</v>
      </c>
      <c r="F583" s="23">
        <v>2</v>
      </c>
      <c r="G583" s="17">
        <v>0.309051938559322</v>
      </c>
      <c r="H583" s="4" t="s">
        <v>123</v>
      </c>
      <c r="I583" s="14"/>
    </row>
    <row r="584" spans="1:9" x14ac:dyDescent="0.25">
      <c r="A584" s="14">
        <v>2013</v>
      </c>
      <c r="B584" s="14">
        <v>171</v>
      </c>
      <c r="C584" s="20">
        <v>41445</v>
      </c>
      <c r="D584" s="16">
        <v>0.55555555555555558</v>
      </c>
      <c r="E584" s="14">
        <v>130</v>
      </c>
      <c r="F584" s="23">
        <v>3</v>
      </c>
      <c r="G584" s="17">
        <v>0.30674202189265537</v>
      </c>
      <c r="H584" s="4" t="s">
        <v>123</v>
      </c>
      <c r="I584" s="14"/>
    </row>
    <row r="585" spans="1:9" x14ac:dyDescent="0.25">
      <c r="A585" s="14">
        <v>2013</v>
      </c>
      <c r="B585" s="14">
        <v>171</v>
      </c>
      <c r="C585" s="20">
        <v>41445</v>
      </c>
      <c r="D585" s="16">
        <v>0.55625000000000002</v>
      </c>
      <c r="E585" s="14">
        <v>130</v>
      </c>
      <c r="F585" s="23">
        <v>4</v>
      </c>
      <c r="G585" s="17">
        <v>0.3035903559322034</v>
      </c>
      <c r="H585" s="4" t="s">
        <v>123</v>
      </c>
      <c r="I585" s="14"/>
    </row>
    <row r="586" spans="1:9" x14ac:dyDescent="0.25">
      <c r="A586" s="14">
        <v>2013</v>
      </c>
      <c r="B586" s="14">
        <v>171</v>
      </c>
      <c r="C586" s="20">
        <v>41445</v>
      </c>
      <c r="D586" s="16">
        <v>0.5625</v>
      </c>
      <c r="E586" s="14">
        <v>130</v>
      </c>
      <c r="F586" s="23">
        <v>5</v>
      </c>
      <c r="G586" s="17">
        <v>0.31290832485875708</v>
      </c>
      <c r="H586" s="4" t="s">
        <v>0</v>
      </c>
      <c r="I586" s="14"/>
    </row>
    <row r="587" spans="1:9" x14ac:dyDescent="0.25">
      <c r="A587" s="14">
        <v>2013</v>
      </c>
      <c r="B587" s="14">
        <v>171</v>
      </c>
      <c r="C587" s="20">
        <v>41445</v>
      </c>
      <c r="D587" s="16">
        <v>0.57361111111111118</v>
      </c>
      <c r="E587" s="14">
        <v>130</v>
      </c>
      <c r="F587" s="23">
        <v>6</v>
      </c>
      <c r="G587" s="17">
        <v>0.30306181567796614</v>
      </c>
      <c r="H587" s="4" t="s">
        <v>0</v>
      </c>
      <c r="I587" s="14"/>
    </row>
    <row r="588" spans="1:9" x14ac:dyDescent="0.25">
      <c r="A588" s="14">
        <v>2013</v>
      </c>
      <c r="B588" s="14">
        <v>171</v>
      </c>
      <c r="C588" s="20">
        <v>41445</v>
      </c>
      <c r="D588" s="16">
        <v>0.57777777777777783</v>
      </c>
      <c r="E588" s="14">
        <v>130</v>
      </c>
      <c r="F588" s="23">
        <v>7</v>
      </c>
      <c r="G588" s="17">
        <v>0.314807154661017</v>
      </c>
      <c r="H588" s="4" t="s">
        <v>123</v>
      </c>
      <c r="I588" s="14"/>
    </row>
    <row r="589" spans="1:9" x14ac:dyDescent="0.25">
      <c r="A589" s="14">
        <v>2013</v>
      </c>
      <c r="B589" s="14">
        <v>171</v>
      </c>
      <c r="C589" s="20">
        <v>41445</v>
      </c>
      <c r="D589" s="16">
        <v>0.58402777777777781</v>
      </c>
      <c r="E589" s="14">
        <v>130</v>
      </c>
      <c r="F589" s="23">
        <v>8</v>
      </c>
      <c r="G589" s="17">
        <v>0.33958981991525428</v>
      </c>
      <c r="H589" s="4" t="s">
        <v>123</v>
      </c>
      <c r="I589" s="14"/>
    </row>
    <row r="590" spans="1:9" x14ac:dyDescent="0.25">
      <c r="A590" s="14">
        <v>2013</v>
      </c>
      <c r="B590" s="14">
        <v>171</v>
      </c>
      <c r="C590" s="20">
        <v>41445</v>
      </c>
      <c r="D590" s="16">
        <v>0.59097222222222223</v>
      </c>
      <c r="E590" s="14">
        <v>130</v>
      </c>
      <c r="F590" s="23">
        <v>9</v>
      </c>
      <c r="G590" s="17">
        <v>0.30421677401129948</v>
      </c>
      <c r="H590" s="4" t="s">
        <v>123</v>
      </c>
      <c r="I590" s="14"/>
    </row>
    <row r="591" spans="1:9" x14ac:dyDescent="0.25">
      <c r="A591" s="14">
        <v>2013</v>
      </c>
      <c r="B591" s="14">
        <v>171</v>
      </c>
      <c r="C591" s="20">
        <v>41445</v>
      </c>
      <c r="D591" s="16">
        <v>0.60069444444444442</v>
      </c>
      <c r="E591" s="14">
        <v>130</v>
      </c>
      <c r="F591" s="23">
        <v>10</v>
      </c>
      <c r="G591" s="17">
        <v>0.31042222810734466</v>
      </c>
      <c r="H591" s="4" t="s">
        <v>123</v>
      </c>
      <c r="I591" s="14"/>
    </row>
    <row r="592" spans="1:9" x14ac:dyDescent="0.25">
      <c r="A592" s="14">
        <v>2013</v>
      </c>
      <c r="B592" s="14">
        <v>171</v>
      </c>
      <c r="C592" s="20">
        <v>41445</v>
      </c>
      <c r="D592" s="16">
        <v>0.61319444444444449</v>
      </c>
      <c r="E592" s="14">
        <v>130</v>
      </c>
      <c r="F592" s="23">
        <v>11</v>
      </c>
      <c r="G592" s="17">
        <v>0.30476488983050848</v>
      </c>
      <c r="H592" s="4" t="s">
        <v>124</v>
      </c>
      <c r="I592" s="14"/>
    </row>
    <row r="593" spans="1:9" x14ac:dyDescent="0.25">
      <c r="A593" s="14">
        <v>2013</v>
      </c>
      <c r="B593" s="14">
        <v>171</v>
      </c>
      <c r="C593" s="20">
        <v>41445</v>
      </c>
      <c r="D593" s="16">
        <v>0.61944444444444446</v>
      </c>
      <c r="E593" s="14">
        <v>130</v>
      </c>
      <c r="F593" s="23">
        <v>12</v>
      </c>
      <c r="G593" s="17">
        <v>0.28732306144067798</v>
      </c>
      <c r="H593" s="4" t="s">
        <v>124</v>
      </c>
      <c r="I593" s="14"/>
    </row>
    <row r="594" spans="1:9" x14ac:dyDescent="0.25">
      <c r="A594" s="14">
        <v>2013</v>
      </c>
      <c r="B594" s="14">
        <v>171</v>
      </c>
      <c r="C594" s="20">
        <v>41445</v>
      </c>
      <c r="D594" s="16">
        <v>0.625</v>
      </c>
      <c r="E594" s="14">
        <v>130</v>
      </c>
      <c r="F594" s="23">
        <v>13</v>
      </c>
      <c r="G594" s="17">
        <v>0.32052321963276836</v>
      </c>
      <c r="H594" s="4" t="s">
        <v>124</v>
      </c>
      <c r="I594" s="14"/>
    </row>
    <row r="595" spans="1:9" x14ac:dyDescent="0.25">
      <c r="A595" s="14">
        <v>2013</v>
      </c>
      <c r="B595" s="14">
        <v>171</v>
      </c>
      <c r="C595" s="20">
        <v>41445</v>
      </c>
      <c r="D595" s="16">
        <v>0.62569444444444444</v>
      </c>
      <c r="E595" s="14">
        <v>130</v>
      </c>
      <c r="F595" s="23">
        <v>14</v>
      </c>
      <c r="G595" s="17">
        <v>0.30965878107344635</v>
      </c>
      <c r="H595" s="4" t="s">
        <v>124</v>
      </c>
      <c r="I595" s="14"/>
    </row>
    <row r="596" spans="1:9" x14ac:dyDescent="0.25">
      <c r="A596" s="14">
        <v>2013</v>
      </c>
      <c r="B596" s="14">
        <v>171</v>
      </c>
      <c r="C596" s="20">
        <v>41445</v>
      </c>
      <c r="D596" s="16">
        <v>0.63194444444444442</v>
      </c>
      <c r="E596" s="14">
        <v>130</v>
      </c>
      <c r="F596" s="23">
        <v>15</v>
      </c>
      <c r="G596" s="17">
        <v>0.30133916596045202</v>
      </c>
      <c r="H596" s="4" t="s">
        <v>1</v>
      </c>
      <c r="I596" s="14"/>
    </row>
    <row r="597" spans="1:9" x14ac:dyDescent="0.25">
      <c r="A597" s="14">
        <v>2013</v>
      </c>
      <c r="B597" s="14">
        <v>171</v>
      </c>
      <c r="C597" s="20">
        <v>41445</v>
      </c>
      <c r="D597" s="16">
        <v>0.64236111111111105</v>
      </c>
      <c r="E597" s="14">
        <v>130</v>
      </c>
      <c r="F597" s="23">
        <v>16</v>
      </c>
      <c r="G597" s="17">
        <v>0.29932288276836161</v>
      </c>
      <c r="H597" s="4" t="s">
        <v>1</v>
      </c>
      <c r="I597" s="14"/>
    </row>
    <row r="598" spans="1:9" x14ac:dyDescent="0.25">
      <c r="A598" s="14">
        <v>2013</v>
      </c>
      <c r="B598" s="14">
        <v>171</v>
      </c>
      <c r="C598" s="20">
        <v>41445</v>
      </c>
      <c r="D598" s="16">
        <v>0.6479166666666667</v>
      </c>
      <c r="E598" s="14">
        <v>130</v>
      </c>
      <c r="F598" s="23">
        <v>17</v>
      </c>
      <c r="G598" s="17">
        <v>0.30836679378531073</v>
      </c>
      <c r="H598" s="4" t="s">
        <v>124</v>
      </c>
      <c r="I598" s="14"/>
    </row>
    <row r="599" spans="1:9" x14ac:dyDescent="0.25">
      <c r="A599" s="14">
        <v>2013</v>
      </c>
      <c r="B599" s="14">
        <v>171</v>
      </c>
      <c r="C599" s="20">
        <v>41445</v>
      </c>
      <c r="D599" s="16">
        <v>0.65347222222222223</v>
      </c>
      <c r="E599" s="14">
        <v>130</v>
      </c>
      <c r="F599" s="23">
        <v>18</v>
      </c>
      <c r="G599" s="17">
        <v>0.30768164901129946</v>
      </c>
      <c r="H599" s="4" t="s">
        <v>124</v>
      </c>
      <c r="I599" s="14"/>
    </row>
    <row r="600" spans="1:9" x14ac:dyDescent="0.25">
      <c r="A600" s="14">
        <v>2013</v>
      </c>
      <c r="B600" s="14">
        <v>171</v>
      </c>
      <c r="C600" s="20">
        <v>41445</v>
      </c>
      <c r="D600" s="16">
        <v>0.66041666666666665</v>
      </c>
      <c r="E600" s="14">
        <v>130</v>
      </c>
      <c r="F600" s="23">
        <v>19</v>
      </c>
      <c r="G600" s="17">
        <v>0.30599815042372885</v>
      </c>
      <c r="H600" s="4" t="s">
        <v>124</v>
      </c>
      <c r="I600" s="14"/>
    </row>
    <row r="601" spans="1:9" x14ac:dyDescent="0.25">
      <c r="A601" s="14">
        <v>2013</v>
      </c>
      <c r="B601" s="14">
        <v>171</v>
      </c>
      <c r="C601" s="20">
        <v>41445</v>
      </c>
      <c r="D601" s="16">
        <v>0.66666666666666663</v>
      </c>
      <c r="E601" s="14">
        <v>130</v>
      </c>
      <c r="F601" s="23">
        <v>20</v>
      </c>
      <c r="G601" s="17">
        <v>0.30094765466101697</v>
      </c>
      <c r="H601" s="4" t="s">
        <v>124</v>
      </c>
      <c r="I601" s="14"/>
    </row>
    <row r="602" spans="1:9" x14ac:dyDescent="0.25">
      <c r="A602" s="14">
        <v>2013</v>
      </c>
      <c r="B602" s="14">
        <v>171</v>
      </c>
      <c r="C602" s="20">
        <v>41445</v>
      </c>
      <c r="D602" s="16">
        <v>0.54305555555555551</v>
      </c>
      <c r="E602" s="14">
        <v>110</v>
      </c>
      <c r="F602" s="23">
        <v>1</v>
      </c>
      <c r="G602" s="17">
        <v>0.34166644420903952</v>
      </c>
      <c r="H602" s="4" t="s">
        <v>123</v>
      </c>
      <c r="I602" s="14"/>
    </row>
    <row r="603" spans="1:9" x14ac:dyDescent="0.25">
      <c r="A603" s="14">
        <v>2013</v>
      </c>
      <c r="B603" s="14">
        <v>171</v>
      </c>
      <c r="C603" s="20">
        <v>41445</v>
      </c>
      <c r="D603" s="16">
        <v>0.54999999999999993</v>
      </c>
      <c r="E603" s="14">
        <v>110</v>
      </c>
      <c r="F603" s="23">
        <v>2</v>
      </c>
      <c r="G603" s="17">
        <v>0.33434323658192089</v>
      </c>
      <c r="H603" s="4" t="s">
        <v>123</v>
      </c>
      <c r="I603" s="14"/>
    </row>
    <row r="604" spans="1:9" x14ac:dyDescent="0.25">
      <c r="A604" s="14">
        <v>2013</v>
      </c>
      <c r="B604" s="14">
        <v>171</v>
      </c>
      <c r="C604" s="20">
        <v>41445</v>
      </c>
      <c r="D604" s="16">
        <v>0.55555555555555558</v>
      </c>
      <c r="E604" s="14">
        <v>110</v>
      </c>
      <c r="F604" s="23">
        <v>3</v>
      </c>
      <c r="G604" s="17">
        <v>0.3283787372881356</v>
      </c>
      <c r="H604" s="4" t="s">
        <v>123</v>
      </c>
      <c r="I604" s="14"/>
    </row>
    <row r="605" spans="1:9" x14ac:dyDescent="0.25">
      <c r="A605" s="14">
        <v>2013</v>
      </c>
      <c r="B605" s="14">
        <v>171</v>
      </c>
      <c r="C605" s="20">
        <v>41445</v>
      </c>
      <c r="D605" s="16">
        <v>0.55625000000000002</v>
      </c>
      <c r="E605" s="14">
        <v>110</v>
      </c>
      <c r="F605" s="23">
        <v>4</v>
      </c>
      <c r="G605" s="17">
        <v>0.33326087570621465</v>
      </c>
      <c r="H605" s="4" t="s">
        <v>123</v>
      </c>
      <c r="I605" s="14"/>
    </row>
    <row r="606" spans="1:9" x14ac:dyDescent="0.25">
      <c r="A606" s="14">
        <v>2013</v>
      </c>
      <c r="B606" s="14">
        <v>171</v>
      </c>
      <c r="C606" s="20">
        <v>41445</v>
      </c>
      <c r="D606" s="16">
        <v>0.5625</v>
      </c>
      <c r="E606" s="14">
        <v>110</v>
      </c>
      <c r="F606" s="23">
        <v>5</v>
      </c>
      <c r="G606" s="17">
        <v>0.34194279166666663</v>
      </c>
      <c r="H606" s="4" t="s">
        <v>0</v>
      </c>
      <c r="I606" s="14"/>
    </row>
    <row r="607" spans="1:9" x14ac:dyDescent="0.25">
      <c r="A607" s="14">
        <v>2013</v>
      </c>
      <c r="B607" s="14">
        <v>171</v>
      </c>
      <c r="C607" s="20">
        <v>41445</v>
      </c>
      <c r="D607" s="16">
        <v>0.57361111111111118</v>
      </c>
      <c r="E607" s="14">
        <v>110</v>
      </c>
      <c r="F607" s="23">
        <v>6</v>
      </c>
      <c r="G607" s="17">
        <v>0.32515468361581917</v>
      </c>
      <c r="H607" s="4" t="s">
        <v>0</v>
      </c>
      <c r="I607" s="14"/>
    </row>
    <row r="608" spans="1:9" x14ac:dyDescent="0.25">
      <c r="A608" s="14">
        <v>2013</v>
      </c>
      <c r="B608" s="14">
        <v>171</v>
      </c>
      <c r="C608" s="20">
        <v>41445</v>
      </c>
      <c r="D608" s="16">
        <v>0.57777777777777783</v>
      </c>
      <c r="E608" s="14">
        <v>110</v>
      </c>
      <c r="F608" s="23">
        <v>7</v>
      </c>
      <c r="G608" s="17">
        <v>0.34454506355932202</v>
      </c>
      <c r="H608" s="4" t="s">
        <v>123</v>
      </c>
      <c r="I608" s="14"/>
    </row>
    <row r="609" spans="1:9" x14ac:dyDescent="0.25">
      <c r="A609" s="14">
        <v>2013</v>
      </c>
      <c r="B609" s="14">
        <v>171</v>
      </c>
      <c r="C609" s="20">
        <v>41445</v>
      </c>
      <c r="D609" s="16">
        <v>0.58402777777777781</v>
      </c>
      <c r="E609" s="14">
        <v>110</v>
      </c>
      <c r="F609" s="23">
        <v>8</v>
      </c>
      <c r="G609" s="17">
        <v>0.34263366031073444</v>
      </c>
      <c r="H609" s="4" t="s">
        <v>123</v>
      </c>
      <c r="I609" s="14"/>
    </row>
    <row r="610" spans="1:9" x14ac:dyDescent="0.25">
      <c r="A610" s="14">
        <v>2013</v>
      </c>
      <c r="B610" s="14">
        <v>171</v>
      </c>
      <c r="C610" s="20">
        <v>41445</v>
      </c>
      <c r="D610" s="16">
        <v>0.59097222222222223</v>
      </c>
      <c r="E610" s="14">
        <v>110</v>
      </c>
      <c r="F610" s="23">
        <v>9</v>
      </c>
      <c r="G610" s="17">
        <v>0.33321481779661016</v>
      </c>
      <c r="H610" s="4" t="s">
        <v>123</v>
      </c>
      <c r="I610" s="14"/>
    </row>
    <row r="611" spans="1:9" x14ac:dyDescent="0.25">
      <c r="A611" s="14">
        <v>2013</v>
      </c>
      <c r="B611" s="14">
        <v>171</v>
      </c>
      <c r="C611" s="20">
        <v>41445</v>
      </c>
      <c r="D611" s="16">
        <v>0.60069444444444442</v>
      </c>
      <c r="E611" s="14">
        <v>110</v>
      </c>
      <c r="F611" s="23">
        <v>10</v>
      </c>
      <c r="G611" s="17">
        <v>0.34106769138418075</v>
      </c>
      <c r="H611" s="4" t="s">
        <v>123</v>
      </c>
      <c r="I611" s="14"/>
    </row>
    <row r="612" spans="1:9" x14ac:dyDescent="0.25">
      <c r="A612" s="14">
        <v>2013</v>
      </c>
      <c r="B612" s="14">
        <v>171</v>
      </c>
      <c r="C612" s="20">
        <v>41445</v>
      </c>
      <c r="D612" s="16">
        <v>0.61319444444444449</v>
      </c>
      <c r="E612" s="14">
        <v>110</v>
      </c>
      <c r="F612" s="23">
        <v>11</v>
      </c>
      <c r="G612" s="17">
        <v>0.33632372669491523</v>
      </c>
      <c r="H612" s="4" t="s">
        <v>124</v>
      </c>
      <c r="I612" s="14"/>
    </row>
    <row r="613" spans="1:9" x14ac:dyDescent="0.25">
      <c r="A613" s="14">
        <v>2013</v>
      </c>
      <c r="B613" s="14">
        <v>171</v>
      </c>
      <c r="C613" s="20">
        <v>41445</v>
      </c>
      <c r="D613" s="16">
        <v>0.61944444444444446</v>
      </c>
      <c r="E613" s="14">
        <v>110</v>
      </c>
      <c r="F613" s="23">
        <v>12</v>
      </c>
      <c r="G613" s="17">
        <v>0.33989321468926553</v>
      </c>
      <c r="H613" s="4" t="s">
        <v>124</v>
      </c>
      <c r="I613" s="14"/>
    </row>
    <row r="614" spans="1:9" x14ac:dyDescent="0.25">
      <c r="A614" s="14">
        <v>2013</v>
      </c>
      <c r="B614" s="14">
        <v>171</v>
      </c>
      <c r="C614" s="20">
        <v>41445</v>
      </c>
      <c r="D614" s="16">
        <v>0.625</v>
      </c>
      <c r="E614" s="14">
        <v>110</v>
      </c>
      <c r="F614" s="23">
        <v>13</v>
      </c>
      <c r="G614" s="17">
        <v>0.34756185663841804</v>
      </c>
      <c r="H614" s="4" t="s">
        <v>124</v>
      </c>
      <c r="I614" s="14"/>
    </row>
    <row r="615" spans="1:9" x14ac:dyDescent="0.25">
      <c r="A615" s="14">
        <v>2013</v>
      </c>
      <c r="B615" s="14">
        <v>171</v>
      </c>
      <c r="C615" s="20">
        <v>41445</v>
      </c>
      <c r="D615" s="16">
        <v>0.62569444444444444</v>
      </c>
      <c r="E615" s="14">
        <v>110</v>
      </c>
      <c r="F615" s="23">
        <v>14</v>
      </c>
      <c r="G615" s="17">
        <v>0.32713517372881351</v>
      </c>
      <c r="H615" s="4" t="s">
        <v>124</v>
      </c>
      <c r="I615" s="14"/>
    </row>
    <row r="616" spans="1:9" x14ac:dyDescent="0.25">
      <c r="A616" s="14">
        <v>2013</v>
      </c>
      <c r="B616" s="14">
        <v>171</v>
      </c>
      <c r="C616" s="20">
        <v>41445</v>
      </c>
      <c r="D616" s="16">
        <v>0.63194444444444442</v>
      </c>
      <c r="E616" s="14">
        <v>110</v>
      </c>
      <c r="F616" s="23">
        <v>15</v>
      </c>
      <c r="G616" s="17">
        <v>0.33102706709039548</v>
      </c>
      <c r="H616" s="4" t="s">
        <v>1</v>
      </c>
      <c r="I616" s="14"/>
    </row>
    <row r="617" spans="1:9" x14ac:dyDescent="0.25">
      <c r="A617" s="14">
        <v>2013</v>
      </c>
      <c r="B617" s="14">
        <v>171</v>
      </c>
      <c r="C617" s="20">
        <v>41445</v>
      </c>
      <c r="D617" s="16">
        <v>0.64236111111111105</v>
      </c>
      <c r="E617" s="14">
        <v>110</v>
      </c>
      <c r="F617" s="23">
        <v>16</v>
      </c>
      <c r="G617" s="17">
        <v>0.33063557485875705</v>
      </c>
      <c r="H617" s="4" t="s">
        <v>1</v>
      </c>
      <c r="I617" s="14"/>
    </row>
    <row r="618" spans="1:9" x14ac:dyDescent="0.25">
      <c r="A618" s="14">
        <v>2013</v>
      </c>
      <c r="B618" s="14">
        <v>171</v>
      </c>
      <c r="C618" s="20">
        <v>41445</v>
      </c>
      <c r="D618" s="16">
        <v>0.6479166666666667</v>
      </c>
      <c r="E618" s="14">
        <v>110</v>
      </c>
      <c r="F618" s="23">
        <v>17</v>
      </c>
      <c r="G618" s="17">
        <v>0.34530501906779659</v>
      </c>
      <c r="H618" s="4" t="s">
        <v>124</v>
      </c>
      <c r="I618" s="14"/>
    </row>
    <row r="619" spans="1:9" x14ac:dyDescent="0.25">
      <c r="A619" s="14">
        <v>2013</v>
      </c>
      <c r="B619" s="14">
        <v>171</v>
      </c>
      <c r="C619" s="20">
        <v>41445</v>
      </c>
      <c r="D619" s="16">
        <v>0.65347222222222223</v>
      </c>
      <c r="E619" s="14">
        <v>110</v>
      </c>
      <c r="F619" s="23">
        <v>18</v>
      </c>
      <c r="G619" s="17">
        <v>0.34279486299435025</v>
      </c>
      <c r="H619" s="4" t="s">
        <v>124</v>
      </c>
      <c r="I619" s="14"/>
    </row>
    <row r="620" spans="1:9" x14ac:dyDescent="0.25">
      <c r="A620" s="14">
        <v>2013</v>
      </c>
      <c r="B620" s="14">
        <v>171</v>
      </c>
      <c r="C620" s="20">
        <v>41445</v>
      </c>
      <c r="D620" s="16">
        <v>0.66041666666666665</v>
      </c>
      <c r="E620" s="14">
        <v>110</v>
      </c>
      <c r="F620" s="23">
        <v>19</v>
      </c>
      <c r="G620" s="17">
        <v>0.33756729025423726</v>
      </c>
      <c r="H620" s="4" t="s">
        <v>124</v>
      </c>
      <c r="I620" s="14"/>
    </row>
    <row r="621" spans="1:9" x14ac:dyDescent="0.25">
      <c r="A621" s="14">
        <v>2013</v>
      </c>
      <c r="B621" s="14">
        <v>171</v>
      </c>
      <c r="C621" s="20">
        <v>41445</v>
      </c>
      <c r="D621" s="16">
        <v>0.66666666666666663</v>
      </c>
      <c r="E621" s="14">
        <v>110</v>
      </c>
      <c r="F621" s="23">
        <v>20</v>
      </c>
      <c r="G621" s="17">
        <v>0.33220154378531075</v>
      </c>
      <c r="H621" s="4" t="s">
        <v>124</v>
      </c>
      <c r="I621" s="14"/>
    </row>
    <row r="622" spans="1:9" x14ac:dyDescent="0.25">
      <c r="A622" s="14">
        <v>2013</v>
      </c>
      <c r="B622" s="14">
        <v>171</v>
      </c>
      <c r="C622" s="20">
        <v>41445</v>
      </c>
      <c r="D622" s="16">
        <v>0.54305555555555551</v>
      </c>
      <c r="E622" s="14">
        <v>90</v>
      </c>
      <c r="F622" s="23">
        <v>1</v>
      </c>
      <c r="G622" s="17">
        <v>0.33968595409604518</v>
      </c>
      <c r="H622" s="4" t="s">
        <v>123</v>
      </c>
      <c r="I622" s="14"/>
    </row>
    <row r="623" spans="1:9" x14ac:dyDescent="0.25">
      <c r="A623" s="14">
        <v>2013</v>
      </c>
      <c r="B623" s="14">
        <v>171</v>
      </c>
      <c r="C623" s="20">
        <v>41445</v>
      </c>
      <c r="D623" s="16">
        <v>0.54999999999999993</v>
      </c>
      <c r="E623" s="14">
        <v>90</v>
      </c>
      <c r="F623" s="23">
        <v>2</v>
      </c>
      <c r="G623" s="17">
        <v>0.3395477803672316</v>
      </c>
      <c r="H623" s="4" t="s">
        <v>123</v>
      </c>
      <c r="I623" s="14"/>
    </row>
    <row r="624" spans="1:9" x14ac:dyDescent="0.25">
      <c r="A624" s="14">
        <v>2013</v>
      </c>
      <c r="B624" s="14">
        <v>171</v>
      </c>
      <c r="C624" s="20">
        <v>41445</v>
      </c>
      <c r="D624" s="16">
        <v>0.55555555555555558</v>
      </c>
      <c r="E624" s="14">
        <v>90</v>
      </c>
      <c r="F624" s="23">
        <v>3</v>
      </c>
      <c r="G624" s="17">
        <v>0.33871873799435026</v>
      </c>
      <c r="H624" s="4" t="s">
        <v>123</v>
      </c>
      <c r="I624" s="14"/>
    </row>
    <row r="625" spans="1:9" x14ac:dyDescent="0.25">
      <c r="A625" s="14">
        <v>2013</v>
      </c>
      <c r="B625" s="14">
        <v>171</v>
      </c>
      <c r="C625" s="20">
        <v>41445</v>
      </c>
      <c r="D625" s="16">
        <v>0.55625000000000002</v>
      </c>
      <c r="E625" s="14">
        <v>90</v>
      </c>
      <c r="F625" s="23">
        <v>4</v>
      </c>
      <c r="G625" s="17">
        <v>0.33501107627118643</v>
      </c>
      <c r="H625" s="4" t="s">
        <v>123</v>
      </c>
      <c r="I625" s="14"/>
    </row>
    <row r="626" spans="1:9" x14ac:dyDescent="0.25">
      <c r="A626" s="14">
        <v>2013</v>
      </c>
      <c r="B626" s="14">
        <v>171</v>
      </c>
      <c r="C626" s="20">
        <v>41445</v>
      </c>
      <c r="D626" s="16">
        <v>0.5625</v>
      </c>
      <c r="E626" s="14">
        <v>90</v>
      </c>
      <c r="F626" s="23">
        <v>5</v>
      </c>
      <c r="G626" s="17">
        <v>0.34346270268361584</v>
      </c>
      <c r="H626" s="4" t="s">
        <v>0</v>
      </c>
      <c r="I626" s="14"/>
    </row>
    <row r="627" spans="1:9" x14ac:dyDescent="0.25">
      <c r="A627" s="14">
        <v>2013</v>
      </c>
      <c r="B627" s="14">
        <v>171</v>
      </c>
      <c r="C627" s="20">
        <v>41445</v>
      </c>
      <c r="D627" s="16">
        <v>0.57361111111111118</v>
      </c>
      <c r="E627" s="14">
        <v>90</v>
      </c>
      <c r="F627" s="23">
        <v>6</v>
      </c>
      <c r="G627" s="17">
        <v>0.33118826977401128</v>
      </c>
      <c r="H627" s="4" t="s">
        <v>0</v>
      </c>
      <c r="I627" s="14"/>
    </row>
    <row r="628" spans="1:9" x14ac:dyDescent="0.25">
      <c r="A628" s="14">
        <v>2013</v>
      </c>
      <c r="B628" s="14">
        <v>171</v>
      </c>
      <c r="C628" s="20">
        <v>41445</v>
      </c>
      <c r="D628" s="16">
        <v>0.57777777777777783</v>
      </c>
      <c r="E628" s="14">
        <v>90</v>
      </c>
      <c r="F628" s="23">
        <v>7</v>
      </c>
      <c r="G628" s="17">
        <v>0.34581165607344633</v>
      </c>
      <c r="H628" s="4" t="s">
        <v>123</v>
      </c>
      <c r="I628" s="14"/>
    </row>
    <row r="629" spans="1:9" x14ac:dyDescent="0.25">
      <c r="A629" s="14">
        <v>2013</v>
      </c>
      <c r="B629" s="14">
        <v>171</v>
      </c>
      <c r="C629" s="20">
        <v>41445</v>
      </c>
      <c r="D629" s="16">
        <v>0.58402777777777781</v>
      </c>
      <c r="E629" s="14">
        <v>90</v>
      </c>
      <c r="F629" s="23">
        <v>8</v>
      </c>
      <c r="G629" s="17">
        <v>0.34129798093220337</v>
      </c>
      <c r="H629" s="4" t="s">
        <v>123</v>
      </c>
      <c r="I629" s="14"/>
    </row>
    <row r="630" spans="1:9" x14ac:dyDescent="0.25">
      <c r="A630" s="14">
        <v>2013</v>
      </c>
      <c r="B630" s="14">
        <v>171</v>
      </c>
      <c r="C630" s="20">
        <v>41445</v>
      </c>
      <c r="D630" s="16">
        <v>0.59097222222222223</v>
      </c>
      <c r="E630" s="14">
        <v>90</v>
      </c>
      <c r="F630" s="23">
        <v>9</v>
      </c>
      <c r="G630" s="17">
        <v>0.33625463983050846</v>
      </c>
      <c r="H630" s="4" t="s">
        <v>123</v>
      </c>
      <c r="I630" s="14"/>
    </row>
    <row r="631" spans="1:9" x14ac:dyDescent="0.25">
      <c r="A631" s="14">
        <v>2013</v>
      </c>
      <c r="B631" s="14">
        <v>171</v>
      </c>
      <c r="C631" s="20">
        <v>41445</v>
      </c>
      <c r="D631" s="16">
        <v>0.60069444444444442</v>
      </c>
      <c r="E631" s="14">
        <v>90</v>
      </c>
      <c r="F631" s="23">
        <v>10</v>
      </c>
      <c r="G631" s="17">
        <v>0.34092951765536716</v>
      </c>
      <c r="H631" s="4" t="s">
        <v>123</v>
      </c>
      <c r="I631" s="14"/>
    </row>
    <row r="632" spans="1:9" x14ac:dyDescent="0.25">
      <c r="A632" s="14">
        <v>2013</v>
      </c>
      <c r="B632" s="14">
        <v>171</v>
      </c>
      <c r="C632" s="20">
        <v>41445</v>
      </c>
      <c r="D632" s="16">
        <v>0.61319444444444449</v>
      </c>
      <c r="E632" s="14">
        <v>90</v>
      </c>
      <c r="F632" s="23">
        <v>11</v>
      </c>
      <c r="G632" s="17">
        <v>0.34171250211864407</v>
      </c>
      <c r="H632" s="4" t="s">
        <v>124</v>
      </c>
      <c r="I632" s="14"/>
    </row>
    <row r="633" spans="1:9" x14ac:dyDescent="0.25">
      <c r="A633" s="14">
        <v>2013</v>
      </c>
      <c r="B633" s="14">
        <v>171</v>
      </c>
      <c r="C633" s="20">
        <v>41445</v>
      </c>
      <c r="D633" s="16">
        <v>0.61944444444444446</v>
      </c>
      <c r="E633" s="14">
        <v>90</v>
      </c>
      <c r="F633" s="23">
        <v>12</v>
      </c>
      <c r="G633" s="17">
        <v>0.34256457344632768</v>
      </c>
      <c r="H633" s="4" t="s">
        <v>124</v>
      </c>
      <c r="I633" s="14"/>
    </row>
    <row r="634" spans="1:9" x14ac:dyDescent="0.25">
      <c r="A634" s="14">
        <v>2013</v>
      </c>
      <c r="B634" s="14">
        <v>171</v>
      </c>
      <c r="C634" s="20">
        <v>41445</v>
      </c>
      <c r="D634" s="16">
        <v>0.625</v>
      </c>
      <c r="E634" s="14">
        <v>90</v>
      </c>
      <c r="F634" s="23">
        <v>13</v>
      </c>
      <c r="G634" s="17">
        <v>0.33963989618644069</v>
      </c>
      <c r="H634" s="4" t="s">
        <v>124</v>
      </c>
      <c r="I634" s="14"/>
    </row>
    <row r="635" spans="1:9" x14ac:dyDescent="0.25">
      <c r="A635" s="14">
        <v>2013</v>
      </c>
      <c r="B635" s="14">
        <v>171</v>
      </c>
      <c r="C635" s="20">
        <v>41445</v>
      </c>
      <c r="D635" s="16">
        <v>0.62569444444444444</v>
      </c>
      <c r="E635" s="14">
        <v>90</v>
      </c>
      <c r="F635" s="23">
        <v>14</v>
      </c>
      <c r="G635" s="17">
        <v>0.3350341052259887</v>
      </c>
      <c r="H635" s="4" t="s">
        <v>124</v>
      </c>
      <c r="I635" s="14"/>
    </row>
    <row r="636" spans="1:9" x14ac:dyDescent="0.25">
      <c r="A636" s="14">
        <v>2013</v>
      </c>
      <c r="B636" s="14">
        <v>171</v>
      </c>
      <c r="C636" s="20">
        <v>41445</v>
      </c>
      <c r="D636" s="16">
        <v>0.63194444444444442</v>
      </c>
      <c r="E636" s="14">
        <v>90</v>
      </c>
      <c r="F636" s="23">
        <v>15</v>
      </c>
      <c r="G636" s="17">
        <v>0.33081980649717513</v>
      </c>
      <c r="H636" s="4" t="s">
        <v>1</v>
      </c>
      <c r="I636" s="14"/>
    </row>
    <row r="637" spans="1:9" x14ac:dyDescent="0.25">
      <c r="A637" s="14">
        <v>2013</v>
      </c>
      <c r="B637" s="14">
        <v>171</v>
      </c>
      <c r="C637" s="20">
        <v>41445</v>
      </c>
      <c r="D637" s="16">
        <v>0.64236111111111105</v>
      </c>
      <c r="E637" s="14">
        <v>90</v>
      </c>
      <c r="F637" s="23">
        <v>16</v>
      </c>
      <c r="G637" s="17">
        <v>0.33109615395480224</v>
      </c>
      <c r="H637" s="4" t="s">
        <v>1</v>
      </c>
      <c r="I637" s="14"/>
    </row>
    <row r="638" spans="1:9" x14ac:dyDescent="0.25">
      <c r="A638" s="14">
        <v>2013</v>
      </c>
      <c r="B638" s="14">
        <v>171</v>
      </c>
      <c r="C638" s="20">
        <v>41445</v>
      </c>
      <c r="D638" s="16">
        <v>0.6479166666666667</v>
      </c>
      <c r="E638" s="14">
        <v>90</v>
      </c>
      <c r="F638" s="23">
        <v>17</v>
      </c>
      <c r="G638" s="17">
        <v>0.34756185663841804</v>
      </c>
      <c r="H638" s="4" t="s">
        <v>124</v>
      </c>
      <c r="I638" s="14"/>
    </row>
    <row r="639" spans="1:9" x14ac:dyDescent="0.25">
      <c r="A639" s="14">
        <v>2013</v>
      </c>
      <c r="B639" s="14">
        <v>171</v>
      </c>
      <c r="C639" s="20">
        <v>41445</v>
      </c>
      <c r="D639" s="16">
        <v>0.65347222222222223</v>
      </c>
      <c r="E639" s="14">
        <v>90</v>
      </c>
      <c r="F639" s="23">
        <v>18</v>
      </c>
      <c r="G639" s="17">
        <v>0.33835027471751411</v>
      </c>
      <c r="H639" s="4" t="s">
        <v>124</v>
      </c>
      <c r="I639" s="14"/>
    </row>
    <row r="640" spans="1:9" x14ac:dyDescent="0.25">
      <c r="A640" s="14">
        <v>2013</v>
      </c>
      <c r="B640" s="14">
        <v>171</v>
      </c>
      <c r="C640" s="20">
        <v>41445</v>
      </c>
      <c r="D640" s="16">
        <v>0.66041666666666665</v>
      </c>
      <c r="E640" s="14">
        <v>90</v>
      </c>
      <c r="F640" s="23">
        <v>19</v>
      </c>
      <c r="G640" s="17">
        <v>0.33818907203389825</v>
      </c>
      <c r="H640" s="4" t="s">
        <v>124</v>
      </c>
      <c r="I640" s="14"/>
    </row>
    <row r="641" spans="1:9" x14ac:dyDescent="0.25">
      <c r="A641" s="14">
        <v>2013</v>
      </c>
      <c r="B641" s="14">
        <v>171</v>
      </c>
      <c r="C641" s="20">
        <v>41445</v>
      </c>
      <c r="D641" s="16">
        <v>0.66666666666666663</v>
      </c>
      <c r="E641" s="14">
        <v>90</v>
      </c>
      <c r="F641" s="23">
        <v>20</v>
      </c>
      <c r="G641" s="17">
        <v>0.33286938347457623</v>
      </c>
      <c r="H641" s="4" t="s">
        <v>124</v>
      </c>
      <c r="I641" s="14"/>
    </row>
    <row r="642" spans="1:9" x14ac:dyDescent="0.25">
      <c r="A642" s="14">
        <v>2013</v>
      </c>
      <c r="B642" s="14">
        <v>171</v>
      </c>
      <c r="C642" s="20">
        <v>41445</v>
      </c>
      <c r="D642" s="16">
        <v>0.54305555555555551</v>
      </c>
      <c r="E642" s="14">
        <v>70</v>
      </c>
      <c r="F642" s="23">
        <v>1</v>
      </c>
      <c r="G642" s="17">
        <v>0.34682493008474574</v>
      </c>
      <c r="H642" s="4" t="s">
        <v>123</v>
      </c>
      <c r="I642" s="14"/>
    </row>
    <row r="643" spans="1:9" x14ac:dyDescent="0.25">
      <c r="A643" s="14">
        <v>2013</v>
      </c>
      <c r="B643" s="14">
        <v>171</v>
      </c>
      <c r="C643" s="20">
        <v>41445</v>
      </c>
      <c r="D643" s="16">
        <v>0.54999999999999993</v>
      </c>
      <c r="E643" s="14">
        <v>70</v>
      </c>
      <c r="F643" s="23">
        <v>2</v>
      </c>
      <c r="G643" s="17">
        <v>0.35368755861581919</v>
      </c>
      <c r="H643" s="4" t="s">
        <v>123</v>
      </c>
      <c r="I643" s="14"/>
    </row>
    <row r="644" spans="1:9" x14ac:dyDescent="0.25">
      <c r="A644" s="14">
        <v>2013</v>
      </c>
      <c r="B644" s="14">
        <v>171</v>
      </c>
      <c r="C644" s="20">
        <v>41445</v>
      </c>
      <c r="D644" s="16">
        <v>0.55555555555555558</v>
      </c>
      <c r="E644" s="14">
        <v>70</v>
      </c>
      <c r="F644" s="23">
        <v>3</v>
      </c>
      <c r="G644" s="17">
        <v>0.34820666737288131</v>
      </c>
      <c r="H644" s="4" t="s">
        <v>123</v>
      </c>
      <c r="I644" s="14"/>
    </row>
    <row r="645" spans="1:9" x14ac:dyDescent="0.25">
      <c r="A645" s="14">
        <v>2013</v>
      </c>
      <c r="B645" s="14">
        <v>171</v>
      </c>
      <c r="C645" s="20">
        <v>41445</v>
      </c>
      <c r="D645" s="16">
        <v>0.55625000000000002</v>
      </c>
      <c r="E645" s="14">
        <v>70</v>
      </c>
      <c r="F645" s="23">
        <v>4</v>
      </c>
      <c r="G645" s="17">
        <v>0.33759031920903954</v>
      </c>
      <c r="H645" s="4" t="s">
        <v>123</v>
      </c>
      <c r="I645" s="14"/>
    </row>
    <row r="646" spans="1:9" x14ac:dyDescent="0.25">
      <c r="A646" s="14">
        <v>2013</v>
      </c>
      <c r="B646" s="14">
        <v>171</v>
      </c>
      <c r="C646" s="20">
        <v>41445</v>
      </c>
      <c r="D646" s="16">
        <v>0.5625</v>
      </c>
      <c r="E646" s="14">
        <v>70</v>
      </c>
      <c r="F646" s="23">
        <v>5</v>
      </c>
      <c r="G646" s="17">
        <v>0.34813758050847454</v>
      </c>
      <c r="H646" s="4" t="s">
        <v>0</v>
      </c>
      <c r="I646" s="14"/>
    </row>
    <row r="647" spans="1:9" x14ac:dyDescent="0.25">
      <c r="A647" s="14">
        <v>2013</v>
      </c>
      <c r="B647" s="14">
        <v>171</v>
      </c>
      <c r="C647" s="20">
        <v>41445</v>
      </c>
      <c r="D647" s="16">
        <v>0.57361111111111118</v>
      </c>
      <c r="E647" s="14">
        <v>70</v>
      </c>
      <c r="F647" s="23">
        <v>6</v>
      </c>
      <c r="G647" s="17">
        <v>0.33768243502824857</v>
      </c>
      <c r="H647" s="4" t="s">
        <v>0</v>
      </c>
      <c r="I647" s="14"/>
    </row>
    <row r="648" spans="1:9" x14ac:dyDescent="0.25">
      <c r="A648" s="14">
        <v>2013</v>
      </c>
      <c r="B648" s="14">
        <v>171</v>
      </c>
      <c r="C648" s="20">
        <v>41445</v>
      </c>
      <c r="D648" s="16">
        <v>0.57777777777777783</v>
      </c>
      <c r="E648" s="14">
        <v>70</v>
      </c>
      <c r="F648" s="23">
        <v>7</v>
      </c>
      <c r="G648" s="17">
        <v>0.35037138912429378</v>
      </c>
      <c r="H648" s="4" t="s">
        <v>123</v>
      </c>
      <c r="I648" s="14"/>
    </row>
    <row r="649" spans="1:9" x14ac:dyDescent="0.25">
      <c r="A649" s="14">
        <v>2013</v>
      </c>
      <c r="B649" s="14">
        <v>171</v>
      </c>
      <c r="C649" s="20">
        <v>41445</v>
      </c>
      <c r="D649" s="16">
        <v>0.58402777777777781</v>
      </c>
      <c r="E649" s="14">
        <v>70</v>
      </c>
      <c r="F649" s="23">
        <v>8</v>
      </c>
      <c r="G649" s="17">
        <v>0.33966292514124291</v>
      </c>
      <c r="H649" s="4" t="s">
        <v>123</v>
      </c>
      <c r="I649" s="14"/>
    </row>
    <row r="650" spans="1:9" x14ac:dyDescent="0.25">
      <c r="A650" s="14">
        <v>2013</v>
      </c>
      <c r="B650" s="14">
        <v>171</v>
      </c>
      <c r="C650" s="20">
        <v>41445</v>
      </c>
      <c r="D650" s="16">
        <v>0.59097222222222223</v>
      </c>
      <c r="E650" s="14">
        <v>70</v>
      </c>
      <c r="F650" s="23">
        <v>9</v>
      </c>
      <c r="G650" s="17">
        <v>0.34307121045197742</v>
      </c>
      <c r="H650" s="4" t="s">
        <v>123</v>
      </c>
      <c r="I650" s="14"/>
    </row>
    <row r="651" spans="1:9" x14ac:dyDescent="0.25">
      <c r="A651" s="14">
        <v>2013</v>
      </c>
      <c r="B651" s="14">
        <v>171</v>
      </c>
      <c r="C651" s="20">
        <v>41445</v>
      </c>
      <c r="D651" s="16">
        <v>0.60069444444444442</v>
      </c>
      <c r="E651" s="14">
        <v>70</v>
      </c>
      <c r="F651" s="23">
        <v>10</v>
      </c>
      <c r="G651" s="17">
        <v>0.35633588841807906</v>
      </c>
      <c r="H651" s="4" t="s">
        <v>123</v>
      </c>
      <c r="I651" s="14"/>
    </row>
    <row r="652" spans="1:9" x14ac:dyDescent="0.25">
      <c r="A652" s="14">
        <v>2013</v>
      </c>
      <c r="B652" s="14">
        <v>171</v>
      </c>
      <c r="C652" s="20">
        <v>41445</v>
      </c>
      <c r="D652" s="16">
        <v>0.61319444444444449</v>
      </c>
      <c r="E652" s="14">
        <v>70</v>
      </c>
      <c r="F652" s="23">
        <v>11</v>
      </c>
      <c r="G652" s="17">
        <v>0.35483900635593218</v>
      </c>
      <c r="H652" s="4" t="s">
        <v>124</v>
      </c>
      <c r="I652" s="14"/>
    </row>
    <row r="653" spans="1:9" x14ac:dyDescent="0.25">
      <c r="A653" s="14">
        <v>2013</v>
      </c>
      <c r="B653" s="14">
        <v>171</v>
      </c>
      <c r="C653" s="20">
        <v>41445</v>
      </c>
      <c r="D653" s="16">
        <v>0.61944444444444446</v>
      </c>
      <c r="E653" s="14">
        <v>70</v>
      </c>
      <c r="F653" s="23">
        <v>12</v>
      </c>
      <c r="G653" s="17">
        <v>0.34442991878531071</v>
      </c>
      <c r="H653" s="4" t="s">
        <v>124</v>
      </c>
      <c r="I653" s="14"/>
    </row>
    <row r="654" spans="1:9" x14ac:dyDescent="0.25">
      <c r="A654" s="14">
        <v>2013</v>
      </c>
      <c r="B654" s="14">
        <v>171</v>
      </c>
      <c r="C654" s="20">
        <v>41445</v>
      </c>
      <c r="D654" s="16">
        <v>0.625</v>
      </c>
      <c r="E654" s="14">
        <v>70</v>
      </c>
      <c r="F654" s="23">
        <v>13</v>
      </c>
      <c r="G654" s="17">
        <v>0.34212702330508477</v>
      </c>
      <c r="H654" s="4" t="s">
        <v>124</v>
      </c>
      <c r="I654" s="14"/>
    </row>
    <row r="655" spans="1:9" x14ac:dyDescent="0.25">
      <c r="A655" s="14">
        <v>2013</v>
      </c>
      <c r="B655" s="14">
        <v>171</v>
      </c>
      <c r="C655" s="20">
        <v>41445</v>
      </c>
      <c r="D655" s="16">
        <v>0.62569444444444444</v>
      </c>
      <c r="E655" s="14">
        <v>70</v>
      </c>
      <c r="F655" s="23">
        <v>14</v>
      </c>
      <c r="G655" s="17">
        <v>0.34949628884180789</v>
      </c>
      <c r="H655" s="4" t="s">
        <v>124</v>
      </c>
      <c r="I655" s="14"/>
    </row>
    <row r="656" spans="1:9" x14ac:dyDescent="0.25">
      <c r="A656" s="14">
        <v>2013</v>
      </c>
      <c r="B656" s="14">
        <v>171</v>
      </c>
      <c r="C656" s="20">
        <v>41445</v>
      </c>
      <c r="D656" s="16">
        <v>0.63194444444444442</v>
      </c>
      <c r="E656" s="14">
        <v>70</v>
      </c>
      <c r="F656" s="23">
        <v>15</v>
      </c>
      <c r="G656" s="17">
        <v>0.33293847033898305</v>
      </c>
      <c r="H656" s="4" t="s">
        <v>1</v>
      </c>
      <c r="I656" s="14"/>
    </row>
    <row r="657" spans="1:9" x14ac:dyDescent="0.25">
      <c r="A657" s="14">
        <v>2013</v>
      </c>
      <c r="B657" s="14">
        <v>171</v>
      </c>
      <c r="C657" s="20">
        <v>41445</v>
      </c>
      <c r="D657" s="16">
        <v>0.64236111111111105</v>
      </c>
      <c r="E657" s="14">
        <v>70</v>
      </c>
      <c r="F657" s="23">
        <v>16</v>
      </c>
      <c r="G657" s="17">
        <v>0.33473472881355931</v>
      </c>
      <c r="H657" s="4" t="s">
        <v>1</v>
      </c>
      <c r="I657" s="14"/>
    </row>
    <row r="658" spans="1:9" x14ac:dyDescent="0.25">
      <c r="A658" s="14">
        <v>2013</v>
      </c>
      <c r="B658" s="14">
        <v>171</v>
      </c>
      <c r="C658" s="20">
        <v>41445</v>
      </c>
      <c r="D658" s="16">
        <v>0.6479166666666667</v>
      </c>
      <c r="E658" s="14">
        <v>70</v>
      </c>
      <c r="F658" s="23">
        <v>17</v>
      </c>
      <c r="G658" s="17">
        <v>0.35083196822033896</v>
      </c>
      <c r="H658" s="4" t="s">
        <v>124</v>
      </c>
      <c r="I658" s="14"/>
    </row>
    <row r="659" spans="1:9" x14ac:dyDescent="0.25">
      <c r="A659" s="14">
        <v>2013</v>
      </c>
      <c r="B659" s="14">
        <v>171</v>
      </c>
      <c r="C659" s="20">
        <v>41445</v>
      </c>
      <c r="D659" s="16">
        <v>0.65347222222222223</v>
      </c>
      <c r="E659" s="14">
        <v>70</v>
      </c>
      <c r="F659" s="23">
        <v>18</v>
      </c>
      <c r="G659" s="17">
        <v>0.3388108538135593</v>
      </c>
      <c r="H659" s="4" t="s">
        <v>124</v>
      </c>
      <c r="I659" s="14"/>
    </row>
    <row r="660" spans="1:9" x14ac:dyDescent="0.25">
      <c r="A660" s="14">
        <v>2013</v>
      </c>
      <c r="B660" s="14">
        <v>171</v>
      </c>
      <c r="C660" s="20">
        <v>41445</v>
      </c>
      <c r="D660" s="16">
        <v>0.66041666666666665</v>
      </c>
      <c r="E660" s="14">
        <v>70</v>
      </c>
      <c r="F660" s="23">
        <v>19</v>
      </c>
      <c r="G660" s="17">
        <v>0.33980109887005649</v>
      </c>
      <c r="H660" s="4" t="s">
        <v>124</v>
      </c>
      <c r="I660" s="14"/>
    </row>
    <row r="661" spans="1:9" x14ac:dyDescent="0.25">
      <c r="A661" s="14">
        <v>2013</v>
      </c>
      <c r="B661" s="14">
        <v>171</v>
      </c>
      <c r="C661" s="20">
        <v>41445</v>
      </c>
      <c r="D661" s="16">
        <v>0.66666666666666663</v>
      </c>
      <c r="E661" s="14">
        <v>70</v>
      </c>
      <c r="F661" s="23">
        <v>20</v>
      </c>
      <c r="G661" s="17">
        <v>0.3388108538135593</v>
      </c>
      <c r="H661" s="4" t="s">
        <v>124</v>
      </c>
      <c r="I661" s="14"/>
    </row>
    <row r="662" spans="1:9" x14ac:dyDescent="0.25">
      <c r="A662" s="14">
        <v>2013</v>
      </c>
      <c r="B662" s="14">
        <v>171</v>
      </c>
      <c r="C662" s="20">
        <v>41445</v>
      </c>
      <c r="D662" s="16">
        <v>0.54305555555555551</v>
      </c>
      <c r="E662" s="14">
        <v>50</v>
      </c>
      <c r="F662" s="23">
        <v>1</v>
      </c>
      <c r="G662" s="17">
        <v>0.35467780367231633</v>
      </c>
      <c r="H662" s="4" t="s">
        <v>123</v>
      </c>
      <c r="I662" s="14"/>
    </row>
    <row r="663" spans="1:9" x14ac:dyDescent="0.25">
      <c r="A663" s="14">
        <v>2013</v>
      </c>
      <c r="B663" s="14">
        <v>171</v>
      </c>
      <c r="C663" s="20">
        <v>41445</v>
      </c>
      <c r="D663" s="16">
        <v>0.54999999999999993</v>
      </c>
      <c r="E663" s="14">
        <v>50</v>
      </c>
      <c r="F663" s="23">
        <v>2</v>
      </c>
      <c r="G663" s="17">
        <v>0.35780974152542372</v>
      </c>
      <c r="H663" s="4" t="s">
        <v>123</v>
      </c>
      <c r="I663" s="14"/>
    </row>
    <row r="664" spans="1:9" x14ac:dyDescent="0.25">
      <c r="A664" s="14">
        <v>2013</v>
      </c>
      <c r="B664" s="14">
        <v>171</v>
      </c>
      <c r="C664" s="20">
        <v>41445</v>
      </c>
      <c r="D664" s="16">
        <v>0.55555555555555558</v>
      </c>
      <c r="E664" s="14">
        <v>50</v>
      </c>
      <c r="F664" s="23">
        <v>3</v>
      </c>
      <c r="G664" s="17">
        <v>0.35633588841807906</v>
      </c>
      <c r="H664" s="4" t="s">
        <v>123</v>
      </c>
      <c r="I664" s="14"/>
    </row>
    <row r="665" spans="1:9" x14ac:dyDescent="0.25">
      <c r="A665" s="14">
        <v>2013</v>
      </c>
      <c r="B665" s="14">
        <v>171</v>
      </c>
      <c r="C665" s="20">
        <v>41445</v>
      </c>
      <c r="D665" s="16">
        <v>0.55625000000000002</v>
      </c>
      <c r="E665" s="14">
        <v>50</v>
      </c>
      <c r="F665" s="23">
        <v>4</v>
      </c>
      <c r="G665" s="17">
        <v>0.34512078742937852</v>
      </c>
      <c r="H665" s="4" t="s">
        <v>123</v>
      </c>
      <c r="I665" s="14"/>
    </row>
    <row r="666" spans="1:9" x14ac:dyDescent="0.25">
      <c r="A666" s="14">
        <v>2013</v>
      </c>
      <c r="B666" s="14">
        <v>171</v>
      </c>
      <c r="C666" s="20">
        <v>41445</v>
      </c>
      <c r="D666" s="16">
        <v>0.5625</v>
      </c>
      <c r="E666" s="14">
        <v>50</v>
      </c>
      <c r="F666" s="23">
        <v>5</v>
      </c>
      <c r="G666" s="17">
        <v>0.35573713559322034</v>
      </c>
      <c r="H666" s="4" t="s">
        <v>0</v>
      </c>
      <c r="I666" s="14"/>
    </row>
    <row r="667" spans="1:9" x14ac:dyDescent="0.25">
      <c r="A667" s="14">
        <v>2013</v>
      </c>
      <c r="B667" s="14">
        <v>171</v>
      </c>
      <c r="C667" s="20">
        <v>41445</v>
      </c>
      <c r="D667" s="16">
        <v>0.57361111111111118</v>
      </c>
      <c r="E667" s="14">
        <v>50</v>
      </c>
      <c r="F667" s="23">
        <v>6</v>
      </c>
      <c r="G667" s="17">
        <v>0.34947325988700562</v>
      </c>
      <c r="H667" s="4" t="s">
        <v>0</v>
      </c>
      <c r="I667" s="14"/>
    </row>
    <row r="668" spans="1:9" x14ac:dyDescent="0.25">
      <c r="A668" s="14">
        <v>2013</v>
      </c>
      <c r="B668" s="14">
        <v>171</v>
      </c>
      <c r="C668" s="20">
        <v>41445</v>
      </c>
      <c r="D668" s="16">
        <v>0.57777777777777783</v>
      </c>
      <c r="E668" s="14">
        <v>50</v>
      </c>
      <c r="F668" s="23">
        <v>7</v>
      </c>
      <c r="G668" s="17">
        <v>0.35942176836158191</v>
      </c>
      <c r="H668" s="4" t="s">
        <v>123</v>
      </c>
      <c r="I668" s="14"/>
    </row>
    <row r="669" spans="1:9" x14ac:dyDescent="0.25">
      <c r="A669" s="14">
        <v>2013</v>
      </c>
      <c r="B669" s="14">
        <v>171</v>
      </c>
      <c r="C669" s="20">
        <v>41445</v>
      </c>
      <c r="D669" s="16">
        <v>0.58402777777777781</v>
      </c>
      <c r="E669" s="14">
        <v>50</v>
      </c>
      <c r="F669" s="23">
        <v>8</v>
      </c>
      <c r="G669" s="17">
        <v>0.34470626624293782</v>
      </c>
      <c r="H669" s="4" t="s">
        <v>123</v>
      </c>
      <c r="I669" s="14"/>
    </row>
    <row r="670" spans="1:9" x14ac:dyDescent="0.25">
      <c r="A670" s="14">
        <v>2013</v>
      </c>
      <c r="B670" s="14">
        <v>171</v>
      </c>
      <c r="C670" s="20">
        <v>41445</v>
      </c>
      <c r="D670" s="16">
        <v>0.59097222222222223</v>
      </c>
      <c r="E670" s="14">
        <v>50</v>
      </c>
      <c r="F670" s="23">
        <v>9</v>
      </c>
      <c r="G670" s="17">
        <v>0.3588921024011299</v>
      </c>
      <c r="H670" s="4" t="s">
        <v>123</v>
      </c>
      <c r="I670" s="14"/>
    </row>
    <row r="671" spans="1:9" x14ac:dyDescent="0.25">
      <c r="A671" s="14">
        <v>2013</v>
      </c>
      <c r="B671" s="14">
        <v>171</v>
      </c>
      <c r="C671" s="20">
        <v>41445</v>
      </c>
      <c r="D671" s="16">
        <v>0.60069444444444442</v>
      </c>
      <c r="E671" s="14">
        <v>50</v>
      </c>
      <c r="F671" s="23">
        <v>10</v>
      </c>
      <c r="G671" s="17">
        <v>0.36865637923728811</v>
      </c>
      <c r="H671" s="4" t="s">
        <v>123</v>
      </c>
      <c r="I671" s="14"/>
    </row>
    <row r="672" spans="1:9" x14ac:dyDescent="0.25">
      <c r="A672" s="14">
        <v>2013</v>
      </c>
      <c r="B672" s="14">
        <v>171</v>
      </c>
      <c r="C672" s="20">
        <v>41445</v>
      </c>
      <c r="D672" s="16">
        <v>0.61319444444444449</v>
      </c>
      <c r="E672" s="14">
        <v>50</v>
      </c>
      <c r="F672" s="23">
        <v>11</v>
      </c>
      <c r="G672" s="17">
        <v>0.35407905084745761</v>
      </c>
      <c r="H672" s="4" t="s">
        <v>124</v>
      </c>
      <c r="I672" s="14"/>
    </row>
    <row r="673" spans="1:9" x14ac:dyDescent="0.25">
      <c r="A673" s="14">
        <v>2013</v>
      </c>
      <c r="B673" s="14">
        <v>171</v>
      </c>
      <c r="C673" s="20">
        <v>41445</v>
      </c>
      <c r="D673" s="16">
        <v>0.61944444444444446</v>
      </c>
      <c r="E673" s="14">
        <v>50</v>
      </c>
      <c r="F673" s="23">
        <v>12</v>
      </c>
      <c r="G673" s="17">
        <v>0.35202947387005645</v>
      </c>
      <c r="H673" s="4" t="s">
        <v>124</v>
      </c>
      <c r="I673" s="14"/>
    </row>
    <row r="674" spans="1:9" x14ac:dyDescent="0.25">
      <c r="A674" s="14">
        <v>2013</v>
      </c>
      <c r="B674" s="14">
        <v>171</v>
      </c>
      <c r="C674" s="20">
        <v>41445</v>
      </c>
      <c r="D674" s="16">
        <v>0.625</v>
      </c>
      <c r="E674" s="14">
        <v>50</v>
      </c>
      <c r="F674" s="23">
        <v>13</v>
      </c>
      <c r="G674" s="17">
        <v>0.34878239124293781</v>
      </c>
      <c r="H674" s="4" t="s">
        <v>124</v>
      </c>
      <c r="I674" s="14"/>
    </row>
    <row r="675" spans="1:9" x14ac:dyDescent="0.25">
      <c r="A675" s="14">
        <v>2013</v>
      </c>
      <c r="B675" s="14">
        <v>171</v>
      </c>
      <c r="C675" s="20">
        <v>41445</v>
      </c>
      <c r="D675" s="16">
        <v>0.62569444444444444</v>
      </c>
      <c r="E675" s="14">
        <v>50</v>
      </c>
      <c r="F675" s="23">
        <v>14</v>
      </c>
      <c r="G675" s="17">
        <v>0.36121802683615817</v>
      </c>
      <c r="H675" s="4" t="s">
        <v>124</v>
      </c>
      <c r="I675" s="14"/>
    </row>
    <row r="676" spans="1:9" x14ac:dyDescent="0.25">
      <c r="A676" s="14">
        <v>2013</v>
      </c>
      <c r="B676" s="14">
        <v>171</v>
      </c>
      <c r="C676" s="20">
        <v>41445</v>
      </c>
      <c r="D676" s="16">
        <v>0.63194444444444442</v>
      </c>
      <c r="E676" s="14">
        <v>50</v>
      </c>
      <c r="F676" s="23">
        <v>15</v>
      </c>
      <c r="G676" s="17">
        <v>0.34088345974576267</v>
      </c>
      <c r="H676" s="4" t="s">
        <v>1</v>
      </c>
      <c r="I676" s="14"/>
    </row>
    <row r="677" spans="1:9" x14ac:dyDescent="0.25">
      <c r="A677" s="14">
        <v>2013</v>
      </c>
      <c r="B677" s="14">
        <v>171</v>
      </c>
      <c r="C677" s="20">
        <v>41445</v>
      </c>
      <c r="D677" s="16">
        <v>0.64236111111111105</v>
      </c>
      <c r="E677" s="14">
        <v>50</v>
      </c>
      <c r="F677" s="23">
        <v>16</v>
      </c>
      <c r="G677" s="17">
        <v>0.35094711299435027</v>
      </c>
      <c r="H677" s="4" t="s">
        <v>1</v>
      </c>
      <c r="I677" s="14"/>
    </row>
    <row r="678" spans="1:9" x14ac:dyDescent="0.25">
      <c r="A678" s="14">
        <v>2013</v>
      </c>
      <c r="B678" s="14">
        <v>171</v>
      </c>
      <c r="C678" s="20">
        <v>41445</v>
      </c>
      <c r="D678" s="16">
        <v>0.6479166666666667</v>
      </c>
      <c r="E678" s="14">
        <v>50</v>
      </c>
      <c r="F678" s="23">
        <v>17</v>
      </c>
      <c r="G678" s="17">
        <v>0.3614022584745763</v>
      </c>
      <c r="H678" s="4" t="s">
        <v>124</v>
      </c>
      <c r="I678" s="14"/>
    </row>
    <row r="679" spans="1:9" x14ac:dyDescent="0.25">
      <c r="A679" s="14">
        <v>2013</v>
      </c>
      <c r="B679" s="14">
        <v>171</v>
      </c>
      <c r="C679" s="20">
        <v>41445</v>
      </c>
      <c r="D679" s="16">
        <v>0.65347222222222223</v>
      </c>
      <c r="E679" s="14">
        <v>50</v>
      </c>
      <c r="F679" s="23">
        <v>18</v>
      </c>
      <c r="G679" s="17">
        <v>0.352075531779661</v>
      </c>
      <c r="H679" s="4" t="s">
        <v>124</v>
      </c>
      <c r="I679" s="14"/>
    </row>
    <row r="680" spans="1:9" x14ac:dyDescent="0.25">
      <c r="A680" s="14">
        <v>2013</v>
      </c>
      <c r="B680" s="14">
        <v>171</v>
      </c>
      <c r="C680" s="20">
        <v>41445</v>
      </c>
      <c r="D680" s="16">
        <v>0.66041666666666665</v>
      </c>
      <c r="E680" s="14">
        <v>50</v>
      </c>
      <c r="F680" s="23">
        <v>19</v>
      </c>
      <c r="G680" s="17">
        <v>0.35285851624293785</v>
      </c>
      <c r="H680" s="4" t="s">
        <v>124</v>
      </c>
      <c r="I680" s="14"/>
    </row>
    <row r="681" spans="1:9" x14ac:dyDescent="0.25">
      <c r="A681" s="14">
        <v>2013</v>
      </c>
      <c r="B681" s="14">
        <v>171</v>
      </c>
      <c r="C681" s="20">
        <v>41445</v>
      </c>
      <c r="D681" s="16">
        <v>0.66666666666666663</v>
      </c>
      <c r="E681" s="14">
        <v>50</v>
      </c>
      <c r="F681" s="23">
        <v>20</v>
      </c>
      <c r="G681" s="17">
        <v>0.35693464124293783</v>
      </c>
      <c r="H681" s="4" t="s">
        <v>124</v>
      </c>
      <c r="I681" s="14"/>
    </row>
    <row r="682" spans="1:9" x14ac:dyDescent="0.25">
      <c r="A682" s="14">
        <v>2013</v>
      </c>
      <c r="B682" s="14">
        <v>171</v>
      </c>
      <c r="C682" s="20">
        <v>41445</v>
      </c>
      <c r="D682" s="16">
        <v>0.54305555555555551</v>
      </c>
      <c r="E682" s="14">
        <v>30</v>
      </c>
      <c r="F682" s="23">
        <v>1</v>
      </c>
      <c r="G682" s="17">
        <v>0.34776911723163839</v>
      </c>
      <c r="H682" s="4" t="s">
        <v>123</v>
      </c>
      <c r="I682" s="14"/>
    </row>
    <row r="683" spans="1:9" x14ac:dyDescent="0.25">
      <c r="A683" s="14">
        <v>2013</v>
      </c>
      <c r="B683" s="14">
        <v>171</v>
      </c>
      <c r="C683" s="20">
        <v>41445</v>
      </c>
      <c r="D683" s="16">
        <v>0.54999999999999993</v>
      </c>
      <c r="E683" s="14">
        <v>30</v>
      </c>
      <c r="F683" s="23">
        <v>2</v>
      </c>
      <c r="G683" s="17">
        <v>0.33646190042372881</v>
      </c>
      <c r="H683" s="4" t="s">
        <v>123</v>
      </c>
      <c r="I683" s="14"/>
    </row>
    <row r="684" spans="1:9" x14ac:dyDescent="0.25">
      <c r="A684" s="14">
        <v>2013</v>
      </c>
      <c r="B684" s="14">
        <v>171</v>
      </c>
      <c r="C684" s="20">
        <v>41445</v>
      </c>
      <c r="D684" s="16">
        <v>0.55555555555555558</v>
      </c>
      <c r="E684" s="14">
        <v>30</v>
      </c>
      <c r="F684" s="23">
        <v>3</v>
      </c>
      <c r="G684" s="17">
        <v>0.35472386158192093</v>
      </c>
      <c r="H684" s="4" t="s">
        <v>123</v>
      </c>
      <c r="I684" s="14"/>
    </row>
    <row r="685" spans="1:9" x14ac:dyDescent="0.25">
      <c r="A685" s="14">
        <v>2013</v>
      </c>
      <c r="B685" s="14">
        <v>171</v>
      </c>
      <c r="C685" s="20">
        <v>41445</v>
      </c>
      <c r="D685" s="16">
        <v>0.55625000000000002</v>
      </c>
      <c r="E685" s="14">
        <v>30</v>
      </c>
      <c r="F685" s="23">
        <v>4</v>
      </c>
      <c r="G685" s="17">
        <v>0.32702002895480226</v>
      </c>
      <c r="H685" s="4" t="s">
        <v>123</v>
      </c>
      <c r="I685" s="14"/>
    </row>
    <row r="686" spans="1:9" x14ac:dyDescent="0.25">
      <c r="A686" s="14">
        <v>2013</v>
      </c>
      <c r="B686" s="14">
        <v>171</v>
      </c>
      <c r="C686" s="20">
        <v>41445</v>
      </c>
      <c r="D686" s="16">
        <v>0.5625</v>
      </c>
      <c r="E686" s="14">
        <v>30</v>
      </c>
      <c r="F686" s="23">
        <v>5</v>
      </c>
      <c r="G686" s="17">
        <v>0.35175312641242934</v>
      </c>
      <c r="H686" s="4" t="s">
        <v>0</v>
      </c>
      <c r="I686" s="14"/>
    </row>
    <row r="687" spans="1:9" x14ac:dyDescent="0.25">
      <c r="A687" s="14">
        <v>2013</v>
      </c>
      <c r="B687" s="14">
        <v>171</v>
      </c>
      <c r="C687" s="20">
        <v>41445</v>
      </c>
      <c r="D687" s="16">
        <v>0.57361111111111118</v>
      </c>
      <c r="E687" s="14">
        <v>30</v>
      </c>
      <c r="F687" s="23">
        <v>6</v>
      </c>
      <c r="G687" s="17">
        <v>0.3365079583333333</v>
      </c>
      <c r="H687" s="4" t="s">
        <v>0</v>
      </c>
      <c r="I687" s="14"/>
    </row>
    <row r="688" spans="1:9" x14ac:dyDescent="0.25">
      <c r="A688" s="14">
        <v>2013</v>
      </c>
      <c r="B688" s="14">
        <v>171</v>
      </c>
      <c r="C688" s="20">
        <v>41445</v>
      </c>
      <c r="D688" s="16">
        <v>0.57777777777777783</v>
      </c>
      <c r="E688" s="14">
        <v>30</v>
      </c>
      <c r="F688" s="23">
        <v>7</v>
      </c>
      <c r="G688" s="17">
        <v>0.34196582062146891</v>
      </c>
      <c r="H688" s="4" t="s">
        <v>123</v>
      </c>
      <c r="I688" s="14"/>
    </row>
    <row r="689" spans="1:9" x14ac:dyDescent="0.25">
      <c r="A689" s="14">
        <v>2013</v>
      </c>
      <c r="B689" s="14">
        <v>171</v>
      </c>
      <c r="C689" s="20">
        <v>41445</v>
      </c>
      <c r="D689" s="16">
        <v>0.58402777777777781</v>
      </c>
      <c r="E689" s="14">
        <v>30</v>
      </c>
      <c r="F689" s="23">
        <v>8</v>
      </c>
      <c r="G689" s="17">
        <v>0.34249548658192092</v>
      </c>
      <c r="H689" s="4" t="s">
        <v>123</v>
      </c>
      <c r="I689" s="14"/>
    </row>
    <row r="690" spans="1:9" x14ac:dyDescent="0.25">
      <c r="A690" s="14">
        <v>2013</v>
      </c>
      <c r="B690" s="14">
        <v>171</v>
      </c>
      <c r="C690" s="20">
        <v>41445</v>
      </c>
      <c r="D690" s="16">
        <v>0.59097222222222223</v>
      </c>
      <c r="E690" s="14">
        <v>30</v>
      </c>
      <c r="F690" s="23">
        <v>9</v>
      </c>
      <c r="G690" s="17">
        <v>0.35555290395480227</v>
      </c>
      <c r="H690" s="4" t="s">
        <v>123</v>
      </c>
      <c r="I690" s="14"/>
    </row>
    <row r="691" spans="1:9" x14ac:dyDescent="0.25">
      <c r="A691" s="14">
        <v>2013</v>
      </c>
      <c r="B691" s="14">
        <v>171</v>
      </c>
      <c r="C691" s="20">
        <v>41445</v>
      </c>
      <c r="D691" s="16">
        <v>0.60069444444444442</v>
      </c>
      <c r="E691" s="14">
        <v>30</v>
      </c>
      <c r="F691" s="23">
        <v>10</v>
      </c>
      <c r="G691" s="17">
        <v>0.36303731426553665</v>
      </c>
      <c r="H691" s="4" t="s">
        <v>123</v>
      </c>
      <c r="I691" s="14"/>
    </row>
    <row r="692" spans="1:9" x14ac:dyDescent="0.25">
      <c r="A692" s="14">
        <v>2013</v>
      </c>
      <c r="B692" s="14">
        <v>171</v>
      </c>
      <c r="C692" s="20">
        <v>41445</v>
      </c>
      <c r="D692" s="16">
        <v>0.61319444444444449</v>
      </c>
      <c r="E692" s="14">
        <v>30</v>
      </c>
      <c r="F692" s="23">
        <v>11</v>
      </c>
      <c r="G692" s="17">
        <v>0.33455049717514124</v>
      </c>
      <c r="H692" s="4" t="s">
        <v>124</v>
      </c>
      <c r="I692" s="14"/>
    </row>
    <row r="693" spans="1:9" x14ac:dyDescent="0.25">
      <c r="A693" s="14">
        <v>2013</v>
      </c>
      <c r="B693" s="14">
        <v>171</v>
      </c>
      <c r="C693" s="20">
        <v>41445</v>
      </c>
      <c r="D693" s="16">
        <v>0.61944444444444446</v>
      </c>
      <c r="E693" s="14">
        <v>30</v>
      </c>
      <c r="F693" s="23">
        <v>12</v>
      </c>
      <c r="G693" s="17">
        <v>0.34136706779661019</v>
      </c>
      <c r="H693" s="4" t="s">
        <v>124</v>
      </c>
      <c r="I693" s="14"/>
    </row>
    <row r="694" spans="1:9" x14ac:dyDescent="0.25">
      <c r="A694" s="14">
        <v>2013</v>
      </c>
      <c r="B694" s="14">
        <v>171</v>
      </c>
      <c r="C694" s="20">
        <v>41445</v>
      </c>
      <c r="D694" s="16">
        <v>0.625</v>
      </c>
      <c r="E694" s="14">
        <v>30</v>
      </c>
      <c r="F694" s="23">
        <v>13</v>
      </c>
      <c r="G694" s="17">
        <v>0.33636978460451977</v>
      </c>
      <c r="H694" s="4" t="s">
        <v>124</v>
      </c>
      <c r="I694" s="14"/>
    </row>
    <row r="695" spans="1:9" x14ac:dyDescent="0.25">
      <c r="A695" s="14">
        <v>2013</v>
      </c>
      <c r="B695" s="14">
        <v>171</v>
      </c>
      <c r="C695" s="20">
        <v>41445</v>
      </c>
      <c r="D695" s="16">
        <v>0.62569444444444444</v>
      </c>
      <c r="E695" s="14">
        <v>30</v>
      </c>
      <c r="F695" s="23">
        <v>14</v>
      </c>
      <c r="G695" s="17">
        <v>0.33643887146892654</v>
      </c>
      <c r="H695" s="4" t="s">
        <v>124</v>
      </c>
      <c r="I695" s="14"/>
    </row>
    <row r="696" spans="1:9" x14ac:dyDescent="0.25">
      <c r="A696" s="14">
        <v>2013</v>
      </c>
      <c r="B696" s="14">
        <v>171</v>
      </c>
      <c r="C696" s="20">
        <v>41445</v>
      </c>
      <c r="D696" s="16">
        <v>0.63194444444444442</v>
      </c>
      <c r="E696" s="14">
        <v>30</v>
      </c>
      <c r="F696" s="23">
        <v>15</v>
      </c>
      <c r="G696" s="17">
        <v>0.33844239053672315</v>
      </c>
      <c r="H696" s="4" t="s">
        <v>1</v>
      </c>
      <c r="I696" s="14"/>
    </row>
    <row r="697" spans="1:9" x14ac:dyDescent="0.25">
      <c r="A697" s="14">
        <v>2013</v>
      </c>
      <c r="B697" s="14">
        <v>171</v>
      </c>
      <c r="C697" s="20">
        <v>41445</v>
      </c>
      <c r="D697" s="16">
        <v>0.64236111111111105</v>
      </c>
      <c r="E697" s="14">
        <v>30</v>
      </c>
      <c r="F697" s="23">
        <v>16</v>
      </c>
      <c r="G697" s="17">
        <v>0.33899508545197737</v>
      </c>
      <c r="H697" s="4" t="s">
        <v>1</v>
      </c>
      <c r="I697" s="14"/>
    </row>
    <row r="698" spans="1:9" x14ac:dyDescent="0.25">
      <c r="A698" s="14">
        <v>2013</v>
      </c>
      <c r="B698" s="14">
        <v>171</v>
      </c>
      <c r="C698" s="20">
        <v>41445</v>
      </c>
      <c r="D698" s="16">
        <v>0.6479166666666667</v>
      </c>
      <c r="E698" s="14">
        <v>30</v>
      </c>
      <c r="F698" s="23">
        <v>17</v>
      </c>
      <c r="G698" s="17">
        <v>0.34779214618644066</v>
      </c>
      <c r="H698" s="4" t="s">
        <v>124</v>
      </c>
      <c r="I698" s="14"/>
    </row>
    <row r="699" spans="1:9" x14ac:dyDescent="0.25">
      <c r="A699" s="14">
        <v>2013</v>
      </c>
      <c r="B699" s="14">
        <v>171</v>
      </c>
      <c r="C699" s="20">
        <v>41445</v>
      </c>
      <c r="D699" s="16">
        <v>0.65347222222222223</v>
      </c>
      <c r="E699" s="14">
        <v>30</v>
      </c>
      <c r="F699" s="23">
        <v>18</v>
      </c>
      <c r="G699" s="17">
        <v>0.3503483601694915</v>
      </c>
      <c r="H699" s="4" t="s">
        <v>124</v>
      </c>
      <c r="I699" s="14"/>
    </row>
    <row r="700" spans="1:9" x14ac:dyDescent="0.25">
      <c r="A700" s="14">
        <v>2013</v>
      </c>
      <c r="B700" s="14">
        <v>171</v>
      </c>
      <c r="C700" s="20">
        <v>41445</v>
      </c>
      <c r="D700" s="16">
        <v>0.66041666666666665</v>
      </c>
      <c r="E700" s="14">
        <v>30</v>
      </c>
      <c r="F700" s="23">
        <v>19</v>
      </c>
      <c r="G700" s="17">
        <v>0.32183851412429376</v>
      </c>
      <c r="H700" s="4" t="s">
        <v>124</v>
      </c>
      <c r="I700" s="14"/>
    </row>
    <row r="701" spans="1:9" x14ac:dyDescent="0.25">
      <c r="A701" s="14">
        <v>2013</v>
      </c>
      <c r="B701" s="14">
        <v>171</v>
      </c>
      <c r="C701" s="20">
        <v>41445</v>
      </c>
      <c r="D701" s="16">
        <v>0.66666666666666663</v>
      </c>
      <c r="E701" s="14">
        <v>30</v>
      </c>
      <c r="F701" s="23">
        <v>20</v>
      </c>
      <c r="G701" s="17">
        <v>0.34447597669491525</v>
      </c>
      <c r="H701" s="4" t="s">
        <v>124</v>
      </c>
      <c r="I701" s="14"/>
    </row>
    <row r="702" spans="1:9" x14ac:dyDescent="0.25">
      <c r="A702" s="14">
        <v>2013</v>
      </c>
      <c r="B702" s="14">
        <v>171</v>
      </c>
      <c r="C702" s="20">
        <v>41445</v>
      </c>
      <c r="D702" s="16">
        <v>0.54305555555555551</v>
      </c>
      <c r="E702" s="14">
        <v>10</v>
      </c>
      <c r="F702" s="23">
        <v>1</v>
      </c>
      <c r="G702" s="17">
        <v>0.30498044400726393</v>
      </c>
      <c r="H702" s="4" t="s">
        <v>123</v>
      </c>
      <c r="I702" s="14"/>
    </row>
    <row r="703" spans="1:9" x14ac:dyDescent="0.25">
      <c r="A703" s="14">
        <v>2013</v>
      </c>
      <c r="B703" s="14">
        <v>171</v>
      </c>
      <c r="C703" s="20">
        <v>41445</v>
      </c>
      <c r="D703" s="16">
        <v>0.54999999999999993</v>
      </c>
      <c r="E703" s="14">
        <v>10</v>
      </c>
      <c r="F703" s="23">
        <v>2</v>
      </c>
      <c r="G703" s="17">
        <v>0.29487203359564162</v>
      </c>
      <c r="H703" s="4" t="s">
        <v>123</v>
      </c>
      <c r="I703" s="14"/>
    </row>
    <row r="704" spans="1:9" x14ac:dyDescent="0.25">
      <c r="A704" s="14">
        <v>2013</v>
      </c>
      <c r="B704" s="14">
        <v>171</v>
      </c>
      <c r="C704" s="20">
        <v>41445</v>
      </c>
      <c r="D704" s="16">
        <v>0.55555555555555558</v>
      </c>
      <c r="E704" s="14">
        <v>10</v>
      </c>
      <c r="F704" s="23">
        <v>3</v>
      </c>
      <c r="G704" s="17">
        <v>0.30719889285714286</v>
      </c>
      <c r="H704" s="4" t="s">
        <v>123</v>
      </c>
      <c r="I704" s="14"/>
    </row>
    <row r="705" spans="1:9" x14ac:dyDescent="0.25">
      <c r="A705" s="14">
        <v>2013</v>
      </c>
      <c r="B705" s="14">
        <v>171</v>
      </c>
      <c r="C705" s="20">
        <v>41445</v>
      </c>
      <c r="D705" s="16">
        <v>0.55625000000000002</v>
      </c>
      <c r="E705" s="14">
        <v>10</v>
      </c>
      <c r="F705" s="23">
        <v>4</v>
      </c>
      <c r="G705" s="17">
        <v>0.25017511198547215</v>
      </c>
      <c r="H705" s="4" t="s">
        <v>123</v>
      </c>
      <c r="I705" s="14"/>
    </row>
    <row r="706" spans="1:9" x14ac:dyDescent="0.25">
      <c r="A706" s="14">
        <v>2013</v>
      </c>
      <c r="B706" s="14">
        <v>171</v>
      </c>
      <c r="C706" s="20">
        <v>41445</v>
      </c>
      <c r="D706" s="16">
        <v>0.5625</v>
      </c>
      <c r="E706" s="14">
        <v>10</v>
      </c>
      <c r="F706" s="23">
        <v>5</v>
      </c>
      <c r="G706" s="17">
        <v>0.27388357838983046</v>
      </c>
      <c r="H706" s="4" t="s">
        <v>0</v>
      </c>
      <c r="I706" s="14"/>
    </row>
    <row r="707" spans="1:9" x14ac:dyDescent="0.25">
      <c r="A707" s="14">
        <v>2013</v>
      </c>
      <c r="B707" s="14">
        <v>171</v>
      </c>
      <c r="C707" s="20">
        <v>41445</v>
      </c>
      <c r="D707" s="16">
        <v>0.57361111111111118</v>
      </c>
      <c r="E707" s="14">
        <v>10</v>
      </c>
      <c r="F707" s="23">
        <v>6</v>
      </c>
      <c r="G707" s="17">
        <v>0.25339668553268768</v>
      </c>
      <c r="H707" s="4" t="s">
        <v>0</v>
      </c>
      <c r="I707" s="14"/>
    </row>
    <row r="708" spans="1:9" x14ac:dyDescent="0.25">
      <c r="A708" s="14">
        <v>2013</v>
      </c>
      <c r="B708" s="14">
        <v>171</v>
      </c>
      <c r="C708" s="20">
        <v>41445</v>
      </c>
      <c r="D708" s="16">
        <v>0.57777777777777783</v>
      </c>
      <c r="E708" s="14">
        <v>10</v>
      </c>
      <c r="F708" s="23">
        <v>7</v>
      </c>
      <c r="G708" s="17">
        <v>0.30660087621065374</v>
      </c>
      <c r="H708" s="4" t="s">
        <v>123</v>
      </c>
      <c r="I708" s="14"/>
    </row>
    <row r="709" spans="1:9" x14ac:dyDescent="0.25">
      <c r="A709" s="14">
        <v>2013</v>
      </c>
      <c r="B709" s="14">
        <v>171</v>
      </c>
      <c r="C709" s="20">
        <v>41445</v>
      </c>
      <c r="D709" s="16">
        <v>0.58402777777777781</v>
      </c>
      <c r="E709" s="14">
        <v>10</v>
      </c>
      <c r="F709" s="23">
        <v>8</v>
      </c>
      <c r="G709" s="17">
        <v>0.27324698002421305</v>
      </c>
      <c r="H709" s="4" t="s">
        <v>123</v>
      </c>
      <c r="I709" s="14"/>
    </row>
    <row r="710" spans="1:9" x14ac:dyDescent="0.25">
      <c r="A710" s="14">
        <v>2013</v>
      </c>
      <c r="B710" s="14">
        <v>171</v>
      </c>
      <c r="C710" s="20">
        <v>41445</v>
      </c>
      <c r="D710" s="16">
        <v>0.59097222222222223</v>
      </c>
      <c r="E710" s="14">
        <v>10</v>
      </c>
      <c r="F710" s="23">
        <v>9</v>
      </c>
      <c r="G710" s="17">
        <v>0.31599552481840193</v>
      </c>
      <c r="H710" s="4" t="s">
        <v>123</v>
      </c>
      <c r="I710" s="14"/>
    </row>
    <row r="711" spans="1:9" x14ac:dyDescent="0.25">
      <c r="A711" s="14">
        <v>2013</v>
      </c>
      <c r="B711" s="14">
        <v>171</v>
      </c>
      <c r="C711" s="20">
        <v>41445</v>
      </c>
      <c r="D711" s="16">
        <v>0.60069444444444442</v>
      </c>
      <c r="E711" s="14">
        <v>10</v>
      </c>
      <c r="F711" s="23">
        <v>10</v>
      </c>
      <c r="G711" s="17">
        <v>0.27857125726392251</v>
      </c>
      <c r="H711" s="4" t="s">
        <v>123</v>
      </c>
      <c r="I711" s="14"/>
    </row>
    <row r="712" spans="1:9" x14ac:dyDescent="0.25">
      <c r="A712" s="14">
        <v>2013</v>
      </c>
      <c r="B712" s="14">
        <v>171</v>
      </c>
      <c r="C712" s="20">
        <v>41445</v>
      </c>
      <c r="D712" s="16">
        <v>0.61319444444444449</v>
      </c>
      <c r="E712" s="14">
        <v>10</v>
      </c>
      <c r="F712" s="23">
        <v>11</v>
      </c>
      <c r="G712" s="17">
        <v>0.24228515042372878</v>
      </c>
      <c r="H712" s="4" t="s">
        <v>124</v>
      </c>
      <c r="I712" s="14"/>
    </row>
    <row r="713" spans="1:9" x14ac:dyDescent="0.25">
      <c r="A713" s="14">
        <v>2013</v>
      </c>
      <c r="B713" s="14">
        <v>171</v>
      </c>
      <c r="C713" s="20">
        <v>41445</v>
      </c>
      <c r="D713" s="16">
        <v>0.61944444444444446</v>
      </c>
      <c r="E713" s="14">
        <v>10</v>
      </c>
      <c r="F713" s="23">
        <v>12</v>
      </c>
      <c r="G713" s="17">
        <v>0.28186999424939468</v>
      </c>
      <c r="H713" s="4" t="s">
        <v>124</v>
      </c>
      <c r="I713" s="14"/>
    </row>
    <row r="714" spans="1:9" x14ac:dyDescent="0.25">
      <c r="A714" s="14">
        <v>2013</v>
      </c>
      <c r="B714" s="14">
        <v>171</v>
      </c>
      <c r="C714" s="20">
        <v>41445</v>
      </c>
      <c r="D714" s="16">
        <v>0.625</v>
      </c>
      <c r="E714" s="14">
        <v>10</v>
      </c>
      <c r="F714" s="23">
        <v>13</v>
      </c>
      <c r="G714" s="17">
        <v>0.26337005992736079</v>
      </c>
      <c r="H714" s="4" t="s">
        <v>124</v>
      </c>
      <c r="I714" s="14"/>
    </row>
    <row r="715" spans="1:9" x14ac:dyDescent="0.25">
      <c r="A715" s="14">
        <v>2013</v>
      </c>
      <c r="B715" s="14">
        <v>171</v>
      </c>
      <c r="C715" s="20">
        <v>41445</v>
      </c>
      <c r="D715" s="16">
        <v>0.62569444444444444</v>
      </c>
      <c r="E715" s="14">
        <v>10</v>
      </c>
      <c r="F715" s="23">
        <v>14</v>
      </c>
      <c r="G715" s="17">
        <v>0.25929968855932201</v>
      </c>
      <c r="H715" s="4" t="s">
        <v>124</v>
      </c>
      <c r="I715" s="14"/>
    </row>
    <row r="716" spans="1:9" x14ac:dyDescent="0.25">
      <c r="A716" s="14">
        <v>2013</v>
      </c>
      <c r="B716" s="14">
        <v>171</v>
      </c>
      <c r="C716" s="20">
        <v>41445</v>
      </c>
      <c r="D716" s="16">
        <v>0.63194444444444442</v>
      </c>
      <c r="E716" s="14">
        <v>10</v>
      </c>
      <c r="F716" s="23">
        <v>15</v>
      </c>
      <c r="G716" s="17">
        <v>0.24483154388619854</v>
      </c>
      <c r="H716" s="4" t="s">
        <v>1</v>
      </c>
      <c r="I716" s="14"/>
    </row>
    <row r="717" spans="1:9" x14ac:dyDescent="0.25">
      <c r="A717" s="14">
        <v>2013</v>
      </c>
      <c r="B717" s="14">
        <v>171</v>
      </c>
      <c r="C717" s="20">
        <v>41445</v>
      </c>
      <c r="D717" s="16">
        <v>0.64236111111111105</v>
      </c>
      <c r="E717" s="14">
        <v>10</v>
      </c>
      <c r="F717" s="23">
        <v>16</v>
      </c>
      <c r="G717" s="17">
        <v>0.23854272366828089</v>
      </c>
      <c r="H717" s="4" t="s">
        <v>1</v>
      </c>
      <c r="I717" s="14"/>
    </row>
    <row r="718" spans="1:9" x14ac:dyDescent="0.25">
      <c r="A718" s="14">
        <v>2013</v>
      </c>
      <c r="B718" s="14">
        <v>171</v>
      </c>
      <c r="C718" s="20">
        <v>41445</v>
      </c>
      <c r="D718" s="16">
        <v>0.6479166666666667</v>
      </c>
      <c r="E718" s="14">
        <v>10</v>
      </c>
      <c r="F718" s="23">
        <v>17</v>
      </c>
      <c r="G718" s="17">
        <v>0.27942005508474577</v>
      </c>
      <c r="H718" s="4" t="s">
        <v>124</v>
      </c>
      <c r="I718" s="14"/>
    </row>
    <row r="719" spans="1:9" x14ac:dyDescent="0.25">
      <c r="A719" s="14">
        <v>2013</v>
      </c>
      <c r="B719" s="14">
        <v>171</v>
      </c>
      <c r="C719" s="20">
        <v>41445</v>
      </c>
      <c r="D719" s="16">
        <v>0.65347222222222223</v>
      </c>
      <c r="E719" s="14">
        <v>10</v>
      </c>
      <c r="F719" s="23">
        <v>18</v>
      </c>
      <c r="G719" s="17">
        <v>0.25926110684019371</v>
      </c>
      <c r="H719" s="4" t="s">
        <v>124</v>
      </c>
      <c r="I719" s="14"/>
    </row>
    <row r="720" spans="1:9" x14ac:dyDescent="0.25">
      <c r="A720" s="14">
        <v>2013</v>
      </c>
      <c r="B720" s="14">
        <v>171</v>
      </c>
      <c r="C720" s="20">
        <v>41445</v>
      </c>
      <c r="D720" s="16">
        <v>0.66041666666666665</v>
      </c>
      <c r="E720" s="14">
        <v>10</v>
      </c>
      <c r="F720" s="23">
        <v>19</v>
      </c>
      <c r="G720" s="17">
        <v>0.23622782052058111</v>
      </c>
      <c r="H720" s="4" t="s">
        <v>124</v>
      </c>
      <c r="I720" s="14"/>
    </row>
    <row r="721" spans="1:9" x14ac:dyDescent="0.25">
      <c r="A721" s="14">
        <v>2013</v>
      </c>
      <c r="B721" s="14">
        <v>171</v>
      </c>
      <c r="C721" s="20">
        <v>41445</v>
      </c>
      <c r="D721" s="16">
        <v>0.66666666666666663</v>
      </c>
      <c r="E721" s="14">
        <v>10</v>
      </c>
      <c r="F721" s="23">
        <v>20</v>
      </c>
      <c r="G721" s="17">
        <v>0.23275546579903145</v>
      </c>
      <c r="H721" s="4" t="s">
        <v>124</v>
      </c>
      <c r="I721" s="14"/>
    </row>
    <row r="722" spans="1:9" x14ac:dyDescent="0.25">
      <c r="A722" s="14">
        <v>2013</v>
      </c>
      <c r="B722" s="14">
        <v>176</v>
      </c>
      <c r="C722" s="20">
        <v>41450</v>
      </c>
      <c r="D722" s="16">
        <v>0.36388888888888887</v>
      </c>
      <c r="E722" s="14">
        <v>230</v>
      </c>
      <c r="F722" s="23">
        <v>1</v>
      </c>
      <c r="G722" s="17">
        <v>0.30039953884180792</v>
      </c>
      <c r="H722" s="4" t="s">
        <v>123</v>
      </c>
      <c r="I722" s="14"/>
    </row>
    <row r="723" spans="1:9" x14ac:dyDescent="0.25">
      <c r="A723" s="14">
        <v>2013</v>
      </c>
      <c r="B723" s="14">
        <v>176</v>
      </c>
      <c r="C723" s="20">
        <v>41450</v>
      </c>
      <c r="D723" s="16">
        <v>0.37152777777777773</v>
      </c>
      <c r="E723" s="14">
        <v>230</v>
      </c>
      <c r="F723" s="23">
        <v>2</v>
      </c>
      <c r="G723" s="17">
        <v>0.30118256144067795</v>
      </c>
      <c r="H723" s="4" t="s">
        <v>123</v>
      </c>
      <c r="I723" s="14"/>
    </row>
    <row r="724" spans="1:9" x14ac:dyDescent="0.25">
      <c r="A724" s="14">
        <v>2013</v>
      </c>
      <c r="B724" s="14">
        <v>176</v>
      </c>
      <c r="C724" s="20">
        <v>41450</v>
      </c>
      <c r="D724" s="16">
        <v>0.37777777777777777</v>
      </c>
      <c r="E724" s="14">
        <v>230</v>
      </c>
      <c r="F724" s="23">
        <v>3</v>
      </c>
      <c r="G724" s="17">
        <v>0.28826268855932208</v>
      </c>
      <c r="H724" s="4" t="s">
        <v>123</v>
      </c>
      <c r="I724" s="14"/>
    </row>
    <row r="725" spans="1:9" x14ac:dyDescent="0.25">
      <c r="A725" s="14">
        <v>2013</v>
      </c>
      <c r="B725" s="14">
        <v>176</v>
      </c>
      <c r="C725" s="20">
        <v>41450</v>
      </c>
      <c r="D725" s="16">
        <v>0.3833333333333333</v>
      </c>
      <c r="E725" s="14">
        <v>230</v>
      </c>
      <c r="F725" s="23">
        <v>4</v>
      </c>
      <c r="G725" s="17">
        <v>0.28513059816384179</v>
      </c>
      <c r="H725" s="4" t="s">
        <v>123</v>
      </c>
      <c r="I725" s="14"/>
    </row>
    <row r="726" spans="1:9" x14ac:dyDescent="0.25">
      <c r="A726" s="14">
        <v>2013</v>
      </c>
      <c r="B726" s="14">
        <v>176</v>
      </c>
      <c r="C726" s="20">
        <v>41450</v>
      </c>
      <c r="D726" s="16">
        <v>0.38958333333333334</v>
      </c>
      <c r="E726" s="14">
        <v>230</v>
      </c>
      <c r="F726" s="23">
        <v>5</v>
      </c>
      <c r="G726" s="17" t="e">
        <v>#N/A</v>
      </c>
      <c r="H726" s="4" t="s">
        <v>0</v>
      </c>
      <c r="I726" s="14"/>
    </row>
    <row r="727" spans="1:9" x14ac:dyDescent="0.25">
      <c r="A727" s="14">
        <v>2013</v>
      </c>
      <c r="B727" s="14">
        <v>176</v>
      </c>
      <c r="C727" s="20">
        <v>41450</v>
      </c>
      <c r="D727" s="16">
        <v>0.38958333333333334</v>
      </c>
      <c r="E727" s="14">
        <v>230</v>
      </c>
      <c r="F727" s="23">
        <v>6</v>
      </c>
      <c r="G727" s="17" t="e">
        <v>#N/A</v>
      </c>
      <c r="H727" s="4" t="s">
        <v>0</v>
      </c>
      <c r="I727" s="14"/>
    </row>
    <row r="728" spans="1:9" x14ac:dyDescent="0.25">
      <c r="A728" s="14">
        <v>2013</v>
      </c>
      <c r="B728" s="14">
        <v>176</v>
      </c>
      <c r="C728" s="20">
        <v>41450</v>
      </c>
      <c r="D728" s="16">
        <v>0.39999999999999997</v>
      </c>
      <c r="E728" s="14">
        <v>230</v>
      </c>
      <c r="F728" s="23">
        <v>7</v>
      </c>
      <c r="G728" s="17">
        <v>0.28881080437853107</v>
      </c>
      <c r="H728" s="4" t="s">
        <v>123</v>
      </c>
      <c r="I728" s="14"/>
    </row>
    <row r="729" spans="1:9" x14ac:dyDescent="0.25">
      <c r="A729" s="14">
        <v>2013</v>
      </c>
      <c r="B729" s="14">
        <v>176</v>
      </c>
      <c r="C729" s="20">
        <v>41450</v>
      </c>
      <c r="D729" s="16">
        <v>0.40625</v>
      </c>
      <c r="E729" s="14">
        <v>230</v>
      </c>
      <c r="F729" s="23">
        <v>8</v>
      </c>
      <c r="G729" s="17">
        <v>0.31050053036723163</v>
      </c>
      <c r="H729" s="4" t="s">
        <v>123</v>
      </c>
      <c r="I729" s="14"/>
    </row>
    <row r="730" spans="1:9" x14ac:dyDescent="0.25">
      <c r="A730" s="14">
        <v>2013</v>
      </c>
      <c r="B730" s="14">
        <v>176</v>
      </c>
      <c r="C730" s="20">
        <v>41450</v>
      </c>
      <c r="D730" s="16">
        <v>0.41250000000000003</v>
      </c>
      <c r="E730" s="14">
        <v>230</v>
      </c>
      <c r="F730" s="23">
        <v>9</v>
      </c>
      <c r="G730" s="17">
        <v>0.30707480649717517</v>
      </c>
      <c r="H730" s="4" t="s">
        <v>123</v>
      </c>
      <c r="I730" s="14"/>
    </row>
    <row r="731" spans="1:9" x14ac:dyDescent="0.25">
      <c r="A731" s="14">
        <v>2013</v>
      </c>
      <c r="B731" s="14">
        <v>176</v>
      </c>
      <c r="C731" s="20">
        <v>41450</v>
      </c>
      <c r="D731" s="16">
        <v>0.41875000000000001</v>
      </c>
      <c r="E731" s="14">
        <v>230</v>
      </c>
      <c r="F731" s="23">
        <v>10</v>
      </c>
      <c r="G731" s="17">
        <v>0.26410644138418077</v>
      </c>
      <c r="H731" s="4" t="s">
        <v>123</v>
      </c>
      <c r="I731" s="14"/>
    </row>
    <row r="732" spans="1:9" x14ac:dyDescent="0.25">
      <c r="A732" s="14">
        <v>2013</v>
      </c>
      <c r="B732" s="14">
        <v>176</v>
      </c>
      <c r="C732" s="20">
        <v>41450</v>
      </c>
      <c r="D732" s="16">
        <v>0.43194444444444446</v>
      </c>
      <c r="E732" s="14">
        <v>230</v>
      </c>
      <c r="F732" s="23">
        <v>11</v>
      </c>
      <c r="G732" s="17">
        <v>0.29644527471751414</v>
      </c>
      <c r="H732" s="4" t="s">
        <v>124</v>
      </c>
      <c r="I732" s="14"/>
    </row>
    <row r="733" spans="1:9" x14ac:dyDescent="0.25">
      <c r="A733" s="14">
        <v>2013</v>
      </c>
      <c r="B733" s="14">
        <v>176</v>
      </c>
      <c r="C733" s="20">
        <v>41450</v>
      </c>
      <c r="D733" s="16">
        <v>0.4381944444444445</v>
      </c>
      <c r="E733" s="14">
        <v>230</v>
      </c>
      <c r="F733" s="23">
        <v>12</v>
      </c>
      <c r="G733" s="17">
        <v>0.30396229166666666</v>
      </c>
      <c r="H733" s="4" t="s">
        <v>124</v>
      </c>
      <c r="I733" s="14"/>
    </row>
    <row r="734" spans="1:9" x14ac:dyDescent="0.25">
      <c r="A734" s="14">
        <v>2013</v>
      </c>
      <c r="B734" s="14">
        <v>176</v>
      </c>
      <c r="C734" s="20">
        <v>41450</v>
      </c>
      <c r="D734" s="16">
        <v>0.44513888888888892</v>
      </c>
      <c r="E734" s="14">
        <v>230</v>
      </c>
      <c r="F734" s="23">
        <v>13</v>
      </c>
      <c r="G734" s="17">
        <v>0.30022335875706213</v>
      </c>
      <c r="H734" s="4" t="s">
        <v>124</v>
      </c>
      <c r="I734" s="14"/>
    </row>
    <row r="735" spans="1:9" x14ac:dyDescent="0.25">
      <c r="A735" s="14">
        <v>2013</v>
      </c>
      <c r="B735" s="14">
        <v>176</v>
      </c>
      <c r="C735" s="20">
        <v>41450</v>
      </c>
      <c r="D735" s="16">
        <v>0.4513888888888889</v>
      </c>
      <c r="E735" s="14">
        <v>230</v>
      </c>
      <c r="F735" s="23">
        <v>14</v>
      </c>
      <c r="G735" s="17">
        <v>0.29810919774011302</v>
      </c>
      <c r="H735" s="4" t="s">
        <v>124</v>
      </c>
      <c r="I735" s="14"/>
    </row>
    <row r="736" spans="1:9" x14ac:dyDescent="0.25">
      <c r="A736" s="14">
        <v>2013</v>
      </c>
      <c r="B736" s="14">
        <v>176</v>
      </c>
      <c r="C736" s="20">
        <v>41450</v>
      </c>
      <c r="D736" s="16">
        <v>0.45208333333333334</v>
      </c>
      <c r="E736" s="14">
        <v>230</v>
      </c>
      <c r="F736" s="23">
        <v>15</v>
      </c>
      <c r="G736" s="17" t="e">
        <v>#N/A</v>
      </c>
      <c r="H736" s="4" t="s">
        <v>1</v>
      </c>
      <c r="I736" s="14"/>
    </row>
    <row r="737" spans="1:9" x14ac:dyDescent="0.25">
      <c r="A737" s="14">
        <v>2013</v>
      </c>
      <c r="B737" s="14">
        <v>176</v>
      </c>
      <c r="C737" s="20">
        <v>41450</v>
      </c>
      <c r="D737" s="16">
        <v>0.46319444444444446</v>
      </c>
      <c r="E737" s="14">
        <v>230</v>
      </c>
      <c r="F737" s="23">
        <v>16</v>
      </c>
      <c r="G737" s="17" t="e">
        <v>#N/A</v>
      </c>
      <c r="H737" s="4" t="s">
        <v>1</v>
      </c>
      <c r="I737" s="14"/>
    </row>
    <row r="738" spans="1:9" x14ac:dyDescent="0.25">
      <c r="A738" s="14">
        <v>2013</v>
      </c>
      <c r="B738" s="14">
        <v>176</v>
      </c>
      <c r="C738" s="20">
        <v>41450</v>
      </c>
      <c r="D738" s="16">
        <v>0.4680555555555555</v>
      </c>
      <c r="E738" s="14">
        <v>230</v>
      </c>
      <c r="F738" s="23">
        <v>17</v>
      </c>
      <c r="G738" s="17">
        <v>0.30145661935028251</v>
      </c>
      <c r="H738" s="4" t="s">
        <v>124</v>
      </c>
      <c r="I738" s="14"/>
    </row>
    <row r="739" spans="1:9" x14ac:dyDescent="0.25">
      <c r="A739" s="14">
        <v>2013</v>
      </c>
      <c r="B739" s="14">
        <v>176</v>
      </c>
      <c r="C739" s="20">
        <v>41450</v>
      </c>
      <c r="D739" s="16">
        <v>0.47430555555555554</v>
      </c>
      <c r="E739" s="14">
        <v>230</v>
      </c>
      <c r="F739" s="23">
        <v>18</v>
      </c>
      <c r="G739" s="17">
        <v>0.30433422740112992</v>
      </c>
      <c r="H739" s="4" t="s">
        <v>124</v>
      </c>
      <c r="I739" s="14"/>
    </row>
    <row r="740" spans="1:9" x14ac:dyDescent="0.25">
      <c r="A740" s="14">
        <v>2013</v>
      </c>
      <c r="B740" s="14">
        <v>176</v>
      </c>
      <c r="C740" s="20">
        <v>41450</v>
      </c>
      <c r="D740" s="16">
        <v>0.48055555555555557</v>
      </c>
      <c r="E740" s="14">
        <v>230</v>
      </c>
      <c r="F740" s="23">
        <v>19</v>
      </c>
      <c r="G740" s="17">
        <v>0.2939200268361582</v>
      </c>
      <c r="H740" s="4" t="s">
        <v>124</v>
      </c>
      <c r="I740" s="14"/>
    </row>
    <row r="741" spans="1:9" x14ac:dyDescent="0.25">
      <c r="A741" s="14">
        <v>2013</v>
      </c>
      <c r="B741" s="14">
        <v>176</v>
      </c>
      <c r="C741" s="20">
        <v>41450</v>
      </c>
      <c r="D741" s="16">
        <v>0.48819444444444443</v>
      </c>
      <c r="E741" s="14">
        <v>230</v>
      </c>
      <c r="F741" s="23">
        <v>20</v>
      </c>
      <c r="G741" s="17">
        <v>0.30272903107344634</v>
      </c>
      <c r="H741" s="4" t="s">
        <v>124</v>
      </c>
      <c r="I741" s="14"/>
    </row>
    <row r="742" spans="1:9" x14ac:dyDescent="0.25">
      <c r="A742" s="14">
        <v>2013</v>
      </c>
      <c r="B742" s="14">
        <v>176</v>
      </c>
      <c r="C742" s="20">
        <v>41450</v>
      </c>
      <c r="D742" s="16">
        <v>0.36388888888888887</v>
      </c>
      <c r="E742" s="14">
        <v>210</v>
      </c>
      <c r="F742" s="23">
        <v>1</v>
      </c>
      <c r="G742" s="17">
        <v>0.30357078036723167</v>
      </c>
      <c r="H742" s="4" t="s">
        <v>123</v>
      </c>
      <c r="I742" s="14"/>
    </row>
    <row r="743" spans="1:9" x14ac:dyDescent="0.25">
      <c r="A743" s="14">
        <v>2013</v>
      </c>
      <c r="B743" s="14">
        <v>176</v>
      </c>
      <c r="C743" s="20">
        <v>41450</v>
      </c>
      <c r="D743" s="16">
        <v>0.37152777777777773</v>
      </c>
      <c r="E743" s="14">
        <v>210</v>
      </c>
      <c r="F743" s="23">
        <v>2</v>
      </c>
      <c r="G743" s="17">
        <v>0.30045826553672317</v>
      </c>
      <c r="H743" s="4" t="s">
        <v>123</v>
      </c>
      <c r="I743" s="14"/>
    </row>
    <row r="744" spans="1:9" x14ac:dyDescent="0.25">
      <c r="A744" s="14">
        <v>2013</v>
      </c>
      <c r="B744" s="14">
        <v>176</v>
      </c>
      <c r="C744" s="20">
        <v>41450</v>
      </c>
      <c r="D744" s="16">
        <v>0.37777777777777777</v>
      </c>
      <c r="E744" s="14">
        <v>210</v>
      </c>
      <c r="F744" s="23">
        <v>3</v>
      </c>
      <c r="G744" s="17">
        <v>0.27933623093220339</v>
      </c>
      <c r="H744" s="4" t="s">
        <v>123</v>
      </c>
      <c r="I744" s="14"/>
    </row>
    <row r="745" spans="1:9" x14ac:dyDescent="0.25">
      <c r="A745" s="14">
        <v>2013</v>
      </c>
      <c r="B745" s="14">
        <v>176</v>
      </c>
      <c r="C745" s="20">
        <v>41450</v>
      </c>
      <c r="D745" s="16">
        <v>0.3833333333333333</v>
      </c>
      <c r="E745" s="14">
        <v>210</v>
      </c>
      <c r="F745" s="23">
        <v>4</v>
      </c>
      <c r="G745" s="17">
        <v>0.29127732556497177</v>
      </c>
      <c r="H745" s="4" t="s">
        <v>123</v>
      </c>
      <c r="I745" s="14"/>
    </row>
    <row r="746" spans="1:9" x14ac:dyDescent="0.25">
      <c r="A746" s="14">
        <v>2013</v>
      </c>
      <c r="B746" s="14">
        <v>176</v>
      </c>
      <c r="C746" s="20">
        <v>41450</v>
      </c>
      <c r="D746" s="16">
        <v>0.38958333333333334</v>
      </c>
      <c r="E746" s="14">
        <v>210</v>
      </c>
      <c r="F746" s="23">
        <v>5</v>
      </c>
      <c r="G746" s="17" t="e">
        <v>#N/A</v>
      </c>
      <c r="H746" s="4" t="s">
        <v>0</v>
      </c>
      <c r="I746" s="14"/>
    </row>
    <row r="747" spans="1:9" x14ac:dyDescent="0.25">
      <c r="A747" s="14">
        <v>2013</v>
      </c>
      <c r="B747" s="14">
        <v>176</v>
      </c>
      <c r="C747" s="20">
        <v>41450</v>
      </c>
      <c r="D747" s="16">
        <v>0.38958333333333334</v>
      </c>
      <c r="E747" s="14">
        <v>210</v>
      </c>
      <c r="F747" s="23">
        <v>6</v>
      </c>
      <c r="G747" s="17" t="e">
        <v>#N/A</v>
      </c>
      <c r="H747" s="4" t="s">
        <v>0</v>
      </c>
      <c r="I747" s="14"/>
    </row>
    <row r="748" spans="1:9" x14ac:dyDescent="0.25">
      <c r="A748" s="14">
        <v>2013</v>
      </c>
      <c r="B748" s="14">
        <v>176</v>
      </c>
      <c r="C748" s="20">
        <v>41450</v>
      </c>
      <c r="D748" s="16">
        <v>0.39999999999999997</v>
      </c>
      <c r="E748" s="14">
        <v>210</v>
      </c>
      <c r="F748" s="23">
        <v>7</v>
      </c>
      <c r="G748" s="17">
        <v>0.28691197457627116</v>
      </c>
      <c r="H748" s="4" t="s">
        <v>123</v>
      </c>
      <c r="I748" s="14"/>
    </row>
    <row r="749" spans="1:9" x14ac:dyDescent="0.25">
      <c r="A749" s="14">
        <v>2013</v>
      </c>
      <c r="B749" s="14">
        <v>176</v>
      </c>
      <c r="C749" s="20">
        <v>41450</v>
      </c>
      <c r="D749" s="16">
        <v>0.40625</v>
      </c>
      <c r="E749" s="14">
        <v>210</v>
      </c>
      <c r="F749" s="23">
        <v>8</v>
      </c>
      <c r="G749" s="17">
        <v>0.30474531426553675</v>
      </c>
      <c r="H749" s="4" t="s">
        <v>123</v>
      </c>
      <c r="I749" s="14"/>
    </row>
    <row r="750" spans="1:9" x14ac:dyDescent="0.25">
      <c r="A750" s="14">
        <v>2013</v>
      </c>
      <c r="B750" s="14">
        <v>176</v>
      </c>
      <c r="C750" s="20">
        <v>41450</v>
      </c>
      <c r="D750" s="16">
        <v>0.41250000000000003</v>
      </c>
      <c r="E750" s="14">
        <v>210</v>
      </c>
      <c r="F750" s="23">
        <v>9</v>
      </c>
      <c r="G750" s="17">
        <v>0.29711084392655368</v>
      </c>
      <c r="H750" s="4" t="s">
        <v>123</v>
      </c>
      <c r="I750" s="14"/>
    </row>
    <row r="751" spans="1:9" x14ac:dyDescent="0.25">
      <c r="A751" s="14">
        <v>2013</v>
      </c>
      <c r="B751" s="14">
        <v>176</v>
      </c>
      <c r="C751" s="20">
        <v>41450</v>
      </c>
      <c r="D751" s="16">
        <v>0.41875000000000001</v>
      </c>
      <c r="E751" s="14">
        <v>210</v>
      </c>
      <c r="F751" s="23">
        <v>10</v>
      </c>
      <c r="G751" s="17">
        <v>0.27283714336158194</v>
      </c>
      <c r="H751" s="4" t="s">
        <v>123</v>
      </c>
      <c r="I751" s="14"/>
    </row>
    <row r="752" spans="1:9" x14ac:dyDescent="0.25">
      <c r="A752" s="14">
        <v>2013</v>
      </c>
      <c r="B752" s="14">
        <v>176</v>
      </c>
      <c r="C752" s="20">
        <v>41450</v>
      </c>
      <c r="D752" s="16">
        <v>0.43194444444444446</v>
      </c>
      <c r="E752" s="14">
        <v>210</v>
      </c>
      <c r="F752" s="23">
        <v>11</v>
      </c>
      <c r="G752" s="17">
        <v>0.30750546892655367</v>
      </c>
      <c r="H752" s="4" t="s">
        <v>124</v>
      </c>
      <c r="I752" s="14"/>
    </row>
    <row r="753" spans="1:9" x14ac:dyDescent="0.25">
      <c r="A753" s="14">
        <v>2013</v>
      </c>
      <c r="B753" s="14">
        <v>176</v>
      </c>
      <c r="C753" s="20">
        <v>41450</v>
      </c>
      <c r="D753" s="16">
        <v>0.4381944444444445</v>
      </c>
      <c r="E753" s="14">
        <v>210</v>
      </c>
      <c r="F753" s="23">
        <v>12</v>
      </c>
      <c r="G753" s="17">
        <v>0.31394582980225988</v>
      </c>
      <c r="H753" s="4" t="s">
        <v>124</v>
      </c>
      <c r="I753" s="14"/>
    </row>
    <row r="754" spans="1:9" x14ac:dyDescent="0.25">
      <c r="A754" s="14">
        <v>2013</v>
      </c>
      <c r="B754" s="14">
        <v>176</v>
      </c>
      <c r="C754" s="20">
        <v>41450</v>
      </c>
      <c r="D754" s="16">
        <v>0.44513888888888892</v>
      </c>
      <c r="E754" s="14">
        <v>210</v>
      </c>
      <c r="F754" s="23">
        <v>13</v>
      </c>
      <c r="G754" s="17">
        <v>0.30711395762711863</v>
      </c>
      <c r="H754" s="4" t="s">
        <v>124</v>
      </c>
      <c r="I754" s="14"/>
    </row>
    <row r="755" spans="1:9" x14ac:dyDescent="0.25">
      <c r="A755" s="14">
        <v>2013</v>
      </c>
      <c r="B755" s="14">
        <v>176</v>
      </c>
      <c r="C755" s="20">
        <v>41450</v>
      </c>
      <c r="D755" s="16">
        <v>0.4513888888888889</v>
      </c>
      <c r="E755" s="14">
        <v>210</v>
      </c>
      <c r="F755" s="23">
        <v>14</v>
      </c>
      <c r="G755" s="17">
        <v>0.27273926553672317</v>
      </c>
      <c r="H755" s="4" t="s">
        <v>124</v>
      </c>
      <c r="I755" s="14"/>
    </row>
    <row r="756" spans="1:9" x14ac:dyDescent="0.25">
      <c r="A756" s="14">
        <v>2013</v>
      </c>
      <c r="B756" s="14">
        <v>176</v>
      </c>
      <c r="C756" s="20">
        <v>41450</v>
      </c>
      <c r="D756" s="16">
        <v>0.45208333333333334</v>
      </c>
      <c r="E756" s="14">
        <v>210</v>
      </c>
      <c r="F756" s="23">
        <v>15</v>
      </c>
      <c r="G756" s="17" t="e">
        <v>#N/A</v>
      </c>
      <c r="H756" s="4" t="s">
        <v>1</v>
      </c>
      <c r="I756" s="14"/>
    </row>
    <row r="757" spans="1:9" x14ac:dyDescent="0.25">
      <c r="A757" s="14">
        <v>2013</v>
      </c>
      <c r="B757" s="14">
        <v>176</v>
      </c>
      <c r="C757" s="20">
        <v>41450</v>
      </c>
      <c r="D757" s="16">
        <v>0.46319444444444446</v>
      </c>
      <c r="E757" s="14">
        <v>210</v>
      </c>
      <c r="F757" s="23">
        <v>16</v>
      </c>
      <c r="G757" s="17" t="e">
        <v>#N/A</v>
      </c>
      <c r="H757" s="4" t="s">
        <v>1</v>
      </c>
      <c r="I757" s="14"/>
    </row>
    <row r="758" spans="1:9" x14ac:dyDescent="0.25">
      <c r="A758" s="14">
        <v>2013</v>
      </c>
      <c r="B758" s="14">
        <v>176</v>
      </c>
      <c r="C758" s="20">
        <v>41450</v>
      </c>
      <c r="D758" s="16">
        <v>0.4680555555555555</v>
      </c>
      <c r="E758" s="14">
        <v>210</v>
      </c>
      <c r="F758" s="23">
        <v>17</v>
      </c>
      <c r="G758" s="17">
        <v>0.30360993149717513</v>
      </c>
      <c r="H758" s="4" t="s">
        <v>124</v>
      </c>
      <c r="I758" s="14"/>
    </row>
    <row r="759" spans="1:9" x14ac:dyDescent="0.25">
      <c r="A759" s="14">
        <v>2013</v>
      </c>
      <c r="B759" s="14">
        <v>176</v>
      </c>
      <c r="C759" s="20">
        <v>41450</v>
      </c>
      <c r="D759" s="16">
        <v>0.47430555555555554</v>
      </c>
      <c r="E759" s="14">
        <v>210</v>
      </c>
      <c r="F759" s="23">
        <v>18</v>
      </c>
      <c r="G759" s="17">
        <v>0.30901278742937854</v>
      </c>
      <c r="H759" s="4" t="s">
        <v>124</v>
      </c>
      <c r="I759" s="14"/>
    </row>
    <row r="760" spans="1:9" x14ac:dyDescent="0.25">
      <c r="A760" s="14">
        <v>2013</v>
      </c>
      <c r="B760" s="14">
        <v>176</v>
      </c>
      <c r="C760" s="20">
        <v>41450</v>
      </c>
      <c r="D760" s="16">
        <v>0.48055555555555557</v>
      </c>
      <c r="E760" s="14">
        <v>210</v>
      </c>
      <c r="F760" s="23">
        <v>19</v>
      </c>
      <c r="G760" s="17">
        <v>0.30002760310734466</v>
      </c>
      <c r="H760" s="4" t="s">
        <v>124</v>
      </c>
      <c r="I760" s="14"/>
    </row>
    <row r="761" spans="1:9" x14ac:dyDescent="0.25">
      <c r="A761" s="14">
        <v>2013</v>
      </c>
      <c r="B761" s="14">
        <v>176</v>
      </c>
      <c r="C761" s="20">
        <v>41450</v>
      </c>
      <c r="D761" s="16">
        <v>0.48819444444444443</v>
      </c>
      <c r="E761" s="14">
        <v>210</v>
      </c>
      <c r="F761" s="23">
        <v>20</v>
      </c>
      <c r="G761" s="17">
        <v>0.30106510805084746</v>
      </c>
      <c r="H761" s="4" t="s">
        <v>124</v>
      </c>
      <c r="I761" s="14"/>
    </row>
    <row r="762" spans="1:9" x14ac:dyDescent="0.25">
      <c r="A762" s="14">
        <v>2013</v>
      </c>
      <c r="B762" s="14">
        <v>176</v>
      </c>
      <c r="C762" s="20">
        <v>41450</v>
      </c>
      <c r="D762" s="16">
        <v>0.36388888888888887</v>
      </c>
      <c r="E762" s="14">
        <v>190</v>
      </c>
      <c r="F762" s="23">
        <v>1</v>
      </c>
      <c r="G762" s="17">
        <v>0.28646173658192092</v>
      </c>
      <c r="H762" s="4" t="s">
        <v>123</v>
      </c>
      <c r="I762" s="14"/>
    </row>
    <row r="763" spans="1:9" x14ac:dyDescent="0.25">
      <c r="A763" s="14">
        <v>2013</v>
      </c>
      <c r="B763" s="14">
        <v>176</v>
      </c>
      <c r="C763" s="20">
        <v>41450</v>
      </c>
      <c r="D763" s="16">
        <v>0.37152777777777773</v>
      </c>
      <c r="E763" s="14">
        <v>190</v>
      </c>
      <c r="F763" s="23">
        <v>2</v>
      </c>
      <c r="G763" s="17">
        <v>0.29002448940677966</v>
      </c>
      <c r="H763" s="4" t="s">
        <v>123</v>
      </c>
      <c r="I763" s="14"/>
    </row>
    <row r="764" spans="1:9" x14ac:dyDescent="0.25">
      <c r="A764" s="14">
        <v>2013</v>
      </c>
      <c r="B764" s="14">
        <v>176</v>
      </c>
      <c r="C764" s="20">
        <v>41450</v>
      </c>
      <c r="D764" s="16">
        <v>0.37777777777777777</v>
      </c>
      <c r="E764" s="14">
        <v>190</v>
      </c>
      <c r="F764" s="23">
        <v>3</v>
      </c>
      <c r="G764" s="17">
        <v>0.29546649646892659</v>
      </c>
      <c r="H764" s="4" t="s">
        <v>123</v>
      </c>
      <c r="I764" s="14"/>
    </row>
    <row r="765" spans="1:9" x14ac:dyDescent="0.25">
      <c r="A765" s="14">
        <v>2013</v>
      </c>
      <c r="B765" s="14">
        <v>176</v>
      </c>
      <c r="C765" s="20">
        <v>41450</v>
      </c>
      <c r="D765" s="16">
        <v>0.3833333333333333</v>
      </c>
      <c r="E765" s="14">
        <v>190</v>
      </c>
      <c r="F765" s="23">
        <v>4</v>
      </c>
      <c r="G765" s="17">
        <v>0.29955778954802259</v>
      </c>
      <c r="H765" s="4" t="s">
        <v>123</v>
      </c>
      <c r="I765" s="14"/>
    </row>
    <row r="766" spans="1:9" x14ac:dyDescent="0.25">
      <c r="A766" s="14">
        <v>2013</v>
      </c>
      <c r="B766" s="14">
        <v>176</v>
      </c>
      <c r="C766" s="20">
        <v>41450</v>
      </c>
      <c r="D766" s="16">
        <v>0.38958333333333334</v>
      </c>
      <c r="E766" s="14">
        <v>190</v>
      </c>
      <c r="F766" s="23">
        <v>5</v>
      </c>
      <c r="G766" s="17">
        <v>0.33040887994350288</v>
      </c>
      <c r="H766" s="4" t="s">
        <v>0</v>
      </c>
      <c r="I766" s="14"/>
    </row>
    <row r="767" spans="1:9" x14ac:dyDescent="0.25">
      <c r="A767" s="14">
        <v>2013</v>
      </c>
      <c r="B767" s="14">
        <v>176</v>
      </c>
      <c r="C767" s="20">
        <v>41450</v>
      </c>
      <c r="D767" s="16">
        <v>0.38958333333333334</v>
      </c>
      <c r="E767" s="14">
        <v>190</v>
      </c>
      <c r="F767" s="23">
        <v>6</v>
      </c>
      <c r="G767" s="17">
        <v>0.34223252118644071</v>
      </c>
      <c r="H767" s="4" t="s">
        <v>0</v>
      </c>
      <c r="I767" s="14"/>
    </row>
    <row r="768" spans="1:9" x14ac:dyDescent="0.25">
      <c r="A768" s="14">
        <v>2013</v>
      </c>
      <c r="B768" s="14">
        <v>176</v>
      </c>
      <c r="C768" s="20">
        <v>41450</v>
      </c>
      <c r="D768" s="16">
        <v>0.39999999999999997</v>
      </c>
      <c r="E768" s="14">
        <v>190</v>
      </c>
      <c r="F768" s="23">
        <v>7</v>
      </c>
      <c r="G768" s="17">
        <v>0.28822353742937851</v>
      </c>
      <c r="H768" s="4" t="s">
        <v>123</v>
      </c>
      <c r="I768" s="14"/>
    </row>
    <row r="769" spans="1:9" x14ac:dyDescent="0.25">
      <c r="A769" s="14">
        <v>2013</v>
      </c>
      <c r="B769" s="14">
        <v>176</v>
      </c>
      <c r="C769" s="20">
        <v>41450</v>
      </c>
      <c r="D769" s="16">
        <v>0.40625</v>
      </c>
      <c r="E769" s="14">
        <v>190</v>
      </c>
      <c r="F769" s="23">
        <v>8</v>
      </c>
      <c r="G769" s="17">
        <v>0.29779598870056495</v>
      </c>
      <c r="H769" s="4" t="s">
        <v>123</v>
      </c>
      <c r="I769" s="14"/>
    </row>
    <row r="770" spans="1:9" x14ac:dyDescent="0.25">
      <c r="A770" s="14">
        <v>2013</v>
      </c>
      <c r="B770" s="14">
        <v>176</v>
      </c>
      <c r="C770" s="20">
        <v>41450</v>
      </c>
      <c r="D770" s="16">
        <v>0.41250000000000003</v>
      </c>
      <c r="E770" s="14">
        <v>190</v>
      </c>
      <c r="F770" s="23">
        <v>9</v>
      </c>
      <c r="G770" s="17">
        <v>0.29438984039548022</v>
      </c>
      <c r="H770" s="4" t="s">
        <v>123</v>
      </c>
      <c r="I770" s="14"/>
    </row>
    <row r="771" spans="1:9" x14ac:dyDescent="0.25">
      <c r="A771" s="14">
        <v>2013</v>
      </c>
      <c r="B771" s="14">
        <v>176</v>
      </c>
      <c r="C771" s="20">
        <v>41450</v>
      </c>
      <c r="D771" s="16">
        <v>0.41875000000000001</v>
      </c>
      <c r="E771" s="14">
        <v>190</v>
      </c>
      <c r="F771" s="23">
        <v>10</v>
      </c>
      <c r="G771" s="17">
        <v>0.29622994350282489</v>
      </c>
      <c r="H771" s="4" t="s">
        <v>123</v>
      </c>
      <c r="I771" s="14"/>
    </row>
    <row r="772" spans="1:9" x14ac:dyDescent="0.25">
      <c r="A772" s="14">
        <v>2013</v>
      </c>
      <c r="B772" s="14">
        <v>176</v>
      </c>
      <c r="C772" s="20">
        <v>41450</v>
      </c>
      <c r="D772" s="16">
        <v>0.43194444444444446</v>
      </c>
      <c r="E772" s="14">
        <v>190</v>
      </c>
      <c r="F772" s="23">
        <v>11</v>
      </c>
      <c r="G772" s="17">
        <v>0.31373049858757063</v>
      </c>
      <c r="H772" s="4" t="s">
        <v>124</v>
      </c>
      <c r="I772" s="14"/>
    </row>
    <row r="773" spans="1:9" x14ac:dyDescent="0.25">
      <c r="A773" s="14">
        <v>2013</v>
      </c>
      <c r="B773" s="14">
        <v>176</v>
      </c>
      <c r="C773" s="20">
        <v>41450</v>
      </c>
      <c r="D773" s="16">
        <v>0.4381944444444445</v>
      </c>
      <c r="E773" s="14">
        <v>190</v>
      </c>
      <c r="F773" s="23">
        <v>12</v>
      </c>
      <c r="G773" s="17">
        <v>0.31140100635593221</v>
      </c>
      <c r="H773" s="4" t="s">
        <v>124</v>
      </c>
      <c r="I773" s="14"/>
    </row>
    <row r="774" spans="1:9" x14ac:dyDescent="0.25">
      <c r="A774" s="14">
        <v>2013</v>
      </c>
      <c r="B774" s="14">
        <v>176</v>
      </c>
      <c r="C774" s="20">
        <v>41450</v>
      </c>
      <c r="D774" s="16">
        <v>0.44513888888888892</v>
      </c>
      <c r="E774" s="14">
        <v>190</v>
      </c>
      <c r="F774" s="23">
        <v>13</v>
      </c>
      <c r="G774" s="17">
        <v>0.30315969350282485</v>
      </c>
      <c r="H774" s="4" t="s">
        <v>124</v>
      </c>
      <c r="I774" s="14"/>
    </row>
    <row r="775" spans="1:9" x14ac:dyDescent="0.25">
      <c r="A775" s="14">
        <v>2013</v>
      </c>
      <c r="B775" s="14">
        <v>176</v>
      </c>
      <c r="C775" s="20">
        <v>41450</v>
      </c>
      <c r="D775" s="16">
        <v>0.4513888888888889</v>
      </c>
      <c r="E775" s="14">
        <v>190</v>
      </c>
      <c r="F775" s="23">
        <v>14</v>
      </c>
      <c r="G775" s="17">
        <v>0.30083020127118648</v>
      </c>
      <c r="H775" s="4" t="s">
        <v>124</v>
      </c>
      <c r="I775" s="14"/>
    </row>
    <row r="776" spans="1:9" x14ac:dyDescent="0.25">
      <c r="A776" s="14">
        <v>2013</v>
      </c>
      <c r="B776" s="14">
        <v>176</v>
      </c>
      <c r="C776" s="20">
        <v>41450</v>
      </c>
      <c r="D776" s="16">
        <v>0.45208333333333334</v>
      </c>
      <c r="E776" s="14">
        <v>190</v>
      </c>
      <c r="F776" s="23">
        <v>15</v>
      </c>
      <c r="G776" s="17">
        <v>0.32851005014124296</v>
      </c>
      <c r="H776" s="4" t="s">
        <v>1</v>
      </c>
      <c r="I776" s="14"/>
    </row>
    <row r="777" spans="1:9" x14ac:dyDescent="0.25">
      <c r="A777" s="14">
        <v>2013</v>
      </c>
      <c r="B777" s="14">
        <v>176</v>
      </c>
      <c r="C777" s="20">
        <v>41450</v>
      </c>
      <c r="D777" s="16">
        <v>0.46319444444444446</v>
      </c>
      <c r="E777" s="14">
        <v>190</v>
      </c>
      <c r="F777" s="23">
        <v>16</v>
      </c>
      <c r="G777" s="17">
        <v>0.32443833262711869</v>
      </c>
      <c r="H777" s="4" t="s">
        <v>1</v>
      </c>
      <c r="I777" s="14"/>
    </row>
    <row r="778" spans="1:9" x14ac:dyDescent="0.25">
      <c r="A778" s="14">
        <v>2013</v>
      </c>
      <c r="B778" s="14">
        <v>176</v>
      </c>
      <c r="C778" s="20">
        <v>41450</v>
      </c>
      <c r="D778" s="16">
        <v>0.4680555555555555</v>
      </c>
      <c r="E778" s="14">
        <v>190</v>
      </c>
      <c r="F778" s="23">
        <v>17</v>
      </c>
      <c r="G778" s="17">
        <v>0.32269610734463278</v>
      </c>
      <c r="H778" s="4" t="s">
        <v>124</v>
      </c>
      <c r="I778" s="14"/>
    </row>
    <row r="779" spans="1:9" x14ac:dyDescent="0.25">
      <c r="A779" s="14">
        <v>2013</v>
      </c>
      <c r="B779" s="14">
        <v>176</v>
      </c>
      <c r="C779" s="20">
        <v>41450</v>
      </c>
      <c r="D779" s="16">
        <v>0.47430555555555554</v>
      </c>
      <c r="E779" s="14">
        <v>190</v>
      </c>
      <c r="F779" s="23">
        <v>18</v>
      </c>
      <c r="G779" s="17">
        <v>0.31069628601694915</v>
      </c>
      <c r="H779" s="4" t="s">
        <v>124</v>
      </c>
      <c r="I779" s="14"/>
    </row>
    <row r="780" spans="1:9" x14ac:dyDescent="0.25">
      <c r="A780" s="14">
        <v>2013</v>
      </c>
      <c r="B780" s="14">
        <v>176</v>
      </c>
      <c r="C780" s="20">
        <v>41450</v>
      </c>
      <c r="D780" s="16">
        <v>0.48055555555555557</v>
      </c>
      <c r="E780" s="14">
        <v>190</v>
      </c>
      <c r="F780" s="23">
        <v>19</v>
      </c>
      <c r="G780" s="17">
        <v>0.30543045903954802</v>
      </c>
      <c r="H780" s="4" t="s">
        <v>124</v>
      </c>
      <c r="I780" s="14"/>
    </row>
    <row r="781" spans="1:9" x14ac:dyDescent="0.25">
      <c r="A781" s="14">
        <v>2013</v>
      </c>
      <c r="B781" s="14">
        <v>176</v>
      </c>
      <c r="C781" s="20">
        <v>41450</v>
      </c>
      <c r="D781" s="16">
        <v>0.48819444444444443</v>
      </c>
      <c r="E781" s="14">
        <v>190</v>
      </c>
      <c r="F781" s="23">
        <v>20</v>
      </c>
      <c r="G781" s="17">
        <v>0.30642881285310736</v>
      </c>
      <c r="H781" s="4" t="s">
        <v>124</v>
      </c>
      <c r="I781" s="14"/>
    </row>
    <row r="782" spans="1:9" x14ac:dyDescent="0.25">
      <c r="A782" s="14">
        <v>2013</v>
      </c>
      <c r="B782" s="14">
        <v>176</v>
      </c>
      <c r="C782" s="20">
        <v>41450</v>
      </c>
      <c r="D782" s="16">
        <v>0.36388888888888887</v>
      </c>
      <c r="E782" s="14">
        <v>170</v>
      </c>
      <c r="F782" s="23">
        <v>1</v>
      </c>
      <c r="G782" s="17">
        <v>0.27829872598870053</v>
      </c>
      <c r="H782" s="4" t="s">
        <v>123</v>
      </c>
      <c r="I782" s="14"/>
    </row>
    <row r="783" spans="1:9" x14ac:dyDescent="0.25">
      <c r="A783" s="14">
        <v>2013</v>
      </c>
      <c r="B783" s="14">
        <v>176</v>
      </c>
      <c r="C783" s="20">
        <v>41450</v>
      </c>
      <c r="D783" s="16">
        <v>0.37152777777777773</v>
      </c>
      <c r="E783" s="14">
        <v>170</v>
      </c>
      <c r="F783" s="23">
        <v>2</v>
      </c>
      <c r="G783" s="17">
        <v>0.27356143926553672</v>
      </c>
      <c r="H783" s="4" t="s">
        <v>123</v>
      </c>
      <c r="I783" s="14"/>
    </row>
    <row r="784" spans="1:9" x14ac:dyDescent="0.25">
      <c r="A784" s="14">
        <v>2013</v>
      </c>
      <c r="B784" s="14">
        <v>176</v>
      </c>
      <c r="C784" s="20">
        <v>41450</v>
      </c>
      <c r="D784" s="16">
        <v>0.37777777777777777</v>
      </c>
      <c r="E784" s="14">
        <v>170</v>
      </c>
      <c r="F784" s="23">
        <v>3</v>
      </c>
      <c r="G784" s="17">
        <v>0.29141435451977404</v>
      </c>
      <c r="H784" s="4" t="s">
        <v>123</v>
      </c>
      <c r="I784" s="14"/>
    </row>
    <row r="785" spans="1:9" x14ac:dyDescent="0.25">
      <c r="A785" s="14">
        <v>2013</v>
      </c>
      <c r="B785" s="14">
        <v>176</v>
      </c>
      <c r="C785" s="20">
        <v>41450</v>
      </c>
      <c r="D785" s="16">
        <v>0.3833333333333333</v>
      </c>
      <c r="E785" s="14">
        <v>170</v>
      </c>
      <c r="F785" s="23">
        <v>4</v>
      </c>
      <c r="G785" s="17">
        <v>0.29767853531073446</v>
      </c>
      <c r="H785" s="4" t="s">
        <v>123</v>
      </c>
      <c r="I785" s="14"/>
    </row>
    <row r="786" spans="1:9" x14ac:dyDescent="0.25">
      <c r="A786" s="14">
        <v>2013</v>
      </c>
      <c r="B786" s="14">
        <v>176</v>
      </c>
      <c r="C786" s="20">
        <v>41450</v>
      </c>
      <c r="D786" s="16">
        <v>0.38958333333333334</v>
      </c>
      <c r="E786" s="14">
        <v>170</v>
      </c>
      <c r="F786" s="23">
        <v>5</v>
      </c>
      <c r="G786" s="17">
        <v>0.32758999858757065</v>
      </c>
      <c r="H786" s="4" t="s">
        <v>0</v>
      </c>
      <c r="I786" s="14"/>
    </row>
    <row r="787" spans="1:9" x14ac:dyDescent="0.25">
      <c r="A787" s="14">
        <v>2013</v>
      </c>
      <c r="B787" s="14">
        <v>176</v>
      </c>
      <c r="C787" s="20">
        <v>41450</v>
      </c>
      <c r="D787" s="16">
        <v>0.38958333333333334</v>
      </c>
      <c r="E787" s="14">
        <v>170</v>
      </c>
      <c r="F787" s="23">
        <v>6</v>
      </c>
      <c r="G787" s="17">
        <v>0.33170086723163839</v>
      </c>
      <c r="H787" s="4" t="s">
        <v>0</v>
      </c>
      <c r="I787" s="14"/>
    </row>
    <row r="788" spans="1:9" x14ac:dyDescent="0.25">
      <c r="A788" s="14">
        <v>2013</v>
      </c>
      <c r="B788" s="14">
        <v>176</v>
      </c>
      <c r="C788" s="20">
        <v>41450</v>
      </c>
      <c r="D788" s="16">
        <v>0.39999999999999997</v>
      </c>
      <c r="E788" s="14">
        <v>170</v>
      </c>
      <c r="F788" s="23">
        <v>7</v>
      </c>
      <c r="G788" s="17">
        <v>0.30257242655367234</v>
      </c>
      <c r="H788" s="4" t="s">
        <v>123</v>
      </c>
      <c r="I788" s="14"/>
    </row>
    <row r="789" spans="1:9" x14ac:dyDescent="0.25">
      <c r="A789" s="14">
        <v>2013</v>
      </c>
      <c r="B789" s="14">
        <v>176</v>
      </c>
      <c r="C789" s="20">
        <v>41450</v>
      </c>
      <c r="D789" s="16">
        <v>0.40625</v>
      </c>
      <c r="E789" s="14">
        <v>170</v>
      </c>
      <c r="F789" s="23">
        <v>8</v>
      </c>
      <c r="G789" s="17">
        <v>0.31003071680790961</v>
      </c>
      <c r="H789" s="4" t="s">
        <v>123</v>
      </c>
      <c r="I789" s="14"/>
    </row>
    <row r="790" spans="1:9" x14ac:dyDescent="0.25">
      <c r="A790" s="14">
        <v>2013</v>
      </c>
      <c r="B790" s="14">
        <v>176</v>
      </c>
      <c r="C790" s="20">
        <v>41450</v>
      </c>
      <c r="D790" s="16">
        <v>0.41250000000000003</v>
      </c>
      <c r="E790" s="14">
        <v>170</v>
      </c>
      <c r="F790" s="23">
        <v>9</v>
      </c>
      <c r="G790" s="17">
        <v>0.30683989971751413</v>
      </c>
      <c r="H790" s="4" t="s">
        <v>123</v>
      </c>
      <c r="I790" s="14"/>
    </row>
    <row r="791" spans="1:9" x14ac:dyDescent="0.25">
      <c r="A791" s="14">
        <v>2013</v>
      </c>
      <c r="B791" s="14">
        <v>176</v>
      </c>
      <c r="C791" s="20">
        <v>41450</v>
      </c>
      <c r="D791" s="16">
        <v>0.41875000000000001</v>
      </c>
      <c r="E791" s="14">
        <v>170</v>
      </c>
      <c r="F791" s="23">
        <v>10</v>
      </c>
      <c r="G791" s="17">
        <v>0.31412200988700562</v>
      </c>
      <c r="H791" s="4" t="s">
        <v>123</v>
      </c>
      <c r="I791" s="14"/>
    </row>
    <row r="792" spans="1:9" x14ac:dyDescent="0.25">
      <c r="A792" s="14">
        <v>2013</v>
      </c>
      <c r="B792" s="14">
        <v>176</v>
      </c>
      <c r="C792" s="20">
        <v>41450</v>
      </c>
      <c r="D792" s="16">
        <v>0.43194444444444446</v>
      </c>
      <c r="E792" s="14">
        <v>170</v>
      </c>
      <c r="F792" s="23">
        <v>11</v>
      </c>
      <c r="G792" s="17">
        <v>0.3247515416666667</v>
      </c>
      <c r="H792" s="4" t="s">
        <v>124</v>
      </c>
      <c r="I792" s="14"/>
    </row>
    <row r="793" spans="1:9" x14ac:dyDescent="0.25">
      <c r="A793" s="14">
        <v>2013</v>
      </c>
      <c r="B793" s="14">
        <v>176</v>
      </c>
      <c r="C793" s="20">
        <v>41450</v>
      </c>
      <c r="D793" s="16">
        <v>0.4381944444444445</v>
      </c>
      <c r="E793" s="14">
        <v>170</v>
      </c>
      <c r="F793" s="23">
        <v>12</v>
      </c>
      <c r="G793" s="17">
        <v>0.3325621920903955</v>
      </c>
      <c r="H793" s="4" t="s">
        <v>124</v>
      </c>
      <c r="I793" s="14"/>
    </row>
    <row r="794" spans="1:9" x14ac:dyDescent="0.25">
      <c r="A794" s="14">
        <v>2013</v>
      </c>
      <c r="B794" s="14">
        <v>176</v>
      </c>
      <c r="C794" s="20">
        <v>41450</v>
      </c>
      <c r="D794" s="16">
        <v>0.44513888888888892</v>
      </c>
      <c r="E794" s="14">
        <v>170</v>
      </c>
      <c r="F794" s="23">
        <v>13</v>
      </c>
      <c r="G794" s="17">
        <v>0.31114652401129944</v>
      </c>
      <c r="H794" s="4" t="s">
        <v>124</v>
      </c>
      <c r="I794" s="14"/>
    </row>
    <row r="795" spans="1:9" x14ac:dyDescent="0.25">
      <c r="A795" s="14">
        <v>2013</v>
      </c>
      <c r="B795" s="14">
        <v>176</v>
      </c>
      <c r="C795" s="20">
        <v>41450</v>
      </c>
      <c r="D795" s="16">
        <v>0.4513888888888889</v>
      </c>
      <c r="E795" s="14">
        <v>170</v>
      </c>
      <c r="F795" s="23">
        <v>14</v>
      </c>
      <c r="G795" s="17">
        <v>0.32201096257062151</v>
      </c>
      <c r="H795" s="4" t="s">
        <v>124</v>
      </c>
      <c r="I795" s="14"/>
    </row>
    <row r="796" spans="1:9" x14ac:dyDescent="0.25">
      <c r="A796" s="14">
        <v>2013</v>
      </c>
      <c r="B796" s="14">
        <v>176</v>
      </c>
      <c r="C796" s="20">
        <v>41450</v>
      </c>
      <c r="D796" s="16">
        <v>0.45208333333333334</v>
      </c>
      <c r="E796" s="14">
        <v>170</v>
      </c>
      <c r="F796" s="23">
        <v>15</v>
      </c>
      <c r="G796" s="17">
        <v>0.33217068079096046</v>
      </c>
      <c r="H796" s="4" t="s">
        <v>1</v>
      </c>
      <c r="I796" s="14"/>
    </row>
    <row r="797" spans="1:9" x14ac:dyDescent="0.25">
      <c r="A797" s="14">
        <v>2013</v>
      </c>
      <c r="B797" s="14">
        <v>176</v>
      </c>
      <c r="C797" s="20">
        <v>41450</v>
      </c>
      <c r="D797" s="16">
        <v>0.46319444444444446</v>
      </c>
      <c r="E797" s="14">
        <v>170</v>
      </c>
      <c r="F797" s="23">
        <v>16</v>
      </c>
      <c r="G797" s="17">
        <v>0.32036661511299436</v>
      </c>
      <c r="H797" s="4" t="s">
        <v>1</v>
      </c>
      <c r="I797" s="14"/>
    </row>
    <row r="798" spans="1:9" x14ac:dyDescent="0.25">
      <c r="A798" s="14">
        <v>2013</v>
      </c>
      <c r="B798" s="14">
        <v>176</v>
      </c>
      <c r="C798" s="20">
        <v>41450</v>
      </c>
      <c r="D798" s="16">
        <v>0.4680555555555555</v>
      </c>
      <c r="E798" s="14">
        <v>170</v>
      </c>
      <c r="F798" s="23">
        <v>17</v>
      </c>
      <c r="G798" s="17">
        <v>0.32054279519774015</v>
      </c>
      <c r="H798" s="4" t="s">
        <v>124</v>
      </c>
      <c r="I798" s="14"/>
    </row>
    <row r="799" spans="1:9" x14ac:dyDescent="0.25">
      <c r="A799" s="14">
        <v>2013</v>
      </c>
      <c r="B799" s="14">
        <v>176</v>
      </c>
      <c r="C799" s="20">
        <v>41450</v>
      </c>
      <c r="D799" s="16">
        <v>0.47430555555555554</v>
      </c>
      <c r="E799" s="14">
        <v>170</v>
      </c>
      <c r="F799" s="23">
        <v>18</v>
      </c>
      <c r="G799" s="17">
        <v>0.32890156144067795</v>
      </c>
      <c r="H799" s="4" t="s">
        <v>124</v>
      </c>
      <c r="I799" s="14"/>
    </row>
    <row r="800" spans="1:9" x14ac:dyDescent="0.25">
      <c r="A800" s="14">
        <v>2013</v>
      </c>
      <c r="B800" s="14">
        <v>176</v>
      </c>
      <c r="C800" s="20">
        <v>41450</v>
      </c>
      <c r="D800" s="16">
        <v>0.48055555555555557</v>
      </c>
      <c r="E800" s="14">
        <v>170</v>
      </c>
      <c r="F800" s="23">
        <v>19</v>
      </c>
      <c r="G800" s="17">
        <v>0.31537484604519772</v>
      </c>
      <c r="H800" s="4" t="s">
        <v>124</v>
      </c>
      <c r="I800" s="14"/>
    </row>
    <row r="801" spans="1:9" x14ac:dyDescent="0.25">
      <c r="A801" s="14">
        <v>2013</v>
      </c>
      <c r="B801" s="14">
        <v>176</v>
      </c>
      <c r="C801" s="20">
        <v>41450</v>
      </c>
      <c r="D801" s="16">
        <v>0.48819444444444443</v>
      </c>
      <c r="E801" s="14">
        <v>170</v>
      </c>
      <c r="F801" s="23">
        <v>20</v>
      </c>
      <c r="G801" s="17">
        <v>0.32101260875706217</v>
      </c>
      <c r="H801" s="4" t="s">
        <v>124</v>
      </c>
      <c r="I801" s="14"/>
    </row>
    <row r="802" spans="1:9" x14ac:dyDescent="0.25">
      <c r="A802" s="14">
        <v>2013</v>
      </c>
      <c r="B802" s="14">
        <v>176</v>
      </c>
      <c r="C802" s="20">
        <v>41450</v>
      </c>
      <c r="D802" s="16">
        <v>0.36388888888888887</v>
      </c>
      <c r="E802" s="14">
        <v>150</v>
      </c>
      <c r="F802" s="23">
        <v>1</v>
      </c>
      <c r="G802" s="17">
        <v>0.33422611511299438</v>
      </c>
      <c r="H802" s="4" t="s">
        <v>123</v>
      </c>
      <c r="I802" s="14"/>
    </row>
    <row r="803" spans="1:9" x14ac:dyDescent="0.25">
      <c r="A803" s="14">
        <v>2013</v>
      </c>
      <c r="B803" s="14">
        <v>176</v>
      </c>
      <c r="C803" s="20">
        <v>41450</v>
      </c>
      <c r="D803" s="16">
        <v>0.37152777777777773</v>
      </c>
      <c r="E803" s="14">
        <v>150</v>
      </c>
      <c r="F803" s="23">
        <v>2</v>
      </c>
      <c r="G803" s="17">
        <v>0.32782490536723169</v>
      </c>
      <c r="H803" s="4" t="s">
        <v>123</v>
      </c>
      <c r="I803" s="14"/>
    </row>
    <row r="804" spans="1:9" x14ac:dyDescent="0.25">
      <c r="A804" s="14">
        <v>2013</v>
      </c>
      <c r="B804" s="14">
        <v>176</v>
      </c>
      <c r="C804" s="20">
        <v>41450</v>
      </c>
      <c r="D804" s="16">
        <v>0.37777777777777777</v>
      </c>
      <c r="E804" s="14">
        <v>150</v>
      </c>
      <c r="F804" s="23">
        <v>3</v>
      </c>
      <c r="G804" s="17">
        <v>0.31026562358757065</v>
      </c>
      <c r="H804" s="4" t="s">
        <v>123</v>
      </c>
      <c r="I804" s="14"/>
    </row>
    <row r="805" spans="1:9" x14ac:dyDescent="0.25">
      <c r="A805" s="14">
        <v>2013</v>
      </c>
      <c r="B805" s="14">
        <v>176</v>
      </c>
      <c r="C805" s="20">
        <v>41450</v>
      </c>
      <c r="D805" s="16">
        <v>0.3833333333333333</v>
      </c>
      <c r="E805" s="14">
        <v>150</v>
      </c>
      <c r="F805" s="23">
        <v>4</v>
      </c>
      <c r="G805" s="17">
        <v>0.29695423940677967</v>
      </c>
      <c r="H805" s="4" t="s">
        <v>123</v>
      </c>
      <c r="I805" s="14"/>
    </row>
    <row r="806" spans="1:9" x14ac:dyDescent="0.25">
      <c r="A806" s="14">
        <v>2013</v>
      </c>
      <c r="B806" s="14">
        <v>176</v>
      </c>
      <c r="C806" s="20">
        <v>41450</v>
      </c>
      <c r="D806" s="16">
        <v>0.38958333333333334</v>
      </c>
      <c r="E806" s="14">
        <v>150</v>
      </c>
      <c r="F806" s="23">
        <v>5</v>
      </c>
      <c r="G806" s="17">
        <v>0.35495663841807912</v>
      </c>
      <c r="H806" s="4" t="s">
        <v>0</v>
      </c>
      <c r="I806" s="14"/>
    </row>
    <row r="807" spans="1:9" x14ac:dyDescent="0.25">
      <c r="A807" s="14">
        <v>2013</v>
      </c>
      <c r="B807" s="14">
        <v>176</v>
      </c>
      <c r="C807" s="20">
        <v>41450</v>
      </c>
      <c r="D807" s="16">
        <v>0.38958333333333334</v>
      </c>
      <c r="E807" s="14">
        <v>150</v>
      </c>
      <c r="F807" s="23">
        <v>6</v>
      </c>
      <c r="G807" s="17">
        <v>0.34689150564971755</v>
      </c>
      <c r="H807" s="4" t="s">
        <v>0</v>
      </c>
      <c r="I807" s="14"/>
    </row>
    <row r="808" spans="1:9" x14ac:dyDescent="0.25">
      <c r="A808" s="14">
        <v>2013</v>
      </c>
      <c r="B808" s="14">
        <v>176</v>
      </c>
      <c r="C808" s="20">
        <v>41450</v>
      </c>
      <c r="D808" s="16">
        <v>0.39999999999999997</v>
      </c>
      <c r="E808" s="14">
        <v>150</v>
      </c>
      <c r="F808" s="23">
        <v>7</v>
      </c>
      <c r="G808" s="17">
        <v>0.33113317584745766</v>
      </c>
      <c r="H808" s="4" t="s">
        <v>123</v>
      </c>
      <c r="I808" s="14"/>
    </row>
    <row r="809" spans="1:9" x14ac:dyDescent="0.25">
      <c r="A809" s="14">
        <v>2013</v>
      </c>
      <c r="B809" s="14">
        <v>176</v>
      </c>
      <c r="C809" s="20">
        <v>41450</v>
      </c>
      <c r="D809" s="16">
        <v>0.40625</v>
      </c>
      <c r="E809" s="14">
        <v>150</v>
      </c>
      <c r="F809" s="23">
        <v>8</v>
      </c>
      <c r="G809" s="17">
        <v>0.34616720974576271</v>
      </c>
      <c r="H809" s="4" t="s">
        <v>123</v>
      </c>
      <c r="I809" s="14"/>
    </row>
    <row r="810" spans="1:9" x14ac:dyDescent="0.25">
      <c r="A810" s="14">
        <v>2013</v>
      </c>
      <c r="B810" s="14">
        <v>176</v>
      </c>
      <c r="C810" s="20">
        <v>41450</v>
      </c>
      <c r="D810" s="16">
        <v>0.41250000000000003</v>
      </c>
      <c r="E810" s="14">
        <v>150</v>
      </c>
      <c r="F810" s="23">
        <v>9</v>
      </c>
      <c r="G810" s="17">
        <v>0.33134850706214691</v>
      </c>
      <c r="H810" s="4" t="s">
        <v>123</v>
      </c>
      <c r="I810" s="14"/>
    </row>
    <row r="811" spans="1:9" x14ac:dyDescent="0.25">
      <c r="A811" s="14">
        <v>2013</v>
      </c>
      <c r="B811" s="14">
        <v>176</v>
      </c>
      <c r="C811" s="20">
        <v>41450</v>
      </c>
      <c r="D811" s="16">
        <v>0.41875000000000001</v>
      </c>
      <c r="E811" s="14">
        <v>150</v>
      </c>
      <c r="F811" s="23">
        <v>10</v>
      </c>
      <c r="G811" s="17">
        <v>0.35315568644067796</v>
      </c>
      <c r="H811" s="4" t="s">
        <v>123</v>
      </c>
      <c r="I811" s="14"/>
    </row>
    <row r="812" spans="1:9" x14ac:dyDescent="0.25">
      <c r="A812" s="14">
        <v>2013</v>
      </c>
      <c r="B812" s="14">
        <v>176</v>
      </c>
      <c r="C812" s="20">
        <v>41450</v>
      </c>
      <c r="D812" s="16">
        <v>0.43194444444444446</v>
      </c>
      <c r="E812" s="14">
        <v>150</v>
      </c>
      <c r="F812" s="23">
        <v>11</v>
      </c>
      <c r="G812" s="17">
        <v>0.33866976836158191</v>
      </c>
      <c r="H812" s="4" t="s">
        <v>124</v>
      </c>
      <c r="I812" s="14"/>
    </row>
    <row r="813" spans="1:9" x14ac:dyDescent="0.25">
      <c r="A813" s="14">
        <v>2013</v>
      </c>
      <c r="B813" s="14">
        <v>176</v>
      </c>
      <c r="C813" s="20">
        <v>41450</v>
      </c>
      <c r="D813" s="16">
        <v>0.4381944444444445</v>
      </c>
      <c r="E813" s="14">
        <v>150</v>
      </c>
      <c r="F813" s="23">
        <v>12</v>
      </c>
      <c r="G813" s="17">
        <v>0.34411177542372878</v>
      </c>
      <c r="H813" s="4" t="s">
        <v>124</v>
      </c>
      <c r="I813" s="14"/>
    </row>
    <row r="814" spans="1:9" x14ac:dyDescent="0.25">
      <c r="A814" s="14">
        <v>2013</v>
      </c>
      <c r="B814" s="14">
        <v>176</v>
      </c>
      <c r="C814" s="20">
        <v>41450</v>
      </c>
      <c r="D814" s="16">
        <v>0.44513888888888892</v>
      </c>
      <c r="E814" s="14">
        <v>150</v>
      </c>
      <c r="F814" s="23">
        <v>13</v>
      </c>
      <c r="G814" s="17">
        <v>0.31331941172316385</v>
      </c>
      <c r="H814" s="4" t="s">
        <v>124</v>
      </c>
      <c r="I814" s="14"/>
    </row>
    <row r="815" spans="1:9" x14ac:dyDescent="0.25">
      <c r="A815" s="14">
        <v>2013</v>
      </c>
      <c r="B815" s="14">
        <v>176</v>
      </c>
      <c r="C815" s="20">
        <v>41450</v>
      </c>
      <c r="D815" s="16">
        <v>0.4513888888888889</v>
      </c>
      <c r="E815" s="14">
        <v>150</v>
      </c>
      <c r="F815" s="23">
        <v>14</v>
      </c>
      <c r="G815" s="17">
        <v>0.30507809887005649</v>
      </c>
      <c r="H815" s="4" t="s">
        <v>124</v>
      </c>
      <c r="I815" s="14"/>
    </row>
    <row r="816" spans="1:9" x14ac:dyDescent="0.25">
      <c r="A816" s="14">
        <v>2013</v>
      </c>
      <c r="B816" s="14">
        <v>176</v>
      </c>
      <c r="C816" s="20">
        <v>41450</v>
      </c>
      <c r="D816" s="16">
        <v>0.45208333333333334</v>
      </c>
      <c r="E816" s="14">
        <v>150</v>
      </c>
      <c r="F816" s="23">
        <v>15</v>
      </c>
      <c r="G816" s="17">
        <v>0.34031411581920906</v>
      </c>
      <c r="H816" s="4" t="s">
        <v>1</v>
      </c>
      <c r="I816" s="14"/>
    </row>
    <row r="817" spans="1:9" x14ac:dyDescent="0.25">
      <c r="A817" s="14">
        <v>2013</v>
      </c>
      <c r="B817" s="14">
        <v>176</v>
      </c>
      <c r="C817" s="20">
        <v>41450</v>
      </c>
      <c r="D817" s="16">
        <v>0.46319444444444446</v>
      </c>
      <c r="E817" s="14">
        <v>150</v>
      </c>
      <c r="F817" s="23">
        <v>16</v>
      </c>
      <c r="G817" s="17">
        <v>0.32588692443502826</v>
      </c>
      <c r="H817" s="4" t="s">
        <v>1</v>
      </c>
      <c r="I817" s="14"/>
    </row>
    <row r="818" spans="1:9" x14ac:dyDescent="0.25">
      <c r="A818" s="14">
        <v>2013</v>
      </c>
      <c r="B818" s="14">
        <v>176</v>
      </c>
      <c r="C818" s="20">
        <v>41450</v>
      </c>
      <c r="D818" s="16">
        <v>0.4680555555555555</v>
      </c>
      <c r="E818" s="14">
        <v>150</v>
      </c>
      <c r="F818" s="23">
        <v>17</v>
      </c>
      <c r="G818" s="17">
        <v>0.32784448093220342</v>
      </c>
      <c r="H818" s="4" t="s">
        <v>124</v>
      </c>
      <c r="I818" s="14"/>
    </row>
    <row r="819" spans="1:9" x14ac:dyDescent="0.25">
      <c r="A819" s="14">
        <v>2013</v>
      </c>
      <c r="B819" s="14">
        <v>176</v>
      </c>
      <c r="C819" s="20">
        <v>41450</v>
      </c>
      <c r="D819" s="16">
        <v>0.47430555555555554</v>
      </c>
      <c r="E819" s="14">
        <v>150</v>
      </c>
      <c r="F819" s="23">
        <v>18</v>
      </c>
      <c r="G819" s="17">
        <v>0.33128978036723167</v>
      </c>
      <c r="H819" s="4" t="s">
        <v>124</v>
      </c>
      <c r="I819" s="14"/>
    </row>
    <row r="820" spans="1:9" x14ac:dyDescent="0.25">
      <c r="A820" s="14">
        <v>2013</v>
      </c>
      <c r="B820" s="14">
        <v>176</v>
      </c>
      <c r="C820" s="20">
        <v>41450</v>
      </c>
      <c r="D820" s="16">
        <v>0.48055555555555557</v>
      </c>
      <c r="E820" s="14">
        <v>150</v>
      </c>
      <c r="F820" s="23">
        <v>19</v>
      </c>
      <c r="G820" s="17">
        <v>0.33430441737288136</v>
      </c>
      <c r="H820" s="4" t="s">
        <v>124</v>
      </c>
      <c r="I820" s="14"/>
    </row>
    <row r="821" spans="1:9" x14ac:dyDescent="0.25">
      <c r="A821" s="14">
        <v>2013</v>
      </c>
      <c r="B821" s="14">
        <v>176</v>
      </c>
      <c r="C821" s="20">
        <v>41450</v>
      </c>
      <c r="D821" s="16">
        <v>0.48819444444444443</v>
      </c>
      <c r="E821" s="14">
        <v>150</v>
      </c>
      <c r="F821" s="23">
        <v>20</v>
      </c>
      <c r="G821" s="17">
        <v>0.34473819350282486</v>
      </c>
      <c r="H821" s="4" t="s">
        <v>124</v>
      </c>
      <c r="I821" s="14"/>
    </row>
    <row r="822" spans="1:9" x14ac:dyDescent="0.25">
      <c r="A822" s="14">
        <v>2013</v>
      </c>
      <c r="B822" s="14">
        <v>176</v>
      </c>
      <c r="C822" s="20">
        <v>41450</v>
      </c>
      <c r="D822" s="16">
        <v>0.36388888888888887</v>
      </c>
      <c r="E822" s="14">
        <v>130</v>
      </c>
      <c r="F822" s="23">
        <v>1</v>
      </c>
      <c r="G822" s="17">
        <v>0.30969793220338981</v>
      </c>
      <c r="H822" s="4" t="s">
        <v>123</v>
      </c>
      <c r="I822" s="14"/>
    </row>
    <row r="823" spans="1:9" x14ac:dyDescent="0.25">
      <c r="A823" s="14">
        <v>2013</v>
      </c>
      <c r="B823" s="14">
        <v>176</v>
      </c>
      <c r="C823" s="20">
        <v>41450</v>
      </c>
      <c r="D823" s="16">
        <v>0.37152777777777773</v>
      </c>
      <c r="E823" s="14">
        <v>130</v>
      </c>
      <c r="F823" s="23">
        <v>2</v>
      </c>
      <c r="G823" s="17">
        <v>0.31312365607344633</v>
      </c>
      <c r="H823" s="4" t="s">
        <v>123</v>
      </c>
      <c r="I823" s="14"/>
    </row>
    <row r="824" spans="1:9" x14ac:dyDescent="0.25">
      <c r="A824" s="14">
        <v>2013</v>
      </c>
      <c r="B824" s="14">
        <v>176</v>
      </c>
      <c r="C824" s="20">
        <v>41450</v>
      </c>
      <c r="D824" s="16">
        <v>0.37777777777777777</v>
      </c>
      <c r="E824" s="14">
        <v>130</v>
      </c>
      <c r="F824" s="23">
        <v>3</v>
      </c>
      <c r="G824" s="17">
        <v>0.30417762288135591</v>
      </c>
      <c r="H824" s="4" t="s">
        <v>123</v>
      </c>
      <c r="I824" s="14"/>
    </row>
    <row r="825" spans="1:9" x14ac:dyDescent="0.25">
      <c r="A825" s="14">
        <v>2013</v>
      </c>
      <c r="B825" s="14">
        <v>176</v>
      </c>
      <c r="C825" s="20">
        <v>41450</v>
      </c>
      <c r="D825" s="16">
        <v>0.3833333333333333</v>
      </c>
      <c r="E825" s="14">
        <v>130</v>
      </c>
      <c r="F825" s="23">
        <v>4</v>
      </c>
      <c r="G825" s="17">
        <v>0.30672244632768364</v>
      </c>
      <c r="H825" s="4" t="s">
        <v>123</v>
      </c>
      <c r="I825" s="14"/>
    </row>
    <row r="826" spans="1:9" x14ac:dyDescent="0.25">
      <c r="A826" s="14">
        <v>2013</v>
      </c>
      <c r="B826" s="14">
        <v>176</v>
      </c>
      <c r="C826" s="20">
        <v>41450</v>
      </c>
      <c r="D826" s="16">
        <v>0.38958333333333334</v>
      </c>
      <c r="E826" s="14">
        <v>130</v>
      </c>
      <c r="F826" s="23">
        <v>5</v>
      </c>
      <c r="G826" s="17">
        <v>0.31909420338983052</v>
      </c>
      <c r="H826" s="4" t="s">
        <v>0</v>
      </c>
      <c r="I826" s="14"/>
    </row>
    <row r="827" spans="1:9" x14ac:dyDescent="0.25">
      <c r="A827" s="14">
        <v>2013</v>
      </c>
      <c r="B827" s="14">
        <v>176</v>
      </c>
      <c r="C827" s="20">
        <v>41450</v>
      </c>
      <c r="D827" s="16">
        <v>0.38958333333333334</v>
      </c>
      <c r="E827" s="14">
        <v>130</v>
      </c>
      <c r="F827" s="23">
        <v>6</v>
      </c>
      <c r="G827" s="17">
        <v>0.3024941242937853</v>
      </c>
      <c r="H827" s="4" t="s">
        <v>0</v>
      </c>
      <c r="I827" s="14"/>
    </row>
    <row r="828" spans="1:9" x14ac:dyDescent="0.25">
      <c r="A828" s="14">
        <v>2013</v>
      </c>
      <c r="B828" s="14">
        <v>176</v>
      </c>
      <c r="C828" s="20">
        <v>41450</v>
      </c>
      <c r="D828" s="16">
        <v>0.39999999999999997</v>
      </c>
      <c r="E828" s="14">
        <v>130</v>
      </c>
      <c r="F828" s="23">
        <v>7</v>
      </c>
      <c r="G828" s="17">
        <v>0.31378922528248587</v>
      </c>
      <c r="H828" s="4" t="s">
        <v>123</v>
      </c>
      <c r="I828" s="14"/>
    </row>
    <row r="829" spans="1:9" x14ac:dyDescent="0.25">
      <c r="A829" s="14">
        <v>2013</v>
      </c>
      <c r="B829" s="14">
        <v>176</v>
      </c>
      <c r="C829" s="20">
        <v>41450</v>
      </c>
      <c r="D829" s="16">
        <v>0.40625</v>
      </c>
      <c r="E829" s="14">
        <v>130</v>
      </c>
      <c r="F829" s="23">
        <v>8</v>
      </c>
      <c r="G829" s="17">
        <v>0.33346266807909603</v>
      </c>
      <c r="H829" s="4" t="s">
        <v>123</v>
      </c>
      <c r="I829" s="14"/>
    </row>
    <row r="830" spans="1:9" x14ac:dyDescent="0.25">
      <c r="A830" s="14">
        <v>2013</v>
      </c>
      <c r="B830" s="14">
        <v>176</v>
      </c>
      <c r="C830" s="20">
        <v>41450</v>
      </c>
      <c r="D830" s="16">
        <v>0.41250000000000003</v>
      </c>
      <c r="E830" s="14">
        <v>130</v>
      </c>
      <c r="F830" s="23">
        <v>9</v>
      </c>
      <c r="G830" s="17">
        <v>0.30789698022598871</v>
      </c>
      <c r="H830" s="4" t="s">
        <v>123</v>
      </c>
      <c r="I830" s="14"/>
    </row>
    <row r="831" spans="1:9" x14ac:dyDescent="0.25">
      <c r="A831" s="14">
        <v>2013</v>
      </c>
      <c r="B831" s="14">
        <v>176</v>
      </c>
      <c r="C831" s="20">
        <v>41450</v>
      </c>
      <c r="D831" s="16">
        <v>0.41875000000000001</v>
      </c>
      <c r="E831" s="14">
        <v>130</v>
      </c>
      <c r="F831" s="23">
        <v>10</v>
      </c>
      <c r="G831" s="17">
        <v>0.31576635734463282</v>
      </c>
      <c r="H831" s="4" t="s">
        <v>123</v>
      </c>
      <c r="I831" s="14"/>
    </row>
    <row r="832" spans="1:9" x14ac:dyDescent="0.25">
      <c r="A832" s="14">
        <v>2013</v>
      </c>
      <c r="B832" s="14">
        <v>176</v>
      </c>
      <c r="C832" s="20">
        <v>41450</v>
      </c>
      <c r="D832" s="16">
        <v>0.43194444444444446</v>
      </c>
      <c r="E832" s="14">
        <v>130</v>
      </c>
      <c r="F832" s="23">
        <v>11</v>
      </c>
      <c r="G832" s="17">
        <v>0.30920854307909607</v>
      </c>
      <c r="H832" s="4" t="s">
        <v>124</v>
      </c>
      <c r="I832" s="14"/>
    </row>
    <row r="833" spans="1:9" x14ac:dyDescent="0.25">
      <c r="A833" s="14">
        <v>2013</v>
      </c>
      <c r="B833" s="14">
        <v>176</v>
      </c>
      <c r="C833" s="20">
        <v>41450</v>
      </c>
      <c r="D833" s="16">
        <v>0.4381944444444445</v>
      </c>
      <c r="E833" s="14">
        <v>130</v>
      </c>
      <c r="F833" s="23">
        <v>12</v>
      </c>
      <c r="G833" s="17">
        <v>0.29438984039548022</v>
      </c>
      <c r="H833" s="4" t="s">
        <v>124</v>
      </c>
      <c r="I833" s="14"/>
    </row>
    <row r="834" spans="1:9" x14ac:dyDescent="0.25">
      <c r="A834" s="14">
        <v>2013</v>
      </c>
      <c r="B834" s="14">
        <v>176</v>
      </c>
      <c r="C834" s="20">
        <v>41450</v>
      </c>
      <c r="D834" s="16">
        <v>0.44513888888888892</v>
      </c>
      <c r="E834" s="14">
        <v>130</v>
      </c>
      <c r="F834" s="23">
        <v>13</v>
      </c>
      <c r="G834" s="17">
        <v>0.32392936793785315</v>
      </c>
      <c r="H834" s="4" t="s">
        <v>124</v>
      </c>
      <c r="I834" s="14"/>
    </row>
    <row r="835" spans="1:9" x14ac:dyDescent="0.25">
      <c r="A835" s="14">
        <v>2013</v>
      </c>
      <c r="B835" s="14">
        <v>176</v>
      </c>
      <c r="C835" s="20">
        <v>41450</v>
      </c>
      <c r="D835" s="16">
        <v>0.4513888888888889</v>
      </c>
      <c r="E835" s="14">
        <v>130</v>
      </c>
      <c r="F835" s="23">
        <v>14</v>
      </c>
      <c r="G835" s="17">
        <v>0.31100949505649716</v>
      </c>
      <c r="H835" s="4" t="s">
        <v>124</v>
      </c>
      <c r="I835" s="14"/>
    </row>
    <row r="836" spans="1:9" x14ac:dyDescent="0.25">
      <c r="A836" s="14">
        <v>2013</v>
      </c>
      <c r="B836" s="14">
        <v>176</v>
      </c>
      <c r="C836" s="20">
        <v>41450</v>
      </c>
      <c r="D836" s="16">
        <v>0.45208333333333334</v>
      </c>
      <c r="E836" s="14">
        <v>130</v>
      </c>
      <c r="F836" s="23">
        <v>15</v>
      </c>
      <c r="G836" s="17">
        <v>0.30216133968926556</v>
      </c>
      <c r="H836" s="4" t="s">
        <v>1</v>
      </c>
      <c r="I836" s="14"/>
    </row>
    <row r="837" spans="1:9" x14ac:dyDescent="0.25">
      <c r="A837" s="14">
        <v>2013</v>
      </c>
      <c r="B837" s="14">
        <v>176</v>
      </c>
      <c r="C837" s="20">
        <v>41450</v>
      </c>
      <c r="D837" s="16">
        <v>0.46319444444444446</v>
      </c>
      <c r="E837" s="14">
        <v>130</v>
      </c>
      <c r="F837" s="23">
        <v>16</v>
      </c>
      <c r="G837" s="17">
        <v>0.29693466384180794</v>
      </c>
      <c r="H837" s="4" t="s">
        <v>1</v>
      </c>
      <c r="I837" s="14"/>
    </row>
    <row r="838" spans="1:9" x14ac:dyDescent="0.25">
      <c r="A838" s="14">
        <v>2013</v>
      </c>
      <c r="B838" s="14">
        <v>176</v>
      </c>
      <c r="C838" s="20">
        <v>41450</v>
      </c>
      <c r="D838" s="16">
        <v>0.4680555555555555</v>
      </c>
      <c r="E838" s="14">
        <v>130</v>
      </c>
      <c r="F838" s="23">
        <v>17</v>
      </c>
      <c r="G838" s="17">
        <v>0.31341728954802262</v>
      </c>
      <c r="H838" s="4" t="s">
        <v>124</v>
      </c>
      <c r="I838" s="14"/>
    </row>
    <row r="839" spans="1:9" x14ac:dyDescent="0.25">
      <c r="A839" s="14">
        <v>2013</v>
      </c>
      <c r="B839" s="14">
        <v>176</v>
      </c>
      <c r="C839" s="20">
        <v>41450</v>
      </c>
      <c r="D839" s="16">
        <v>0.47430555555555554</v>
      </c>
      <c r="E839" s="14">
        <v>130</v>
      </c>
      <c r="F839" s="23">
        <v>18</v>
      </c>
      <c r="G839" s="17">
        <v>0.31028519915254238</v>
      </c>
      <c r="H839" s="4" t="s">
        <v>124</v>
      </c>
      <c r="I839" s="14"/>
    </row>
    <row r="840" spans="1:9" x14ac:dyDescent="0.25">
      <c r="A840" s="14">
        <v>2013</v>
      </c>
      <c r="B840" s="14">
        <v>176</v>
      </c>
      <c r="C840" s="20">
        <v>41450</v>
      </c>
      <c r="D840" s="16">
        <v>0.48055555555555557</v>
      </c>
      <c r="E840" s="14">
        <v>130</v>
      </c>
      <c r="F840" s="23">
        <v>19</v>
      </c>
      <c r="G840" s="17">
        <v>0.3071531087570622</v>
      </c>
      <c r="H840" s="4" t="s">
        <v>124</v>
      </c>
      <c r="I840" s="14"/>
    </row>
    <row r="841" spans="1:9" x14ac:dyDescent="0.25">
      <c r="A841" s="14">
        <v>2013</v>
      </c>
      <c r="B841" s="14">
        <v>176</v>
      </c>
      <c r="C841" s="20">
        <v>41450</v>
      </c>
      <c r="D841" s="16">
        <v>0.48819444444444443</v>
      </c>
      <c r="E841" s="14">
        <v>130</v>
      </c>
      <c r="F841" s="23">
        <v>20</v>
      </c>
      <c r="G841" s="17">
        <v>0.29922500494350285</v>
      </c>
      <c r="H841" s="4" t="s">
        <v>124</v>
      </c>
      <c r="I841" s="14"/>
    </row>
    <row r="842" spans="1:9" x14ac:dyDescent="0.25">
      <c r="A842" s="14">
        <v>2013</v>
      </c>
      <c r="B842" s="14">
        <v>176</v>
      </c>
      <c r="C842" s="20">
        <v>41450</v>
      </c>
      <c r="D842" s="16">
        <v>0.36388888888888887</v>
      </c>
      <c r="E842" s="14">
        <v>110</v>
      </c>
      <c r="F842" s="23">
        <v>1</v>
      </c>
      <c r="G842" s="17">
        <v>0.34627223516949152</v>
      </c>
      <c r="H842" s="4" t="s">
        <v>123</v>
      </c>
      <c r="I842" s="14"/>
    </row>
    <row r="843" spans="1:9" x14ac:dyDescent="0.25">
      <c r="A843" s="14">
        <v>2013</v>
      </c>
      <c r="B843" s="14">
        <v>176</v>
      </c>
      <c r="C843" s="20">
        <v>41450</v>
      </c>
      <c r="D843" s="16">
        <v>0.37152777777777773</v>
      </c>
      <c r="E843" s="14">
        <v>110</v>
      </c>
      <c r="F843" s="23">
        <v>2</v>
      </c>
      <c r="G843" s="17">
        <v>0.33770546398305085</v>
      </c>
      <c r="H843" s="4" t="s">
        <v>123</v>
      </c>
      <c r="I843" s="14"/>
    </row>
    <row r="844" spans="1:9" x14ac:dyDescent="0.25">
      <c r="A844" s="14">
        <v>2013</v>
      </c>
      <c r="B844" s="14">
        <v>176</v>
      </c>
      <c r="C844" s="20">
        <v>41450</v>
      </c>
      <c r="D844" s="16">
        <v>0.37777777777777777</v>
      </c>
      <c r="E844" s="14">
        <v>110</v>
      </c>
      <c r="F844" s="23">
        <v>3</v>
      </c>
      <c r="G844" s="17">
        <v>0.3283787372881356</v>
      </c>
      <c r="H844" s="4" t="s">
        <v>123</v>
      </c>
      <c r="I844" s="14"/>
    </row>
    <row r="845" spans="1:9" x14ac:dyDescent="0.25">
      <c r="A845" s="14">
        <v>2013</v>
      </c>
      <c r="B845" s="14">
        <v>176</v>
      </c>
      <c r="C845" s="20">
        <v>41450</v>
      </c>
      <c r="D845" s="16">
        <v>0.3833333333333333</v>
      </c>
      <c r="E845" s="14">
        <v>110</v>
      </c>
      <c r="F845" s="23">
        <v>4</v>
      </c>
      <c r="G845" s="17">
        <v>0.33607040819209039</v>
      </c>
      <c r="H845" s="4" t="s">
        <v>123</v>
      </c>
      <c r="I845" s="14"/>
    </row>
    <row r="846" spans="1:9" x14ac:dyDescent="0.25">
      <c r="A846" s="14">
        <v>2013</v>
      </c>
      <c r="B846" s="14">
        <v>176</v>
      </c>
      <c r="C846" s="20">
        <v>41450</v>
      </c>
      <c r="D846" s="16">
        <v>0.38958333333333334</v>
      </c>
      <c r="E846" s="14">
        <v>110</v>
      </c>
      <c r="F846" s="23">
        <v>5</v>
      </c>
      <c r="G846" s="17">
        <v>0.34049196751412425</v>
      </c>
      <c r="H846" s="4" t="s">
        <v>0</v>
      </c>
      <c r="I846" s="14"/>
    </row>
    <row r="847" spans="1:9" x14ac:dyDescent="0.25">
      <c r="A847" s="14">
        <v>2013</v>
      </c>
      <c r="B847" s="14">
        <v>176</v>
      </c>
      <c r="C847" s="20">
        <v>41450</v>
      </c>
      <c r="D847" s="16">
        <v>0.38958333333333334</v>
      </c>
      <c r="E847" s="14">
        <v>110</v>
      </c>
      <c r="F847" s="23">
        <v>6</v>
      </c>
      <c r="G847" s="17">
        <v>0.32704305790960453</v>
      </c>
      <c r="H847" s="4" t="s">
        <v>0</v>
      </c>
      <c r="I847" s="14"/>
    </row>
    <row r="848" spans="1:9" x14ac:dyDescent="0.25">
      <c r="A848" s="14">
        <v>2013</v>
      </c>
      <c r="B848" s="14">
        <v>176</v>
      </c>
      <c r="C848" s="20">
        <v>41450</v>
      </c>
      <c r="D848" s="16">
        <v>0.39999999999999997</v>
      </c>
      <c r="E848" s="14">
        <v>110</v>
      </c>
      <c r="F848" s="23">
        <v>7</v>
      </c>
      <c r="G848" s="17">
        <v>0.34765397245762714</v>
      </c>
      <c r="H848" s="4" t="s">
        <v>123</v>
      </c>
      <c r="I848" s="14"/>
    </row>
    <row r="849" spans="1:9" x14ac:dyDescent="0.25">
      <c r="A849" s="14">
        <v>2013</v>
      </c>
      <c r="B849" s="14">
        <v>176</v>
      </c>
      <c r="C849" s="20">
        <v>41450</v>
      </c>
      <c r="D849" s="16">
        <v>0.40625</v>
      </c>
      <c r="E849" s="14">
        <v>110</v>
      </c>
      <c r="F849" s="23">
        <v>8</v>
      </c>
      <c r="G849" s="17">
        <v>0.34314029731638418</v>
      </c>
      <c r="H849" s="4" t="s">
        <v>123</v>
      </c>
      <c r="I849" s="14"/>
    </row>
    <row r="850" spans="1:9" x14ac:dyDescent="0.25">
      <c r="A850" s="14">
        <v>2013</v>
      </c>
      <c r="B850" s="14">
        <v>176</v>
      </c>
      <c r="C850" s="20">
        <v>41450</v>
      </c>
      <c r="D850" s="16">
        <v>0.41250000000000003</v>
      </c>
      <c r="E850" s="14">
        <v>110</v>
      </c>
      <c r="F850" s="23">
        <v>9</v>
      </c>
      <c r="G850" s="17">
        <v>0.3372448848870056</v>
      </c>
      <c r="H850" s="4" t="s">
        <v>123</v>
      </c>
      <c r="I850" s="14"/>
    </row>
    <row r="851" spans="1:9" x14ac:dyDescent="0.25">
      <c r="A851" s="14">
        <v>2013</v>
      </c>
      <c r="B851" s="14">
        <v>176</v>
      </c>
      <c r="C851" s="20">
        <v>41450</v>
      </c>
      <c r="D851" s="16">
        <v>0.41875000000000001</v>
      </c>
      <c r="E851" s="14">
        <v>110</v>
      </c>
      <c r="F851" s="23">
        <v>10</v>
      </c>
      <c r="G851" s="17">
        <v>0.34565045338983047</v>
      </c>
      <c r="H851" s="4" t="s">
        <v>123</v>
      </c>
      <c r="I851" s="14"/>
    </row>
    <row r="852" spans="1:9" x14ac:dyDescent="0.25">
      <c r="A852" s="14">
        <v>2013</v>
      </c>
      <c r="B852" s="14">
        <v>176</v>
      </c>
      <c r="C852" s="20">
        <v>41450</v>
      </c>
      <c r="D852" s="16">
        <v>0.43194444444444446</v>
      </c>
      <c r="E852" s="14">
        <v>110</v>
      </c>
      <c r="F852" s="23">
        <v>11</v>
      </c>
      <c r="G852" s="17">
        <v>0.33098100918079099</v>
      </c>
      <c r="H852" s="4" t="s">
        <v>124</v>
      </c>
      <c r="I852" s="14"/>
    </row>
    <row r="853" spans="1:9" x14ac:dyDescent="0.25">
      <c r="A853" s="14">
        <v>2013</v>
      </c>
      <c r="B853" s="14">
        <v>176</v>
      </c>
      <c r="C853" s="20">
        <v>41450</v>
      </c>
      <c r="D853" s="16">
        <v>0.4381944444444445</v>
      </c>
      <c r="E853" s="14">
        <v>110</v>
      </c>
      <c r="F853" s="23">
        <v>12</v>
      </c>
      <c r="G853" s="17">
        <v>0.33947869350282484</v>
      </c>
      <c r="H853" s="4" t="s">
        <v>124</v>
      </c>
      <c r="I853" s="14"/>
    </row>
    <row r="854" spans="1:9" x14ac:dyDescent="0.25">
      <c r="A854" s="14">
        <v>2013</v>
      </c>
      <c r="B854" s="14">
        <v>176</v>
      </c>
      <c r="C854" s="20">
        <v>41450</v>
      </c>
      <c r="D854" s="16">
        <v>0.44513888888888892</v>
      </c>
      <c r="E854" s="14">
        <v>110</v>
      </c>
      <c r="F854" s="23">
        <v>13</v>
      </c>
      <c r="G854" s="17">
        <v>0.34606497457627117</v>
      </c>
      <c r="H854" s="4" t="s">
        <v>124</v>
      </c>
      <c r="I854" s="14"/>
    </row>
    <row r="855" spans="1:9" x14ac:dyDescent="0.25">
      <c r="A855" s="14">
        <v>2013</v>
      </c>
      <c r="B855" s="14">
        <v>176</v>
      </c>
      <c r="C855" s="20">
        <v>41450</v>
      </c>
      <c r="D855" s="16">
        <v>0.4513888888888889</v>
      </c>
      <c r="E855" s="14">
        <v>110</v>
      </c>
      <c r="F855" s="23">
        <v>14</v>
      </c>
      <c r="G855" s="17">
        <v>0.3272272895480226</v>
      </c>
      <c r="H855" s="4" t="s">
        <v>124</v>
      </c>
      <c r="I855" s="14"/>
    </row>
    <row r="856" spans="1:9" x14ac:dyDescent="0.25">
      <c r="A856" s="14">
        <v>2013</v>
      </c>
      <c r="B856" s="14">
        <v>176</v>
      </c>
      <c r="C856" s="20">
        <v>41450</v>
      </c>
      <c r="D856" s="16">
        <v>0.45208333333333334</v>
      </c>
      <c r="E856" s="14">
        <v>110</v>
      </c>
      <c r="F856" s="23">
        <v>15</v>
      </c>
      <c r="G856" s="17">
        <v>0.32865508474576266</v>
      </c>
      <c r="H856" s="4" t="s">
        <v>1</v>
      </c>
      <c r="I856" s="14"/>
    </row>
    <row r="857" spans="1:9" x14ac:dyDescent="0.25">
      <c r="A857" s="14">
        <v>2013</v>
      </c>
      <c r="B857" s="14">
        <v>176</v>
      </c>
      <c r="C857" s="20">
        <v>41450</v>
      </c>
      <c r="D857" s="16">
        <v>0.46319444444444446</v>
      </c>
      <c r="E857" s="14">
        <v>110</v>
      </c>
      <c r="F857" s="23">
        <v>16</v>
      </c>
      <c r="G857" s="17">
        <v>0.32450987288135591</v>
      </c>
      <c r="H857" s="4" t="s">
        <v>1</v>
      </c>
      <c r="I857" s="14"/>
    </row>
    <row r="858" spans="1:9" x14ac:dyDescent="0.25">
      <c r="A858" s="14">
        <v>2013</v>
      </c>
      <c r="B858" s="14">
        <v>176</v>
      </c>
      <c r="C858" s="20">
        <v>41450</v>
      </c>
      <c r="D858" s="16">
        <v>0.4680555555555555</v>
      </c>
      <c r="E858" s="14">
        <v>110</v>
      </c>
      <c r="F858" s="23">
        <v>17</v>
      </c>
      <c r="G858" s="17">
        <v>0.34583468502824855</v>
      </c>
      <c r="H858" s="4" t="s">
        <v>124</v>
      </c>
      <c r="I858" s="14"/>
    </row>
    <row r="859" spans="1:9" x14ac:dyDescent="0.25">
      <c r="A859" s="14">
        <v>2013</v>
      </c>
      <c r="B859" s="14">
        <v>176</v>
      </c>
      <c r="C859" s="20">
        <v>41450</v>
      </c>
      <c r="D859" s="16">
        <v>0.47430555555555554</v>
      </c>
      <c r="E859" s="14">
        <v>110</v>
      </c>
      <c r="F859" s="23">
        <v>18</v>
      </c>
      <c r="G859" s="17">
        <v>0.34247245762711864</v>
      </c>
      <c r="H859" s="4" t="s">
        <v>124</v>
      </c>
      <c r="I859" s="14"/>
    </row>
    <row r="860" spans="1:9" x14ac:dyDescent="0.25">
      <c r="A860" s="14">
        <v>2013</v>
      </c>
      <c r="B860" s="14">
        <v>176</v>
      </c>
      <c r="C860" s="20">
        <v>41450</v>
      </c>
      <c r="D860" s="16">
        <v>0.48055555555555557</v>
      </c>
      <c r="E860" s="14">
        <v>110</v>
      </c>
      <c r="F860" s="23">
        <v>19</v>
      </c>
      <c r="G860" s="17">
        <v>0.33957080932203387</v>
      </c>
      <c r="H860" s="4" t="s">
        <v>124</v>
      </c>
      <c r="I860" s="14"/>
    </row>
    <row r="861" spans="1:9" x14ac:dyDescent="0.25">
      <c r="A861" s="14">
        <v>2013</v>
      </c>
      <c r="B861" s="14">
        <v>176</v>
      </c>
      <c r="C861" s="20">
        <v>41450</v>
      </c>
      <c r="D861" s="16">
        <v>0.48819444444444443</v>
      </c>
      <c r="E861" s="14">
        <v>110</v>
      </c>
      <c r="F861" s="23">
        <v>20</v>
      </c>
      <c r="G861" s="17">
        <v>0.32925383757062143</v>
      </c>
      <c r="H861" s="4" t="s">
        <v>124</v>
      </c>
      <c r="I861" s="14"/>
    </row>
    <row r="862" spans="1:9" x14ac:dyDescent="0.25">
      <c r="A862" s="14">
        <v>2013</v>
      </c>
      <c r="B862" s="14">
        <v>176</v>
      </c>
      <c r="C862" s="20">
        <v>41450</v>
      </c>
      <c r="D862" s="16">
        <v>0.36388888888888887</v>
      </c>
      <c r="E862" s="14">
        <v>90</v>
      </c>
      <c r="F862" s="23">
        <v>1</v>
      </c>
      <c r="G862" s="17">
        <v>0.34267971822033899</v>
      </c>
      <c r="H862" s="4" t="s">
        <v>123</v>
      </c>
      <c r="I862" s="14"/>
    </row>
    <row r="863" spans="1:9" x14ac:dyDescent="0.25">
      <c r="A863" s="14">
        <v>2013</v>
      </c>
      <c r="B863" s="14">
        <v>176</v>
      </c>
      <c r="C863" s="20">
        <v>41450</v>
      </c>
      <c r="D863" s="16">
        <v>0.37152777777777773</v>
      </c>
      <c r="E863" s="14">
        <v>90</v>
      </c>
      <c r="F863" s="23">
        <v>2</v>
      </c>
      <c r="G863" s="17">
        <v>0.34827575423728813</v>
      </c>
      <c r="H863" s="4" t="s">
        <v>123</v>
      </c>
      <c r="I863" s="14"/>
    </row>
    <row r="864" spans="1:9" x14ac:dyDescent="0.25">
      <c r="A864" s="14">
        <v>2013</v>
      </c>
      <c r="B864" s="14">
        <v>176</v>
      </c>
      <c r="C864" s="20">
        <v>41450</v>
      </c>
      <c r="D864" s="16">
        <v>0.37777777777777777</v>
      </c>
      <c r="E864" s="14">
        <v>90</v>
      </c>
      <c r="F864" s="23">
        <v>3</v>
      </c>
      <c r="G864" s="17">
        <v>0.33639281355932205</v>
      </c>
      <c r="H864" s="4" t="s">
        <v>123</v>
      </c>
      <c r="I864" s="14"/>
    </row>
    <row r="865" spans="1:9" x14ac:dyDescent="0.25">
      <c r="A865" s="14">
        <v>2013</v>
      </c>
      <c r="B865" s="14">
        <v>176</v>
      </c>
      <c r="C865" s="20">
        <v>41450</v>
      </c>
      <c r="D865" s="16">
        <v>0.3833333333333333</v>
      </c>
      <c r="E865" s="14">
        <v>90</v>
      </c>
      <c r="F865" s="23">
        <v>4</v>
      </c>
      <c r="G865" s="17">
        <v>0.34115980720338984</v>
      </c>
      <c r="H865" s="4" t="s">
        <v>123</v>
      </c>
      <c r="I865" s="14"/>
    </row>
    <row r="866" spans="1:9" x14ac:dyDescent="0.25">
      <c r="A866" s="14">
        <v>2013</v>
      </c>
      <c r="B866" s="14">
        <v>176</v>
      </c>
      <c r="C866" s="20">
        <v>41450</v>
      </c>
      <c r="D866" s="16">
        <v>0.38958333333333334</v>
      </c>
      <c r="E866" s="14">
        <v>90</v>
      </c>
      <c r="F866" s="23">
        <v>5</v>
      </c>
      <c r="G866" s="17">
        <v>0.34191976271186442</v>
      </c>
      <c r="H866" s="4" t="s">
        <v>0</v>
      </c>
      <c r="I866" s="14"/>
    </row>
    <row r="867" spans="1:9" x14ac:dyDescent="0.25">
      <c r="A867" s="14">
        <v>2013</v>
      </c>
      <c r="B867" s="14">
        <v>176</v>
      </c>
      <c r="C867" s="20">
        <v>41450</v>
      </c>
      <c r="D867" s="16">
        <v>0.38958333333333334</v>
      </c>
      <c r="E867" s="14">
        <v>90</v>
      </c>
      <c r="F867" s="23">
        <v>6</v>
      </c>
      <c r="G867" s="17">
        <v>0.32803330296610167</v>
      </c>
      <c r="H867" s="4" t="s">
        <v>0</v>
      </c>
      <c r="I867" s="14"/>
    </row>
    <row r="868" spans="1:9" x14ac:dyDescent="0.25">
      <c r="A868" s="14">
        <v>2013</v>
      </c>
      <c r="B868" s="14">
        <v>176</v>
      </c>
      <c r="C868" s="20">
        <v>41450</v>
      </c>
      <c r="D868" s="16">
        <v>0.39999999999999997</v>
      </c>
      <c r="E868" s="14">
        <v>90</v>
      </c>
      <c r="F868" s="23">
        <v>7</v>
      </c>
      <c r="G868" s="17">
        <v>0.34767700141242935</v>
      </c>
      <c r="H868" s="4" t="s">
        <v>123</v>
      </c>
      <c r="I868" s="14"/>
    </row>
    <row r="869" spans="1:9" x14ac:dyDescent="0.25">
      <c r="A869" s="14">
        <v>2013</v>
      </c>
      <c r="B869" s="14">
        <v>176</v>
      </c>
      <c r="C869" s="20">
        <v>41450</v>
      </c>
      <c r="D869" s="16">
        <v>0.40625</v>
      </c>
      <c r="E869" s="14">
        <v>90</v>
      </c>
      <c r="F869" s="23">
        <v>8</v>
      </c>
      <c r="G869" s="17">
        <v>0.34081437288135591</v>
      </c>
      <c r="H869" s="4" t="s">
        <v>123</v>
      </c>
      <c r="I869" s="14"/>
    </row>
    <row r="870" spans="1:9" x14ac:dyDescent="0.25">
      <c r="A870" s="14">
        <v>2013</v>
      </c>
      <c r="B870" s="14">
        <v>176</v>
      </c>
      <c r="C870" s="20">
        <v>41450</v>
      </c>
      <c r="D870" s="16">
        <v>0.41250000000000003</v>
      </c>
      <c r="E870" s="14">
        <v>90</v>
      </c>
      <c r="F870" s="23">
        <v>9</v>
      </c>
      <c r="G870" s="17">
        <v>0.34261063135593217</v>
      </c>
      <c r="H870" s="4" t="s">
        <v>123</v>
      </c>
      <c r="I870" s="14"/>
    </row>
    <row r="871" spans="1:9" x14ac:dyDescent="0.25">
      <c r="A871" s="14">
        <v>2013</v>
      </c>
      <c r="B871" s="14">
        <v>176</v>
      </c>
      <c r="C871" s="20">
        <v>41450</v>
      </c>
      <c r="D871" s="16">
        <v>0.41875000000000001</v>
      </c>
      <c r="E871" s="14">
        <v>90</v>
      </c>
      <c r="F871" s="23">
        <v>10</v>
      </c>
      <c r="G871" s="17">
        <v>0.34493655579096039</v>
      </c>
      <c r="H871" s="4" t="s">
        <v>123</v>
      </c>
      <c r="I871" s="14"/>
    </row>
    <row r="872" spans="1:9" x14ac:dyDescent="0.25">
      <c r="A872" s="14">
        <v>2013</v>
      </c>
      <c r="B872" s="14">
        <v>176</v>
      </c>
      <c r="C872" s="20">
        <v>41450</v>
      </c>
      <c r="D872" s="16">
        <v>0.43194444444444446</v>
      </c>
      <c r="E872" s="14">
        <v>90</v>
      </c>
      <c r="F872" s="23">
        <v>11</v>
      </c>
      <c r="G872" s="17">
        <v>0.34608800353107338</v>
      </c>
      <c r="H872" s="4" t="s">
        <v>124</v>
      </c>
      <c r="I872" s="14"/>
    </row>
    <row r="873" spans="1:9" x14ac:dyDescent="0.25">
      <c r="A873" s="14">
        <v>2013</v>
      </c>
      <c r="B873" s="14">
        <v>176</v>
      </c>
      <c r="C873" s="20">
        <v>41450</v>
      </c>
      <c r="D873" s="16">
        <v>0.4381944444444445</v>
      </c>
      <c r="E873" s="14">
        <v>90</v>
      </c>
      <c r="F873" s="23">
        <v>12</v>
      </c>
      <c r="G873" s="17">
        <v>0.34390025282485875</v>
      </c>
      <c r="H873" s="4" t="s">
        <v>124</v>
      </c>
      <c r="I873" s="14"/>
    </row>
    <row r="874" spans="1:9" x14ac:dyDescent="0.25">
      <c r="A874" s="14">
        <v>2013</v>
      </c>
      <c r="B874" s="14">
        <v>176</v>
      </c>
      <c r="C874" s="20">
        <v>41450</v>
      </c>
      <c r="D874" s="16">
        <v>0.44513888888888892</v>
      </c>
      <c r="E874" s="14">
        <v>90</v>
      </c>
      <c r="F874" s="23">
        <v>13</v>
      </c>
      <c r="G874" s="17">
        <v>0.34327847104519771</v>
      </c>
      <c r="H874" s="4" t="s">
        <v>124</v>
      </c>
      <c r="I874" s="14"/>
    </row>
    <row r="875" spans="1:9" x14ac:dyDescent="0.25">
      <c r="A875" s="14">
        <v>2013</v>
      </c>
      <c r="B875" s="14">
        <v>176</v>
      </c>
      <c r="C875" s="20">
        <v>41450</v>
      </c>
      <c r="D875" s="16">
        <v>0.4513888888888889</v>
      </c>
      <c r="E875" s="14">
        <v>90</v>
      </c>
      <c r="F875" s="23">
        <v>14</v>
      </c>
      <c r="G875" s="17">
        <v>0.33514924999999995</v>
      </c>
      <c r="H875" s="4" t="s">
        <v>124</v>
      </c>
      <c r="I875" s="14"/>
    </row>
    <row r="876" spans="1:9" x14ac:dyDescent="0.25">
      <c r="A876" s="14">
        <v>2013</v>
      </c>
      <c r="B876" s="14">
        <v>176</v>
      </c>
      <c r="C876" s="20">
        <v>41450</v>
      </c>
      <c r="D876" s="16">
        <v>0.45208333333333334</v>
      </c>
      <c r="E876" s="14">
        <v>90</v>
      </c>
      <c r="F876" s="23">
        <v>15</v>
      </c>
      <c r="G876" s="17">
        <v>0.32688185522598867</v>
      </c>
      <c r="H876" s="4" t="s">
        <v>1</v>
      </c>
      <c r="I876" s="14"/>
    </row>
    <row r="877" spans="1:9" x14ac:dyDescent="0.25">
      <c r="A877" s="14">
        <v>2013</v>
      </c>
      <c r="B877" s="14">
        <v>176</v>
      </c>
      <c r="C877" s="20">
        <v>41450</v>
      </c>
      <c r="D877" s="16">
        <v>0.46319444444444446</v>
      </c>
      <c r="E877" s="14">
        <v>90</v>
      </c>
      <c r="F877" s="23">
        <v>16</v>
      </c>
      <c r="G877" s="17">
        <v>0.32374991737288134</v>
      </c>
      <c r="H877" s="4" t="s">
        <v>1</v>
      </c>
      <c r="I877" s="14"/>
    </row>
    <row r="878" spans="1:9" x14ac:dyDescent="0.25">
      <c r="A878" s="14">
        <v>2013</v>
      </c>
      <c r="B878" s="14">
        <v>176</v>
      </c>
      <c r="C878" s="20">
        <v>41450</v>
      </c>
      <c r="D878" s="16">
        <v>0.4680555555555555</v>
      </c>
      <c r="E878" s="14">
        <v>90</v>
      </c>
      <c r="F878" s="23">
        <v>17</v>
      </c>
      <c r="G878" s="17">
        <v>0.34645646680790959</v>
      </c>
      <c r="H878" s="4" t="s">
        <v>124</v>
      </c>
      <c r="I878" s="14"/>
    </row>
    <row r="879" spans="1:9" x14ac:dyDescent="0.25">
      <c r="A879" s="14">
        <v>2013</v>
      </c>
      <c r="B879" s="14">
        <v>176</v>
      </c>
      <c r="C879" s="20">
        <v>41450</v>
      </c>
      <c r="D879" s="16">
        <v>0.47430555555555554</v>
      </c>
      <c r="E879" s="14">
        <v>90</v>
      </c>
      <c r="F879" s="23">
        <v>18</v>
      </c>
      <c r="G879" s="17">
        <v>0.34129798093220337</v>
      </c>
      <c r="H879" s="4" t="s">
        <v>124</v>
      </c>
      <c r="I879" s="14"/>
    </row>
    <row r="880" spans="1:9" x14ac:dyDescent="0.25">
      <c r="A880" s="14">
        <v>2013</v>
      </c>
      <c r="B880" s="14">
        <v>176</v>
      </c>
      <c r="C880" s="20">
        <v>41450</v>
      </c>
      <c r="D880" s="16">
        <v>0.48055555555555557</v>
      </c>
      <c r="E880" s="14">
        <v>90</v>
      </c>
      <c r="F880" s="23">
        <v>19</v>
      </c>
      <c r="G880" s="17">
        <v>0.33816604307909603</v>
      </c>
      <c r="H880" s="4" t="s">
        <v>124</v>
      </c>
      <c r="I880" s="14"/>
    </row>
    <row r="881" spans="1:9" x14ac:dyDescent="0.25">
      <c r="A881" s="14">
        <v>2013</v>
      </c>
      <c r="B881" s="14">
        <v>176</v>
      </c>
      <c r="C881" s="20">
        <v>41450</v>
      </c>
      <c r="D881" s="16">
        <v>0.48819444444444443</v>
      </c>
      <c r="E881" s="14">
        <v>90</v>
      </c>
      <c r="F881" s="23">
        <v>20</v>
      </c>
      <c r="G881" s="17">
        <v>0.33604737923728811</v>
      </c>
      <c r="H881" s="4" t="s">
        <v>124</v>
      </c>
      <c r="I881" s="14"/>
    </row>
    <row r="882" spans="1:9" x14ac:dyDescent="0.25">
      <c r="A882" s="14">
        <v>2013</v>
      </c>
      <c r="B882" s="14">
        <v>176</v>
      </c>
      <c r="C882" s="20">
        <v>41450</v>
      </c>
      <c r="D882" s="16">
        <v>0.36388888888888887</v>
      </c>
      <c r="E882" s="14">
        <v>70</v>
      </c>
      <c r="F882" s="23">
        <v>1</v>
      </c>
      <c r="G882" s="17">
        <v>0.34677887217514125</v>
      </c>
      <c r="H882" s="4" t="s">
        <v>123</v>
      </c>
      <c r="I882" s="14"/>
    </row>
    <row r="883" spans="1:9" x14ac:dyDescent="0.25">
      <c r="A883" s="14">
        <v>2013</v>
      </c>
      <c r="B883" s="14">
        <v>176</v>
      </c>
      <c r="C883" s="20">
        <v>41450</v>
      </c>
      <c r="D883" s="16">
        <v>0.37152777777777773</v>
      </c>
      <c r="E883" s="14">
        <v>70</v>
      </c>
      <c r="F883" s="23">
        <v>2</v>
      </c>
      <c r="G883" s="17">
        <v>0.35327303742937849</v>
      </c>
      <c r="H883" s="4" t="s">
        <v>123</v>
      </c>
      <c r="I883" s="14"/>
    </row>
    <row r="884" spans="1:9" x14ac:dyDescent="0.25">
      <c r="A884" s="14">
        <v>2013</v>
      </c>
      <c r="B884" s="14">
        <v>176</v>
      </c>
      <c r="C884" s="20">
        <v>41450</v>
      </c>
      <c r="D884" s="16">
        <v>0.37777777777777777</v>
      </c>
      <c r="E884" s="14">
        <v>70</v>
      </c>
      <c r="F884" s="23">
        <v>3</v>
      </c>
      <c r="G884" s="17">
        <v>0.3499338389830508</v>
      </c>
      <c r="H884" s="4" t="s">
        <v>123</v>
      </c>
      <c r="I884" s="14"/>
    </row>
    <row r="885" spans="1:9" x14ac:dyDescent="0.25">
      <c r="A885" s="14">
        <v>2013</v>
      </c>
      <c r="B885" s="14">
        <v>176</v>
      </c>
      <c r="C885" s="20">
        <v>41450</v>
      </c>
      <c r="D885" s="16">
        <v>0.3833333333333333</v>
      </c>
      <c r="E885" s="14">
        <v>70</v>
      </c>
      <c r="F885" s="23">
        <v>4</v>
      </c>
      <c r="G885" s="17">
        <v>0.34000835946327684</v>
      </c>
      <c r="H885" s="4" t="s">
        <v>123</v>
      </c>
      <c r="I885" s="14"/>
    </row>
    <row r="886" spans="1:9" x14ac:dyDescent="0.25">
      <c r="A886" s="14">
        <v>2013</v>
      </c>
      <c r="B886" s="14">
        <v>176</v>
      </c>
      <c r="C886" s="20">
        <v>41450</v>
      </c>
      <c r="D886" s="16">
        <v>0.38958333333333334</v>
      </c>
      <c r="E886" s="14">
        <v>70</v>
      </c>
      <c r="F886" s="23">
        <v>5</v>
      </c>
      <c r="G886" s="17">
        <v>0.34233428389830506</v>
      </c>
      <c r="H886" s="4" t="s">
        <v>0</v>
      </c>
      <c r="I886" s="14"/>
    </row>
    <row r="887" spans="1:9" x14ac:dyDescent="0.25">
      <c r="A887" s="14">
        <v>2013</v>
      </c>
      <c r="B887" s="14">
        <v>176</v>
      </c>
      <c r="C887" s="20">
        <v>41450</v>
      </c>
      <c r="D887" s="16">
        <v>0.38958333333333334</v>
      </c>
      <c r="E887" s="14">
        <v>70</v>
      </c>
      <c r="F887" s="23">
        <v>6</v>
      </c>
      <c r="G887" s="17">
        <v>0.3365079583333333</v>
      </c>
      <c r="H887" s="4" t="s">
        <v>0</v>
      </c>
      <c r="I887" s="14"/>
    </row>
    <row r="888" spans="1:9" x14ac:dyDescent="0.25">
      <c r="A888" s="14">
        <v>2013</v>
      </c>
      <c r="B888" s="14">
        <v>176</v>
      </c>
      <c r="C888" s="20">
        <v>41450</v>
      </c>
      <c r="D888" s="16">
        <v>0.39999999999999997</v>
      </c>
      <c r="E888" s="14">
        <v>70</v>
      </c>
      <c r="F888" s="23">
        <v>7</v>
      </c>
      <c r="G888" s="17">
        <v>0.35258216878531068</v>
      </c>
      <c r="H888" s="4" t="s">
        <v>123</v>
      </c>
      <c r="I888" s="14"/>
    </row>
    <row r="889" spans="1:9" x14ac:dyDescent="0.25">
      <c r="A889" s="14">
        <v>2013</v>
      </c>
      <c r="B889" s="14">
        <v>176</v>
      </c>
      <c r="C889" s="20">
        <v>41450</v>
      </c>
      <c r="D889" s="16">
        <v>0.40625</v>
      </c>
      <c r="E889" s="14">
        <v>70</v>
      </c>
      <c r="F889" s="23">
        <v>8</v>
      </c>
      <c r="G889" s="17">
        <v>0.3425876024011299</v>
      </c>
      <c r="H889" s="4" t="s">
        <v>123</v>
      </c>
      <c r="I889" s="14"/>
    </row>
    <row r="890" spans="1:9" x14ac:dyDescent="0.25">
      <c r="A890" s="14">
        <v>2013</v>
      </c>
      <c r="B890" s="14">
        <v>176</v>
      </c>
      <c r="C890" s="20">
        <v>41450</v>
      </c>
      <c r="D890" s="16">
        <v>0.41250000000000003</v>
      </c>
      <c r="E890" s="14">
        <v>70</v>
      </c>
      <c r="F890" s="23">
        <v>9</v>
      </c>
      <c r="G890" s="17">
        <v>0.34537410593220341</v>
      </c>
      <c r="H890" s="4" t="s">
        <v>123</v>
      </c>
      <c r="I890" s="14"/>
    </row>
    <row r="891" spans="1:9" x14ac:dyDescent="0.25">
      <c r="A891" s="14">
        <v>2013</v>
      </c>
      <c r="B891" s="14">
        <v>176</v>
      </c>
      <c r="C891" s="20">
        <v>41450</v>
      </c>
      <c r="D891" s="16">
        <v>0.41875000000000001</v>
      </c>
      <c r="E891" s="14">
        <v>70</v>
      </c>
      <c r="F891" s="23">
        <v>10</v>
      </c>
      <c r="G891" s="17">
        <v>0.355529875</v>
      </c>
      <c r="H891" s="4" t="s">
        <v>123</v>
      </c>
      <c r="I891" s="14"/>
    </row>
    <row r="892" spans="1:9" x14ac:dyDescent="0.25">
      <c r="A892" s="14">
        <v>2013</v>
      </c>
      <c r="B892" s="14">
        <v>176</v>
      </c>
      <c r="C892" s="20">
        <v>41450</v>
      </c>
      <c r="D892" s="16">
        <v>0.43194444444444446</v>
      </c>
      <c r="E892" s="14">
        <v>70</v>
      </c>
      <c r="F892" s="23">
        <v>11</v>
      </c>
      <c r="G892" s="17">
        <v>0.35336515324858753</v>
      </c>
      <c r="H892" s="4" t="s">
        <v>124</v>
      </c>
      <c r="I892" s="14"/>
    </row>
    <row r="893" spans="1:9" x14ac:dyDescent="0.25">
      <c r="A893" s="14">
        <v>2013</v>
      </c>
      <c r="B893" s="14">
        <v>176</v>
      </c>
      <c r="C893" s="20">
        <v>41450</v>
      </c>
      <c r="D893" s="16">
        <v>0.4381944444444445</v>
      </c>
      <c r="E893" s="14">
        <v>70</v>
      </c>
      <c r="F893" s="23">
        <v>12</v>
      </c>
      <c r="G893" s="17">
        <v>0.34456809251412424</v>
      </c>
      <c r="H893" s="4" t="s">
        <v>124</v>
      </c>
      <c r="I893" s="14"/>
    </row>
    <row r="894" spans="1:9" x14ac:dyDescent="0.25">
      <c r="A894" s="14">
        <v>2013</v>
      </c>
      <c r="B894" s="14">
        <v>176</v>
      </c>
      <c r="C894" s="20">
        <v>41450</v>
      </c>
      <c r="D894" s="16">
        <v>0.44513888888888892</v>
      </c>
      <c r="E894" s="14">
        <v>70</v>
      </c>
      <c r="F894" s="23">
        <v>13</v>
      </c>
      <c r="G894" s="17">
        <v>0.34415357132768359</v>
      </c>
      <c r="H894" s="4" t="s">
        <v>124</v>
      </c>
      <c r="I894" s="14"/>
    </row>
    <row r="895" spans="1:9" x14ac:dyDescent="0.25">
      <c r="A895" s="14">
        <v>2013</v>
      </c>
      <c r="B895" s="14">
        <v>176</v>
      </c>
      <c r="C895" s="20">
        <v>41450</v>
      </c>
      <c r="D895" s="16">
        <v>0.4513888888888889</v>
      </c>
      <c r="E895" s="14">
        <v>70</v>
      </c>
      <c r="F895" s="23">
        <v>14</v>
      </c>
      <c r="G895" s="17">
        <v>0.34622617725988697</v>
      </c>
      <c r="H895" s="4" t="s">
        <v>124</v>
      </c>
      <c r="I895" s="14"/>
    </row>
    <row r="896" spans="1:9" x14ac:dyDescent="0.25">
      <c r="A896" s="14">
        <v>2013</v>
      </c>
      <c r="B896" s="14">
        <v>176</v>
      </c>
      <c r="C896" s="20">
        <v>41450</v>
      </c>
      <c r="D896" s="16">
        <v>0.45208333333333334</v>
      </c>
      <c r="E896" s="14">
        <v>70</v>
      </c>
      <c r="F896" s="23">
        <v>15</v>
      </c>
      <c r="G896" s="17">
        <v>0.33137250141242941</v>
      </c>
      <c r="H896" s="4" t="s">
        <v>1</v>
      </c>
      <c r="I896" s="14"/>
    </row>
    <row r="897" spans="1:9" x14ac:dyDescent="0.25">
      <c r="A897" s="14">
        <v>2013</v>
      </c>
      <c r="B897" s="14">
        <v>176</v>
      </c>
      <c r="C897" s="20">
        <v>41450</v>
      </c>
      <c r="D897" s="16">
        <v>0.46319444444444446</v>
      </c>
      <c r="E897" s="14">
        <v>70</v>
      </c>
      <c r="F897" s="23">
        <v>16</v>
      </c>
      <c r="G897" s="17">
        <v>0.32462501765536722</v>
      </c>
      <c r="H897" s="4" t="s">
        <v>1</v>
      </c>
      <c r="I897" s="14"/>
    </row>
    <row r="898" spans="1:9" x14ac:dyDescent="0.25">
      <c r="A898" s="14">
        <v>2013</v>
      </c>
      <c r="B898" s="14">
        <v>176</v>
      </c>
      <c r="C898" s="20">
        <v>41450</v>
      </c>
      <c r="D898" s="16">
        <v>0.4680555555555555</v>
      </c>
      <c r="E898" s="14">
        <v>70</v>
      </c>
      <c r="F898" s="23">
        <v>17</v>
      </c>
      <c r="G898" s="17">
        <v>0.34636435098870055</v>
      </c>
      <c r="H898" s="4" t="s">
        <v>124</v>
      </c>
      <c r="I898" s="14"/>
    </row>
    <row r="899" spans="1:9" x14ac:dyDescent="0.25">
      <c r="A899" s="14">
        <v>2013</v>
      </c>
      <c r="B899" s="14">
        <v>176</v>
      </c>
      <c r="C899" s="20">
        <v>41450</v>
      </c>
      <c r="D899" s="16">
        <v>0.47430555555555554</v>
      </c>
      <c r="E899" s="14">
        <v>70</v>
      </c>
      <c r="F899" s="23">
        <v>18</v>
      </c>
      <c r="G899" s="17">
        <v>0.34297909463276832</v>
      </c>
      <c r="H899" s="4" t="s">
        <v>124</v>
      </c>
      <c r="I899" s="14"/>
    </row>
    <row r="900" spans="1:9" x14ac:dyDescent="0.25">
      <c r="A900" s="14">
        <v>2013</v>
      </c>
      <c r="B900" s="14">
        <v>176</v>
      </c>
      <c r="C900" s="20">
        <v>41450</v>
      </c>
      <c r="D900" s="16">
        <v>0.48055555555555557</v>
      </c>
      <c r="E900" s="14">
        <v>70</v>
      </c>
      <c r="F900" s="23">
        <v>19</v>
      </c>
      <c r="G900" s="17">
        <v>0.34210399435028249</v>
      </c>
      <c r="H900" s="4" t="s">
        <v>124</v>
      </c>
      <c r="I900" s="14"/>
    </row>
    <row r="901" spans="1:9" x14ac:dyDescent="0.25">
      <c r="A901" s="14">
        <v>2013</v>
      </c>
      <c r="B901" s="14">
        <v>176</v>
      </c>
      <c r="C901" s="20">
        <v>41450</v>
      </c>
      <c r="D901" s="16">
        <v>0.48819444444444443</v>
      </c>
      <c r="E901" s="14">
        <v>70</v>
      </c>
      <c r="F901" s="23">
        <v>20</v>
      </c>
      <c r="G901" s="17">
        <v>0.34051499646892652</v>
      </c>
      <c r="H901" s="4" t="s">
        <v>124</v>
      </c>
      <c r="I901" s="14"/>
    </row>
    <row r="902" spans="1:9" x14ac:dyDescent="0.25">
      <c r="A902" s="14">
        <v>2013</v>
      </c>
      <c r="B902" s="14">
        <v>176</v>
      </c>
      <c r="C902" s="20">
        <v>41450</v>
      </c>
      <c r="D902" s="16">
        <v>0.36388888888888887</v>
      </c>
      <c r="E902" s="14">
        <v>50</v>
      </c>
      <c r="F902" s="23">
        <v>1</v>
      </c>
      <c r="G902" s="17">
        <v>0.34894359392655366</v>
      </c>
      <c r="H902" s="4" t="s">
        <v>123</v>
      </c>
      <c r="I902" s="14"/>
    </row>
    <row r="903" spans="1:9" x14ac:dyDescent="0.25">
      <c r="A903" s="14">
        <v>2013</v>
      </c>
      <c r="B903" s="14">
        <v>176</v>
      </c>
      <c r="C903" s="20">
        <v>41450</v>
      </c>
      <c r="D903" s="16">
        <v>0.37152777777777773</v>
      </c>
      <c r="E903" s="14">
        <v>50</v>
      </c>
      <c r="F903" s="23">
        <v>2</v>
      </c>
      <c r="G903" s="17">
        <v>0.36220827189265531</v>
      </c>
      <c r="H903" s="4" t="s">
        <v>123</v>
      </c>
      <c r="I903" s="14"/>
    </row>
    <row r="904" spans="1:9" x14ac:dyDescent="0.25">
      <c r="A904" s="14">
        <v>2013</v>
      </c>
      <c r="B904" s="14">
        <v>176</v>
      </c>
      <c r="C904" s="20">
        <v>41450</v>
      </c>
      <c r="D904" s="16">
        <v>0.37777777777777777</v>
      </c>
      <c r="E904" s="14">
        <v>50</v>
      </c>
      <c r="F904" s="23">
        <v>3</v>
      </c>
      <c r="G904" s="17">
        <v>0.35792488629943497</v>
      </c>
      <c r="H904" s="4" t="s">
        <v>123</v>
      </c>
      <c r="I904" s="14"/>
    </row>
    <row r="905" spans="1:9" x14ac:dyDescent="0.25">
      <c r="A905" s="14">
        <v>2013</v>
      </c>
      <c r="B905" s="14">
        <v>176</v>
      </c>
      <c r="C905" s="20">
        <v>41450</v>
      </c>
      <c r="D905" s="16">
        <v>0.3833333333333333</v>
      </c>
      <c r="E905" s="14">
        <v>50</v>
      </c>
      <c r="F905" s="23">
        <v>4</v>
      </c>
      <c r="G905" s="17">
        <v>0.34641040889830504</v>
      </c>
      <c r="H905" s="4" t="s">
        <v>123</v>
      </c>
      <c r="I905" s="14"/>
    </row>
    <row r="906" spans="1:9" x14ac:dyDescent="0.25">
      <c r="A906" s="14">
        <v>2013</v>
      </c>
      <c r="B906" s="14">
        <v>176</v>
      </c>
      <c r="C906" s="20">
        <v>41450</v>
      </c>
      <c r="D906" s="16">
        <v>0.38958333333333334</v>
      </c>
      <c r="E906" s="14">
        <v>50</v>
      </c>
      <c r="F906" s="23">
        <v>5</v>
      </c>
      <c r="G906" s="17">
        <v>0.33887994067796612</v>
      </c>
      <c r="H906" s="4" t="s">
        <v>0</v>
      </c>
      <c r="I906" s="14"/>
    </row>
    <row r="907" spans="1:9" x14ac:dyDescent="0.25">
      <c r="A907" s="14">
        <v>2013</v>
      </c>
      <c r="B907" s="14">
        <v>176</v>
      </c>
      <c r="C907" s="20">
        <v>41450</v>
      </c>
      <c r="D907" s="16">
        <v>0.38958333333333334</v>
      </c>
      <c r="E907" s="14">
        <v>50</v>
      </c>
      <c r="F907" s="23">
        <v>6</v>
      </c>
      <c r="G907" s="17">
        <v>0.34562742443502825</v>
      </c>
      <c r="H907" s="4" t="s">
        <v>0</v>
      </c>
      <c r="I907" s="14"/>
    </row>
    <row r="908" spans="1:9" x14ac:dyDescent="0.25">
      <c r="A908" s="14">
        <v>2013</v>
      </c>
      <c r="B908" s="14">
        <v>176</v>
      </c>
      <c r="C908" s="20">
        <v>41450</v>
      </c>
      <c r="D908" s="16">
        <v>0.39999999999999997</v>
      </c>
      <c r="E908" s="14">
        <v>50</v>
      </c>
      <c r="F908" s="23">
        <v>7</v>
      </c>
      <c r="G908" s="17">
        <v>0.3632906327683616</v>
      </c>
      <c r="H908" s="4" t="s">
        <v>123</v>
      </c>
      <c r="I908" s="14"/>
    </row>
    <row r="909" spans="1:9" x14ac:dyDescent="0.25">
      <c r="A909" s="14">
        <v>2013</v>
      </c>
      <c r="B909" s="14">
        <v>176</v>
      </c>
      <c r="C909" s="20">
        <v>41450</v>
      </c>
      <c r="D909" s="16">
        <v>0.40625</v>
      </c>
      <c r="E909" s="14">
        <v>50</v>
      </c>
      <c r="F909" s="23">
        <v>8</v>
      </c>
      <c r="G909" s="17">
        <v>0.34740065395480224</v>
      </c>
      <c r="H909" s="4" t="s">
        <v>123</v>
      </c>
      <c r="I909" s="14"/>
    </row>
    <row r="910" spans="1:9" x14ac:dyDescent="0.25">
      <c r="A910" s="14">
        <v>2013</v>
      </c>
      <c r="B910" s="14">
        <v>176</v>
      </c>
      <c r="C910" s="20">
        <v>41450</v>
      </c>
      <c r="D910" s="16">
        <v>0.41250000000000003</v>
      </c>
      <c r="E910" s="14">
        <v>50</v>
      </c>
      <c r="F910" s="23">
        <v>9</v>
      </c>
      <c r="G910" s="17">
        <v>0.35944479731638418</v>
      </c>
      <c r="H910" s="4" t="s">
        <v>123</v>
      </c>
      <c r="I910" s="14"/>
    </row>
    <row r="911" spans="1:9" x14ac:dyDescent="0.25">
      <c r="A911" s="14">
        <v>2013</v>
      </c>
      <c r="B911" s="14">
        <v>176</v>
      </c>
      <c r="C911" s="20">
        <v>41450</v>
      </c>
      <c r="D911" s="16">
        <v>0.41875000000000001</v>
      </c>
      <c r="E911" s="14">
        <v>50</v>
      </c>
      <c r="F911" s="23">
        <v>10</v>
      </c>
      <c r="G911" s="17">
        <v>0.3691169583333333</v>
      </c>
      <c r="H911" s="4" t="s">
        <v>123</v>
      </c>
      <c r="I911" s="14"/>
    </row>
    <row r="912" spans="1:9" x14ac:dyDescent="0.25">
      <c r="A912" s="14">
        <v>2013</v>
      </c>
      <c r="B912" s="14">
        <v>176</v>
      </c>
      <c r="C912" s="20">
        <v>41450</v>
      </c>
      <c r="D912" s="16">
        <v>0.43194444444444446</v>
      </c>
      <c r="E912" s="14">
        <v>50</v>
      </c>
      <c r="F912" s="23">
        <v>11</v>
      </c>
      <c r="G912" s="17">
        <v>0.35787882838983048</v>
      </c>
      <c r="H912" s="4" t="s">
        <v>124</v>
      </c>
      <c r="I912" s="14"/>
    </row>
    <row r="913" spans="1:9" x14ac:dyDescent="0.25">
      <c r="A913" s="14">
        <v>2013</v>
      </c>
      <c r="B913" s="14">
        <v>176</v>
      </c>
      <c r="C913" s="20">
        <v>41450</v>
      </c>
      <c r="D913" s="16">
        <v>0.4381944444444445</v>
      </c>
      <c r="E913" s="14">
        <v>50</v>
      </c>
      <c r="F913" s="23">
        <v>12</v>
      </c>
      <c r="G913" s="17">
        <v>0.34910479661016947</v>
      </c>
      <c r="H913" s="4" t="s">
        <v>124</v>
      </c>
      <c r="I913" s="14"/>
    </row>
    <row r="914" spans="1:9" x14ac:dyDescent="0.25">
      <c r="A914" s="14">
        <v>2013</v>
      </c>
      <c r="B914" s="14">
        <v>176</v>
      </c>
      <c r="C914" s="20">
        <v>41450</v>
      </c>
      <c r="D914" s="16">
        <v>0.44513888888888892</v>
      </c>
      <c r="E914" s="14">
        <v>50</v>
      </c>
      <c r="F914" s="23">
        <v>13</v>
      </c>
      <c r="G914" s="17">
        <v>0.34965749152542369</v>
      </c>
      <c r="H914" s="4" t="s">
        <v>124</v>
      </c>
      <c r="I914" s="14"/>
    </row>
    <row r="915" spans="1:9" x14ac:dyDescent="0.25">
      <c r="A915" s="14">
        <v>2013</v>
      </c>
      <c r="B915" s="14">
        <v>176</v>
      </c>
      <c r="C915" s="20">
        <v>41450</v>
      </c>
      <c r="D915" s="16">
        <v>0.4513888888888889</v>
      </c>
      <c r="E915" s="14">
        <v>50</v>
      </c>
      <c r="F915" s="23">
        <v>14</v>
      </c>
      <c r="G915" s="17">
        <v>0.35516141172316384</v>
      </c>
      <c r="H915" s="4" t="s">
        <v>124</v>
      </c>
      <c r="I915" s="14"/>
    </row>
    <row r="916" spans="1:9" x14ac:dyDescent="0.25">
      <c r="A916" s="14">
        <v>2013</v>
      </c>
      <c r="B916" s="14">
        <v>176</v>
      </c>
      <c r="C916" s="20">
        <v>41450</v>
      </c>
      <c r="D916" s="16">
        <v>0.45208333333333334</v>
      </c>
      <c r="E916" s="14">
        <v>50</v>
      </c>
      <c r="F916" s="23">
        <v>15</v>
      </c>
      <c r="G916" s="17">
        <v>0.33167187782485874</v>
      </c>
      <c r="H916" s="4" t="s">
        <v>1</v>
      </c>
      <c r="I916" s="14"/>
    </row>
    <row r="917" spans="1:9" x14ac:dyDescent="0.25">
      <c r="A917" s="14">
        <v>2013</v>
      </c>
      <c r="B917" s="14">
        <v>176</v>
      </c>
      <c r="C917" s="20">
        <v>41450</v>
      </c>
      <c r="D917" s="16">
        <v>0.46319444444444446</v>
      </c>
      <c r="E917" s="14">
        <v>50</v>
      </c>
      <c r="F917" s="23">
        <v>16</v>
      </c>
      <c r="G917" s="17">
        <v>0.33901811440677959</v>
      </c>
      <c r="H917" s="4" t="s">
        <v>1</v>
      </c>
      <c r="I917" s="14"/>
    </row>
    <row r="918" spans="1:9" x14ac:dyDescent="0.25">
      <c r="A918" s="14">
        <v>2013</v>
      </c>
      <c r="B918" s="14">
        <v>176</v>
      </c>
      <c r="C918" s="20">
        <v>41450</v>
      </c>
      <c r="D918" s="16">
        <v>0.4680555555555555</v>
      </c>
      <c r="E918" s="14">
        <v>50</v>
      </c>
      <c r="F918" s="23">
        <v>17</v>
      </c>
      <c r="G918" s="17">
        <v>0.36646862853107343</v>
      </c>
      <c r="H918" s="4" t="s">
        <v>124</v>
      </c>
      <c r="I918" s="14"/>
    </row>
    <row r="919" spans="1:9" x14ac:dyDescent="0.25">
      <c r="A919" s="14">
        <v>2013</v>
      </c>
      <c r="B919" s="14">
        <v>176</v>
      </c>
      <c r="C919" s="20">
        <v>41450</v>
      </c>
      <c r="D919" s="16">
        <v>0.47430555555555554</v>
      </c>
      <c r="E919" s="14">
        <v>50</v>
      </c>
      <c r="F919" s="23">
        <v>18</v>
      </c>
      <c r="G919" s="17">
        <v>0.354378427259887</v>
      </c>
      <c r="H919" s="4" t="s">
        <v>124</v>
      </c>
      <c r="I919" s="14"/>
    </row>
    <row r="920" spans="1:9" x14ac:dyDescent="0.25">
      <c r="A920" s="14">
        <v>2013</v>
      </c>
      <c r="B920" s="14">
        <v>176</v>
      </c>
      <c r="C920" s="20">
        <v>41450</v>
      </c>
      <c r="D920" s="16">
        <v>0.48055555555555557</v>
      </c>
      <c r="E920" s="14">
        <v>50</v>
      </c>
      <c r="F920" s="23">
        <v>19</v>
      </c>
      <c r="G920" s="17">
        <v>0.34445294774011298</v>
      </c>
      <c r="H920" s="4" t="s">
        <v>124</v>
      </c>
      <c r="I920" s="14"/>
    </row>
    <row r="921" spans="1:9" x14ac:dyDescent="0.25">
      <c r="A921" s="14">
        <v>2013</v>
      </c>
      <c r="B921" s="14">
        <v>176</v>
      </c>
      <c r="C921" s="20">
        <v>41450</v>
      </c>
      <c r="D921" s="16">
        <v>0.48819444444444443</v>
      </c>
      <c r="E921" s="14">
        <v>50</v>
      </c>
      <c r="F921" s="23">
        <v>20</v>
      </c>
      <c r="G921" s="17">
        <v>0.35801700211864407</v>
      </c>
      <c r="H921" s="4" t="s">
        <v>124</v>
      </c>
      <c r="I921" s="14"/>
    </row>
    <row r="922" spans="1:9" x14ac:dyDescent="0.25">
      <c r="A922" s="14">
        <v>2013</v>
      </c>
      <c r="B922" s="14">
        <v>176</v>
      </c>
      <c r="C922" s="20">
        <v>41450</v>
      </c>
      <c r="D922" s="16">
        <v>0.36388888888888887</v>
      </c>
      <c r="E922" s="14">
        <v>30</v>
      </c>
      <c r="F922" s="23">
        <v>1</v>
      </c>
      <c r="G922" s="17">
        <v>0.34733156709039548</v>
      </c>
      <c r="H922" s="4" t="s">
        <v>123</v>
      </c>
      <c r="I922" s="14"/>
    </row>
    <row r="923" spans="1:9" x14ac:dyDescent="0.25">
      <c r="A923" s="14">
        <v>2013</v>
      </c>
      <c r="B923" s="14">
        <v>176</v>
      </c>
      <c r="C923" s="20">
        <v>41450</v>
      </c>
      <c r="D923" s="16">
        <v>0.37152777777777773</v>
      </c>
      <c r="E923" s="14">
        <v>30</v>
      </c>
      <c r="F923" s="23">
        <v>2</v>
      </c>
      <c r="G923" s="17">
        <v>0.33832724576271184</v>
      </c>
      <c r="H923" s="4" t="s">
        <v>123</v>
      </c>
      <c r="I923" s="14"/>
    </row>
    <row r="924" spans="1:9" x14ac:dyDescent="0.25">
      <c r="A924" s="14">
        <v>2013</v>
      </c>
      <c r="B924" s="14">
        <v>176</v>
      </c>
      <c r="C924" s="20">
        <v>41450</v>
      </c>
      <c r="D924" s="16">
        <v>0.37777777777777777</v>
      </c>
      <c r="E924" s="14">
        <v>30</v>
      </c>
      <c r="F924" s="23">
        <v>3</v>
      </c>
      <c r="G924" s="17">
        <v>0.35361847175141242</v>
      </c>
      <c r="H924" s="4" t="s">
        <v>123</v>
      </c>
      <c r="I924" s="14"/>
    </row>
    <row r="925" spans="1:9" x14ac:dyDescent="0.25">
      <c r="A925" s="14">
        <v>2013</v>
      </c>
      <c r="B925" s="14">
        <v>176</v>
      </c>
      <c r="C925" s="20">
        <v>41450</v>
      </c>
      <c r="D925" s="16">
        <v>0.3833333333333333</v>
      </c>
      <c r="E925" s="14">
        <v>30</v>
      </c>
      <c r="F925" s="23">
        <v>4</v>
      </c>
      <c r="G925" s="17">
        <v>0.32425655437853101</v>
      </c>
      <c r="H925" s="4" t="s">
        <v>123</v>
      </c>
      <c r="I925" s="14"/>
    </row>
    <row r="926" spans="1:9" x14ac:dyDescent="0.25">
      <c r="A926" s="14">
        <v>2013</v>
      </c>
      <c r="B926" s="14">
        <v>176</v>
      </c>
      <c r="C926" s="20">
        <v>41450</v>
      </c>
      <c r="D926" s="16">
        <v>0.38958333333333334</v>
      </c>
      <c r="E926" s="14">
        <v>30</v>
      </c>
      <c r="F926" s="23">
        <v>5</v>
      </c>
      <c r="G926" s="17">
        <v>0.33190216737288131</v>
      </c>
      <c r="H926" s="4" t="s">
        <v>0</v>
      </c>
      <c r="I926" s="14"/>
    </row>
    <row r="927" spans="1:9" x14ac:dyDescent="0.25">
      <c r="A927" s="14">
        <v>2013</v>
      </c>
      <c r="B927" s="14">
        <v>176</v>
      </c>
      <c r="C927" s="20">
        <v>41450</v>
      </c>
      <c r="D927" s="16">
        <v>0.38958333333333334</v>
      </c>
      <c r="E927" s="14">
        <v>30</v>
      </c>
      <c r="F927" s="23">
        <v>6</v>
      </c>
      <c r="G927" s="17">
        <v>0.32121673234463277</v>
      </c>
      <c r="H927" s="4" t="s">
        <v>0</v>
      </c>
      <c r="I927" s="14"/>
    </row>
    <row r="928" spans="1:9" x14ac:dyDescent="0.25">
      <c r="A928" s="14">
        <v>2013</v>
      </c>
      <c r="B928" s="14">
        <v>176</v>
      </c>
      <c r="C928" s="20">
        <v>41450</v>
      </c>
      <c r="D928" s="16">
        <v>0.39999999999999997</v>
      </c>
      <c r="E928" s="14">
        <v>30</v>
      </c>
      <c r="F928" s="23">
        <v>7</v>
      </c>
      <c r="G928" s="17">
        <v>0.33993927259887002</v>
      </c>
      <c r="H928" s="4" t="s">
        <v>123</v>
      </c>
      <c r="I928" s="14"/>
    </row>
    <row r="929" spans="1:9" x14ac:dyDescent="0.25">
      <c r="A929" s="14">
        <v>2013</v>
      </c>
      <c r="B929" s="14">
        <v>176</v>
      </c>
      <c r="C929" s="20">
        <v>41450</v>
      </c>
      <c r="D929" s="16">
        <v>0.40625</v>
      </c>
      <c r="E929" s="14">
        <v>30</v>
      </c>
      <c r="F929" s="23">
        <v>8</v>
      </c>
      <c r="G929" s="17">
        <v>0.33422809180790958</v>
      </c>
      <c r="H929" s="4" t="s">
        <v>123</v>
      </c>
      <c r="I929" s="14"/>
    </row>
    <row r="930" spans="1:9" x14ac:dyDescent="0.25">
      <c r="A930" s="14">
        <v>2013</v>
      </c>
      <c r="B930" s="14">
        <v>176</v>
      </c>
      <c r="C930" s="20">
        <v>41450</v>
      </c>
      <c r="D930" s="16">
        <v>0.41250000000000003</v>
      </c>
      <c r="E930" s="14">
        <v>30</v>
      </c>
      <c r="F930" s="23">
        <v>9</v>
      </c>
      <c r="G930" s="17">
        <v>0.35108528672316386</v>
      </c>
      <c r="H930" s="4" t="s">
        <v>123</v>
      </c>
      <c r="I930" s="14"/>
    </row>
    <row r="931" spans="1:9" x14ac:dyDescent="0.25">
      <c r="A931" s="14">
        <v>2013</v>
      </c>
      <c r="B931" s="14">
        <v>176</v>
      </c>
      <c r="C931" s="20">
        <v>41450</v>
      </c>
      <c r="D931" s="16">
        <v>0.41875000000000001</v>
      </c>
      <c r="E931" s="14">
        <v>30</v>
      </c>
      <c r="F931" s="23">
        <v>10</v>
      </c>
      <c r="G931" s="17">
        <v>0.35219067655367231</v>
      </c>
      <c r="H931" s="4" t="s">
        <v>123</v>
      </c>
      <c r="I931" s="14"/>
    </row>
    <row r="932" spans="1:9" x14ac:dyDescent="0.25">
      <c r="A932" s="14">
        <v>2013</v>
      </c>
      <c r="B932" s="14">
        <v>176</v>
      </c>
      <c r="C932" s="20">
        <v>41450</v>
      </c>
      <c r="D932" s="16">
        <v>0.43194444444444446</v>
      </c>
      <c r="E932" s="14">
        <v>30</v>
      </c>
      <c r="F932" s="23">
        <v>11</v>
      </c>
      <c r="G932" s="17">
        <v>0.33662310310734461</v>
      </c>
      <c r="H932" s="4" t="s">
        <v>124</v>
      </c>
      <c r="I932" s="14"/>
    </row>
    <row r="933" spans="1:9" x14ac:dyDescent="0.25">
      <c r="A933" s="14">
        <v>2013</v>
      </c>
      <c r="B933" s="14">
        <v>176</v>
      </c>
      <c r="C933" s="20">
        <v>41450</v>
      </c>
      <c r="D933" s="16">
        <v>0.4381944444444445</v>
      </c>
      <c r="E933" s="14">
        <v>30</v>
      </c>
      <c r="F933" s="23">
        <v>12</v>
      </c>
      <c r="G933" s="17">
        <v>0.32766483968926552</v>
      </c>
      <c r="H933" s="4" t="s">
        <v>124</v>
      </c>
      <c r="I933" s="14"/>
    </row>
    <row r="934" spans="1:9" x14ac:dyDescent="0.25">
      <c r="A934" s="14">
        <v>2013</v>
      </c>
      <c r="B934" s="14">
        <v>176</v>
      </c>
      <c r="C934" s="20">
        <v>41450</v>
      </c>
      <c r="D934" s="16">
        <v>0.44513888888888892</v>
      </c>
      <c r="E934" s="14">
        <v>30</v>
      </c>
      <c r="F934" s="23">
        <v>13</v>
      </c>
      <c r="G934" s="17">
        <v>0.33284635451977396</v>
      </c>
      <c r="H934" s="4" t="s">
        <v>124</v>
      </c>
      <c r="I934" s="14"/>
    </row>
    <row r="935" spans="1:9" x14ac:dyDescent="0.25">
      <c r="A935" s="14">
        <v>2013</v>
      </c>
      <c r="B935" s="14">
        <v>176</v>
      </c>
      <c r="C935" s="20">
        <v>41450</v>
      </c>
      <c r="D935" s="16">
        <v>0.4513888888888889</v>
      </c>
      <c r="E935" s="14">
        <v>30</v>
      </c>
      <c r="F935" s="23">
        <v>14</v>
      </c>
      <c r="G935" s="17">
        <v>0.31976590819209039</v>
      </c>
      <c r="H935" s="4" t="s">
        <v>124</v>
      </c>
      <c r="I935" s="14"/>
    </row>
    <row r="936" spans="1:9" x14ac:dyDescent="0.25">
      <c r="A936" s="14">
        <v>2013</v>
      </c>
      <c r="B936" s="14">
        <v>176</v>
      </c>
      <c r="C936" s="20">
        <v>41450</v>
      </c>
      <c r="D936" s="16">
        <v>0.45208333333333334</v>
      </c>
      <c r="E936" s="14">
        <v>30</v>
      </c>
      <c r="F936" s="23">
        <v>15</v>
      </c>
      <c r="G936" s="17">
        <v>0.3230820776836158</v>
      </c>
      <c r="H936" s="4" t="s">
        <v>1</v>
      </c>
      <c r="I936" s="14"/>
    </row>
    <row r="937" spans="1:9" x14ac:dyDescent="0.25">
      <c r="A937" s="14">
        <v>2013</v>
      </c>
      <c r="B937" s="14">
        <v>176</v>
      </c>
      <c r="C937" s="20">
        <v>41450</v>
      </c>
      <c r="D937" s="16">
        <v>0.46319444444444446</v>
      </c>
      <c r="E937" s="14">
        <v>30</v>
      </c>
      <c r="F937" s="23">
        <v>16</v>
      </c>
      <c r="G937" s="17">
        <v>0.31651882556497174</v>
      </c>
      <c r="H937" s="4" t="s">
        <v>1</v>
      </c>
      <c r="I937" s="14"/>
    </row>
    <row r="938" spans="1:9" x14ac:dyDescent="0.25">
      <c r="A938" s="14">
        <v>2013</v>
      </c>
      <c r="B938" s="14">
        <v>176</v>
      </c>
      <c r="C938" s="20">
        <v>41450</v>
      </c>
      <c r="D938" s="16">
        <v>0.4680555555555555</v>
      </c>
      <c r="E938" s="14">
        <v>30</v>
      </c>
      <c r="F938" s="23">
        <v>17</v>
      </c>
      <c r="G938" s="17">
        <v>0.34187370480225987</v>
      </c>
      <c r="H938" s="4" t="s">
        <v>124</v>
      </c>
      <c r="I938" s="14"/>
    </row>
    <row r="939" spans="1:9" x14ac:dyDescent="0.25">
      <c r="A939" s="14">
        <v>2013</v>
      </c>
      <c r="B939" s="14">
        <v>176</v>
      </c>
      <c r="C939" s="20">
        <v>41450</v>
      </c>
      <c r="D939" s="16">
        <v>0.47430555555555554</v>
      </c>
      <c r="E939" s="14">
        <v>30</v>
      </c>
      <c r="F939" s="23">
        <v>18</v>
      </c>
      <c r="G939" s="17">
        <v>0.34668675635593221</v>
      </c>
      <c r="H939" s="4" t="s">
        <v>124</v>
      </c>
      <c r="I939" s="14"/>
    </row>
    <row r="940" spans="1:9" x14ac:dyDescent="0.25">
      <c r="A940" s="14">
        <v>2013</v>
      </c>
      <c r="B940" s="14">
        <v>176</v>
      </c>
      <c r="C940" s="20">
        <v>41450</v>
      </c>
      <c r="D940" s="16">
        <v>0.48055555555555557</v>
      </c>
      <c r="E940" s="14">
        <v>30</v>
      </c>
      <c r="F940" s="23">
        <v>19</v>
      </c>
      <c r="G940" s="17">
        <v>0.31290327966101694</v>
      </c>
      <c r="H940" s="4" t="s">
        <v>124</v>
      </c>
      <c r="I940" s="14"/>
    </row>
    <row r="941" spans="1:9" x14ac:dyDescent="0.25">
      <c r="A941" s="14">
        <v>2013</v>
      </c>
      <c r="B941" s="14">
        <v>176</v>
      </c>
      <c r="C941" s="20">
        <v>41450</v>
      </c>
      <c r="D941" s="16">
        <v>0.48819444444444443</v>
      </c>
      <c r="E941" s="14">
        <v>30</v>
      </c>
      <c r="F941" s="23">
        <v>20</v>
      </c>
      <c r="G941" s="17">
        <v>0.34323241313559316</v>
      </c>
      <c r="H941" s="4" t="s">
        <v>124</v>
      </c>
      <c r="I941" s="14"/>
    </row>
    <row r="942" spans="1:9" x14ac:dyDescent="0.25">
      <c r="A942" s="14">
        <v>2013</v>
      </c>
      <c r="B942" s="14">
        <v>176</v>
      </c>
      <c r="C942" s="20">
        <v>41450</v>
      </c>
      <c r="D942" s="16">
        <v>0.36388888888888887</v>
      </c>
      <c r="E942" s="14">
        <v>10</v>
      </c>
      <c r="F942" s="23">
        <v>1</v>
      </c>
      <c r="G942" s="17">
        <v>0.26782624848668279</v>
      </c>
      <c r="H942" s="4" t="s">
        <v>123</v>
      </c>
      <c r="I942" s="14"/>
    </row>
    <row r="943" spans="1:9" x14ac:dyDescent="0.25">
      <c r="A943" s="14">
        <v>2013</v>
      </c>
      <c r="B943" s="14">
        <v>176</v>
      </c>
      <c r="C943" s="20">
        <v>41450</v>
      </c>
      <c r="D943" s="16">
        <v>0.37152777777777773</v>
      </c>
      <c r="E943" s="14">
        <v>10</v>
      </c>
      <c r="F943" s="23">
        <v>2</v>
      </c>
      <c r="G943" s="17">
        <v>0.25264434200968522</v>
      </c>
      <c r="H943" s="4" t="s">
        <v>123</v>
      </c>
      <c r="I943" s="14"/>
    </row>
    <row r="944" spans="1:9" x14ac:dyDescent="0.25">
      <c r="A944" s="14">
        <v>2013</v>
      </c>
      <c r="B944" s="14">
        <v>176</v>
      </c>
      <c r="C944" s="20">
        <v>41450</v>
      </c>
      <c r="D944" s="16">
        <v>0.37777777777777777</v>
      </c>
      <c r="E944" s="14">
        <v>10</v>
      </c>
      <c r="F944" s="23">
        <v>3</v>
      </c>
      <c r="G944" s="17">
        <v>0.25671471337772395</v>
      </c>
      <c r="H944" s="4" t="s">
        <v>123</v>
      </c>
      <c r="I944" s="14"/>
    </row>
    <row r="945" spans="1:9" x14ac:dyDescent="0.25">
      <c r="A945" s="14">
        <v>2013</v>
      </c>
      <c r="B945" s="14">
        <v>176</v>
      </c>
      <c r="C945" s="20">
        <v>41450</v>
      </c>
      <c r="D945" s="16">
        <v>0.3833333333333333</v>
      </c>
      <c r="E945" s="14">
        <v>10</v>
      </c>
      <c r="F945" s="23">
        <v>4</v>
      </c>
      <c r="G945" s="17">
        <v>0.22283996398305084</v>
      </c>
      <c r="H945" s="4" t="s">
        <v>123</v>
      </c>
      <c r="I945" s="14"/>
    </row>
    <row r="946" spans="1:9" x14ac:dyDescent="0.25">
      <c r="A946" s="14">
        <v>2013</v>
      </c>
      <c r="B946" s="14">
        <v>176</v>
      </c>
      <c r="C946" s="20">
        <v>41450</v>
      </c>
      <c r="D946" s="16">
        <v>0.38958333333333334</v>
      </c>
      <c r="E946" s="14">
        <v>10</v>
      </c>
      <c r="F946" s="23">
        <v>5</v>
      </c>
      <c r="G946" s="17">
        <v>0.21718774213075059</v>
      </c>
      <c r="H946" s="4" t="s">
        <v>0</v>
      </c>
      <c r="I946" s="14"/>
    </row>
    <row r="947" spans="1:9" x14ac:dyDescent="0.25">
      <c r="A947" s="14">
        <v>2013</v>
      </c>
      <c r="B947" s="14">
        <v>176</v>
      </c>
      <c r="C947" s="20">
        <v>41450</v>
      </c>
      <c r="D947" s="16">
        <v>0.38958333333333334</v>
      </c>
      <c r="E947" s="14">
        <v>10</v>
      </c>
      <c r="F947" s="23">
        <v>6</v>
      </c>
      <c r="G947" s="17">
        <v>0.20997296065375304</v>
      </c>
      <c r="H947" s="4" t="s">
        <v>0</v>
      </c>
      <c r="I947" s="14"/>
    </row>
    <row r="948" spans="1:9" x14ac:dyDescent="0.25">
      <c r="A948" s="14">
        <v>2013</v>
      </c>
      <c r="B948" s="14">
        <v>176</v>
      </c>
      <c r="C948" s="20">
        <v>41450</v>
      </c>
      <c r="D948" s="16">
        <v>0.39999999999999997</v>
      </c>
      <c r="E948" s="14">
        <v>10</v>
      </c>
      <c r="F948" s="23">
        <v>7</v>
      </c>
      <c r="G948" s="17">
        <v>0.22882013044794186</v>
      </c>
      <c r="H948" s="4" t="s">
        <v>123</v>
      </c>
      <c r="I948" s="14"/>
    </row>
    <row r="949" spans="1:9" x14ac:dyDescent="0.25">
      <c r="A949" s="14">
        <v>2013</v>
      </c>
      <c r="B949" s="14">
        <v>176</v>
      </c>
      <c r="C949" s="20">
        <v>41450</v>
      </c>
      <c r="D949" s="16">
        <v>0.40625</v>
      </c>
      <c r="E949" s="14">
        <v>10</v>
      </c>
      <c r="F949" s="23">
        <v>8</v>
      </c>
      <c r="G949" s="17">
        <v>0.20856472790556901</v>
      </c>
      <c r="H949" s="4" t="s">
        <v>123</v>
      </c>
      <c r="I949" s="14"/>
    </row>
    <row r="950" spans="1:9" x14ac:dyDescent="0.25">
      <c r="A950" s="14">
        <v>2013</v>
      </c>
      <c r="B950" s="14">
        <v>176</v>
      </c>
      <c r="C950" s="20">
        <v>41450</v>
      </c>
      <c r="D950" s="16">
        <v>0.41250000000000003</v>
      </c>
      <c r="E950" s="14">
        <v>10</v>
      </c>
      <c r="F950" s="23">
        <v>9</v>
      </c>
      <c r="G950" s="17">
        <v>0.22409386985472152</v>
      </c>
      <c r="H950" s="4" t="s">
        <v>123</v>
      </c>
      <c r="I950" s="14"/>
    </row>
    <row r="951" spans="1:9" x14ac:dyDescent="0.25">
      <c r="A951" s="14">
        <v>2013</v>
      </c>
      <c r="B951" s="14">
        <v>176</v>
      </c>
      <c r="C951" s="20">
        <v>41450</v>
      </c>
      <c r="D951" s="16">
        <v>0.41875000000000001</v>
      </c>
      <c r="E951" s="14">
        <v>10</v>
      </c>
      <c r="F951" s="23">
        <v>10</v>
      </c>
      <c r="G951" s="17">
        <v>0.21234573638014526</v>
      </c>
      <c r="H951" s="4" t="s">
        <v>123</v>
      </c>
      <c r="I951" s="14"/>
    </row>
    <row r="952" spans="1:9" x14ac:dyDescent="0.25">
      <c r="A952" s="14">
        <v>2013</v>
      </c>
      <c r="B952" s="14">
        <v>176</v>
      </c>
      <c r="C952" s="20">
        <v>41450</v>
      </c>
      <c r="D952" s="16">
        <v>0.43194444444444446</v>
      </c>
      <c r="E952" s="14">
        <v>10</v>
      </c>
      <c r="F952" s="23">
        <v>11</v>
      </c>
      <c r="G952" s="17">
        <v>0.21836448456416463</v>
      </c>
      <c r="H952" s="4" t="s">
        <v>124</v>
      </c>
      <c r="I952" s="14"/>
    </row>
    <row r="953" spans="1:9" x14ac:dyDescent="0.25">
      <c r="A953" s="14">
        <v>2013</v>
      </c>
      <c r="B953" s="14">
        <v>176</v>
      </c>
      <c r="C953" s="20">
        <v>41450</v>
      </c>
      <c r="D953" s="16">
        <v>0.4381944444444445</v>
      </c>
      <c r="E953" s="14">
        <v>10</v>
      </c>
      <c r="F953" s="23">
        <v>12</v>
      </c>
      <c r="G953" s="17">
        <v>0.23993166555690071</v>
      </c>
      <c r="H953" s="4" t="s">
        <v>124</v>
      </c>
      <c r="I953" s="14"/>
    </row>
    <row r="954" spans="1:9" x14ac:dyDescent="0.25">
      <c r="A954" s="14">
        <v>2013</v>
      </c>
      <c r="B954" s="14">
        <v>176</v>
      </c>
      <c r="C954" s="20">
        <v>41450</v>
      </c>
      <c r="D954" s="16">
        <v>0.44513888888888892</v>
      </c>
      <c r="E954" s="14">
        <v>10</v>
      </c>
      <c r="F954" s="23">
        <v>13</v>
      </c>
      <c r="G954" s="17">
        <v>0.23624711138014526</v>
      </c>
      <c r="H954" s="4" t="s">
        <v>124</v>
      </c>
      <c r="I954" s="14"/>
    </row>
    <row r="955" spans="1:9" x14ac:dyDescent="0.25">
      <c r="A955" s="14">
        <v>2013</v>
      </c>
      <c r="B955" s="14">
        <v>176</v>
      </c>
      <c r="C955" s="20">
        <v>41450</v>
      </c>
      <c r="D955" s="16">
        <v>0.4513888888888889</v>
      </c>
      <c r="E955" s="14">
        <v>10</v>
      </c>
      <c r="F955" s="23">
        <v>14</v>
      </c>
      <c r="G955" s="17">
        <v>0.219927044188862</v>
      </c>
      <c r="H955" s="4" t="s">
        <v>124</v>
      </c>
      <c r="I955" s="14"/>
    </row>
    <row r="956" spans="1:9" x14ac:dyDescent="0.25">
      <c r="A956" s="14">
        <v>2013</v>
      </c>
      <c r="B956" s="14">
        <v>176</v>
      </c>
      <c r="C956" s="20">
        <v>41450</v>
      </c>
      <c r="D956" s="16">
        <v>0.45208333333333334</v>
      </c>
      <c r="E956" s="14">
        <v>10</v>
      </c>
      <c r="F956" s="23">
        <v>15</v>
      </c>
      <c r="G956" s="17">
        <v>0.20808245641646489</v>
      </c>
      <c r="H956" s="4" t="s">
        <v>1</v>
      </c>
      <c r="I956" s="14"/>
    </row>
    <row r="957" spans="1:9" x14ac:dyDescent="0.25">
      <c r="A957" s="14">
        <v>2013</v>
      </c>
      <c r="B957" s="14">
        <v>176</v>
      </c>
      <c r="C957" s="20">
        <v>41450</v>
      </c>
      <c r="D957" s="16">
        <v>0.46319444444444446</v>
      </c>
      <c r="E957" s="14">
        <v>10</v>
      </c>
      <c r="F957" s="23">
        <v>16</v>
      </c>
      <c r="G957" s="17">
        <v>0.19762681053268766</v>
      </c>
      <c r="H957" s="4" t="s">
        <v>1</v>
      </c>
      <c r="I957" s="14"/>
    </row>
    <row r="958" spans="1:9" x14ac:dyDescent="0.25">
      <c r="A958" s="14">
        <v>2013</v>
      </c>
      <c r="B958" s="14">
        <v>176</v>
      </c>
      <c r="C958" s="20">
        <v>41450</v>
      </c>
      <c r="D958" s="16">
        <v>0.4680555555555555</v>
      </c>
      <c r="E958" s="14">
        <v>10</v>
      </c>
      <c r="F958" s="23">
        <v>17</v>
      </c>
      <c r="G958" s="17">
        <v>0.22692962621065377</v>
      </c>
      <c r="H958" s="4" t="s">
        <v>124</v>
      </c>
      <c r="I958" s="14"/>
    </row>
    <row r="959" spans="1:9" x14ac:dyDescent="0.25">
      <c r="A959" s="14">
        <v>2013</v>
      </c>
      <c r="B959" s="14">
        <v>176</v>
      </c>
      <c r="C959" s="20">
        <v>41450</v>
      </c>
      <c r="D959" s="16">
        <v>0.47430555555555554</v>
      </c>
      <c r="E959" s="14">
        <v>10</v>
      </c>
      <c r="F959" s="23">
        <v>18</v>
      </c>
      <c r="G959" s="17">
        <v>0.22361159836561745</v>
      </c>
      <c r="H959" s="4" t="s">
        <v>124</v>
      </c>
      <c r="I959" s="14"/>
    </row>
    <row r="960" spans="1:9" x14ac:dyDescent="0.25">
      <c r="A960" s="14">
        <v>2013</v>
      </c>
      <c r="B960" s="14">
        <v>176</v>
      </c>
      <c r="C960" s="20">
        <v>41450</v>
      </c>
      <c r="D960" s="16">
        <v>0.48055555555555557</v>
      </c>
      <c r="E960" s="14">
        <v>10</v>
      </c>
      <c r="F960" s="23">
        <v>19</v>
      </c>
      <c r="G960" s="17">
        <v>0.20260385230024214</v>
      </c>
      <c r="H960" s="4" t="s">
        <v>124</v>
      </c>
      <c r="I960" s="14"/>
    </row>
    <row r="961" spans="1:9" x14ac:dyDescent="0.25">
      <c r="A961" s="14">
        <v>2013</v>
      </c>
      <c r="B961" s="14">
        <v>176</v>
      </c>
      <c r="C961" s="20">
        <v>41450</v>
      </c>
      <c r="D961" s="16">
        <v>0.48819444444444443</v>
      </c>
      <c r="E961" s="14">
        <v>10</v>
      </c>
      <c r="F961" s="23">
        <v>20</v>
      </c>
      <c r="G961" s="17">
        <v>0.2106867224576271</v>
      </c>
      <c r="H961" s="4" t="s">
        <v>124</v>
      </c>
      <c r="I961" s="14"/>
    </row>
    <row r="962" spans="1:9" x14ac:dyDescent="0.25">
      <c r="A962" s="14">
        <v>2013</v>
      </c>
      <c r="B962" s="14">
        <v>183</v>
      </c>
      <c r="C962" s="20">
        <v>41457</v>
      </c>
      <c r="D962" s="16">
        <v>0.35069444444444442</v>
      </c>
      <c r="E962" s="14">
        <v>230</v>
      </c>
      <c r="F962" s="23">
        <v>1</v>
      </c>
      <c r="G962" s="17">
        <v>0.30077147457627118</v>
      </c>
      <c r="H962" s="4" t="s">
        <v>123</v>
      </c>
      <c r="I962" s="14"/>
    </row>
    <row r="963" spans="1:9" x14ac:dyDescent="0.25">
      <c r="A963" s="14">
        <v>2013</v>
      </c>
      <c r="B963" s="14">
        <v>183</v>
      </c>
      <c r="C963" s="20">
        <v>41457</v>
      </c>
      <c r="D963" s="16">
        <v>0.35625000000000001</v>
      </c>
      <c r="E963" s="14">
        <v>230</v>
      </c>
      <c r="F963" s="23">
        <v>2</v>
      </c>
      <c r="G963" s="17">
        <v>0.29977312076271184</v>
      </c>
      <c r="H963" s="4" t="s">
        <v>123</v>
      </c>
      <c r="I963" s="14"/>
    </row>
    <row r="964" spans="1:9" x14ac:dyDescent="0.25">
      <c r="A964" s="14">
        <v>2013</v>
      </c>
      <c r="B964" s="14">
        <v>183</v>
      </c>
      <c r="C964" s="20">
        <v>41457</v>
      </c>
      <c r="D964" s="16">
        <v>0.36180555555555555</v>
      </c>
      <c r="E964" s="14">
        <v>230</v>
      </c>
      <c r="F964" s="23">
        <v>3</v>
      </c>
      <c r="G964" s="17">
        <v>0.2865400388418079</v>
      </c>
      <c r="H964" s="4" t="s">
        <v>123</v>
      </c>
      <c r="I964" s="14"/>
    </row>
    <row r="965" spans="1:9" x14ac:dyDescent="0.25">
      <c r="A965" s="14">
        <v>2013</v>
      </c>
      <c r="B965" s="14">
        <v>183</v>
      </c>
      <c r="C965" s="20">
        <v>41457</v>
      </c>
      <c r="D965" s="16">
        <v>0.36805555555555558</v>
      </c>
      <c r="E965" s="14">
        <v>230</v>
      </c>
      <c r="F965" s="23">
        <v>4</v>
      </c>
      <c r="G965" s="17">
        <v>0.28477823799435026</v>
      </c>
      <c r="H965" s="4" t="s">
        <v>123</v>
      </c>
      <c r="I965" s="14"/>
    </row>
    <row r="966" spans="1:9" x14ac:dyDescent="0.25">
      <c r="A966" s="14">
        <v>2013</v>
      </c>
      <c r="B966" s="14">
        <v>183</v>
      </c>
      <c r="C966" s="20">
        <v>41457</v>
      </c>
      <c r="D966" s="16">
        <v>0.36874999999999997</v>
      </c>
      <c r="E966" s="14">
        <v>230</v>
      </c>
      <c r="F966" s="23">
        <v>5</v>
      </c>
      <c r="G966" s="17" t="e">
        <v>#N/A</v>
      </c>
      <c r="H966" s="4" t="s">
        <v>0</v>
      </c>
      <c r="I966" s="14"/>
    </row>
    <row r="967" spans="1:9" x14ac:dyDescent="0.25">
      <c r="A967" s="14">
        <v>2013</v>
      </c>
      <c r="B967" s="14">
        <v>183</v>
      </c>
      <c r="C967" s="20">
        <v>41457</v>
      </c>
      <c r="D967" s="16">
        <v>0.37916666666666665</v>
      </c>
      <c r="E967" s="14">
        <v>230</v>
      </c>
      <c r="F967" s="23">
        <v>6</v>
      </c>
      <c r="G967" s="17" t="e">
        <v>#N/A</v>
      </c>
      <c r="H967" s="4" t="s">
        <v>0</v>
      </c>
      <c r="I967" s="14"/>
    </row>
    <row r="968" spans="1:9" x14ac:dyDescent="0.25">
      <c r="A968" s="14">
        <v>2013</v>
      </c>
      <c r="B968" s="14">
        <v>183</v>
      </c>
      <c r="C968" s="20">
        <v>41457</v>
      </c>
      <c r="D968" s="16">
        <v>0.38472222222222219</v>
      </c>
      <c r="E968" s="14">
        <v>230</v>
      </c>
      <c r="F968" s="23">
        <v>7</v>
      </c>
      <c r="G968" s="17">
        <v>0.28742093926553669</v>
      </c>
      <c r="H968" s="4" t="s">
        <v>123</v>
      </c>
      <c r="I968" s="14"/>
    </row>
    <row r="969" spans="1:9" x14ac:dyDescent="0.25">
      <c r="A969" s="14">
        <v>2013</v>
      </c>
      <c r="B969" s="14">
        <v>183</v>
      </c>
      <c r="C969" s="20">
        <v>41457</v>
      </c>
      <c r="D969" s="16">
        <v>0.39097222222222222</v>
      </c>
      <c r="E969" s="14">
        <v>230</v>
      </c>
      <c r="F969" s="23">
        <v>8</v>
      </c>
      <c r="G969" s="17">
        <v>0.31343686511299435</v>
      </c>
      <c r="H969" s="4" t="s">
        <v>123</v>
      </c>
      <c r="I969" s="14"/>
    </row>
    <row r="970" spans="1:9" x14ac:dyDescent="0.25">
      <c r="A970" s="14">
        <v>2013</v>
      </c>
      <c r="B970" s="14">
        <v>183</v>
      </c>
      <c r="C970" s="20">
        <v>41457</v>
      </c>
      <c r="D970" s="16">
        <v>0.39652777777777781</v>
      </c>
      <c r="E970" s="14">
        <v>230</v>
      </c>
      <c r="F970" s="23">
        <v>9</v>
      </c>
      <c r="G970" s="17">
        <v>0.30954132768361581</v>
      </c>
      <c r="H970" s="4" t="s">
        <v>123</v>
      </c>
      <c r="I970" s="14"/>
    </row>
    <row r="971" spans="1:9" x14ac:dyDescent="0.25">
      <c r="A971" s="14">
        <v>2013</v>
      </c>
      <c r="B971" s="14">
        <v>183</v>
      </c>
      <c r="C971" s="20">
        <v>41457</v>
      </c>
      <c r="D971" s="16">
        <v>0.40277777777777773</v>
      </c>
      <c r="E971" s="14">
        <v>230</v>
      </c>
      <c r="F971" s="23">
        <v>10</v>
      </c>
      <c r="G971" s="17">
        <v>0.26578993997175143</v>
      </c>
      <c r="H971" s="4" t="s">
        <v>123</v>
      </c>
      <c r="I971" s="14"/>
    </row>
    <row r="972" spans="1:9" x14ac:dyDescent="0.25">
      <c r="A972" s="14">
        <v>2013</v>
      </c>
      <c r="B972" s="14">
        <v>183</v>
      </c>
      <c r="C972" s="20">
        <v>41457</v>
      </c>
      <c r="D972" s="16">
        <v>0.41944444444444445</v>
      </c>
      <c r="E972" s="14">
        <v>230</v>
      </c>
      <c r="F972" s="23">
        <v>11</v>
      </c>
      <c r="G972" s="17">
        <v>0.30059529449152544</v>
      </c>
      <c r="H972" s="4" t="s">
        <v>124</v>
      </c>
      <c r="I972" s="14"/>
    </row>
    <row r="973" spans="1:9" x14ac:dyDescent="0.25">
      <c r="A973" s="14">
        <v>2013</v>
      </c>
      <c r="B973" s="14">
        <v>183</v>
      </c>
      <c r="C973" s="20">
        <v>41457</v>
      </c>
      <c r="D973" s="16">
        <v>0.42569444444444443</v>
      </c>
      <c r="E973" s="14">
        <v>230</v>
      </c>
      <c r="F973" s="23">
        <v>12</v>
      </c>
      <c r="G973" s="17">
        <v>0.30601772598870058</v>
      </c>
      <c r="H973" s="4" t="s">
        <v>124</v>
      </c>
      <c r="I973" s="14"/>
    </row>
    <row r="974" spans="1:9" x14ac:dyDescent="0.25">
      <c r="A974" s="14">
        <v>2013</v>
      </c>
      <c r="B974" s="14">
        <v>183</v>
      </c>
      <c r="C974" s="20">
        <v>41457</v>
      </c>
      <c r="D974" s="16">
        <v>0.43263888888888885</v>
      </c>
      <c r="E974" s="14">
        <v>230</v>
      </c>
      <c r="F974" s="23">
        <v>13</v>
      </c>
      <c r="G974" s="17">
        <v>0.30063444562146896</v>
      </c>
      <c r="H974" s="4" t="s">
        <v>124</v>
      </c>
      <c r="I974" s="14"/>
    </row>
    <row r="975" spans="1:9" x14ac:dyDescent="0.25">
      <c r="A975" s="14">
        <v>2013</v>
      </c>
      <c r="B975" s="14">
        <v>183</v>
      </c>
      <c r="C975" s="20">
        <v>41457</v>
      </c>
      <c r="D975" s="16">
        <v>0.43958333333333338</v>
      </c>
      <c r="E975" s="14">
        <v>230</v>
      </c>
      <c r="F975" s="23">
        <v>14</v>
      </c>
      <c r="G975" s="17">
        <v>0.29294124858757059</v>
      </c>
      <c r="H975" s="4" t="s">
        <v>124</v>
      </c>
      <c r="I975" s="14"/>
    </row>
    <row r="976" spans="1:9" x14ac:dyDescent="0.25">
      <c r="A976" s="14">
        <v>2013</v>
      </c>
      <c r="B976" s="14">
        <v>183</v>
      </c>
      <c r="C976" s="20">
        <v>41457</v>
      </c>
      <c r="D976" s="16">
        <v>0.44722222222222219</v>
      </c>
      <c r="E976" s="14">
        <v>230</v>
      </c>
      <c r="F976" s="23">
        <v>15</v>
      </c>
      <c r="G976" s="17" t="e">
        <v>#N/A</v>
      </c>
      <c r="H976" s="4" t="s">
        <v>1</v>
      </c>
      <c r="I976" s="14"/>
    </row>
    <row r="977" spans="1:9" x14ac:dyDescent="0.25">
      <c r="A977" s="14">
        <v>2013</v>
      </c>
      <c r="B977" s="14">
        <v>183</v>
      </c>
      <c r="C977" s="20">
        <v>41457</v>
      </c>
      <c r="D977" s="16">
        <v>0.45208333333333334</v>
      </c>
      <c r="E977" s="14">
        <v>230</v>
      </c>
      <c r="F977" s="23">
        <v>16</v>
      </c>
      <c r="G977" s="17" t="e">
        <v>#N/A</v>
      </c>
      <c r="H977" s="4" t="s">
        <v>1</v>
      </c>
      <c r="I977" s="14"/>
    </row>
    <row r="978" spans="1:9" x14ac:dyDescent="0.25">
      <c r="A978" s="14">
        <v>2013</v>
      </c>
      <c r="B978" s="14">
        <v>183</v>
      </c>
      <c r="C978" s="20">
        <v>41457</v>
      </c>
      <c r="D978" s="16">
        <v>0.45833333333333331</v>
      </c>
      <c r="E978" s="14">
        <v>230</v>
      </c>
      <c r="F978" s="23">
        <v>17</v>
      </c>
      <c r="G978" s="17">
        <v>0.30697692867231641</v>
      </c>
      <c r="H978" s="4" t="s">
        <v>124</v>
      </c>
      <c r="I978" s="14"/>
    </row>
    <row r="979" spans="1:9" x14ac:dyDescent="0.25">
      <c r="A979" s="14">
        <v>2013</v>
      </c>
      <c r="B979" s="14">
        <v>183</v>
      </c>
      <c r="C979" s="20">
        <v>41457</v>
      </c>
      <c r="D979" s="16">
        <v>0.45902777777777781</v>
      </c>
      <c r="E979" s="14">
        <v>230</v>
      </c>
      <c r="F979" s="23">
        <v>18</v>
      </c>
      <c r="G979" s="17">
        <v>0.30247454872881357</v>
      </c>
      <c r="H979" s="4" t="s">
        <v>124</v>
      </c>
      <c r="I979" s="14"/>
    </row>
    <row r="980" spans="1:9" x14ac:dyDescent="0.25">
      <c r="A980" s="14">
        <v>2013</v>
      </c>
      <c r="B980" s="14">
        <v>183</v>
      </c>
      <c r="C980" s="20">
        <v>41457</v>
      </c>
      <c r="D980" s="16">
        <v>0.47013888888888888</v>
      </c>
      <c r="E980" s="14">
        <v>230</v>
      </c>
      <c r="F980" s="23">
        <v>19</v>
      </c>
      <c r="G980" s="17">
        <v>0.29446814265536725</v>
      </c>
      <c r="H980" s="4" t="s">
        <v>124</v>
      </c>
      <c r="I980" s="14"/>
    </row>
    <row r="981" spans="1:9" x14ac:dyDescent="0.25">
      <c r="A981" s="14">
        <v>2013</v>
      </c>
      <c r="B981" s="14">
        <v>183</v>
      </c>
      <c r="C981" s="20">
        <v>41457</v>
      </c>
      <c r="D981" s="16">
        <v>0.47638888888888892</v>
      </c>
      <c r="E981" s="14">
        <v>230</v>
      </c>
      <c r="F981" s="23">
        <v>20</v>
      </c>
      <c r="G981" s="17">
        <v>0.30208303742937859</v>
      </c>
      <c r="H981" s="4" t="s">
        <v>124</v>
      </c>
      <c r="I981" s="14"/>
    </row>
    <row r="982" spans="1:9" x14ac:dyDescent="0.25">
      <c r="A982" s="14">
        <v>2013</v>
      </c>
      <c r="B982" s="14">
        <v>183</v>
      </c>
      <c r="C982" s="20">
        <v>41457</v>
      </c>
      <c r="D982" s="16">
        <v>0.35069444444444442</v>
      </c>
      <c r="E982" s="14">
        <v>210</v>
      </c>
      <c r="F982" s="23">
        <v>1</v>
      </c>
      <c r="G982" s="17">
        <v>0.3023375197740113</v>
      </c>
      <c r="H982" s="4" t="s">
        <v>123</v>
      </c>
      <c r="I982" s="14"/>
    </row>
    <row r="983" spans="1:9" x14ac:dyDescent="0.25">
      <c r="A983" s="14">
        <v>2013</v>
      </c>
      <c r="B983" s="14">
        <v>183</v>
      </c>
      <c r="C983" s="20">
        <v>41457</v>
      </c>
      <c r="D983" s="16">
        <v>0.35625000000000001</v>
      </c>
      <c r="E983" s="14">
        <v>210</v>
      </c>
      <c r="F983" s="23">
        <v>2</v>
      </c>
      <c r="G983" s="17">
        <v>0.30421677401129948</v>
      </c>
      <c r="H983" s="4" t="s">
        <v>123</v>
      </c>
      <c r="I983" s="14"/>
    </row>
    <row r="984" spans="1:9" x14ac:dyDescent="0.25">
      <c r="A984" s="14">
        <v>2013</v>
      </c>
      <c r="B984" s="14">
        <v>183</v>
      </c>
      <c r="C984" s="20">
        <v>41457</v>
      </c>
      <c r="D984" s="16">
        <v>0.36180555555555555</v>
      </c>
      <c r="E984" s="14">
        <v>210</v>
      </c>
      <c r="F984" s="23">
        <v>3</v>
      </c>
      <c r="G984" s="17">
        <v>0.27557772245762713</v>
      </c>
      <c r="H984" s="4" t="s">
        <v>123</v>
      </c>
      <c r="I984" s="14"/>
    </row>
    <row r="985" spans="1:9" x14ac:dyDescent="0.25">
      <c r="A985" s="14">
        <v>2013</v>
      </c>
      <c r="B985" s="14">
        <v>183</v>
      </c>
      <c r="C985" s="20">
        <v>41457</v>
      </c>
      <c r="D985" s="16">
        <v>0.36805555555555558</v>
      </c>
      <c r="E985" s="14">
        <v>210</v>
      </c>
      <c r="F985" s="23">
        <v>4</v>
      </c>
      <c r="G985" s="17">
        <v>0.29108156991525425</v>
      </c>
      <c r="H985" s="4" t="s">
        <v>123</v>
      </c>
      <c r="I985" s="14"/>
    </row>
    <row r="986" spans="1:9" x14ac:dyDescent="0.25">
      <c r="A986" s="14">
        <v>2013</v>
      </c>
      <c r="B986" s="14">
        <v>183</v>
      </c>
      <c r="C986" s="20">
        <v>41457</v>
      </c>
      <c r="D986" s="16">
        <v>0.36874999999999997</v>
      </c>
      <c r="E986" s="14">
        <v>210</v>
      </c>
      <c r="F986" s="23">
        <v>5</v>
      </c>
      <c r="G986" s="17" t="e">
        <v>#N/A</v>
      </c>
      <c r="H986" s="4" t="s">
        <v>0</v>
      </c>
      <c r="I986" s="14"/>
    </row>
    <row r="987" spans="1:9" x14ac:dyDescent="0.25">
      <c r="A987" s="14">
        <v>2013</v>
      </c>
      <c r="B987" s="14">
        <v>183</v>
      </c>
      <c r="C987" s="20">
        <v>41457</v>
      </c>
      <c r="D987" s="16">
        <v>0.37916666666666665</v>
      </c>
      <c r="E987" s="14">
        <v>210</v>
      </c>
      <c r="F987" s="23">
        <v>6</v>
      </c>
      <c r="G987" s="17" t="e">
        <v>#N/A</v>
      </c>
      <c r="H987" s="4" t="s">
        <v>0</v>
      </c>
      <c r="I987" s="14"/>
    </row>
    <row r="988" spans="1:9" x14ac:dyDescent="0.25">
      <c r="A988" s="14">
        <v>2013</v>
      </c>
      <c r="B988" s="14">
        <v>183</v>
      </c>
      <c r="C988" s="20">
        <v>41457</v>
      </c>
      <c r="D988" s="16">
        <v>0.38472222222222219</v>
      </c>
      <c r="E988" s="14">
        <v>210</v>
      </c>
      <c r="F988" s="23">
        <v>7</v>
      </c>
      <c r="G988" s="17">
        <v>0.28272280367231639</v>
      </c>
      <c r="H988" s="4" t="s">
        <v>123</v>
      </c>
      <c r="I988" s="14"/>
    </row>
    <row r="989" spans="1:9" x14ac:dyDescent="0.25">
      <c r="A989" s="14">
        <v>2013</v>
      </c>
      <c r="B989" s="14">
        <v>183</v>
      </c>
      <c r="C989" s="20">
        <v>41457</v>
      </c>
      <c r="D989" s="16">
        <v>0.39097222222222222</v>
      </c>
      <c r="E989" s="14">
        <v>210</v>
      </c>
      <c r="F989" s="23">
        <v>8</v>
      </c>
      <c r="G989" s="17">
        <v>0.30546961016949153</v>
      </c>
      <c r="H989" s="4" t="s">
        <v>123</v>
      </c>
      <c r="I989" s="14"/>
    </row>
    <row r="990" spans="1:9" x14ac:dyDescent="0.25">
      <c r="A990" s="14">
        <v>2013</v>
      </c>
      <c r="B990" s="14">
        <v>183</v>
      </c>
      <c r="C990" s="20">
        <v>41457</v>
      </c>
      <c r="D990" s="16">
        <v>0.39652777777777781</v>
      </c>
      <c r="E990" s="14">
        <v>210</v>
      </c>
      <c r="F990" s="23">
        <v>9</v>
      </c>
      <c r="G990" s="17">
        <v>0.29597546115819212</v>
      </c>
      <c r="H990" s="4" t="s">
        <v>123</v>
      </c>
      <c r="I990" s="14"/>
    </row>
    <row r="991" spans="1:9" x14ac:dyDescent="0.25">
      <c r="A991" s="14">
        <v>2013</v>
      </c>
      <c r="B991" s="14">
        <v>183</v>
      </c>
      <c r="C991" s="20">
        <v>41457</v>
      </c>
      <c r="D991" s="16">
        <v>0.40277777777777773</v>
      </c>
      <c r="E991" s="14">
        <v>210</v>
      </c>
      <c r="F991" s="23">
        <v>10</v>
      </c>
      <c r="G991" s="17">
        <v>0.27199539406779666</v>
      </c>
      <c r="H991" s="4" t="s">
        <v>123</v>
      </c>
      <c r="I991" s="14"/>
    </row>
    <row r="992" spans="1:9" x14ac:dyDescent="0.25">
      <c r="A992" s="14">
        <v>2013</v>
      </c>
      <c r="B992" s="14">
        <v>183</v>
      </c>
      <c r="C992" s="20">
        <v>41457</v>
      </c>
      <c r="D992" s="16">
        <v>0.41944444444444445</v>
      </c>
      <c r="E992" s="14">
        <v>210</v>
      </c>
      <c r="F992" s="23">
        <v>11</v>
      </c>
      <c r="G992" s="17">
        <v>0.30893448516949157</v>
      </c>
      <c r="H992" s="4" t="s">
        <v>124</v>
      </c>
      <c r="I992" s="14"/>
    </row>
    <row r="993" spans="1:9" x14ac:dyDescent="0.25">
      <c r="A993" s="14">
        <v>2013</v>
      </c>
      <c r="B993" s="14">
        <v>183</v>
      </c>
      <c r="C993" s="20">
        <v>41457</v>
      </c>
      <c r="D993" s="16">
        <v>0.42569444444444443</v>
      </c>
      <c r="E993" s="14">
        <v>210</v>
      </c>
      <c r="F993" s="23">
        <v>12</v>
      </c>
      <c r="G993" s="17">
        <v>0.31044180367231639</v>
      </c>
      <c r="H993" s="4" t="s">
        <v>124</v>
      </c>
      <c r="I993" s="14"/>
    </row>
    <row r="994" spans="1:9" x14ac:dyDescent="0.25">
      <c r="A994" s="14">
        <v>2013</v>
      </c>
      <c r="B994" s="14">
        <v>183</v>
      </c>
      <c r="C994" s="20">
        <v>41457</v>
      </c>
      <c r="D994" s="16">
        <v>0.43263888888888885</v>
      </c>
      <c r="E994" s="14">
        <v>210</v>
      </c>
      <c r="F994" s="23">
        <v>13</v>
      </c>
      <c r="G994" s="17">
        <v>0.31075501271186445</v>
      </c>
      <c r="H994" s="4" t="s">
        <v>124</v>
      </c>
      <c r="I994" s="14"/>
    </row>
    <row r="995" spans="1:9" x14ac:dyDescent="0.25">
      <c r="A995" s="14">
        <v>2013</v>
      </c>
      <c r="B995" s="14">
        <v>183</v>
      </c>
      <c r="C995" s="20">
        <v>41457</v>
      </c>
      <c r="D995" s="16">
        <v>0.43958333333333338</v>
      </c>
      <c r="E995" s="14">
        <v>210</v>
      </c>
      <c r="F995" s="23">
        <v>14</v>
      </c>
      <c r="G995" s="17">
        <v>0.2804128870056497</v>
      </c>
      <c r="H995" s="4" t="s">
        <v>124</v>
      </c>
      <c r="I995" s="14"/>
    </row>
    <row r="996" spans="1:9" x14ac:dyDescent="0.25">
      <c r="A996" s="14">
        <v>2013</v>
      </c>
      <c r="B996" s="14">
        <v>183</v>
      </c>
      <c r="C996" s="20">
        <v>41457</v>
      </c>
      <c r="D996" s="16">
        <v>0.44722222222222219</v>
      </c>
      <c r="E996" s="14">
        <v>210</v>
      </c>
      <c r="F996" s="23">
        <v>15</v>
      </c>
      <c r="G996" s="17" t="e">
        <v>#N/A</v>
      </c>
      <c r="H996" s="4" t="s">
        <v>1</v>
      </c>
      <c r="I996" s="14"/>
    </row>
    <row r="997" spans="1:9" x14ac:dyDescent="0.25">
      <c r="A997" s="14">
        <v>2013</v>
      </c>
      <c r="B997" s="14">
        <v>183</v>
      </c>
      <c r="C997" s="20">
        <v>41457</v>
      </c>
      <c r="D997" s="16">
        <v>0.45208333333333334</v>
      </c>
      <c r="E997" s="14">
        <v>210</v>
      </c>
      <c r="F997" s="23">
        <v>16</v>
      </c>
      <c r="G997" s="17" t="e">
        <v>#N/A</v>
      </c>
      <c r="H997" s="4" t="s">
        <v>1</v>
      </c>
      <c r="I997" s="14"/>
    </row>
    <row r="998" spans="1:9" x14ac:dyDescent="0.25">
      <c r="A998" s="14">
        <v>2013</v>
      </c>
      <c r="B998" s="14">
        <v>183</v>
      </c>
      <c r="C998" s="20">
        <v>41457</v>
      </c>
      <c r="D998" s="16">
        <v>0.45833333333333331</v>
      </c>
      <c r="E998" s="14">
        <v>210</v>
      </c>
      <c r="F998" s="23">
        <v>17</v>
      </c>
      <c r="G998" s="17">
        <v>0.30967835663841808</v>
      </c>
      <c r="H998" s="4" t="s">
        <v>124</v>
      </c>
      <c r="I998" s="14"/>
    </row>
    <row r="999" spans="1:9" x14ac:dyDescent="0.25">
      <c r="A999" s="14">
        <v>2013</v>
      </c>
      <c r="B999" s="14">
        <v>183</v>
      </c>
      <c r="C999" s="20">
        <v>41457</v>
      </c>
      <c r="D999" s="16">
        <v>0.45902777777777781</v>
      </c>
      <c r="E999" s="14">
        <v>210</v>
      </c>
      <c r="F999" s="23">
        <v>18</v>
      </c>
      <c r="G999" s="17">
        <v>0.3063309350282486</v>
      </c>
      <c r="H999" s="4" t="s">
        <v>124</v>
      </c>
      <c r="I999" s="14"/>
    </row>
    <row r="1000" spans="1:9" x14ac:dyDescent="0.25">
      <c r="A1000" s="14">
        <v>2013</v>
      </c>
      <c r="B1000" s="14">
        <v>183</v>
      </c>
      <c r="C1000" s="20">
        <v>41457</v>
      </c>
      <c r="D1000" s="16">
        <v>0.47013888888888888</v>
      </c>
      <c r="E1000" s="14">
        <v>210</v>
      </c>
      <c r="F1000" s="23">
        <v>19</v>
      </c>
      <c r="G1000" s="17">
        <v>0.30153492161016948</v>
      </c>
      <c r="H1000" s="4" t="s">
        <v>124</v>
      </c>
      <c r="I1000" s="14"/>
    </row>
    <row r="1001" spans="1:9" x14ac:dyDescent="0.25">
      <c r="A1001" s="14">
        <v>2013</v>
      </c>
      <c r="B1001" s="14">
        <v>183</v>
      </c>
      <c r="C1001" s="20">
        <v>41457</v>
      </c>
      <c r="D1001" s="16">
        <v>0.47638888888888892</v>
      </c>
      <c r="E1001" s="14">
        <v>210</v>
      </c>
      <c r="F1001" s="23">
        <v>20</v>
      </c>
      <c r="G1001" s="17">
        <v>0.3060568771186441</v>
      </c>
      <c r="H1001" s="4" t="s">
        <v>124</v>
      </c>
      <c r="I1001" s="14"/>
    </row>
    <row r="1002" spans="1:9" x14ac:dyDescent="0.25">
      <c r="A1002" s="14">
        <v>2013</v>
      </c>
      <c r="B1002" s="14">
        <v>183</v>
      </c>
      <c r="C1002" s="20">
        <v>41457</v>
      </c>
      <c r="D1002" s="16">
        <v>0.35069444444444442</v>
      </c>
      <c r="E1002" s="14">
        <v>190</v>
      </c>
      <c r="F1002" s="23">
        <v>1</v>
      </c>
      <c r="G1002" s="17">
        <v>0.28475866242937853</v>
      </c>
      <c r="H1002" s="4" t="s">
        <v>123</v>
      </c>
      <c r="I1002" s="14"/>
    </row>
    <row r="1003" spans="1:9" x14ac:dyDescent="0.25">
      <c r="A1003" s="14">
        <v>2013</v>
      </c>
      <c r="B1003" s="14">
        <v>183</v>
      </c>
      <c r="C1003" s="20">
        <v>41457</v>
      </c>
      <c r="D1003" s="16">
        <v>0.35625000000000001</v>
      </c>
      <c r="E1003" s="14">
        <v>190</v>
      </c>
      <c r="F1003" s="23">
        <v>2</v>
      </c>
      <c r="G1003" s="17">
        <v>0.29008321610169491</v>
      </c>
      <c r="H1003" s="4" t="s">
        <v>123</v>
      </c>
      <c r="I1003" s="14"/>
    </row>
    <row r="1004" spans="1:9" x14ac:dyDescent="0.25">
      <c r="A1004" s="14">
        <v>2013</v>
      </c>
      <c r="B1004" s="14">
        <v>183</v>
      </c>
      <c r="C1004" s="20">
        <v>41457</v>
      </c>
      <c r="D1004" s="16">
        <v>0.36180555555555555</v>
      </c>
      <c r="E1004" s="14">
        <v>190</v>
      </c>
      <c r="F1004" s="23">
        <v>3</v>
      </c>
      <c r="G1004" s="17">
        <v>0.28998533827683615</v>
      </c>
      <c r="H1004" s="4" t="s">
        <v>123</v>
      </c>
      <c r="I1004" s="14"/>
    </row>
    <row r="1005" spans="1:9" x14ac:dyDescent="0.25">
      <c r="A1005" s="14">
        <v>2013</v>
      </c>
      <c r="B1005" s="14">
        <v>183</v>
      </c>
      <c r="C1005" s="20">
        <v>41457</v>
      </c>
      <c r="D1005" s="16">
        <v>0.36805555555555558</v>
      </c>
      <c r="E1005" s="14">
        <v>190</v>
      </c>
      <c r="F1005" s="23">
        <v>4</v>
      </c>
      <c r="G1005" s="17">
        <v>0.29360681779661019</v>
      </c>
      <c r="H1005" s="4" t="s">
        <v>123</v>
      </c>
      <c r="I1005" s="14"/>
    </row>
    <row r="1006" spans="1:9" x14ac:dyDescent="0.25">
      <c r="A1006" s="14">
        <v>2013</v>
      </c>
      <c r="B1006" s="14">
        <v>183</v>
      </c>
      <c r="C1006" s="20">
        <v>41457</v>
      </c>
      <c r="D1006" s="16">
        <v>0.36874999999999997</v>
      </c>
      <c r="E1006" s="14">
        <v>190</v>
      </c>
      <c r="F1006" s="23">
        <v>5</v>
      </c>
      <c r="G1006" s="17">
        <v>0.33193577401129948</v>
      </c>
      <c r="H1006" s="4" t="s">
        <v>0</v>
      </c>
      <c r="I1006" s="14"/>
    </row>
    <row r="1007" spans="1:9" x14ac:dyDescent="0.25">
      <c r="A1007" s="14">
        <v>2013</v>
      </c>
      <c r="B1007" s="14">
        <v>183</v>
      </c>
      <c r="C1007" s="20">
        <v>41457</v>
      </c>
      <c r="D1007" s="16">
        <v>0.37916666666666665</v>
      </c>
      <c r="E1007" s="14">
        <v>190</v>
      </c>
      <c r="F1007" s="23">
        <v>6</v>
      </c>
      <c r="G1007" s="17">
        <v>0.34137119632768365</v>
      </c>
      <c r="H1007" s="4" t="s">
        <v>0</v>
      </c>
      <c r="I1007" s="14"/>
    </row>
    <row r="1008" spans="1:9" x14ac:dyDescent="0.25">
      <c r="A1008" s="14">
        <v>2013</v>
      </c>
      <c r="B1008" s="14">
        <v>183</v>
      </c>
      <c r="C1008" s="20">
        <v>41457</v>
      </c>
      <c r="D1008" s="16">
        <v>0.38472222222222219</v>
      </c>
      <c r="E1008" s="14">
        <v>190</v>
      </c>
      <c r="F1008" s="23">
        <v>7</v>
      </c>
      <c r="G1008" s="17">
        <v>0.28258577471751417</v>
      </c>
      <c r="H1008" s="4" t="s">
        <v>123</v>
      </c>
      <c r="I1008" s="14"/>
    </row>
    <row r="1009" spans="1:9" x14ac:dyDescent="0.25">
      <c r="A1009" s="14">
        <v>2013</v>
      </c>
      <c r="B1009" s="14">
        <v>183</v>
      </c>
      <c r="C1009" s="20">
        <v>41457</v>
      </c>
      <c r="D1009" s="16">
        <v>0.39097222222222222</v>
      </c>
      <c r="E1009" s="14">
        <v>190</v>
      </c>
      <c r="F1009" s="23">
        <v>8</v>
      </c>
      <c r="G1009" s="17">
        <v>0.29683678601694913</v>
      </c>
      <c r="H1009" s="4" t="s">
        <v>123</v>
      </c>
      <c r="I1009" s="14"/>
    </row>
    <row r="1010" spans="1:9" x14ac:dyDescent="0.25">
      <c r="A1010" s="14">
        <v>2013</v>
      </c>
      <c r="B1010" s="14">
        <v>183</v>
      </c>
      <c r="C1010" s="20">
        <v>41457</v>
      </c>
      <c r="D1010" s="16">
        <v>0.39652777777777781</v>
      </c>
      <c r="E1010" s="14">
        <v>190</v>
      </c>
      <c r="F1010" s="23">
        <v>9</v>
      </c>
      <c r="G1010" s="17">
        <v>0.29209949929378531</v>
      </c>
      <c r="H1010" s="4" t="s">
        <v>123</v>
      </c>
      <c r="I1010" s="14"/>
    </row>
    <row r="1011" spans="1:9" x14ac:dyDescent="0.25">
      <c r="A1011" s="14">
        <v>2013</v>
      </c>
      <c r="B1011" s="14">
        <v>183</v>
      </c>
      <c r="C1011" s="20">
        <v>41457</v>
      </c>
      <c r="D1011" s="16">
        <v>0.40277777777777773</v>
      </c>
      <c r="E1011" s="14">
        <v>190</v>
      </c>
      <c r="F1011" s="23">
        <v>10</v>
      </c>
      <c r="G1011" s="17">
        <v>0.29773726200564976</v>
      </c>
      <c r="H1011" s="4" t="s">
        <v>123</v>
      </c>
      <c r="I1011" s="14"/>
    </row>
    <row r="1012" spans="1:9" x14ac:dyDescent="0.25">
      <c r="A1012" s="14">
        <v>2013</v>
      </c>
      <c r="B1012" s="14">
        <v>183</v>
      </c>
      <c r="C1012" s="20">
        <v>41457</v>
      </c>
      <c r="D1012" s="16">
        <v>0.41944444444444445</v>
      </c>
      <c r="E1012" s="14">
        <v>190</v>
      </c>
      <c r="F1012" s="23">
        <v>11</v>
      </c>
      <c r="G1012" s="17">
        <v>0.31081373940677964</v>
      </c>
      <c r="H1012" s="4" t="s">
        <v>124</v>
      </c>
      <c r="I1012" s="14"/>
    </row>
    <row r="1013" spans="1:9" x14ac:dyDescent="0.25">
      <c r="A1013" s="14">
        <v>2013</v>
      </c>
      <c r="B1013" s="14">
        <v>183</v>
      </c>
      <c r="C1013" s="20">
        <v>41457</v>
      </c>
      <c r="D1013" s="16">
        <v>0.42569444444444443</v>
      </c>
      <c r="E1013" s="14">
        <v>190</v>
      </c>
      <c r="F1013" s="23">
        <v>12</v>
      </c>
      <c r="G1013" s="17">
        <v>0.31212530225988699</v>
      </c>
      <c r="H1013" s="4" t="s">
        <v>124</v>
      </c>
      <c r="I1013" s="14"/>
    </row>
    <row r="1014" spans="1:9" x14ac:dyDescent="0.25">
      <c r="A1014" s="14">
        <v>2013</v>
      </c>
      <c r="B1014" s="14">
        <v>183</v>
      </c>
      <c r="C1014" s="20">
        <v>41457</v>
      </c>
      <c r="D1014" s="16">
        <v>0.43263888888888885</v>
      </c>
      <c r="E1014" s="14">
        <v>190</v>
      </c>
      <c r="F1014" s="23">
        <v>13</v>
      </c>
      <c r="G1014" s="17">
        <v>0.30210261299435032</v>
      </c>
      <c r="H1014" s="4" t="s">
        <v>124</v>
      </c>
      <c r="I1014" s="14"/>
    </row>
    <row r="1015" spans="1:9" x14ac:dyDescent="0.25">
      <c r="A1015" s="14">
        <v>2013</v>
      </c>
      <c r="B1015" s="14">
        <v>183</v>
      </c>
      <c r="C1015" s="20">
        <v>41457</v>
      </c>
      <c r="D1015" s="16">
        <v>0.43958333333333338</v>
      </c>
      <c r="E1015" s="14">
        <v>190</v>
      </c>
      <c r="F1015" s="23">
        <v>14</v>
      </c>
      <c r="G1015" s="17">
        <v>0.30503894774011303</v>
      </c>
      <c r="H1015" s="4" t="s">
        <v>124</v>
      </c>
      <c r="I1015" s="14"/>
    </row>
    <row r="1016" spans="1:9" x14ac:dyDescent="0.25">
      <c r="A1016" s="14">
        <v>2013</v>
      </c>
      <c r="B1016" s="14">
        <v>183</v>
      </c>
      <c r="C1016" s="20">
        <v>41457</v>
      </c>
      <c r="D1016" s="16">
        <v>0.44722222222222219</v>
      </c>
      <c r="E1016" s="14">
        <v>190</v>
      </c>
      <c r="F1016" s="23">
        <v>15</v>
      </c>
      <c r="G1016" s="17">
        <v>0.33085911793785311</v>
      </c>
      <c r="H1016" s="4" t="s">
        <v>1</v>
      </c>
      <c r="I1016" s="14"/>
    </row>
    <row r="1017" spans="1:9" x14ac:dyDescent="0.25">
      <c r="A1017" s="14">
        <v>2013</v>
      </c>
      <c r="B1017" s="14">
        <v>183</v>
      </c>
      <c r="C1017" s="20">
        <v>41457</v>
      </c>
      <c r="D1017" s="16">
        <v>0.45208333333333334</v>
      </c>
      <c r="E1017" s="14">
        <v>190</v>
      </c>
      <c r="F1017" s="23">
        <v>16</v>
      </c>
      <c r="G1017" s="17">
        <v>0.32821641666666668</v>
      </c>
      <c r="H1017" s="4" t="s">
        <v>1</v>
      </c>
      <c r="I1017" s="14"/>
    </row>
    <row r="1018" spans="1:9" x14ac:dyDescent="0.25">
      <c r="A1018" s="14">
        <v>2013</v>
      </c>
      <c r="B1018" s="14">
        <v>183</v>
      </c>
      <c r="C1018" s="20">
        <v>41457</v>
      </c>
      <c r="D1018" s="16">
        <v>0.45833333333333331</v>
      </c>
      <c r="E1018" s="14">
        <v>190</v>
      </c>
      <c r="F1018" s="23">
        <v>17</v>
      </c>
      <c r="G1018" s="17">
        <v>0.31915293008474577</v>
      </c>
      <c r="H1018" s="4" t="s">
        <v>124</v>
      </c>
      <c r="I1018" s="14"/>
    </row>
    <row r="1019" spans="1:9" x14ac:dyDescent="0.25">
      <c r="A1019" s="14">
        <v>2013</v>
      </c>
      <c r="B1019" s="14">
        <v>183</v>
      </c>
      <c r="C1019" s="20">
        <v>41457</v>
      </c>
      <c r="D1019" s="16">
        <v>0.45902777777777781</v>
      </c>
      <c r="E1019" s="14">
        <v>190</v>
      </c>
      <c r="F1019" s="23">
        <v>18</v>
      </c>
      <c r="G1019" s="17">
        <v>0.31578593290960455</v>
      </c>
      <c r="H1019" s="4" t="s">
        <v>124</v>
      </c>
      <c r="I1019" s="14"/>
    </row>
    <row r="1020" spans="1:9" x14ac:dyDescent="0.25">
      <c r="A1020" s="14">
        <v>2013</v>
      </c>
      <c r="B1020" s="14">
        <v>183</v>
      </c>
      <c r="C1020" s="20">
        <v>41457</v>
      </c>
      <c r="D1020" s="16">
        <v>0.47013888888888888</v>
      </c>
      <c r="E1020" s="14">
        <v>190</v>
      </c>
      <c r="F1020" s="23">
        <v>19</v>
      </c>
      <c r="G1020" s="17">
        <v>0.30707480649717517</v>
      </c>
      <c r="H1020" s="4" t="s">
        <v>124</v>
      </c>
      <c r="I1020" s="14"/>
    </row>
    <row r="1021" spans="1:9" x14ac:dyDescent="0.25">
      <c r="A1021" s="14">
        <v>2013</v>
      </c>
      <c r="B1021" s="14">
        <v>183</v>
      </c>
      <c r="C1021" s="20">
        <v>41457</v>
      </c>
      <c r="D1021" s="16">
        <v>0.47638888888888892</v>
      </c>
      <c r="E1021" s="14">
        <v>190</v>
      </c>
      <c r="F1021" s="23">
        <v>20</v>
      </c>
      <c r="G1021" s="17">
        <v>0.31069628601694915</v>
      </c>
      <c r="H1021" s="4" t="s">
        <v>124</v>
      </c>
      <c r="I1021" s="14"/>
    </row>
    <row r="1022" spans="1:9" x14ac:dyDescent="0.25">
      <c r="A1022" s="14">
        <v>2013</v>
      </c>
      <c r="B1022" s="14">
        <v>183</v>
      </c>
      <c r="C1022" s="20">
        <v>41457</v>
      </c>
      <c r="D1022" s="16">
        <v>0.35069444444444442</v>
      </c>
      <c r="E1022" s="14">
        <v>170</v>
      </c>
      <c r="F1022" s="23">
        <v>1</v>
      </c>
      <c r="G1022" s="17">
        <v>0.27694801200564972</v>
      </c>
      <c r="H1022" s="4" t="s">
        <v>123</v>
      </c>
      <c r="I1022" s="14"/>
    </row>
    <row r="1023" spans="1:9" x14ac:dyDescent="0.25">
      <c r="A1023" s="14">
        <v>2013</v>
      </c>
      <c r="B1023" s="14">
        <v>183</v>
      </c>
      <c r="C1023" s="20">
        <v>41457</v>
      </c>
      <c r="D1023" s="16">
        <v>0.35625000000000001</v>
      </c>
      <c r="E1023" s="14">
        <v>170</v>
      </c>
      <c r="F1023" s="23">
        <v>2</v>
      </c>
      <c r="G1023" s="17">
        <v>0.27064468008474574</v>
      </c>
      <c r="H1023" s="4" t="s">
        <v>123</v>
      </c>
      <c r="I1023" s="14"/>
    </row>
    <row r="1024" spans="1:9" x14ac:dyDescent="0.25">
      <c r="A1024" s="14">
        <v>2013</v>
      </c>
      <c r="B1024" s="14">
        <v>183</v>
      </c>
      <c r="C1024" s="20">
        <v>41457</v>
      </c>
      <c r="D1024" s="16">
        <v>0.36180555555555555</v>
      </c>
      <c r="E1024" s="14">
        <v>170</v>
      </c>
      <c r="F1024" s="23">
        <v>3</v>
      </c>
      <c r="G1024" s="17">
        <v>0.29164926129943503</v>
      </c>
      <c r="H1024" s="4" t="s">
        <v>123</v>
      </c>
      <c r="I1024" s="14"/>
    </row>
    <row r="1025" spans="1:9" x14ac:dyDescent="0.25">
      <c r="A1025" s="14">
        <v>2013</v>
      </c>
      <c r="B1025" s="14">
        <v>183</v>
      </c>
      <c r="C1025" s="20">
        <v>41457</v>
      </c>
      <c r="D1025" s="16">
        <v>0.36805555555555558</v>
      </c>
      <c r="E1025" s="14">
        <v>170</v>
      </c>
      <c r="F1025" s="23">
        <v>4</v>
      </c>
      <c r="G1025" s="17">
        <v>0.29489880508474575</v>
      </c>
      <c r="H1025" s="4" t="s">
        <v>123</v>
      </c>
      <c r="I1025" s="14"/>
    </row>
    <row r="1026" spans="1:9" x14ac:dyDescent="0.25">
      <c r="A1026" s="14">
        <v>2013</v>
      </c>
      <c r="B1026" s="14">
        <v>183</v>
      </c>
      <c r="C1026" s="20">
        <v>41457</v>
      </c>
      <c r="D1026" s="16">
        <v>0.36874999999999997</v>
      </c>
      <c r="E1026" s="14">
        <v>170</v>
      </c>
      <c r="F1026" s="23">
        <v>5</v>
      </c>
      <c r="G1026" s="17">
        <v>0.3220696892655367</v>
      </c>
      <c r="H1026" s="4" t="s">
        <v>0</v>
      </c>
      <c r="I1026" s="14"/>
    </row>
    <row r="1027" spans="1:9" x14ac:dyDescent="0.25">
      <c r="A1027" s="14">
        <v>2013</v>
      </c>
      <c r="B1027" s="14">
        <v>183</v>
      </c>
      <c r="C1027" s="20">
        <v>41457</v>
      </c>
      <c r="D1027" s="16">
        <v>0.37916666666666665</v>
      </c>
      <c r="E1027" s="14">
        <v>170</v>
      </c>
      <c r="F1027" s="23">
        <v>6</v>
      </c>
      <c r="G1027" s="17">
        <v>0.33177916949152542</v>
      </c>
      <c r="H1027" s="4" t="s">
        <v>0</v>
      </c>
      <c r="I1027" s="14"/>
    </row>
    <row r="1028" spans="1:9" x14ac:dyDescent="0.25">
      <c r="A1028" s="14">
        <v>2013</v>
      </c>
      <c r="B1028" s="14">
        <v>183</v>
      </c>
      <c r="C1028" s="20">
        <v>41457</v>
      </c>
      <c r="D1028" s="16">
        <v>0.38472222222222219</v>
      </c>
      <c r="E1028" s="14">
        <v>170</v>
      </c>
      <c r="F1028" s="23">
        <v>7</v>
      </c>
      <c r="G1028" s="17">
        <v>0.29720872175141244</v>
      </c>
      <c r="H1028" s="4" t="s">
        <v>123</v>
      </c>
      <c r="I1028" s="14"/>
    </row>
    <row r="1029" spans="1:9" x14ac:dyDescent="0.25">
      <c r="A1029" s="14">
        <v>2013</v>
      </c>
      <c r="B1029" s="14">
        <v>183</v>
      </c>
      <c r="C1029" s="20">
        <v>41457</v>
      </c>
      <c r="D1029" s="16">
        <v>0.39097222222222222</v>
      </c>
      <c r="E1029" s="14">
        <v>170</v>
      </c>
      <c r="F1029" s="23">
        <v>8</v>
      </c>
      <c r="G1029" s="17">
        <v>0.30822976483050846</v>
      </c>
      <c r="H1029" s="4" t="s">
        <v>123</v>
      </c>
      <c r="I1029" s="14"/>
    </row>
    <row r="1030" spans="1:9" x14ac:dyDescent="0.25">
      <c r="A1030" s="14">
        <v>2013</v>
      </c>
      <c r="B1030" s="14">
        <v>183</v>
      </c>
      <c r="C1030" s="20">
        <v>41457</v>
      </c>
      <c r="D1030" s="16">
        <v>0.39652777777777781</v>
      </c>
      <c r="E1030" s="14">
        <v>170</v>
      </c>
      <c r="F1030" s="23">
        <v>9</v>
      </c>
      <c r="G1030" s="17">
        <v>0.30212218855932205</v>
      </c>
      <c r="H1030" s="4" t="s">
        <v>123</v>
      </c>
      <c r="I1030" s="14"/>
    </row>
    <row r="1031" spans="1:9" x14ac:dyDescent="0.25">
      <c r="A1031" s="14">
        <v>2013</v>
      </c>
      <c r="B1031" s="14">
        <v>183</v>
      </c>
      <c r="C1031" s="20">
        <v>41457</v>
      </c>
      <c r="D1031" s="16">
        <v>0.40277777777777773</v>
      </c>
      <c r="E1031" s="14">
        <v>170</v>
      </c>
      <c r="F1031" s="23">
        <v>10</v>
      </c>
      <c r="G1031" s="17">
        <v>0.30954132768361581</v>
      </c>
      <c r="H1031" s="4" t="s">
        <v>123</v>
      </c>
      <c r="I1031" s="14"/>
    </row>
    <row r="1032" spans="1:9" x14ac:dyDescent="0.25">
      <c r="A1032" s="14">
        <v>2013</v>
      </c>
      <c r="B1032" s="14">
        <v>183</v>
      </c>
      <c r="C1032" s="20">
        <v>41457</v>
      </c>
      <c r="D1032" s="16">
        <v>0.41944444444444445</v>
      </c>
      <c r="E1032" s="14">
        <v>170</v>
      </c>
      <c r="F1032" s="23">
        <v>11</v>
      </c>
      <c r="G1032" s="17">
        <v>0.32610225564971751</v>
      </c>
      <c r="H1032" s="4" t="s">
        <v>124</v>
      </c>
      <c r="I1032" s="14"/>
    </row>
    <row r="1033" spans="1:9" x14ac:dyDescent="0.25">
      <c r="A1033" s="14">
        <v>2013</v>
      </c>
      <c r="B1033" s="14">
        <v>183</v>
      </c>
      <c r="C1033" s="20">
        <v>41457</v>
      </c>
      <c r="D1033" s="16">
        <v>0.42569444444444443</v>
      </c>
      <c r="E1033" s="14">
        <v>170</v>
      </c>
      <c r="F1033" s="23">
        <v>12</v>
      </c>
      <c r="G1033" s="17">
        <v>0.33816080367231638</v>
      </c>
      <c r="H1033" s="4" t="s">
        <v>124</v>
      </c>
      <c r="I1033" s="14"/>
    </row>
    <row r="1034" spans="1:9" x14ac:dyDescent="0.25">
      <c r="A1034" s="14">
        <v>2013</v>
      </c>
      <c r="B1034" s="14">
        <v>183</v>
      </c>
      <c r="C1034" s="20">
        <v>41457</v>
      </c>
      <c r="D1034" s="16">
        <v>0.43263888888888885</v>
      </c>
      <c r="E1034" s="14">
        <v>170</v>
      </c>
      <c r="F1034" s="23">
        <v>13</v>
      </c>
      <c r="G1034" s="17">
        <v>0.31369134745762711</v>
      </c>
      <c r="H1034" s="4" t="s">
        <v>124</v>
      </c>
      <c r="I1034" s="14"/>
    </row>
    <row r="1035" spans="1:9" x14ac:dyDescent="0.25">
      <c r="A1035" s="14">
        <v>2013</v>
      </c>
      <c r="B1035" s="14">
        <v>183</v>
      </c>
      <c r="C1035" s="20">
        <v>41457</v>
      </c>
      <c r="D1035" s="16">
        <v>0.43958333333333338</v>
      </c>
      <c r="E1035" s="14">
        <v>170</v>
      </c>
      <c r="F1035" s="23">
        <v>14</v>
      </c>
      <c r="G1035" s="17">
        <v>0.32379233898305088</v>
      </c>
      <c r="H1035" s="4" t="s">
        <v>124</v>
      </c>
      <c r="I1035" s="14"/>
    </row>
    <row r="1036" spans="1:9" x14ac:dyDescent="0.25">
      <c r="A1036" s="14">
        <v>2013</v>
      </c>
      <c r="B1036" s="14">
        <v>183</v>
      </c>
      <c r="C1036" s="20">
        <v>41457</v>
      </c>
      <c r="D1036" s="16">
        <v>0.44722222222222219</v>
      </c>
      <c r="E1036" s="14">
        <v>170</v>
      </c>
      <c r="F1036" s="23">
        <v>15</v>
      </c>
      <c r="G1036" s="17">
        <v>0.33224898305084749</v>
      </c>
      <c r="H1036" s="4" t="s">
        <v>1</v>
      </c>
      <c r="I1036" s="14"/>
    </row>
    <row r="1037" spans="1:9" x14ac:dyDescent="0.25">
      <c r="A1037" s="14">
        <v>2013</v>
      </c>
      <c r="B1037" s="14">
        <v>183</v>
      </c>
      <c r="C1037" s="20">
        <v>41457</v>
      </c>
      <c r="D1037" s="16">
        <v>0.45208333333333334</v>
      </c>
      <c r="E1037" s="14">
        <v>170</v>
      </c>
      <c r="F1037" s="23">
        <v>16</v>
      </c>
      <c r="G1037" s="17">
        <v>0.31835033192090395</v>
      </c>
      <c r="H1037" s="4" t="s">
        <v>1</v>
      </c>
      <c r="I1037" s="14"/>
    </row>
    <row r="1038" spans="1:9" x14ac:dyDescent="0.25">
      <c r="A1038" s="14">
        <v>2013</v>
      </c>
      <c r="B1038" s="14">
        <v>183</v>
      </c>
      <c r="C1038" s="20">
        <v>41457</v>
      </c>
      <c r="D1038" s="16">
        <v>0.45833333333333331</v>
      </c>
      <c r="E1038" s="14">
        <v>170</v>
      </c>
      <c r="F1038" s="23">
        <v>17</v>
      </c>
      <c r="G1038" s="17">
        <v>0.31762603601694916</v>
      </c>
      <c r="H1038" s="4" t="s">
        <v>124</v>
      </c>
      <c r="I1038" s="14"/>
    </row>
    <row r="1039" spans="1:9" x14ac:dyDescent="0.25">
      <c r="A1039" s="14">
        <v>2013</v>
      </c>
      <c r="B1039" s="14">
        <v>183</v>
      </c>
      <c r="C1039" s="20">
        <v>41457</v>
      </c>
      <c r="D1039" s="16">
        <v>0.45902777777777781</v>
      </c>
      <c r="E1039" s="14">
        <v>170</v>
      </c>
      <c r="F1039" s="23">
        <v>18</v>
      </c>
      <c r="G1039" s="17">
        <v>0.33168129166666666</v>
      </c>
      <c r="H1039" s="4" t="s">
        <v>124</v>
      </c>
      <c r="I1039" s="14"/>
    </row>
    <row r="1040" spans="1:9" x14ac:dyDescent="0.25">
      <c r="A1040" s="14">
        <v>2013</v>
      </c>
      <c r="B1040" s="14">
        <v>183</v>
      </c>
      <c r="C1040" s="20">
        <v>41457</v>
      </c>
      <c r="D1040" s="16">
        <v>0.47013888888888888</v>
      </c>
      <c r="E1040" s="14">
        <v>170</v>
      </c>
      <c r="F1040" s="23">
        <v>19</v>
      </c>
      <c r="G1040" s="17">
        <v>0.31555102612994351</v>
      </c>
      <c r="H1040" s="4" t="s">
        <v>124</v>
      </c>
      <c r="I1040" s="14"/>
    </row>
    <row r="1041" spans="1:9" x14ac:dyDescent="0.25">
      <c r="A1041" s="14">
        <v>2013</v>
      </c>
      <c r="B1041" s="14">
        <v>183</v>
      </c>
      <c r="C1041" s="20">
        <v>41457</v>
      </c>
      <c r="D1041" s="16">
        <v>0.47638888888888892</v>
      </c>
      <c r="E1041" s="14">
        <v>170</v>
      </c>
      <c r="F1041" s="23">
        <v>20</v>
      </c>
      <c r="G1041" s="17">
        <v>0.32263738064971753</v>
      </c>
      <c r="H1041" s="4" t="s">
        <v>124</v>
      </c>
      <c r="I1041" s="14"/>
    </row>
    <row r="1042" spans="1:9" x14ac:dyDescent="0.25">
      <c r="A1042" s="14">
        <v>2013</v>
      </c>
      <c r="B1042" s="14">
        <v>183</v>
      </c>
      <c r="C1042" s="20">
        <v>41457</v>
      </c>
      <c r="D1042" s="16">
        <v>0.35069444444444442</v>
      </c>
      <c r="E1042" s="14">
        <v>150</v>
      </c>
      <c r="F1042" s="23">
        <v>1</v>
      </c>
      <c r="G1042" s="17">
        <v>0.33894382627118647</v>
      </c>
      <c r="H1042" s="4" t="s">
        <v>123</v>
      </c>
      <c r="I1042" s="14"/>
    </row>
    <row r="1043" spans="1:9" x14ac:dyDescent="0.25">
      <c r="A1043" s="14">
        <v>2013</v>
      </c>
      <c r="B1043" s="14">
        <v>183</v>
      </c>
      <c r="C1043" s="20">
        <v>41457</v>
      </c>
      <c r="D1043" s="16">
        <v>0.35625000000000001</v>
      </c>
      <c r="E1043" s="14">
        <v>150</v>
      </c>
      <c r="F1043" s="23">
        <v>2</v>
      </c>
      <c r="G1043" s="17">
        <v>0.32874495692090394</v>
      </c>
      <c r="H1043" s="4" t="s">
        <v>123</v>
      </c>
      <c r="I1043" s="14"/>
    </row>
    <row r="1044" spans="1:9" x14ac:dyDescent="0.25">
      <c r="A1044" s="14">
        <v>2013</v>
      </c>
      <c r="B1044" s="14">
        <v>183</v>
      </c>
      <c r="C1044" s="20">
        <v>41457</v>
      </c>
      <c r="D1044" s="16">
        <v>0.36180555555555555</v>
      </c>
      <c r="E1044" s="14">
        <v>150</v>
      </c>
      <c r="F1044" s="23">
        <v>3</v>
      </c>
      <c r="G1044" s="17">
        <v>0.31390667867231636</v>
      </c>
      <c r="H1044" s="4" t="s">
        <v>123</v>
      </c>
      <c r="I1044" s="14"/>
    </row>
    <row r="1045" spans="1:9" x14ac:dyDescent="0.25">
      <c r="A1045" s="14">
        <v>2013</v>
      </c>
      <c r="B1045" s="14">
        <v>183</v>
      </c>
      <c r="C1045" s="20">
        <v>41457</v>
      </c>
      <c r="D1045" s="16">
        <v>0.36805555555555558</v>
      </c>
      <c r="E1045" s="14">
        <v>150</v>
      </c>
      <c r="F1045" s="23">
        <v>4</v>
      </c>
      <c r="G1045" s="17">
        <v>0.29783513983050847</v>
      </c>
      <c r="H1045" s="4" t="s">
        <v>123</v>
      </c>
      <c r="I1045" s="14"/>
    </row>
    <row r="1046" spans="1:9" x14ac:dyDescent="0.25">
      <c r="A1046" s="14">
        <v>2013</v>
      </c>
      <c r="B1046" s="14">
        <v>183</v>
      </c>
      <c r="C1046" s="20">
        <v>41457</v>
      </c>
      <c r="D1046" s="16">
        <v>0.36874999999999997</v>
      </c>
      <c r="E1046" s="14">
        <v>150</v>
      </c>
      <c r="F1046" s="23">
        <v>5</v>
      </c>
      <c r="G1046" s="17">
        <v>0.35742315960451976</v>
      </c>
      <c r="H1046" s="4" t="s">
        <v>0</v>
      </c>
      <c r="I1046" s="14"/>
    </row>
    <row r="1047" spans="1:9" x14ac:dyDescent="0.25">
      <c r="A1047" s="14">
        <v>2013</v>
      </c>
      <c r="B1047" s="14">
        <v>183</v>
      </c>
      <c r="C1047" s="20">
        <v>41457</v>
      </c>
      <c r="D1047" s="16">
        <v>0.37916666666666665</v>
      </c>
      <c r="E1047" s="14">
        <v>150</v>
      </c>
      <c r="F1047" s="23">
        <v>6</v>
      </c>
      <c r="G1047" s="17">
        <v>0.34403347316384181</v>
      </c>
      <c r="H1047" s="4" t="s">
        <v>0</v>
      </c>
      <c r="I1047" s="14"/>
    </row>
    <row r="1048" spans="1:9" x14ac:dyDescent="0.25">
      <c r="A1048" s="14">
        <v>2013</v>
      </c>
      <c r="B1048" s="14">
        <v>183</v>
      </c>
      <c r="C1048" s="20">
        <v>41457</v>
      </c>
      <c r="D1048" s="16">
        <v>0.38472222222222219</v>
      </c>
      <c r="E1048" s="14">
        <v>150</v>
      </c>
      <c r="F1048" s="23">
        <v>7</v>
      </c>
      <c r="G1048" s="17">
        <v>0.32715933615819215</v>
      </c>
      <c r="H1048" s="4" t="s">
        <v>123</v>
      </c>
      <c r="I1048" s="14"/>
    </row>
    <row r="1049" spans="1:9" x14ac:dyDescent="0.25">
      <c r="A1049" s="14">
        <v>2013</v>
      </c>
      <c r="B1049" s="14">
        <v>183</v>
      </c>
      <c r="C1049" s="20">
        <v>41457</v>
      </c>
      <c r="D1049" s="16">
        <v>0.39097222222222222</v>
      </c>
      <c r="E1049" s="14">
        <v>150</v>
      </c>
      <c r="F1049" s="23">
        <v>8</v>
      </c>
      <c r="G1049" s="17">
        <v>0.3384152860169492</v>
      </c>
      <c r="H1049" s="4" t="s">
        <v>123</v>
      </c>
      <c r="I1049" s="14"/>
    </row>
    <row r="1050" spans="1:9" x14ac:dyDescent="0.25">
      <c r="A1050" s="14">
        <v>2013</v>
      </c>
      <c r="B1050" s="14">
        <v>183</v>
      </c>
      <c r="C1050" s="20">
        <v>41457</v>
      </c>
      <c r="D1050" s="16">
        <v>0.39652777777777781</v>
      </c>
      <c r="E1050" s="14">
        <v>150</v>
      </c>
      <c r="F1050" s="23">
        <v>9</v>
      </c>
      <c r="G1050" s="17">
        <v>0.33506786440677966</v>
      </c>
      <c r="H1050" s="4" t="s">
        <v>123</v>
      </c>
      <c r="I1050" s="14"/>
    </row>
    <row r="1051" spans="1:9" x14ac:dyDescent="0.25">
      <c r="A1051" s="14">
        <v>2013</v>
      </c>
      <c r="B1051" s="14">
        <v>183</v>
      </c>
      <c r="C1051" s="20">
        <v>41457</v>
      </c>
      <c r="D1051" s="16">
        <v>0.40277777777777773</v>
      </c>
      <c r="E1051" s="14">
        <v>150</v>
      </c>
      <c r="F1051" s="23">
        <v>10</v>
      </c>
      <c r="G1051" s="17">
        <v>0.34843797528248588</v>
      </c>
      <c r="H1051" s="4" t="s">
        <v>123</v>
      </c>
      <c r="I1051" s="14"/>
    </row>
    <row r="1052" spans="1:9" x14ac:dyDescent="0.25">
      <c r="A1052" s="14">
        <v>2013</v>
      </c>
      <c r="B1052" s="14">
        <v>183</v>
      </c>
      <c r="C1052" s="20">
        <v>41457</v>
      </c>
      <c r="D1052" s="16">
        <v>0.41944444444444445</v>
      </c>
      <c r="E1052" s="14">
        <v>150</v>
      </c>
      <c r="F1052" s="23">
        <v>11</v>
      </c>
      <c r="G1052" s="17">
        <v>0.33853273940677964</v>
      </c>
      <c r="H1052" s="4" t="s">
        <v>124</v>
      </c>
      <c r="I1052" s="14"/>
    </row>
    <row r="1053" spans="1:9" x14ac:dyDescent="0.25">
      <c r="A1053" s="14">
        <v>2013</v>
      </c>
      <c r="B1053" s="14">
        <v>183</v>
      </c>
      <c r="C1053" s="20">
        <v>41457</v>
      </c>
      <c r="D1053" s="16">
        <v>0.42569444444444443</v>
      </c>
      <c r="E1053" s="14">
        <v>150</v>
      </c>
      <c r="F1053" s="23">
        <v>12</v>
      </c>
      <c r="G1053" s="17">
        <v>0.34076435381355935</v>
      </c>
      <c r="H1053" s="4" t="s">
        <v>124</v>
      </c>
      <c r="I1053" s="14"/>
    </row>
    <row r="1054" spans="1:9" x14ac:dyDescent="0.25">
      <c r="A1054" s="14">
        <v>2013</v>
      </c>
      <c r="B1054" s="14">
        <v>183</v>
      </c>
      <c r="C1054" s="20">
        <v>41457</v>
      </c>
      <c r="D1054" s="16">
        <v>0.43263888888888885</v>
      </c>
      <c r="E1054" s="14">
        <v>150</v>
      </c>
      <c r="F1054" s="23">
        <v>13</v>
      </c>
      <c r="G1054" s="17">
        <v>0.31974019703389833</v>
      </c>
      <c r="H1054" s="4" t="s">
        <v>124</v>
      </c>
      <c r="I1054" s="14"/>
    </row>
    <row r="1055" spans="1:9" x14ac:dyDescent="0.25">
      <c r="A1055" s="14">
        <v>2013</v>
      </c>
      <c r="B1055" s="14">
        <v>183</v>
      </c>
      <c r="C1055" s="20">
        <v>41457</v>
      </c>
      <c r="D1055" s="16">
        <v>0.43958333333333338</v>
      </c>
      <c r="E1055" s="14">
        <v>150</v>
      </c>
      <c r="F1055" s="23">
        <v>14</v>
      </c>
      <c r="G1055" s="17">
        <v>0.30783825353107347</v>
      </c>
      <c r="H1055" s="4" t="s">
        <v>124</v>
      </c>
      <c r="I1055" s="14"/>
    </row>
    <row r="1056" spans="1:9" x14ac:dyDescent="0.25">
      <c r="A1056" s="14">
        <v>2013</v>
      </c>
      <c r="B1056" s="14">
        <v>183</v>
      </c>
      <c r="C1056" s="20">
        <v>41457</v>
      </c>
      <c r="D1056" s="16">
        <v>0.44722222222222219</v>
      </c>
      <c r="E1056" s="14">
        <v>150</v>
      </c>
      <c r="F1056" s="23">
        <v>15</v>
      </c>
      <c r="G1056" s="17">
        <v>0.34186058545197739</v>
      </c>
      <c r="H1056" s="4" t="s">
        <v>1</v>
      </c>
      <c r="I1056" s="14"/>
    </row>
    <row r="1057" spans="1:9" x14ac:dyDescent="0.25">
      <c r="A1057" s="14">
        <v>2013</v>
      </c>
      <c r="B1057" s="14">
        <v>183</v>
      </c>
      <c r="C1057" s="20">
        <v>41457</v>
      </c>
      <c r="D1057" s="16">
        <v>0.45208333333333334</v>
      </c>
      <c r="E1057" s="14">
        <v>150</v>
      </c>
      <c r="F1057" s="23">
        <v>16</v>
      </c>
      <c r="G1057" s="17">
        <v>0.32968458403954803</v>
      </c>
      <c r="H1057" s="4" t="s">
        <v>1</v>
      </c>
      <c r="I1057" s="14"/>
    </row>
    <row r="1058" spans="1:9" x14ac:dyDescent="0.25">
      <c r="A1058" s="14">
        <v>2013</v>
      </c>
      <c r="B1058" s="14">
        <v>183</v>
      </c>
      <c r="C1058" s="20">
        <v>41457</v>
      </c>
      <c r="D1058" s="16">
        <v>0.45833333333333331</v>
      </c>
      <c r="E1058" s="14">
        <v>150</v>
      </c>
      <c r="F1058" s="23">
        <v>17</v>
      </c>
      <c r="G1058" s="17">
        <v>0.32553456426553673</v>
      </c>
      <c r="H1058" s="4" t="s">
        <v>124</v>
      </c>
      <c r="I1058" s="14"/>
    </row>
    <row r="1059" spans="1:9" x14ac:dyDescent="0.25">
      <c r="A1059" s="14">
        <v>2013</v>
      </c>
      <c r="B1059" s="14">
        <v>183</v>
      </c>
      <c r="C1059" s="20">
        <v>41457</v>
      </c>
      <c r="D1059" s="16">
        <v>0.45902777777777781</v>
      </c>
      <c r="E1059" s="14">
        <v>150</v>
      </c>
      <c r="F1059" s="23">
        <v>18</v>
      </c>
      <c r="G1059" s="17">
        <v>0.33187704731638423</v>
      </c>
      <c r="H1059" s="4" t="s">
        <v>124</v>
      </c>
      <c r="I1059" s="14"/>
    </row>
    <row r="1060" spans="1:9" x14ac:dyDescent="0.25">
      <c r="A1060" s="14">
        <v>2013</v>
      </c>
      <c r="B1060" s="14">
        <v>183</v>
      </c>
      <c r="C1060" s="20">
        <v>41457</v>
      </c>
      <c r="D1060" s="16">
        <v>0.47013888888888888</v>
      </c>
      <c r="E1060" s="14">
        <v>150</v>
      </c>
      <c r="F1060" s="23">
        <v>19</v>
      </c>
      <c r="G1060" s="17">
        <v>0.33677093855932205</v>
      </c>
      <c r="H1060" s="4" t="s">
        <v>124</v>
      </c>
      <c r="I1060" s="14"/>
    </row>
    <row r="1061" spans="1:9" x14ac:dyDescent="0.25">
      <c r="A1061" s="14">
        <v>2013</v>
      </c>
      <c r="B1061" s="14">
        <v>183</v>
      </c>
      <c r="C1061" s="20">
        <v>41457</v>
      </c>
      <c r="D1061" s="16">
        <v>0.47638888888888892</v>
      </c>
      <c r="E1061" s="14">
        <v>150</v>
      </c>
      <c r="F1061" s="23">
        <v>20</v>
      </c>
      <c r="G1061" s="17">
        <v>0.34849670197740118</v>
      </c>
      <c r="H1061" s="4" t="s">
        <v>124</v>
      </c>
      <c r="I1061" s="14"/>
    </row>
    <row r="1062" spans="1:9" x14ac:dyDescent="0.25">
      <c r="A1062" s="14">
        <v>2013</v>
      </c>
      <c r="B1062" s="14">
        <v>183</v>
      </c>
      <c r="C1062" s="20">
        <v>41457</v>
      </c>
      <c r="D1062" s="16">
        <v>0.35069444444444442</v>
      </c>
      <c r="E1062" s="14">
        <v>130</v>
      </c>
      <c r="F1062" s="23">
        <v>1</v>
      </c>
      <c r="G1062" s="17">
        <v>0.31547272387005654</v>
      </c>
      <c r="H1062" s="4" t="s">
        <v>123</v>
      </c>
      <c r="I1062" s="14"/>
    </row>
    <row r="1063" spans="1:9" x14ac:dyDescent="0.25">
      <c r="A1063" s="14">
        <v>2013</v>
      </c>
      <c r="B1063" s="14">
        <v>183</v>
      </c>
      <c r="C1063" s="20">
        <v>41457</v>
      </c>
      <c r="D1063" s="16">
        <v>0.35625000000000001</v>
      </c>
      <c r="E1063" s="14">
        <v>130</v>
      </c>
      <c r="F1063" s="23">
        <v>2</v>
      </c>
      <c r="G1063" s="17">
        <v>0.30850382274011301</v>
      </c>
      <c r="H1063" s="4" t="s">
        <v>123</v>
      </c>
      <c r="I1063" s="14"/>
    </row>
    <row r="1064" spans="1:9" x14ac:dyDescent="0.25">
      <c r="A1064" s="14">
        <v>2013</v>
      </c>
      <c r="B1064" s="14">
        <v>183</v>
      </c>
      <c r="C1064" s="20">
        <v>41457</v>
      </c>
      <c r="D1064" s="16">
        <v>0.36180555555555555</v>
      </c>
      <c r="E1064" s="14">
        <v>130</v>
      </c>
      <c r="F1064" s="23">
        <v>3</v>
      </c>
      <c r="G1064" s="17">
        <v>0.30400144279661018</v>
      </c>
      <c r="H1064" s="4" t="s">
        <v>123</v>
      </c>
      <c r="I1064" s="14"/>
    </row>
    <row r="1065" spans="1:9" x14ac:dyDescent="0.25">
      <c r="A1065" s="14">
        <v>2013</v>
      </c>
      <c r="B1065" s="14">
        <v>183</v>
      </c>
      <c r="C1065" s="20">
        <v>41457</v>
      </c>
      <c r="D1065" s="16">
        <v>0.36805555555555558</v>
      </c>
      <c r="E1065" s="14">
        <v>130</v>
      </c>
      <c r="F1065" s="23">
        <v>4</v>
      </c>
      <c r="G1065" s="17">
        <v>0.30783825353107347</v>
      </c>
      <c r="H1065" s="4" t="s">
        <v>123</v>
      </c>
      <c r="I1065" s="14"/>
    </row>
    <row r="1066" spans="1:9" x14ac:dyDescent="0.25">
      <c r="A1066" s="14">
        <v>2013</v>
      </c>
      <c r="B1066" s="14">
        <v>183</v>
      </c>
      <c r="C1066" s="20">
        <v>41457</v>
      </c>
      <c r="D1066" s="16">
        <v>0.36874999999999997</v>
      </c>
      <c r="E1066" s="14">
        <v>130</v>
      </c>
      <c r="F1066" s="23">
        <v>5</v>
      </c>
      <c r="G1066" s="17">
        <v>0.31699961793785314</v>
      </c>
      <c r="H1066" s="4" t="s">
        <v>0</v>
      </c>
      <c r="I1066" s="14"/>
    </row>
    <row r="1067" spans="1:9" x14ac:dyDescent="0.25">
      <c r="A1067" s="14">
        <v>2013</v>
      </c>
      <c r="B1067" s="14">
        <v>183</v>
      </c>
      <c r="C1067" s="20">
        <v>41457</v>
      </c>
      <c r="D1067" s="16">
        <v>0.37916666666666665</v>
      </c>
      <c r="E1067" s="14">
        <v>130</v>
      </c>
      <c r="F1067" s="23">
        <v>6</v>
      </c>
      <c r="G1067" s="17">
        <v>0.30476488983050848</v>
      </c>
      <c r="H1067" s="4" t="s">
        <v>0</v>
      </c>
      <c r="I1067" s="14"/>
    </row>
    <row r="1068" spans="1:9" x14ac:dyDescent="0.25">
      <c r="A1068" s="14">
        <v>2013</v>
      </c>
      <c r="B1068" s="14">
        <v>183</v>
      </c>
      <c r="C1068" s="20">
        <v>41457</v>
      </c>
      <c r="D1068" s="16">
        <v>0.38472222222222219</v>
      </c>
      <c r="E1068" s="14">
        <v>130</v>
      </c>
      <c r="F1068" s="23">
        <v>7</v>
      </c>
      <c r="G1068" s="17">
        <v>0.31206657556497175</v>
      </c>
      <c r="H1068" s="4" t="s">
        <v>123</v>
      </c>
      <c r="I1068" s="14"/>
    </row>
    <row r="1069" spans="1:9" x14ac:dyDescent="0.25">
      <c r="A1069" s="14">
        <v>2013</v>
      </c>
      <c r="B1069" s="14">
        <v>183</v>
      </c>
      <c r="C1069" s="20">
        <v>41457</v>
      </c>
      <c r="D1069" s="16">
        <v>0.39097222222222222</v>
      </c>
      <c r="E1069" s="14">
        <v>130</v>
      </c>
      <c r="F1069" s="23">
        <v>8</v>
      </c>
      <c r="G1069" s="17">
        <v>0.34702853460451982</v>
      </c>
      <c r="H1069" s="4" t="s">
        <v>123</v>
      </c>
      <c r="I1069" s="14"/>
    </row>
    <row r="1070" spans="1:9" x14ac:dyDescent="0.25">
      <c r="A1070" s="14">
        <v>2013</v>
      </c>
      <c r="B1070" s="14">
        <v>183</v>
      </c>
      <c r="C1070" s="20">
        <v>41457</v>
      </c>
      <c r="D1070" s="16">
        <v>0.39652777777777781</v>
      </c>
      <c r="E1070" s="14">
        <v>130</v>
      </c>
      <c r="F1070" s="23">
        <v>9</v>
      </c>
      <c r="G1070" s="17">
        <v>0.3038644138418079</v>
      </c>
      <c r="H1070" s="4" t="s">
        <v>123</v>
      </c>
      <c r="I1070" s="14"/>
    </row>
    <row r="1071" spans="1:9" x14ac:dyDescent="0.25">
      <c r="A1071" s="14">
        <v>2013</v>
      </c>
      <c r="B1071" s="14">
        <v>183</v>
      </c>
      <c r="C1071" s="20">
        <v>41457</v>
      </c>
      <c r="D1071" s="16">
        <v>0.40277777777777773</v>
      </c>
      <c r="E1071" s="14">
        <v>130</v>
      </c>
      <c r="F1071" s="23">
        <v>10</v>
      </c>
      <c r="G1071" s="17">
        <v>0.31903547669491528</v>
      </c>
      <c r="H1071" s="4" t="s">
        <v>123</v>
      </c>
      <c r="I1071" s="14"/>
    </row>
    <row r="1072" spans="1:9" x14ac:dyDescent="0.25">
      <c r="A1072" s="14">
        <v>2013</v>
      </c>
      <c r="B1072" s="14">
        <v>183</v>
      </c>
      <c r="C1072" s="20">
        <v>41457</v>
      </c>
      <c r="D1072" s="16">
        <v>0.41944444444444445</v>
      </c>
      <c r="E1072" s="14">
        <v>130</v>
      </c>
      <c r="F1072" s="23">
        <v>11</v>
      </c>
      <c r="G1072" s="17">
        <v>0.31112694844632771</v>
      </c>
      <c r="H1072" s="4" t="s">
        <v>124</v>
      </c>
      <c r="I1072" s="14"/>
    </row>
    <row r="1073" spans="1:9" x14ac:dyDescent="0.25">
      <c r="A1073" s="14">
        <v>2013</v>
      </c>
      <c r="B1073" s="14">
        <v>183</v>
      </c>
      <c r="C1073" s="20">
        <v>41457</v>
      </c>
      <c r="D1073" s="16">
        <v>0.42569444444444443</v>
      </c>
      <c r="E1073" s="14">
        <v>130</v>
      </c>
      <c r="F1073" s="23">
        <v>12</v>
      </c>
      <c r="G1073" s="17">
        <v>0.29716957062146893</v>
      </c>
      <c r="H1073" s="4" t="s">
        <v>124</v>
      </c>
      <c r="I1073" s="14"/>
    </row>
    <row r="1074" spans="1:9" x14ac:dyDescent="0.25">
      <c r="A1074" s="14">
        <v>2013</v>
      </c>
      <c r="B1074" s="14">
        <v>183</v>
      </c>
      <c r="C1074" s="20">
        <v>41457</v>
      </c>
      <c r="D1074" s="16">
        <v>0.43263888888888885</v>
      </c>
      <c r="E1074" s="14">
        <v>130</v>
      </c>
      <c r="F1074" s="23">
        <v>13</v>
      </c>
      <c r="G1074" s="17">
        <v>0.32672867372881359</v>
      </c>
      <c r="H1074" s="4" t="s">
        <v>124</v>
      </c>
      <c r="I1074" s="14"/>
    </row>
    <row r="1075" spans="1:9" x14ac:dyDescent="0.25">
      <c r="A1075" s="14">
        <v>2013</v>
      </c>
      <c r="B1075" s="14">
        <v>183</v>
      </c>
      <c r="C1075" s="20">
        <v>41457</v>
      </c>
      <c r="D1075" s="16">
        <v>0.43958333333333338</v>
      </c>
      <c r="E1075" s="14">
        <v>130</v>
      </c>
      <c r="F1075" s="23">
        <v>14</v>
      </c>
      <c r="G1075" s="17">
        <v>0.31756730932203392</v>
      </c>
      <c r="H1075" s="4" t="s">
        <v>124</v>
      </c>
      <c r="I1075" s="14"/>
    </row>
    <row r="1076" spans="1:9" x14ac:dyDescent="0.25">
      <c r="A1076" s="14">
        <v>2013</v>
      </c>
      <c r="B1076" s="14">
        <v>183</v>
      </c>
      <c r="C1076" s="20">
        <v>41457</v>
      </c>
      <c r="D1076" s="16">
        <v>0.44722222222222219</v>
      </c>
      <c r="E1076" s="14">
        <v>130</v>
      </c>
      <c r="F1076" s="23">
        <v>15</v>
      </c>
      <c r="G1076" s="17">
        <v>0.30057571892655366</v>
      </c>
      <c r="H1076" s="4" t="s">
        <v>1</v>
      </c>
      <c r="I1076" s="14"/>
    </row>
    <row r="1077" spans="1:9" x14ac:dyDescent="0.25">
      <c r="A1077" s="14">
        <v>2013</v>
      </c>
      <c r="B1077" s="14">
        <v>183</v>
      </c>
      <c r="C1077" s="20">
        <v>41457</v>
      </c>
      <c r="D1077" s="16">
        <v>0.45208333333333334</v>
      </c>
      <c r="E1077" s="14">
        <v>130</v>
      </c>
      <c r="F1077" s="23">
        <v>16</v>
      </c>
      <c r="G1077" s="17">
        <v>0.29707169279661017</v>
      </c>
      <c r="H1077" s="4" t="s">
        <v>1</v>
      </c>
      <c r="I1077" s="14"/>
    </row>
    <row r="1078" spans="1:9" x14ac:dyDescent="0.25">
      <c r="A1078" s="14">
        <v>2013</v>
      </c>
      <c r="B1078" s="14">
        <v>183</v>
      </c>
      <c r="C1078" s="20">
        <v>41457</v>
      </c>
      <c r="D1078" s="16">
        <v>0.45833333333333331</v>
      </c>
      <c r="E1078" s="14">
        <v>130</v>
      </c>
      <c r="F1078" s="23">
        <v>17</v>
      </c>
      <c r="G1078" s="17">
        <v>0.31288874929378535</v>
      </c>
      <c r="H1078" s="4" t="s">
        <v>124</v>
      </c>
      <c r="I1078" s="14"/>
    </row>
    <row r="1079" spans="1:9" x14ac:dyDescent="0.25">
      <c r="A1079" s="14">
        <v>2013</v>
      </c>
      <c r="B1079" s="14">
        <v>183</v>
      </c>
      <c r="C1079" s="20">
        <v>41457</v>
      </c>
      <c r="D1079" s="16">
        <v>0.45902777777777781</v>
      </c>
      <c r="E1079" s="14">
        <v>130</v>
      </c>
      <c r="F1079" s="23">
        <v>18</v>
      </c>
      <c r="G1079" s="17">
        <v>0.31637319985875706</v>
      </c>
      <c r="H1079" s="4" t="s">
        <v>124</v>
      </c>
      <c r="I1079" s="14"/>
    </row>
    <row r="1080" spans="1:9" x14ac:dyDescent="0.25">
      <c r="A1080" s="14">
        <v>2013</v>
      </c>
      <c r="B1080" s="14">
        <v>183</v>
      </c>
      <c r="C1080" s="20">
        <v>41457</v>
      </c>
      <c r="D1080" s="16">
        <v>0.47013888888888888</v>
      </c>
      <c r="E1080" s="14">
        <v>130</v>
      </c>
      <c r="F1080" s="23">
        <v>19</v>
      </c>
      <c r="G1080" s="17">
        <v>0.30642881285310736</v>
      </c>
      <c r="H1080" s="4" t="s">
        <v>124</v>
      </c>
      <c r="I1080" s="14"/>
    </row>
    <row r="1081" spans="1:9" x14ac:dyDescent="0.25">
      <c r="A1081" s="14">
        <v>2013</v>
      </c>
      <c r="B1081" s="14">
        <v>183</v>
      </c>
      <c r="C1081" s="20">
        <v>41457</v>
      </c>
      <c r="D1081" s="16">
        <v>0.47638888888888892</v>
      </c>
      <c r="E1081" s="14">
        <v>130</v>
      </c>
      <c r="F1081" s="23">
        <v>20</v>
      </c>
      <c r="G1081" s="17">
        <v>0.3028269088983051</v>
      </c>
      <c r="H1081" s="4" t="s">
        <v>124</v>
      </c>
      <c r="I1081" s="14"/>
    </row>
    <row r="1082" spans="1:9" x14ac:dyDescent="0.25">
      <c r="A1082" s="14">
        <v>2013</v>
      </c>
      <c r="B1082" s="14">
        <v>183</v>
      </c>
      <c r="C1082" s="20">
        <v>41457</v>
      </c>
      <c r="D1082" s="16">
        <v>0.35069444444444442</v>
      </c>
      <c r="E1082" s="14">
        <v>110</v>
      </c>
      <c r="F1082" s="23">
        <v>1</v>
      </c>
      <c r="G1082" s="17">
        <v>0.34390025282485875</v>
      </c>
      <c r="H1082" s="4" t="s">
        <v>123</v>
      </c>
      <c r="I1082" s="14"/>
    </row>
    <row r="1083" spans="1:9" x14ac:dyDescent="0.25">
      <c r="A1083" s="14">
        <v>2013</v>
      </c>
      <c r="B1083" s="14">
        <v>183</v>
      </c>
      <c r="C1083" s="20">
        <v>41457</v>
      </c>
      <c r="D1083" s="16">
        <v>0.35625000000000001</v>
      </c>
      <c r="E1083" s="14">
        <v>110</v>
      </c>
      <c r="F1083" s="23">
        <v>2</v>
      </c>
      <c r="G1083" s="17">
        <v>0.34044590960451976</v>
      </c>
      <c r="H1083" s="4" t="s">
        <v>123</v>
      </c>
      <c r="I1083" s="14"/>
    </row>
    <row r="1084" spans="1:9" x14ac:dyDescent="0.25">
      <c r="A1084" s="14">
        <v>2013</v>
      </c>
      <c r="B1084" s="14">
        <v>183</v>
      </c>
      <c r="C1084" s="20">
        <v>41457</v>
      </c>
      <c r="D1084" s="16">
        <v>0.36180555555555555</v>
      </c>
      <c r="E1084" s="14">
        <v>110</v>
      </c>
      <c r="F1084" s="23">
        <v>3</v>
      </c>
      <c r="G1084" s="17">
        <v>0.33001379307909601</v>
      </c>
      <c r="H1084" s="4" t="s">
        <v>123</v>
      </c>
      <c r="I1084" s="14"/>
    </row>
    <row r="1085" spans="1:9" x14ac:dyDescent="0.25">
      <c r="A1085" s="14">
        <v>2013</v>
      </c>
      <c r="B1085" s="14">
        <v>183</v>
      </c>
      <c r="C1085" s="20">
        <v>41457</v>
      </c>
      <c r="D1085" s="16">
        <v>0.36805555555555558</v>
      </c>
      <c r="E1085" s="14">
        <v>110</v>
      </c>
      <c r="F1085" s="23">
        <v>4</v>
      </c>
      <c r="G1085" s="17">
        <v>0.33927143290960449</v>
      </c>
      <c r="H1085" s="4" t="s">
        <v>123</v>
      </c>
      <c r="I1085" s="14"/>
    </row>
    <row r="1086" spans="1:9" x14ac:dyDescent="0.25">
      <c r="A1086" s="14">
        <v>2013</v>
      </c>
      <c r="B1086" s="14">
        <v>183</v>
      </c>
      <c r="C1086" s="20">
        <v>41457</v>
      </c>
      <c r="D1086" s="16">
        <v>0.36874999999999997</v>
      </c>
      <c r="E1086" s="14">
        <v>110</v>
      </c>
      <c r="F1086" s="23">
        <v>5</v>
      </c>
      <c r="G1086" s="17">
        <v>0.33657704519774012</v>
      </c>
      <c r="H1086" s="4" t="s">
        <v>0</v>
      </c>
      <c r="I1086" s="14"/>
    </row>
    <row r="1087" spans="1:9" x14ac:dyDescent="0.25">
      <c r="A1087" s="14">
        <v>2013</v>
      </c>
      <c r="B1087" s="14">
        <v>183</v>
      </c>
      <c r="C1087" s="20">
        <v>41457</v>
      </c>
      <c r="D1087" s="16">
        <v>0.37916666666666665</v>
      </c>
      <c r="E1087" s="14">
        <v>110</v>
      </c>
      <c r="F1087" s="23">
        <v>6</v>
      </c>
      <c r="G1087" s="17">
        <v>0.32492439406779661</v>
      </c>
      <c r="H1087" s="4" t="s">
        <v>0</v>
      </c>
      <c r="I1087" s="14"/>
    </row>
    <row r="1088" spans="1:9" x14ac:dyDescent="0.25">
      <c r="A1088" s="14">
        <v>2013</v>
      </c>
      <c r="B1088" s="14">
        <v>183</v>
      </c>
      <c r="C1088" s="20">
        <v>41457</v>
      </c>
      <c r="D1088" s="16">
        <v>0.38472222222222219</v>
      </c>
      <c r="E1088" s="14">
        <v>110</v>
      </c>
      <c r="F1088" s="23">
        <v>7</v>
      </c>
      <c r="G1088" s="17">
        <v>0.34790729096045198</v>
      </c>
      <c r="H1088" s="4" t="s">
        <v>123</v>
      </c>
      <c r="I1088" s="14"/>
    </row>
    <row r="1089" spans="1:9" x14ac:dyDescent="0.25">
      <c r="A1089" s="14">
        <v>2013</v>
      </c>
      <c r="B1089" s="14">
        <v>183</v>
      </c>
      <c r="C1089" s="20">
        <v>41457</v>
      </c>
      <c r="D1089" s="16">
        <v>0.39097222222222222</v>
      </c>
      <c r="E1089" s="14">
        <v>110</v>
      </c>
      <c r="F1089" s="23">
        <v>8</v>
      </c>
      <c r="G1089" s="17">
        <v>0.34449900564971747</v>
      </c>
      <c r="H1089" s="4" t="s">
        <v>123</v>
      </c>
      <c r="I1089" s="14"/>
    </row>
    <row r="1090" spans="1:9" x14ac:dyDescent="0.25">
      <c r="A1090" s="14">
        <v>2013</v>
      </c>
      <c r="B1090" s="14">
        <v>183</v>
      </c>
      <c r="C1090" s="20">
        <v>41457</v>
      </c>
      <c r="D1090" s="16">
        <v>0.39652777777777781</v>
      </c>
      <c r="E1090" s="14">
        <v>110</v>
      </c>
      <c r="F1090" s="23">
        <v>9</v>
      </c>
      <c r="G1090" s="17">
        <v>0.33323784675141238</v>
      </c>
      <c r="H1090" s="4" t="s">
        <v>123</v>
      </c>
      <c r="I1090" s="14"/>
    </row>
    <row r="1091" spans="1:9" x14ac:dyDescent="0.25">
      <c r="A1091" s="14">
        <v>2013</v>
      </c>
      <c r="B1091" s="14">
        <v>183</v>
      </c>
      <c r="C1091" s="20">
        <v>41457</v>
      </c>
      <c r="D1091" s="16">
        <v>0.40277777777777773</v>
      </c>
      <c r="E1091" s="14">
        <v>110</v>
      </c>
      <c r="F1091" s="23">
        <v>10</v>
      </c>
      <c r="G1091" s="17">
        <v>0.33966292514124291</v>
      </c>
      <c r="H1091" s="4" t="s">
        <v>123</v>
      </c>
      <c r="I1091" s="14"/>
    </row>
    <row r="1092" spans="1:9" x14ac:dyDescent="0.25">
      <c r="A1092" s="14">
        <v>2013</v>
      </c>
      <c r="B1092" s="14">
        <v>183</v>
      </c>
      <c r="C1092" s="20">
        <v>41457</v>
      </c>
      <c r="D1092" s="16">
        <v>0.41944444444444445</v>
      </c>
      <c r="E1092" s="14">
        <v>110</v>
      </c>
      <c r="F1092" s="23">
        <v>11</v>
      </c>
      <c r="G1092" s="17">
        <v>0.33837330367231638</v>
      </c>
      <c r="H1092" s="4" t="s">
        <v>124</v>
      </c>
      <c r="I1092" s="14"/>
    </row>
    <row r="1093" spans="1:9" x14ac:dyDescent="0.25">
      <c r="A1093" s="14">
        <v>2013</v>
      </c>
      <c r="B1093" s="14">
        <v>183</v>
      </c>
      <c r="C1093" s="20">
        <v>41457</v>
      </c>
      <c r="D1093" s="16">
        <v>0.42569444444444443</v>
      </c>
      <c r="E1093" s="14">
        <v>110</v>
      </c>
      <c r="F1093" s="23">
        <v>12</v>
      </c>
      <c r="G1093" s="17">
        <v>0.34399236864406774</v>
      </c>
      <c r="H1093" s="4" t="s">
        <v>124</v>
      </c>
      <c r="I1093" s="14"/>
    </row>
    <row r="1094" spans="1:9" x14ac:dyDescent="0.25">
      <c r="A1094" s="14">
        <v>2013</v>
      </c>
      <c r="B1094" s="14">
        <v>183</v>
      </c>
      <c r="C1094" s="20">
        <v>41457</v>
      </c>
      <c r="D1094" s="16">
        <v>0.43263888888888885</v>
      </c>
      <c r="E1094" s="14">
        <v>110</v>
      </c>
      <c r="F1094" s="23">
        <v>13</v>
      </c>
      <c r="G1094" s="17">
        <v>0.35016412853107343</v>
      </c>
      <c r="H1094" s="4" t="s">
        <v>124</v>
      </c>
      <c r="I1094" s="14"/>
    </row>
    <row r="1095" spans="1:9" x14ac:dyDescent="0.25">
      <c r="A1095" s="14">
        <v>2013</v>
      </c>
      <c r="B1095" s="14">
        <v>183</v>
      </c>
      <c r="C1095" s="20">
        <v>41457</v>
      </c>
      <c r="D1095" s="16">
        <v>0.43958333333333338</v>
      </c>
      <c r="E1095" s="14">
        <v>110</v>
      </c>
      <c r="F1095" s="23">
        <v>14</v>
      </c>
      <c r="G1095" s="17">
        <v>0.33238577542372882</v>
      </c>
      <c r="H1095" s="4" t="s">
        <v>124</v>
      </c>
      <c r="I1095" s="14"/>
    </row>
    <row r="1096" spans="1:9" x14ac:dyDescent="0.25">
      <c r="A1096" s="14">
        <v>2013</v>
      </c>
      <c r="B1096" s="14">
        <v>183</v>
      </c>
      <c r="C1096" s="20">
        <v>41457</v>
      </c>
      <c r="D1096" s="16">
        <v>0.44722222222222219</v>
      </c>
      <c r="E1096" s="14">
        <v>110</v>
      </c>
      <c r="F1096" s="23">
        <v>15</v>
      </c>
      <c r="G1096" s="17">
        <v>0.32957624293785309</v>
      </c>
      <c r="H1096" s="4" t="s">
        <v>1</v>
      </c>
      <c r="I1096" s="14"/>
    </row>
    <row r="1097" spans="1:9" x14ac:dyDescent="0.25">
      <c r="A1097" s="14">
        <v>2013</v>
      </c>
      <c r="B1097" s="14">
        <v>183</v>
      </c>
      <c r="C1097" s="20">
        <v>41457</v>
      </c>
      <c r="D1097" s="16">
        <v>0.45208333333333334</v>
      </c>
      <c r="E1097" s="14">
        <v>110</v>
      </c>
      <c r="F1097" s="23">
        <v>16</v>
      </c>
      <c r="G1097" s="17">
        <v>0.32338145409604518</v>
      </c>
      <c r="H1097" s="4" t="s">
        <v>1</v>
      </c>
      <c r="I1097" s="14"/>
    </row>
    <row r="1098" spans="1:9" x14ac:dyDescent="0.25">
      <c r="A1098" s="14">
        <v>2013</v>
      </c>
      <c r="B1098" s="14">
        <v>183</v>
      </c>
      <c r="C1098" s="20">
        <v>41457</v>
      </c>
      <c r="D1098" s="16">
        <v>0.45833333333333331</v>
      </c>
      <c r="E1098" s="14">
        <v>110</v>
      </c>
      <c r="F1098" s="23">
        <v>17</v>
      </c>
      <c r="G1098" s="17">
        <v>0.35062470762711861</v>
      </c>
      <c r="H1098" s="4" t="s">
        <v>124</v>
      </c>
      <c r="I1098" s="14"/>
    </row>
    <row r="1099" spans="1:9" x14ac:dyDescent="0.25">
      <c r="A1099" s="14">
        <v>2013</v>
      </c>
      <c r="B1099" s="14">
        <v>183</v>
      </c>
      <c r="C1099" s="20">
        <v>41457</v>
      </c>
      <c r="D1099" s="16">
        <v>0.45902777777777781</v>
      </c>
      <c r="E1099" s="14">
        <v>110</v>
      </c>
      <c r="F1099" s="23">
        <v>18</v>
      </c>
      <c r="G1099" s="17">
        <v>0.34369299223163841</v>
      </c>
      <c r="H1099" s="4" t="s">
        <v>124</v>
      </c>
      <c r="I1099" s="14"/>
    </row>
    <row r="1100" spans="1:9" x14ac:dyDescent="0.25">
      <c r="A1100" s="14">
        <v>2013</v>
      </c>
      <c r="B1100" s="14">
        <v>183</v>
      </c>
      <c r="C1100" s="20">
        <v>41457</v>
      </c>
      <c r="D1100" s="16">
        <v>0.47013888888888888</v>
      </c>
      <c r="E1100" s="14">
        <v>110</v>
      </c>
      <c r="F1100" s="23">
        <v>19</v>
      </c>
      <c r="G1100" s="17">
        <v>0.34251851553672313</v>
      </c>
      <c r="H1100" s="4" t="s">
        <v>124</v>
      </c>
      <c r="I1100" s="14"/>
    </row>
    <row r="1101" spans="1:9" x14ac:dyDescent="0.25">
      <c r="A1101" s="14">
        <v>2013</v>
      </c>
      <c r="B1101" s="14">
        <v>183</v>
      </c>
      <c r="C1101" s="20">
        <v>41457</v>
      </c>
      <c r="D1101" s="16">
        <v>0.47638888888888892</v>
      </c>
      <c r="E1101" s="14">
        <v>110</v>
      </c>
      <c r="F1101" s="23">
        <v>20</v>
      </c>
      <c r="G1101" s="17">
        <v>0.34270274717514126</v>
      </c>
      <c r="H1101" s="4" t="s">
        <v>124</v>
      </c>
      <c r="I1101" s="14"/>
    </row>
    <row r="1102" spans="1:9" x14ac:dyDescent="0.25">
      <c r="A1102" s="14">
        <v>2013</v>
      </c>
      <c r="B1102" s="14">
        <v>183</v>
      </c>
      <c r="C1102" s="20">
        <v>41457</v>
      </c>
      <c r="D1102" s="16">
        <v>0.35069444444444442</v>
      </c>
      <c r="E1102" s="14">
        <v>90</v>
      </c>
      <c r="F1102" s="23">
        <v>1</v>
      </c>
      <c r="G1102" s="17">
        <v>0.34622617725988697</v>
      </c>
      <c r="H1102" s="4" t="s">
        <v>123</v>
      </c>
      <c r="I1102" s="14"/>
    </row>
    <row r="1103" spans="1:9" x14ac:dyDescent="0.25">
      <c r="A1103" s="14">
        <v>2013</v>
      </c>
      <c r="B1103" s="14">
        <v>183</v>
      </c>
      <c r="C1103" s="20">
        <v>41457</v>
      </c>
      <c r="D1103" s="16">
        <v>0.35625000000000001</v>
      </c>
      <c r="E1103" s="14">
        <v>90</v>
      </c>
      <c r="F1103" s="23">
        <v>2</v>
      </c>
      <c r="G1103" s="17">
        <v>0.34539713488700563</v>
      </c>
      <c r="H1103" s="4" t="s">
        <v>123</v>
      </c>
      <c r="I1103" s="14"/>
    </row>
    <row r="1104" spans="1:9" x14ac:dyDescent="0.25">
      <c r="A1104" s="14">
        <v>2013</v>
      </c>
      <c r="B1104" s="14">
        <v>183</v>
      </c>
      <c r="C1104" s="20">
        <v>41457</v>
      </c>
      <c r="D1104" s="16">
        <v>0.36180555555555555</v>
      </c>
      <c r="E1104" s="14">
        <v>90</v>
      </c>
      <c r="F1104" s="23">
        <v>3</v>
      </c>
      <c r="G1104" s="17">
        <v>0.34136706779661019</v>
      </c>
      <c r="H1104" s="4" t="s">
        <v>123</v>
      </c>
      <c r="I1104" s="14"/>
    </row>
    <row r="1105" spans="1:9" x14ac:dyDescent="0.25">
      <c r="A1105" s="14">
        <v>2013</v>
      </c>
      <c r="B1105" s="14">
        <v>183</v>
      </c>
      <c r="C1105" s="20">
        <v>41457</v>
      </c>
      <c r="D1105" s="16">
        <v>0.36805555555555558</v>
      </c>
      <c r="E1105" s="14">
        <v>90</v>
      </c>
      <c r="F1105" s="23">
        <v>4</v>
      </c>
      <c r="G1105" s="17">
        <v>0.33802786935028245</v>
      </c>
      <c r="H1105" s="4" t="s">
        <v>123</v>
      </c>
      <c r="I1105" s="14"/>
    </row>
    <row r="1106" spans="1:9" x14ac:dyDescent="0.25">
      <c r="A1106" s="14">
        <v>2013</v>
      </c>
      <c r="B1106" s="14">
        <v>183</v>
      </c>
      <c r="C1106" s="20">
        <v>41457</v>
      </c>
      <c r="D1106" s="16">
        <v>0.36874999999999997</v>
      </c>
      <c r="E1106" s="14">
        <v>90</v>
      </c>
      <c r="F1106" s="23">
        <v>5</v>
      </c>
      <c r="G1106" s="17">
        <v>0.33595526341807908</v>
      </c>
      <c r="H1106" s="4" t="s">
        <v>0</v>
      </c>
      <c r="I1106" s="14"/>
    </row>
    <row r="1107" spans="1:9" x14ac:dyDescent="0.25">
      <c r="A1107" s="14">
        <v>2013</v>
      </c>
      <c r="B1107" s="14">
        <v>183</v>
      </c>
      <c r="C1107" s="20">
        <v>41457</v>
      </c>
      <c r="D1107" s="16">
        <v>0.37916666666666665</v>
      </c>
      <c r="E1107" s="14">
        <v>90</v>
      </c>
      <c r="F1107" s="23">
        <v>6</v>
      </c>
      <c r="G1107" s="17">
        <v>0.33243183333333332</v>
      </c>
      <c r="H1107" s="4" t="s">
        <v>0</v>
      </c>
      <c r="I1107" s="14"/>
    </row>
    <row r="1108" spans="1:9" x14ac:dyDescent="0.25">
      <c r="A1108" s="14">
        <v>2013</v>
      </c>
      <c r="B1108" s="14">
        <v>183</v>
      </c>
      <c r="C1108" s="20">
        <v>41457</v>
      </c>
      <c r="D1108" s="16">
        <v>0.38472222222222219</v>
      </c>
      <c r="E1108" s="14">
        <v>90</v>
      </c>
      <c r="F1108" s="23">
        <v>7</v>
      </c>
      <c r="G1108" s="17">
        <v>0.34855210169491524</v>
      </c>
      <c r="H1108" s="4" t="s">
        <v>123</v>
      </c>
      <c r="I1108" s="14"/>
    </row>
    <row r="1109" spans="1:9" x14ac:dyDescent="0.25">
      <c r="A1109" s="14">
        <v>2013</v>
      </c>
      <c r="B1109" s="14">
        <v>183</v>
      </c>
      <c r="C1109" s="20">
        <v>41457</v>
      </c>
      <c r="D1109" s="16">
        <v>0.39097222222222222</v>
      </c>
      <c r="E1109" s="14">
        <v>90</v>
      </c>
      <c r="F1109" s="23">
        <v>8</v>
      </c>
      <c r="G1109" s="17">
        <v>0.34811455155367232</v>
      </c>
      <c r="H1109" s="4" t="s">
        <v>123</v>
      </c>
      <c r="I1109" s="14"/>
    </row>
    <row r="1110" spans="1:9" x14ac:dyDescent="0.25">
      <c r="A1110" s="14">
        <v>2013</v>
      </c>
      <c r="B1110" s="14">
        <v>183</v>
      </c>
      <c r="C1110" s="20">
        <v>41457</v>
      </c>
      <c r="D1110" s="16">
        <v>0.39652777777777781</v>
      </c>
      <c r="E1110" s="14">
        <v>90</v>
      </c>
      <c r="F1110" s="23">
        <v>9</v>
      </c>
      <c r="G1110" s="17">
        <v>0.34081437288135591</v>
      </c>
      <c r="H1110" s="4" t="s">
        <v>123</v>
      </c>
      <c r="I1110" s="14"/>
    </row>
    <row r="1111" spans="1:9" x14ac:dyDescent="0.25">
      <c r="A1111" s="14">
        <v>2013</v>
      </c>
      <c r="B1111" s="14">
        <v>183</v>
      </c>
      <c r="C1111" s="20">
        <v>41457</v>
      </c>
      <c r="D1111" s="16">
        <v>0.40277777777777773</v>
      </c>
      <c r="E1111" s="14">
        <v>90</v>
      </c>
      <c r="F1111" s="23">
        <v>10</v>
      </c>
      <c r="G1111" s="17">
        <v>0.34466020833333333</v>
      </c>
      <c r="H1111" s="4" t="s">
        <v>123</v>
      </c>
      <c r="I1111" s="14"/>
    </row>
    <row r="1112" spans="1:9" x14ac:dyDescent="0.25">
      <c r="A1112" s="14">
        <v>2013</v>
      </c>
      <c r="B1112" s="14">
        <v>183</v>
      </c>
      <c r="C1112" s="20">
        <v>41457</v>
      </c>
      <c r="D1112" s="16">
        <v>0.41944444444444445</v>
      </c>
      <c r="E1112" s="14">
        <v>90</v>
      </c>
      <c r="F1112" s="23">
        <v>11</v>
      </c>
      <c r="G1112" s="17">
        <v>0.3499338389830508</v>
      </c>
      <c r="H1112" s="4" t="s">
        <v>124</v>
      </c>
      <c r="I1112" s="14"/>
    </row>
    <row r="1113" spans="1:9" x14ac:dyDescent="0.25">
      <c r="A1113" s="14">
        <v>2013</v>
      </c>
      <c r="B1113" s="14">
        <v>183</v>
      </c>
      <c r="C1113" s="20">
        <v>41457</v>
      </c>
      <c r="D1113" s="16">
        <v>0.42569444444444443</v>
      </c>
      <c r="E1113" s="14">
        <v>90</v>
      </c>
      <c r="F1113" s="23">
        <v>12</v>
      </c>
      <c r="G1113" s="17">
        <v>0.34742368290960446</v>
      </c>
      <c r="H1113" s="4" t="s">
        <v>124</v>
      </c>
      <c r="I1113" s="14"/>
    </row>
    <row r="1114" spans="1:9" x14ac:dyDescent="0.25">
      <c r="A1114" s="14">
        <v>2013</v>
      </c>
      <c r="B1114" s="14">
        <v>183</v>
      </c>
      <c r="C1114" s="20">
        <v>41457</v>
      </c>
      <c r="D1114" s="16">
        <v>0.43263888888888885</v>
      </c>
      <c r="E1114" s="14">
        <v>90</v>
      </c>
      <c r="F1114" s="23">
        <v>13</v>
      </c>
      <c r="G1114" s="17">
        <v>0.34712430649717513</v>
      </c>
      <c r="H1114" s="4" t="s">
        <v>124</v>
      </c>
      <c r="I1114" s="14"/>
    </row>
    <row r="1115" spans="1:9" x14ac:dyDescent="0.25">
      <c r="A1115" s="14">
        <v>2013</v>
      </c>
      <c r="B1115" s="14">
        <v>183</v>
      </c>
      <c r="C1115" s="20">
        <v>41457</v>
      </c>
      <c r="D1115" s="16">
        <v>0.43958333333333338</v>
      </c>
      <c r="E1115" s="14">
        <v>90</v>
      </c>
      <c r="F1115" s="23">
        <v>14</v>
      </c>
      <c r="G1115" s="17">
        <v>0.33590920550847453</v>
      </c>
      <c r="H1115" s="4" t="s">
        <v>124</v>
      </c>
      <c r="I1115" s="14"/>
    </row>
    <row r="1116" spans="1:9" x14ac:dyDescent="0.25">
      <c r="A1116" s="14">
        <v>2013</v>
      </c>
      <c r="B1116" s="14">
        <v>183</v>
      </c>
      <c r="C1116" s="20">
        <v>41457</v>
      </c>
      <c r="D1116" s="16">
        <v>0.44722222222222219</v>
      </c>
      <c r="E1116" s="14">
        <v>90</v>
      </c>
      <c r="F1116" s="23">
        <v>15</v>
      </c>
      <c r="G1116" s="17">
        <v>0.32616795762711859</v>
      </c>
      <c r="H1116" s="4" t="s">
        <v>1</v>
      </c>
      <c r="I1116" s="14"/>
    </row>
    <row r="1117" spans="1:9" x14ac:dyDescent="0.25">
      <c r="A1117" s="14">
        <v>2013</v>
      </c>
      <c r="B1117" s="14">
        <v>183</v>
      </c>
      <c r="C1117" s="20">
        <v>41457</v>
      </c>
      <c r="D1117" s="16">
        <v>0.45208333333333334</v>
      </c>
      <c r="E1117" s="14">
        <v>90</v>
      </c>
      <c r="F1117" s="23">
        <v>16</v>
      </c>
      <c r="G1117" s="17">
        <v>0.32490136511299433</v>
      </c>
      <c r="H1117" s="4" t="s">
        <v>1</v>
      </c>
      <c r="I1117" s="14"/>
    </row>
    <row r="1118" spans="1:9" x14ac:dyDescent="0.25">
      <c r="A1118" s="14">
        <v>2013</v>
      </c>
      <c r="B1118" s="14">
        <v>183</v>
      </c>
      <c r="C1118" s="20">
        <v>41457</v>
      </c>
      <c r="D1118" s="16">
        <v>0.45833333333333331</v>
      </c>
      <c r="E1118" s="14">
        <v>90</v>
      </c>
      <c r="F1118" s="23">
        <v>17</v>
      </c>
      <c r="G1118" s="17">
        <v>0.34968052048022596</v>
      </c>
      <c r="H1118" s="4" t="s">
        <v>124</v>
      </c>
      <c r="I1118" s="14"/>
    </row>
    <row r="1119" spans="1:9" x14ac:dyDescent="0.25">
      <c r="A1119" s="14">
        <v>2013</v>
      </c>
      <c r="B1119" s="14">
        <v>183</v>
      </c>
      <c r="C1119" s="20">
        <v>41457</v>
      </c>
      <c r="D1119" s="16">
        <v>0.45902777777777781</v>
      </c>
      <c r="E1119" s="14">
        <v>90</v>
      </c>
      <c r="F1119" s="23">
        <v>18</v>
      </c>
      <c r="G1119" s="17">
        <v>0.34086043079096046</v>
      </c>
      <c r="H1119" s="4" t="s">
        <v>124</v>
      </c>
      <c r="I1119" s="14"/>
    </row>
    <row r="1120" spans="1:9" x14ac:dyDescent="0.25">
      <c r="A1120" s="14">
        <v>2013</v>
      </c>
      <c r="B1120" s="14">
        <v>183</v>
      </c>
      <c r="C1120" s="20">
        <v>41457</v>
      </c>
      <c r="D1120" s="16">
        <v>0.47013888888888888</v>
      </c>
      <c r="E1120" s="14">
        <v>90</v>
      </c>
      <c r="F1120" s="23">
        <v>19</v>
      </c>
      <c r="G1120" s="17">
        <v>0.33934051977401125</v>
      </c>
      <c r="H1120" s="4" t="s">
        <v>124</v>
      </c>
      <c r="I1120" s="14"/>
    </row>
    <row r="1121" spans="1:9" x14ac:dyDescent="0.25">
      <c r="A1121" s="14">
        <v>2013</v>
      </c>
      <c r="B1121" s="14">
        <v>183</v>
      </c>
      <c r="C1121" s="20">
        <v>41457</v>
      </c>
      <c r="D1121" s="16">
        <v>0.47638888888888892</v>
      </c>
      <c r="E1121" s="14">
        <v>90</v>
      </c>
      <c r="F1121" s="23">
        <v>20</v>
      </c>
      <c r="G1121" s="17">
        <v>0.3378206087570621</v>
      </c>
      <c r="H1121" s="4" t="s">
        <v>124</v>
      </c>
      <c r="I1121" s="14"/>
    </row>
    <row r="1122" spans="1:9" x14ac:dyDescent="0.25">
      <c r="A1122" s="14">
        <v>2013</v>
      </c>
      <c r="B1122" s="14">
        <v>183</v>
      </c>
      <c r="C1122" s="20">
        <v>41457</v>
      </c>
      <c r="D1122" s="16">
        <v>0.35069444444444442</v>
      </c>
      <c r="E1122" s="14">
        <v>70</v>
      </c>
      <c r="F1122" s="23">
        <v>1</v>
      </c>
      <c r="G1122" s="17">
        <v>0.34972657838983046</v>
      </c>
      <c r="H1122" s="4" t="s">
        <v>123</v>
      </c>
      <c r="I1122" s="14"/>
    </row>
    <row r="1123" spans="1:9" x14ac:dyDescent="0.25">
      <c r="A1123" s="14">
        <v>2013</v>
      </c>
      <c r="B1123" s="14">
        <v>183</v>
      </c>
      <c r="C1123" s="20">
        <v>41457</v>
      </c>
      <c r="D1123" s="16">
        <v>0.35625000000000001</v>
      </c>
      <c r="E1123" s="14">
        <v>70</v>
      </c>
      <c r="F1123" s="23">
        <v>2</v>
      </c>
      <c r="G1123" s="17">
        <v>0.35695767019774011</v>
      </c>
      <c r="H1123" s="4" t="s">
        <v>123</v>
      </c>
      <c r="I1123" s="14"/>
    </row>
    <row r="1124" spans="1:9" x14ac:dyDescent="0.25">
      <c r="A1124" s="14">
        <v>2013</v>
      </c>
      <c r="B1124" s="14">
        <v>183</v>
      </c>
      <c r="C1124" s="20">
        <v>41457</v>
      </c>
      <c r="D1124" s="16">
        <v>0.36180555555555555</v>
      </c>
      <c r="E1124" s="14">
        <v>70</v>
      </c>
      <c r="F1124" s="23">
        <v>3</v>
      </c>
      <c r="G1124" s="17">
        <v>0.34604194562146889</v>
      </c>
      <c r="H1124" s="4" t="s">
        <v>123</v>
      </c>
      <c r="I1124" s="14"/>
    </row>
    <row r="1125" spans="1:9" x14ac:dyDescent="0.25">
      <c r="A1125" s="14">
        <v>2013</v>
      </c>
      <c r="B1125" s="14">
        <v>183</v>
      </c>
      <c r="C1125" s="20">
        <v>41457</v>
      </c>
      <c r="D1125" s="16">
        <v>0.36805555555555558</v>
      </c>
      <c r="E1125" s="14">
        <v>70</v>
      </c>
      <c r="F1125" s="23">
        <v>4</v>
      </c>
      <c r="G1125" s="17">
        <v>0.34459112146892656</v>
      </c>
      <c r="H1125" s="4" t="s">
        <v>123</v>
      </c>
      <c r="I1125" s="14"/>
    </row>
    <row r="1126" spans="1:9" x14ac:dyDescent="0.25">
      <c r="A1126" s="14">
        <v>2013</v>
      </c>
      <c r="B1126" s="14">
        <v>183</v>
      </c>
      <c r="C1126" s="20">
        <v>41457</v>
      </c>
      <c r="D1126" s="16">
        <v>0.36874999999999997</v>
      </c>
      <c r="E1126" s="14">
        <v>70</v>
      </c>
      <c r="F1126" s="23">
        <v>5</v>
      </c>
      <c r="G1126" s="17">
        <v>0.32087129802259884</v>
      </c>
      <c r="H1126" s="4" t="s">
        <v>0</v>
      </c>
      <c r="I1126" s="14"/>
    </row>
    <row r="1127" spans="1:9" x14ac:dyDescent="0.25">
      <c r="A1127" s="14">
        <v>2013</v>
      </c>
      <c r="B1127" s="14">
        <v>183</v>
      </c>
      <c r="C1127" s="20">
        <v>41457</v>
      </c>
      <c r="D1127" s="16">
        <v>0.37916666666666665</v>
      </c>
      <c r="E1127" s="14">
        <v>70</v>
      </c>
      <c r="F1127" s="23">
        <v>6</v>
      </c>
      <c r="G1127" s="17">
        <v>0.33432020762711862</v>
      </c>
      <c r="H1127" s="4" t="s">
        <v>0</v>
      </c>
      <c r="I1127" s="14"/>
    </row>
    <row r="1128" spans="1:9" x14ac:dyDescent="0.25">
      <c r="A1128" s="14">
        <v>2013</v>
      </c>
      <c r="B1128" s="14">
        <v>183</v>
      </c>
      <c r="C1128" s="20">
        <v>41457</v>
      </c>
      <c r="D1128" s="16">
        <v>0.38472222222222219</v>
      </c>
      <c r="E1128" s="14">
        <v>70</v>
      </c>
      <c r="F1128" s="23">
        <v>7</v>
      </c>
      <c r="G1128" s="17">
        <v>0.35338818220338986</v>
      </c>
      <c r="H1128" s="4" t="s">
        <v>123</v>
      </c>
      <c r="I1128" s="14"/>
    </row>
    <row r="1129" spans="1:9" x14ac:dyDescent="0.25">
      <c r="A1129" s="14">
        <v>2013</v>
      </c>
      <c r="B1129" s="14">
        <v>183</v>
      </c>
      <c r="C1129" s="20">
        <v>41457</v>
      </c>
      <c r="D1129" s="16">
        <v>0.39097222222222222</v>
      </c>
      <c r="E1129" s="14">
        <v>70</v>
      </c>
      <c r="F1129" s="23">
        <v>8</v>
      </c>
      <c r="G1129" s="17">
        <v>0.34581165607344633</v>
      </c>
      <c r="H1129" s="4" t="s">
        <v>123</v>
      </c>
      <c r="I1129" s="14"/>
    </row>
    <row r="1130" spans="1:9" x14ac:dyDescent="0.25">
      <c r="A1130" s="14">
        <v>2013</v>
      </c>
      <c r="B1130" s="14">
        <v>183</v>
      </c>
      <c r="C1130" s="20">
        <v>41457</v>
      </c>
      <c r="D1130" s="16">
        <v>0.39652777777777781</v>
      </c>
      <c r="E1130" s="14">
        <v>70</v>
      </c>
      <c r="F1130" s="23">
        <v>9</v>
      </c>
      <c r="G1130" s="17">
        <v>0.34942720197740113</v>
      </c>
      <c r="H1130" s="4" t="s">
        <v>123</v>
      </c>
      <c r="I1130" s="14"/>
    </row>
    <row r="1131" spans="1:9" x14ac:dyDescent="0.25">
      <c r="A1131" s="14">
        <v>2013</v>
      </c>
      <c r="B1131" s="14">
        <v>183</v>
      </c>
      <c r="C1131" s="20">
        <v>41457</v>
      </c>
      <c r="D1131" s="16">
        <v>0.40277777777777773</v>
      </c>
      <c r="E1131" s="14">
        <v>70</v>
      </c>
      <c r="F1131" s="23">
        <v>10</v>
      </c>
      <c r="G1131" s="17">
        <v>0.3596750868644068</v>
      </c>
      <c r="H1131" s="4" t="s">
        <v>123</v>
      </c>
      <c r="I1131" s="14"/>
    </row>
    <row r="1132" spans="1:9" x14ac:dyDescent="0.25">
      <c r="A1132" s="14">
        <v>2013</v>
      </c>
      <c r="B1132" s="14">
        <v>183</v>
      </c>
      <c r="C1132" s="20">
        <v>41457</v>
      </c>
      <c r="D1132" s="16">
        <v>0.41944444444444445</v>
      </c>
      <c r="E1132" s="14">
        <v>70</v>
      </c>
      <c r="F1132" s="23">
        <v>11</v>
      </c>
      <c r="G1132" s="17">
        <v>0.35622074364406775</v>
      </c>
      <c r="H1132" s="4" t="s">
        <v>124</v>
      </c>
      <c r="I1132" s="14"/>
    </row>
    <row r="1133" spans="1:9" x14ac:dyDescent="0.25">
      <c r="A1133" s="14">
        <v>2013</v>
      </c>
      <c r="B1133" s="14">
        <v>183</v>
      </c>
      <c r="C1133" s="20">
        <v>41457</v>
      </c>
      <c r="D1133" s="16">
        <v>0.42569444444444443</v>
      </c>
      <c r="E1133" s="14">
        <v>70</v>
      </c>
      <c r="F1133" s="23">
        <v>12</v>
      </c>
      <c r="G1133" s="17">
        <v>0.34191976271186442</v>
      </c>
      <c r="H1133" s="4" t="s">
        <v>124</v>
      </c>
      <c r="I1133" s="14"/>
    </row>
    <row r="1134" spans="1:9" x14ac:dyDescent="0.25">
      <c r="A1134" s="14">
        <v>2013</v>
      </c>
      <c r="B1134" s="14">
        <v>183</v>
      </c>
      <c r="C1134" s="20">
        <v>41457</v>
      </c>
      <c r="D1134" s="16">
        <v>0.43263888888888885</v>
      </c>
      <c r="E1134" s="14">
        <v>70</v>
      </c>
      <c r="F1134" s="23">
        <v>13</v>
      </c>
      <c r="G1134" s="17">
        <v>0.34820666737288131</v>
      </c>
      <c r="H1134" s="4" t="s">
        <v>124</v>
      </c>
      <c r="I1134" s="14"/>
    </row>
    <row r="1135" spans="1:9" x14ac:dyDescent="0.25">
      <c r="A1135" s="14">
        <v>2013</v>
      </c>
      <c r="B1135" s="14">
        <v>183</v>
      </c>
      <c r="C1135" s="20">
        <v>41457</v>
      </c>
      <c r="D1135" s="16">
        <v>0.43958333333333338</v>
      </c>
      <c r="E1135" s="14">
        <v>70</v>
      </c>
      <c r="F1135" s="23">
        <v>14</v>
      </c>
      <c r="G1135" s="17">
        <v>0.35027927330508474</v>
      </c>
      <c r="H1135" s="4" t="s">
        <v>124</v>
      </c>
      <c r="I1135" s="14"/>
    </row>
    <row r="1136" spans="1:9" x14ac:dyDescent="0.25">
      <c r="A1136" s="14">
        <v>2013</v>
      </c>
      <c r="B1136" s="14">
        <v>183</v>
      </c>
      <c r="C1136" s="20">
        <v>41457</v>
      </c>
      <c r="D1136" s="16">
        <v>0.44722222222222219</v>
      </c>
      <c r="E1136" s="14">
        <v>70</v>
      </c>
      <c r="F1136" s="23">
        <v>15</v>
      </c>
      <c r="G1136" s="17">
        <v>0.32195365889830507</v>
      </c>
      <c r="H1136" s="4" t="s">
        <v>1</v>
      </c>
      <c r="I1136" s="14"/>
    </row>
    <row r="1137" spans="1:9" x14ac:dyDescent="0.25">
      <c r="A1137" s="14">
        <v>2013</v>
      </c>
      <c r="B1137" s="14">
        <v>183</v>
      </c>
      <c r="C1137" s="20">
        <v>41457</v>
      </c>
      <c r="D1137" s="16">
        <v>0.45208333333333334</v>
      </c>
      <c r="E1137" s="14">
        <v>70</v>
      </c>
      <c r="F1137" s="23">
        <v>16</v>
      </c>
      <c r="G1137" s="17">
        <v>0.31803873658192089</v>
      </c>
      <c r="H1137" s="4" t="s">
        <v>1</v>
      </c>
      <c r="I1137" s="14"/>
    </row>
    <row r="1138" spans="1:9" x14ac:dyDescent="0.25">
      <c r="A1138" s="14">
        <v>2013</v>
      </c>
      <c r="B1138" s="14">
        <v>183</v>
      </c>
      <c r="C1138" s="20">
        <v>41457</v>
      </c>
      <c r="D1138" s="16">
        <v>0.45833333333333331</v>
      </c>
      <c r="E1138" s="14">
        <v>70</v>
      </c>
      <c r="F1138" s="23">
        <v>17</v>
      </c>
      <c r="G1138" s="17">
        <v>0.35152283686440677</v>
      </c>
      <c r="H1138" s="4" t="s">
        <v>124</v>
      </c>
      <c r="I1138" s="14"/>
    </row>
    <row r="1139" spans="1:9" x14ac:dyDescent="0.25">
      <c r="A1139" s="14">
        <v>2013</v>
      </c>
      <c r="B1139" s="14">
        <v>183</v>
      </c>
      <c r="C1139" s="20">
        <v>41457</v>
      </c>
      <c r="D1139" s="16">
        <v>0.45902777777777781</v>
      </c>
      <c r="E1139" s="14">
        <v>70</v>
      </c>
      <c r="F1139" s="23">
        <v>18</v>
      </c>
      <c r="G1139" s="17">
        <v>0.3420118785310734</v>
      </c>
      <c r="H1139" s="4" t="s">
        <v>124</v>
      </c>
      <c r="I1139" s="14"/>
    </row>
    <row r="1140" spans="1:9" x14ac:dyDescent="0.25">
      <c r="A1140" s="14">
        <v>2013</v>
      </c>
      <c r="B1140" s="14">
        <v>183</v>
      </c>
      <c r="C1140" s="20">
        <v>41457</v>
      </c>
      <c r="D1140" s="16">
        <v>0.47013888888888888</v>
      </c>
      <c r="E1140" s="14">
        <v>70</v>
      </c>
      <c r="F1140" s="23">
        <v>19</v>
      </c>
      <c r="G1140" s="17">
        <v>0.3420118785310734</v>
      </c>
      <c r="H1140" s="4" t="s">
        <v>124</v>
      </c>
      <c r="I1140" s="14"/>
    </row>
    <row r="1141" spans="1:9" x14ac:dyDescent="0.25">
      <c r="A1141" s="14">
        <v>2013</v>
      </c>
      <c r="B1141" s="14">
        <v>183</v>
      </c>
      <c r="C1141" s="20">
        <v>41457</v>
      </c>
      <c r="D1141" s="16">
        <v>0.47638888888888892</v>
      </c>
      <c r="E1141" s="14">
        <v>70</v>
      </c>
      <c r="F1141" s="23">
        <v>20</v>
      </c>
      <c r="G1141" s="17">
        <v>0.34350876059322033</v>
      </c>
      <c r="H1141" s="4" t="s">
        <v>124</v>
      </c>
      <c r="I1141" s="14"/>
    </row>
    <row r="1142" spans="1:9" x14ac:dyDescent="0.25">
      <c r="A1142" s="14">
        <v>2013</v>
      </c>
      <c r="B1142" s="14">
        <v>183</v>
      </c>
      <c r="C1142" s="20">
        <v>41457</v>
      </c>
      <c r="D1142" s="16">
        <v>0.35069444444444442</v>
      </c>
      <c r="E1142" s="14">
        <v>50</v>
      </c>
      <c r="F1142" s="23">
        <v>1</v>
      </c>
      <c r="G1142" s="17">
        <v>0.34650252471751414</v>
      </c>
      <c r="H1142" s="4" t="s">
        <v>123</v>
      </c>
      <c r="I1142" s="14"/>
    </row>
    <row r="1143" spans="1:9" x14ac:dyDescent="0.25">
      <c r="A1143" s="14">
        <v>2013</v>
      </c>
      <c r="B1143" s="14">
        <v>183</v>
      </c>
      <c r="C1143" s="20">
        <v>41457</v>
      </c>
      <c r="D1143" s="16">
        <v>0.35625000000000001</v>
      </c>
      <c r="E1143" s="14">
        <v>50</v>
      </c>
      <c r="F1143" s="23">
        <v>2</v>
      </c>
      <c r="G1143" s="17">
        <v>0.359790231638418</v>
      </c>
      <c r="H1143" s="4" t="s">
        <v>123</v>
      </c>
      <c r="I1143" s="14"/>
    </row>
    <row r="1144" spans="1:9" x14ac:dyDescent="0.25">
      <c r="A1144" s="14">
        <v>2013</v>
      </c>
      <c r="B1144" s="14">
        <v>183</v>
      </c>
      <c r="C1144" s="20">
        <v>41457</v>
      </c>
      <c r="D1144" s="16">
        <v>0.36180555555555555</v>
      </c>
      <c r="E1144" s="14">
        <v>50</v>
      </c>
      <c r="F1144" s="23">
        <v>3</v>
      </c>
      <c r="G1144" s="17">
        <v>0.35576016454802256</v>
      </c>
      <c r="H1144" s="4" t="s">
        <v>123</v>
      </c>
      <c r="I1144" s="14"/>
    </row>
    <row r="1145" spans="1:9" x14ac:dyDescent="0.25">
      <c r="A1145" s="14">
        <v>2013</v>
      </c>
      <c r="B1145" s="14">
        <v>183</v>
      </c>
      <c r="C1145" s="20">
        <v>41457</v>
      </c>
      <c r="D1145" s="16">
        <v>0.36805555555555558</v>
      </c>
      <c r="E1145" s="14">
        <v>50</v>
      </c>
      <c r="F1145" s="23">
        <v>4</v>
      </c>
      <c r="G1145" s="17">
        <v>0.34500564265536721</v>
      </c>
      <c r="H1145" s="4" t="s">
        <v>123</v>
      </c>
      <c r="I1145" s="14"/>
    </row>
    <row r="1146" spans="1:9" x14ac:dyDescent="0.25">
      <c r="A1146" s="14">
        <v>2013</v>
      </c>
      <c r="B1146" s="14">
        <v>183</v>
      </c>
      <c r="C1146" s="20">
        <v>41457</v>
      </c>
      <c r="D1146" s="16">
        <v>0.36874999999999997</v>
      </c>
      <c r="E1146" s="14">
        <v>50</v>
      </c>
      <c r="F1146" s="23">
        <v>5</v>
      </c>
      <c r="G1146" s="17">
        <v>0.30382987146892654</v>
      </c>
      <c r="H1146" s="4" t="s">
        <v>0</v>
      </c>
      <c r="I1146" s="14"/>
    </row>
    <row r="1147" spans="1:9" x14ac:dyDescent="0.25">
      <c r="A1147" s="14">
        <v>2013</v>
      </c>
      <c r="B1147" s="14">
        <v>183</v>
      </c>
      <c r="C1147" s="20">
        <v>41457</v>
      </c>
      <c r="D1147" s="16">
        <v>0.37916666666666665</v>
      </c>
      <c r="E1147" s="14">
        <v>50</v>
      </c>
      <c r="F1147" s="23">
        <v>6</v>
      </c>
      <c r="G1147" s="17">
        <v>0.32402626483050845</v>
      </c>
      <c r="H1147" s="4" t="s">
        <v>0</v>
      </c>
      <c r="I1147" s="14"/>
    </row>
    <row r="1148" spans="1:9" x14ac:dyDescent="0.25">
      <c r="A1148" s="14">
        <v>2013</v>
      </c>
      <c r="B1148" s="14">
        <v>183</v>
      </c>
      <c r="C1148" s="20">
        <v>41457</v>
      </c>
      <c r="D1148" s="16">
        <v>0.38472222222222219</v>
      </c>
      <c r="E1148" s="14">
        <v>50</v>
      </c>
      <c r="F1148" s="23">
        <v>7</v>
      </c>
      <c r="G1148" s="17">
        <v>0.35932965254237287</v>
      </c>
      <c r="H1148" s="4" t="s">
        <v>123</v>
      </c>
      <c r="I1148" s="14"/>
    </row>
    <row r="1149" spans="1:9" x14ac:dyDescent="0.25">
      <c r="A1149" s="14">
        <v>2013</v>
      </c>
      <c r="B1149" s="14">
        <v>183</v>
      </c>
      <c r="C1149" s="20">
        <v>41457</v>
      </c>
      <c r="D1149" s="16">
        <v>0.39097222222222222</v>
      </c>
      <c r="E1149" s="14">
        <v>50</v>
      </c>
      <c r="F1149" s="23">
        <v>8</v>
      </c>
      <c r="G1149" s="17">
        <v>0.34624920621468924</v>
      </c>
      <c r="H1149" s="4" t="s">
        <v>123</v>
      </c>
      <c r="I1149" s="14"/>
    </row>
    <row r="1150" spans="1:9" x14ac:dyDescent="0.25">
      <c r="A1150" s="14">
        <v>2013</v>
      </c>
      <c r="B1150" s="14">
        <v>183</v>
      </c>
      <c r="C1150" s="20">
        <v>41457</v>
      </c>
      <c r="D1150" s="16">
        <v>0.39652777777777781</v>
      </c>
      <c r="E1150" s="14">
        <v>50</v>
      </c>
      <c r="F1150" s="23">
        <v>9</v>
      </c>
      <c r="G1150" s="17">
        <v>0.36057321610169496</v>
      </c>
      <c r="H1150" s="4" t="s">
        <v>123</v>
      </c>
      <c r="I1150" s="14"/>
    </row>
    <row r="1151" spans="1:9" x14ac:dyDescent="0.25">
      <c r="A1151" s="14">
        <v>2013</v>
      </c>
      <c r="B1151" s="14">
        <v>183</v>
      </c>
      <c r="C1151" s="20">
        <v>41457</v>
      </c>
      <c r="D1151" s="16">
        <v>0.40277777777777773</v>
      </c>
      <c r="E1151" s="14">
        <v>50</v>
      </c>
      <c r="F1151" s="23">
        <v>10</v>
      </c>
      <c r="G1151" s="17">
        <v>0.36658377330508474</v>
      </c>
      <c r="H1151" s="4" t="s">
        <v>123</v>
      </c>
      <c r="I1151" s="14"/>
    </row>
    <row r="1152" spans="1:9" x14ac:dyDescent="0.25">
      <c r="A1152" s="14">
        <v>2013</v>
      </c>
      <c r="B1152" s="14">
        <v>183</v>
      </c>
      <c r="C1152" s="20">
        <v>41457</v>
      </c>
      <c r="D1152" s="16">
        <v>0.41944444444444445</v>
      </c>
      <c r="E1152" s="14">
        <v>50</v>
      </c>
      <c r="F1152" s="23">
        <v>11</v>
      </c>
      <c r="G1152" s="17">
        <v>0.35571410663841807</v>
      </c>
      <c r="H1152" s="4" t="s">
        <v>124</v>
      </c>
      <c r="I1152" s="14"/>
    </row>
    <row r="1153" spans="1:9" x14ac:dyDescent="0.25">
      <c r="A1153" s="14">
        <v>2013</v>
      </c>
      <c r="B1153" s="14">
        <v>183</v>
      </c>
      <c r="C1153" s="20">
        <v>41457</v>
      </c>
      <c r="D1153" s="16">
        <v>0.42569444444444443</v>
      </c>
      <c r="E1153" s="14">
        <v>50</v>
      </c>
      <c r="F1153" s="23">
        <v>12</v>
      </c>
      <c r="G1153" s="17">
        <v>0.34371602118644068</v>
      </c>
      <c r="H1153" s="4" t="s">
        <v>124</v>
      </c>
      <c r="I1153" s="14"/>
    </row>
    <row r="1154" spans="1:9" x14ac:dyDescent="0.25">
      <c r="A1154" s="14">
        <v>2013</v>
      </c>
      <c r="B1154" s="14">
        <v>183</v>
      </c>
      <c r="C1154" s="20">
        <v>41457</v>
      </c>
      <c r="D1154" s="16">
        <v>0.43263888888888885</v>
      </c>
      <c r="E1154" s="14">
        <v>50</v>
      </c>
      <c r="F1154" s="23">
        <v>13</v>
      </c>
      <c r="G1154" s="17">
        <v>0.34677887217514125</v>
      </c>
      <c r="H1154" s="4" t="s">
        <v>124</v>
      </c>
      <c r="I1154" s="14"/>
    </row>
    <row r="1155" spans="1:9" x14ac:dyDescent="0.25">
      <c r="A1155" s="14">
        <v>2013</v>
      </c>
      <c r="B1155" s="14">
        <v>183</v>
      </c>
      <c r="C1155" s="20">
        <v>41457</v>
      </c>
      <c r="D1155" s="16">
        <v>0.43958333333333338</v>
      </c>
      <c r="E1155" s="14">
        <v>50</v>
      </c>
      <c r="F1155" s="23">
        <v>14</v>
      </c>
      <c r="G1155" s="17">
        <v>0.35198341596045196</v>
      </c>
      <c r="H1155" s="4" t="s">
        <v>124</v>
      </c>
      <c r="I1155" s="14"/>
    </row>
    <row r="1156" spans="1:9" x14ac:dyDescent="0.25">
      <c r="A1156" s="14">
        <v>2013</v>
      </c>
      <c r="B1156" s="14">
        <v>183</v>
      </c>
      <c r="C1156" s="20">
        <v>41457</v>
      </c>
      <c r="D1156" s="16">
        <v>0.44722222222222219</v>
      </c>
      <c r="E1156" s="14">
        <v>50</v>
      </c>
      <c r="F1156" s="23">
        <v>15</v>
      </c>
      <c r="G1156" s="17">
        <v>0.30721512782485871</v>
      </c>
      <c r="H1156" s="4" t="s">
        <v>1</v>
      </c>
      <c r="I1156" s="14"/>
    </row>
    <row r="1157" spans="1:9" x14ac:dyDescent="0.25">
      <c r="A1157" s="14">
        <v>2013</v>
      </c>
      <c r="B1157" s="14">
        <v>183</v>
      </c>
      <c r="C1157" s="20">
        <v>41457</v>
      </c>
      <c r="D1157" s="16">
        <v>0.45208333333333334</v>
      </c>
      <c r="E1157" s="14">
        <v>50</v>
      </c>
      <c r="F1157" s="23">
        <v>16</v>
      </c>
      <c r="G1157" s="17">
        <v>0.32255241172316385</v>
      </c>
      <c r="H1157" s="4" t="s">
        <v>1</v>
      </c>
      <c r="I1157" s="14"/>
    </row>
    <row r="1158" spans="1:9" x14ac:dyDescent="0.25">
      <c r="A1158" s="14">
        <v>2013</v>
      </c>
      <c r="B1158" s="14">
        <v>183</v>
      </c>
      <c r="C1158" s="20">
        <v>41457</v>
      </c>
      <c r="D1158" s="16">
        <v>0.45833333333333331</v>
      </c>
      <c r="E1158" s="14">
        <v>50</v>
      </c>
      <c r="F1158" s="23">
        <v>17</v>
      </c>
      <c r="G1158" s="17">
        <v>0.36103379519774015</v>
      </c>
      <c r="H1158" s="4" t="s">
        <v>124</v>
      </c>
      <c r="I1158" s="14"/>
    </row>
    <row r="1159" spans="1:9" x14ac:dyDescent="0.25">
      <c r="A1159" s="14">
        <v>2013</v>
      </c>
      <c r="B1159" s="14">
        <v>183</v>
      </c>
      <c r="C1159" s="20">
        <v>41457</v>
      </c>
      <c r="D1159" s="16">
        <v>0.45902777777777781</v>
      </c>
      <c r="E1159" s="14">
        <v>50</v>
      </c>
      <c r="F1159" s="23">
        <v>18</v>
      </c>
      <c r="G1159" s="17">
        <v>0.35025624435028246</v>
      </c>
      <c r="H1159" s="4" t="s">
        <v>124</v>
      </c>
      <c r="I1159" s="14"/>
    </row>
    <row r="1160" spans="1:9" x14ac:dyDescent="0.25">
      <c r="A1160" s="14">
        <v>2013</v>
      </c>
      <c r="B1160" s="14">
        <v>183</v>
      </c>
      <c r="C1160" s="20">
        <v>41457</v>
      </c>
      <c r="D1160" s="16">
        <v>0.47013888888888888</v>
      </c>
      <c r="E1160" s="14">
        <v>50</v>
      </c>
      <c r="F1160" s="23">
        <v>19</v>
      </c>
      <c r="G1160" s="17">
        <v>0.3348729025423729</v>
      </c>
      <c r="H1160" s="4" t="s">
        <v>124</v>
      </c>
      <c r="I1160" s="14"/>
    </row>
    <row r="1161" spans="1:9" x14ac:dyDescent="0.25">
      <c r="A1161" s="14">
        <v>2013</v>
      </c>
      <c r="B1161" s="14">
        <v>183</v>
      </c>
      <c r="C1161" s="20">
        <v>41457</v>
      </c>
      <c r="D1161" s="16">
        <v>0.47638888888888892</v>
      </c>
      <c r="E1161" s="14">
        <v>50</v>
      </c>
      <c r="F1161" s="23">
        <v>20</v>
      </c>
      <c r="G1161" s="17">
        <v>0.3564280042372881</v>
      </c>
      <c r="H1161" s="4" t="s">
        <v>124</v>
      </c>
      <c r="I1161" s="14"/>
    </row>
    <row r="1162" spans="1:9" x14ac:dyDescent="0.25">
      <c r="A1162" s="14">
        <v>2013</v>
      </c>
      <c r="B1162" s="14">
        <v>183</v>
      </c>
      <c r="C1162" s="20">
        <v>41457</v>
      </c>
      <c r="D1162" s="16">
        <v>0.35069444444444442</v>
      </c>
      <c r="E1162" s="14">
        <v>30</v>
      </c>
      <c r="F1162" s="23">
        <v>1</v>
      </c>
      <c r="G1162" s="17">
        <v>0.31278813488700563</v>
      </c>
      <c r="H1162" s="4" t="s">
        <v>123</v>
      </c>
      <c r="I1162" s="14"/>
    </row>
    <row r="1163" spans="1:9" x14ac:dyDescent="0.25">
      <c r="A1163" s="14">
        <v>2013</v>
      </c>
      <c r="B1163" s="14">
        <v>183</v>
      </c>
      <c r="C1163" s="20">
        <v>41457</v>
      </c>
      <c r="D1163" s="16">
        <v>0.35625000000000001</v>
      </c>
      <c r="E1163" s="14">
        <v>30</v>
      </c>
      <c r="F1163" s="23">
        <v>2</v>
      </c>
      <c r="G1163" s="17">
        <v>0.30592550635593219</v>
      </c>
      <c r="H1163" s="4" t="s">
        <v>123</v>
      </c>
      <c r="I1163" s="14"/>
    </row>
    <row r="1164" spans="1:9" x14ac:dyDescent="0.25">
      <c r="A1164" s="14">
        <v>2013</v>
      </c>
      <c r="B1164" s="14">
        <v>183</v>
      </c>
      <c r="C1164" s="20">
        <v>41457</v>
      </c>
      <c r="D1164" s="16">
        <v>0.36180555555555555</v>
      </c>
      <c r="E1164" s="14">
        <v>30</v>
      </c>
      <c r="F1164" s="23">
        <v>3</v>
      </c>
      <c r="G1164" s="17">
        <v>0.32600675494350284</v>
      </c>
      <c r="H1164" s="4" t="s">
        <v>123</v>
      </c>
      <c r="I1164" s="14"/>
    </row>
    <row r="1165" spans="1:9" x14ac:dyDescent="0.25">
      <c r="A1165" s="14">
        <v>2013</v>
      </c>
      <c r="B1165" s="14">
        <v>183</v>
      </c>
      <c r="C1165" s="20">
        <v>41457</v>
      </c>
      <c r="D1165" s="16">
        <v>0.36805555555555558</v>
      </c>
      <c r="E1165" s="14">
        <v>30</v>
      </c>
      <c r="F1165" s="23">
        <v>4</v>
      </c>
      <c r="G1165" s="17">
        <v>0.30049067302259885</v>
      </c>
      <c r="H1165" s="4" t="s">
        <v>123</v>
      </c>
      <c r="I1165" s="14"/>
    </row>
    <row r="1166" spans="1:9" x14ac:dyDescent="0.25">
      <c r="A1166" s="14">
        <v>2013</v>
      </c>
      <c r="B1166" s="14">
        <v>183</v>
      </c>
      <c r="C1166" s="20">
        <v>41457</v>
      </c>
      <c r="D1166" s="16">
        <v>0.36874999999999997</v>
      </c>
      <c r="E1166" s="14">
        <v>30</v>
      </c>
      <c r="F1166" s="23">
        <v>5</v>
      </c>
      <c r="G1166" s="17">
        <v>0.28764051624293785</v>
      </c>
      <c r="H1166" s="4" t="s">
        <v>0</v>
      </c>
      <c r="I1166" s="14"/>
    </row>
    <row r="1167" spans="1:9" x14ac:dyDescent="0.25">
      <c r="A1167" s="14">
        <v>2013</v>
      </c>
      <c r="B1167" s="14">
        <v>183</v>
      </c>
      <c r="C1167" s="20">
        <v>41457</v>
      </c>
      <c r="D1167" s="16">
        <v>0.37916666666666665</v>
      </c>
      <c r="E1167" s="14">
        <v>30</v>
      </c>
      <c r="F1167" s="23">
        <v>6</v>
      </c>
      <c r="G1167" s="17">
        <v>0.28556791031073442</v>
      </c>
      <c r="H1167" s="4" t="s">
        <v>0</v>
      </c>
      <c r="I1167" s="14"/>
    </row>
    <row r="1168" spans="1:9" x14ac:dyDescent="0.25">
      <c r="A1168" s="14">
        <v>2013</v>
      </c>
      <c r="B1168" s="14">
        <v>183</v>
      </c>
      <c r="C1168" s="20">
        <v>41457</v>
      </c>
      <c r="D1168" s="16">
        <v>0.38472222222222219</v>
      </c>
      <c r="E1168" s="14">
        <v>30</v>
      </c>
      <c r="F1168" s="23">
        <v>7</v>
      </c>
      <c r="G1168" s="17">
        <v>0.32713517372881351</v>
      </c>
      <c r="H1168" s="4" t="s">
        <v>123</v>
      </c>
      <c r="I1168" s="14"/>
    </row>
    <row r="1169" spans="1:9" x14ac:dyDescent="0.25">
      <c r="A1169" s="14">
        <v>2013</v>
      </c>
      <c r="B1169" s="14">
        <v>183</v>
      </c>
      <c r="C1169" s="20">
        <v>41457</v>
      </c>
      <c r="D1169" s="16">
        <v>0.39097222222222222</v>
      </c>
      <c r="E1169" s="14">
        <v>30</v>
      </c>
      <c r="F1169" s="23">
        <v>8</v>
      </c>
      <c r="G1169" s="17">
        <v>0.32923080861581916</v>
      </c>
      <c r="H1169" s="4" t="s">
        <v>123</v>
      </c>
      <c r="I1169" s="14"/>
    </row>
    <row r="1170" spans="1:9" x14ac:dyDescent="0.25">
      <c r="A1170" s="14">
        <v>2013</v>
      </c>
      <c r="B1170" s="14">
        <v>183</v>
      </c>
      <c r="C1170" s="20">
        <v>41457</v>
      </c>
      <c r="D1170" s="16">
        <v>0.39652777777777781</v>
      </c>
      <c r="E1170" s="14">
        <v>30</v>
      </c>
      <c r="F1170" s="23">
        <v>9</v>
      </c>
      <c r="G1170" s="17">
        <v>0.32904657697740108</v>
      </c>
      <c r="H1170" s="4" t="s">
        <v>123</v>
      </c>
      <c r="I1170" s="14"/>
    </row>
    <row r="1171" spans="1:9" x14ac:dyDescent="0.25">
      <c r="A1171" s="14">
        <v>2013</v>
      </c>
      <c r="B1171" s="14">
        <v>183</v>
      </c>
      <c r="C1171" s="20">
        <v>41457</v>
      </c>
      <c r="D1171" s="16">
        <v>0.40277777777777773</v>
      </c>
      <c r="E1171" s="14">
        <v>30</v>
      </c>
      <c r="F1171" s="23">
        <v>10</v>
      </c>
      <c r="G1171" s="17">
        <v>0.32904657697740108</v>
      </c>
      <c r="H1171" s="4" t="s">
        <v>123</v>
      </c>
      <c r="I1171" s="14"/>
    </row>
    <row r="1172" spans="1:9" x14ac:dyDescent="0.25">
      <c r="A1172" s="14">
        <v>2013</v>
      </c>
      <c r="B1172" s="14">
        <v>183</v>
      </c>
      <c r="C1172" s="20">
        <v>41457</v>
      </c>
      <c r="D1172" s="16">
        <v>0.41944444444444445</v>
      </c>
      <c r="E1172" s="14">
        <v>30</v>
      </c>
      <c r="F1172" s="23">
        <v>11</v>
      </c>
      <c r="G1172" s="17">
        <v>0.30974831285310733</v>
      </c>
      <c r="H1172" s="4" t="s">
        <v>124</v>
      </c>
      <c r="I1172" s="14"/>
    </row>
    <row r="1173" spans="1:9" x14ac:dyDescent="0.25">
      <c r="A1173" s="14">
        <v>2013</v>
      </c>
      <c r="B1173" s="14">
        <v>183</v>
      </c>
      <c r="C1173" s="20">
        <v>41457</v>
      </c>
      <c r="D1173" s="16">
        <v>0.42569444444444443</v>
      </c>
      <c r="E1173" s="14">
        <v>30</v>
      </c>
      <c r="F1173" s="23">
        <v>12</v>
      </c>
      <c r="G1173" s="17">
        <v>0.2664078199152542</v>
      </c>
      <c r="H1173" s="4" t="s">
        <v>124</v>
      </c>
      <c r="I1173" s="14"/>
    </row>
    <row r="1174" spans="1:9" x14ac:dyDescent="0.25">
      <c r="A1174" s="14">
        <v>2013</v>
      </c>
      <c r="B1174" s="14">
        <v>183</v>
      </c>
      <c r="C1174" s="20">
        <v>41457</v>
      </c>
      <c r="D1174" s="16">
        <v>0.43263888888888885</v>
      </c>
      <c r="E1174" s="14">
        <v>30</v>
      </c>
      <c r="F1174" s="23">
        <v>13</v>
      </c>
      <c r="G1174" s="17">
        <v>0.31306448234463274</v>
      </c>
      <c r="H1174" s="4" t="s">
        <v>124</v>
      </c>
      <c r="I1174" s="14"/>
    </row>
    <row r="1175" spans="1:9" x14ac:dyDescent="0.25">
      <c r="A1175" s="14">
        <v>2013</v>
      </c>
      <c r="B1175" s="14">
        <v>183</v>
      </c>
      <c r="C1175" s="20">
        <v>41457</v>
      </c>
      <c r="D1175" s="16">
        <v>0.43958333333333338</v>
      </c>
      <c r="E1175" s="14">
        <v>30</v>
      </c>
      <c r="F1175" s="23">
        <v>14</v>
      </c>
      <c r="G1175" s="17">
        <v>0.28128452471751408</v>
      </c>
      <c r="H1175" s="4" t="s">
        <v>124</v>
      </c>
      <c r="I1175" s="14"/>
    </row>
    <row r="1176" spans="1:9" x14ac:dyDescent="0.25">
      <c r="A1176" s="14">
        <v>2013</v>
      </c>
      <c r="B1176" s="14">
        <v>183</v>
      </c>
      <c r="C1176" s="20">
        <v>41457</v>
      </c>
      <c r="D1176" s="16">
        <v>0.44722222222222219</v>
      </c>
      <c r="E1176" s="14">
        <v>30</v>
      </c>
      <c r="F1176" s="23">
        <v>15</v>
      </c>
      <c r="G1176" s="17">
        <v>0.28024822175141245</v>
      </c>
      <c r="H1176" s="4" t="s">
        <v>1</v>
      </c>
      <c r="I1176" s="14"/>
    </row>
    <row r="1177" spans="1:9" x14ac:dyDescent="0.25">
      <c r="A1177" s="14">
        <v>2013</v>
      </c>
      <c r="B1177" s="14">
        <v>183</v>
      </c>
      <c r="C1177" s="20">
        <v>41457</v>
      </c>
      <c r="D1177" s="16">
        <v>0.45208333333333334</v>
      </c>
      <c r="E1177" s="14">
        <v>30</v>
      </c>
      <c r="F1177" s="23">
        <v>16</v>
      </c>
      <c r="G1177" s="17">
        <v>0.28531459180790958</v>
      </c>
      <c r="H1177" s="4" t="s">
        <v>1</v>
      </c>
      <c r="I1177" s="14"/>
    </row>
    <row r="1178" spans="1:9" x14ac:dyDescent="0.25">
      <c r="A1178" s="14">
        <v>2013</v>
      </c>
      <c r="B1178" s="14">
        <v>183</v>
      </c>
      <c r="C1178" s="20">
        <v>41457</v>
      </c>
      <c r="D1178" s="16">
        <v>0.45833333333333331</v>
      </c>
      <c r="E1178" s="14">
        <v>30</v>
      </c>
      <c r="F1178" s="23">
        <v>17</v>
      </c>
      <c r="G1178" s="17">
        <v>0.31442319067796609</v>
      </c>
      <c r="H1178" s="4" t="s">
        <v>124</v>
      </c>
      <c r="I1178" s="14"/>
    </row>
    <row r="1179" spans="1:9" x14ac:dyDescent="0.25">
      <c r="A1179" s="14">
        <v>2013</v>
      </c>
      <c r="B1179" s="14">
        <v>183</v>
      </c>
      <c r="C1179" s="20">
        <v>41457</v>
      </c>
      <c r="D1179" s="16">
        <v>0.45902777777777781</v>
      </c>
      <c r="E1179" s="14">
        <v>30</v>
      </c>
      <c r="F1179" s="23">
        <v>18</v>
      </c>
      <c r="G1179" s="17">
        <v>0.30799811228813562</v>
      </c>
      <c r="H1179" s="4" t="s">
        <v>124</v>
      </c>
      <c r="I1179" s="14"/>
    </row>
    <row r="1180" spans="1:9" x14ac:dyDescent="0.25">
      <c r="A1180" s="14">
        <v>2013</v>
      </c>
      <c r="B1180" s="14">
        <v>183</v>
      </c>
      <c r="C1180" s="20">
        <v>41457</v>
      </c>
      <c r="D1180" s="16">
        <v>0.47013888888888888</v>
      </c>
      <c r="E1180" s="14">
        <v>30</v>
      </c>
      <c r="F1180" s="23">
        <v>19</v>
      </c>
      <c r="G1180" s="17">
        <v>0.27506670692090396</v>
      </c>
      <c r="H1180" s="4" t="s">
        <v>124</v>
      </c>
      <c r="I1180" s="14"/>
    </row>
    <row r="1181" spans="1:9" x14ac:dyDescent="0.25">
      <c r="A1181" s="14">
        <v>2013</v>
      </c>
      <c r="B1181" s="14">
        <v>183</v>
      </c>
      <c r="C1181" s="20">
        <v>41457</v>
      </c>
      <c r="D1181" s="16">
        <v>0.47638888888888892</v>
      </c>
      <c r="E1181" s="14">
        <v>30</v>
      </c>
      <c r="F1181" s="23">
        <v>20</v>
      </c>
      <c r="G1181" s="17">
        <v>0.31214332415254237</v>
      </c>
      <c r="H1181" s="4" t="s">
        <v>124</v>
      </c>
      <c r="I1181" s="14"/>
    </row>
    <row r="1182" spans="1:9" x14ac:dyDescent="0.25">
      <c r="A1182" s="14">
        <v>2013</v>
      </c>
      <c r="B1182" s="14">
        <v>183</v>
      </c>
      <c r="C1182" s="20">
        <v>41457</v>
      </c>
      <c r="D1182" s="16">
        <v>0.35069444444444442</v>
      </c>
      <c r="E1182" s="14">
        <v>10</v>
      </c>
      <c r="F1182" s="23">
        <v>1</v>
      </c>
      <c r="G1182" s="17">
        <v>0.19234111501210654</v>
      </c>
      <c r="H1182" s="4" t="s">
        <v>123</v>
      </c>
      <c r="I1182" s="14"/>
    </row>
    <row r="1183" spans="1:9" x14ac:dyDescent="0.25">
      <c r="A1183" s="14">
        <v>2013</v>
      </c>
      <c r="B1183" s="14">
        <v>183</v>
      </c>
      <c r="C1183" s="20">
        <v>41457</v>
      </c>
      <c r="D1183" s="16">
        <v>0.35625000000000001</v>
      </c>
      <c r="E1183" s="14">
        <v>10</v>
      </c>
      <c r="F1183" s="23">
        <v>2</v>
      </c>
      <c r="G1183" s="17">
        <v>0.21159339285714285</v>
      </c>
      <c r="H1183" s="4" t="s">
        <v>123</v>
      </c>
      <c r="I1183" s="14"/>
    </row>
    <row r="1184" spans="1:9" x14ac:dyDescent="0.25">
      <c r="A1184" s="14">
        <v>2013</v>
      </c>
      <c r="B1184" s="14">
        <v>183</v>
      </c>
      <c r="C1184" s="20">
        <v>41457</v>
      </c>
      <c r="D1184" s="16">
        <v>0.36180555555555555</v>
      </c>
      <c r="E1184" s="14">
        <v>10</v>
      </c>
      <c r="F1184" s="23">
        <v>3</v>
      </c>
      <c r="G1184" s="17">
        <v>0.20968359776029055</v>
      </c>
      <c r="H1184" s="4" t="s">
        <v>123</v>
      </c>
      <c r="I1184" s="14"/>
    </row>
    <row r="1185" spans="1:9" x14ac:dyDescent="0.25">
      <c r="A1185" s="14">
        <v>2013</v>
      </c>
      <c r="B1185" s="14">
        <v>183</v>
      </c>
      <c r="C1185" s="20">
        <v>41457</v>
      </c>
      <c r="D1185" s="16">
        <v>0.36805555555555558</v>
      </c>
      <c r="E1185" s="14">
        <v>10</v>
      </c>
      <c r="F1185" s="23">
        <v>4</v>
      </c>
      <c r="G1185" s="17">
        <v>0.19064351937046004</v>
      </c>
      <c r="H1185" s="4" t="s">
        <v>123</v>
      </c>
      <c r="I1185" s="14"/>
    </row>
    <row r="1186" spans="1:9" x14ac:dyDescent="0.25">
      <c r="A1186" s="14">
        <v>2013</v>
      </c>
      <c r="B1186" s="14">
        <v>183</v>
      </c>
      <c r="C1186" s="20">
        <v>41457</v>
      </c>
      <c r="D1186" s="16">
        <v>0.36874999999999997</v>
      </c>
      <c r="E1186" s="14">
        <v>10</v>
      </c>
      <c r="F1186" s="23">
        <v>5</v>
      </c>
      <c r="G1186" s="17">
        <v>0.20360697699757868</v>
      </c>
      <c r="H1186" s="4" t="s">
        <v>0</v>
      </c>
      <c r="I1186" s="14"/>
    </row>
    <row r="1187" spans="1:9" x14ac:dyDescent="0.25">
      <c r="A1187" s="14">
        <v>2013</v>
      </c>
      <c r="B1187" s="14">
        <v>183</v>
      </c>
      <c r="C1187" s="20">
        <v>41457</v>
      </c>
      <c r="D1187" s="16">
        <v>0.37916666666666665</v>
      </c>
      <c r="E1187" s="14">
        <v>10</v>
      </c>
      <c r="F1187" s="23">
        <v>6</v>
      </c>
      <c r="G1187" s="17">
        <v>0.19849489921307506</v>
      </c>
      <c r="H1187" s="4" t="s">
        <v>0</v>
      </c>
      <c r="I1187" s="14"/>
    </row>
    <row r="1188" spans="1:9" x14ac:dyDescent="0.25">
      <c r="A1188" s="14">
        <v>2013</v>
      </c>
      <c r="B1188" s="14">
        <v>183</v>
      </c>
      <c r="C1188" s="20">
        <v>41457</v>
      </c>
      <c r="D1188" s="16">
        <v>0.38472222222222219</v>
      </c>
      <c r="E1188" s="14">
        <v>10</v>
      </c>
      <c r="F1188" s="23">
        <v>7</v>
      </c>
      <c r="G1188" s="17">
        <v>0.23520540496368036</v>
      </c>
      <c r="H1188" s="4" t="s">
        <v>123</v>
      </c>
      <c r="I1188" s="14"/>
    </row>
    <row r="1189" spans="1:9" x14ac:dyDescent="0.25">
      <c r="A1189" s="14">
        <v>2013</v>
      </c>
      <c r="B1189" s="14">
        <v>183</v>
      </c>
      <c r="C1189" s="20">
        <v>41457</v>
      </c>
      <c r="D1189" s="16">
        <v>0.39097222222222222</v>
      </c>
      <c r="E1189" s="14">
        <v>10</v>
      </c>
      <c r="F1189" s="23">
        <v>8</v>
      </c>
      <c r="G1189" s="17">
        <v>0.23512824152542372</v>
      </c>
      <c r="H1189" s="4" t="s">
        <v>123</v>
      </c>
      <c r="I1189" s="14"/>
    </row>
    <row r="1190" spans="1:9" x14ac:dyDescent="0.25">
      <c r="A1190" s="14">
        <v>2013</v>
      </c>
      <c r="B1190" s="14">
        <v>183</v>
      </c>
      <c r="C1190" s="20">
        <v>41457</v>
      </c>
      <c r="D1190" s="16">
        <v>0.39652777777777781</v>
      </c>
      <c r="E1190" s="14">
        <v>10</v>
      </c>
      <c r="F1190" s="23">
        <v>9</v>
      </c>
      <c r="G1190" s="17">
        <v>0.21549014648910414</v>
      </c>
      <c r="H1190" s="4" t="s">
        <v>123</v>
      </c>
      <c r="I1190" s="14"/>
    </row>
    <row r="1191" spans="1:9" x14ac:dyDescent="0.25">
      <c r="A1191" s="14">
        <v>2013</v>
      </c>
      <c r="B1191" s="14">
        <v>183</v>
      </c>
      <c r="C1191" s="20">
        <v>41457</v>
      </c>
      <c r="D1191" s="16">
        <v>0.40277777777777773</v>
      </c>
      <c r="E1191" s="14">
        <v>10</v>
      </c>
      <c r="F1191" s="23">
        <v>10</v>
      </c>
      <c r="G1191" s="17">
        <v>0.20366484957627118</v>
      </c>
      <c r="H1191" s="4" t="s">
        <v>123</v>
      </c>
      <c r="I1191" s="14"/>
    </row>
    <row r="1192" spans="1:9" x14ac:dyDescent="0.25">
      <c r="A1192" s="14">
        <v>2013</v>
      </c>
      <c r="B1192" s="14">
        <v>183</v>
      </c>
      <c r="C1192" s="20">
        <v>41457</v>
      </c>
      <c r="D1192" s="16">
        <v>0.41944444444444445</v>
      </c>
      <c r="E1192" s="14">
        <v>10</v>
      </c>
      <c r="F1192" s="23">
        <v>11</v>
      </c>
      <c r="G1192" s="17">
        <v>0.17928120308716705</v>
      </c>
      <c r="H1192" s="4" t="s">
        <v>124</v>
      </c>
      <c r="I1192" s="14"/>
    </row>
    <row r="1193" spans="1:9" x14ac:dyDescent="0.25">
      <c r="A1193" s="14">
        <v>2013</v>
      </c>
      <c r="B1193" s="14">
        <v>183</v>
      </c>
      <c r="C1193" s="20">
        <v>41457</v>
      </c>
      <c r="D1193" s="16">
        <v>0.42569444444444443</v>
      </c>
      <c r="E1193" s="14">
        <v>10</v>
      </c>
      <c r="F1193" s="23">
        <v>12</v>
      </c>
      <c r="G1193" s="17">
        <v>0.16126354025423728</v>
      </c>
      <c r="H1193" s="4" t="s">
        <v>124</v>
      </c>
      <c r="I1193" s="14"/>
    </row>
    <row r="1194" spans="1:9" x14ac:dyDescent="0.25">
      <c r="A1194" s="14">
        <v>2013</v>
      </c>
      <c r="B1194" s="14">
        <v>183</v>
      </c>
      <c r="C1194" s="20">
        <v>41457</v>
      </c>
      <c r="D1194" s="16">
        <v>0.43263888888888885</v>
      </c>
      <c r="E1194" s="14">
        <v>10</v>
      </c>
      <c r="F1194" s="23">
        <v>13</v>
      </c>
      <c r="G1194" s="17">
        <v>0.17264514739709441</v>
      </c>
      <c r="H1194" s="4" t="s">
        <v>124</v>
      </c>
      <c r="I1194" s="14"/>
    </row>
    <row r="1195" spans="1:9" x14ac:dyDescent="0.25">
      <c r="A1195" s="14">
        <v>2013</v>
      </c>
      <c r="B1195" s="14">
        <v>183</v>
      </c>
      <c r="C1195" s="20">
        <v>41457</v>
      </c>
      <c r="D1195" s="16">
        <v>0.43958333333333338</v>
      </c>
      <c r="E1195" s="14">
        <v>10</v>
      </c>
      <c r="F1195" s="23">
        <v>14</v>
      </c>
      <c r="G1195" s="17">
        <v>0.14230062530266344</v>
      </c>
      <c r="H1195" s="4" t="s">
        <v>124</v>
      </c>
      <c r="I1195" s="14"/>
    </row>
    <row r="1196" spans="1:9" x14ac:dyDescent="0.25">
      <c r="A1196" s="14">
        <v>2013</v>
      </c>
      <c r="B1196" s="14">
        <v>183</v>
      </c>
      <c r="C1196" s="20">
        <v>41457</v>
      </c>
      <c r="D1196" s="16">
        <v>0.44722222222222219</v>
      </c>
      <c r="E1196" s="14">
        <v>10</v>
      </c>
      <c r="F1196" s="23">
        <v>15</v>
      </c>
      <c r="G1196" s="17">
        <v>0.18774989043583534</v>
      </c>
      <c r="H1196" s="4" t="s">
        <v>1</v>
      </c>
      <c r="I1196" s="14"/>
    </row>
    <row r="1197" spans="1:9" x14ac:dyDescent="0.25">
      <c r="A1197" s="14">
        <v>2013</v>
      </c>
      <c r="B1197" s="14">
        <v>183</v>
      </c>
      <c r="C1197" s="20">
        <v>41457</v>
      </c>
      <c r="D1197" s="16">
        <v>0.45208333333333334</v>
      </c>
      <c r="E1197" s="14">
        <v>10</v>
      </c>
      <c r="F1197" s="23">
        <v>16</v>
      </c>
      <c r="G1197" s="17">
        <v>0.18074730841404357</v>
      </c>
      <c r="H1197" s="4" t="s">
        <v>1</v>
      </c>
      <c r="I1197" s="14"/>
    </row>
    <row r="1198" spans="1:9" x14ac:dyDescent="0.25">
      <c r="A1198" s="14">
        <v>2013</v>
      </c>
      <c r="B1198" s="14">
        <v>183</v>
      </c>
      <c r="C1198" s="20">
        <v>41457</v>
      </c>
      <c r="D1198" s="16">
        <v>0.45833333333333331</v>
      </c>
      <c r="E1198" s="14">
        <v>10</v>
      </c>
      <c r="F1198" s="23">
        <v>17</v>
      </c>
      <c r="G1198" s="17">
        <v>0.20358768613801453</v>
      </c>
      <c r="H1198" s="4" t="s">
        <v>124</v>
      </c>
      <c r="I1198" s="14"/>
    </row>
    <row r="1199" spans="1:9" x14ac:dyDescent="0.25">
      <c r="A1199" s="14">
        <v>2013</v>
      </c>
      <c r="B1199" s="14">
        <v>183</v>
      </c>
      <c r="C1199" s="20">
        <v>41457</v>
      </c>
      <c r="D1199" s="16">
        <v>0.45902777777777781</v>
      </c>
      <c r="E1199" s="14">
        <v>10</v>
      </c>
      <c r="F1199" s="23">
        <v>18</v>
      </c>
      <c r="G1199" s="17">
        <v>0.14503992736077481</v>
      </c>
      <c r="H1199" s="4" t="s">
        <v>124</v>
      </c>
      <c r="I1199" s="14"/>
    </row>
    <row r="1200" spans="1:9" x14ac:dyDescent="0.25">
      <c r="A1200" s="14">
        <v>2013</v>
      </c>
      <c r="B1200" s="14">
        <v>183</v>
      </c>
      <c r="C1200" s="20">
        <v>41457</v>
      </c>
      <c r="D1200" s="16">
        <v>0.47013888888888888</v>
      </c>
      <c r="E1200" s="14">
        <v>10</v>
      </c>
      <c r="F1200" s="23">
        <v>19</v>
      </c>
      <c r="G1200" s="17">
        <v>0.15754040435835348</v>
      </c>
      <c r="H1200" s="4" t="s">
        <v>124</v>
      </c>
      <c r="I1200" s="14"/>
    </row>
    <row r="1201" spans="1:9" x14ac:dyDescent="0.25">
      <c r="A1201" s="14">
        <v>2013</v>
      </c>
      <c r="B1201" s="14">
        <v>183</v>
      </c>
      <c r="C1201" s="20">
        <v>41457</v>
      </c>
      <c r="D1201" s="16">
        <v>0.47638888888888892</v>
      </c>
      <c r="E1201" s="14">
        <v>10</v>
      </c>
      <c r="F1201" s="23">
        <v>20</v>
      </c>
      <c r="G1201" s="17">
        <v>0.15069214921307506</v>
      </c>
      <c r="H1201" s="4" t="s">
        <v>124</v>
      </c>
      <c r="I1201" s="14"/>
    </row>
    <row r="1202" spans="1:9" x14ac:dyDescent="0.25">
      <c r="A1202" s="14">
        <v>2013</v>
      </c>
      <c r="B1202" s="14">
        <v>189</v>
      </c>
      <c r="C1202" s="20">
        <v>41463</v>
      </c>
      <c r="D1202" s="16">
        <v>0.54236111111111118</v>
      </c>
      <c r="E1202" s="14">
        <v>230</v>
      </c>
      <c r="F1202" s="23">
        <v>1</v>
      </c>
      <c r="G1202" s="17">
        <v>0.30061487005649717</v>
      </c>
      <c r="H1202" s="4" t="s">
        <v>123</v>
      </c>
      <c r="I1202" s="14"/>
    </row>
    <row r="1203" spans="1:9" x14ac:dyDescent="0.25">
      <c r="A1203" s="14">
        <v>2013</v>
      </c>
      <c r="B1203" s="14">
        <v>189</v>
      </c>
      <c r="C1203" s="20">
        <v>41463</v>
      </c>
      <c r="D1203" s="16">
        <v>0.54861111111111105</v>
      </c>
      <c r="E1203" s="14">
        <v>230</v>
      </c>
      <c r="F1203" s="23">
        <v>2</v>
      </c>
      <c r="G1203" s="17">
        <v>0.30543045903954802</v>
      </c>
      <c r="H1203" s="4" t="s">
        <v>123</v>
      </c>
      <c r="I1203" s="14"/>
    </row>
    <row r="1204" spans="1:9" x14ac:dyDescent="0.25">
      <c r="A1204" s="14">
        <v>2013</v>
      </c>
      <c r="B1204" s="14">
        <v>189</v>
      </c>
      <c r="C1204" s="20">
        <v>41463</v>
      </c>
      <c r="D1204" s="16">
        <v>0.5625</v>
      </c>
      <c r="E1204" s="14">
        <v>230</v>
      </c>
      <c r="F1204" s="23">
        <v>3</v>
      </c>
      <c r="G1204" s="17">
        <v>0.28943722245762715</v>
      </c>
      <c r="H1204" s="4" t="s">
        <v>123</v>
      </c>
      <c r="I1204" s="14"/>
    </row>
    <row r="1205" spans="1:9" x14ac:dyDescent="0.25">
      <c r="A1205" s="14">
        <v>2013</v>
      </c>
      <c r="B1205" s="14">
        <v>189</v>
      </c>
      <c r="C1205" s="20">
        <v>41463</v>
      </c>
      <c r="D1205" s="16">
        <v>0.56944444444444442</v>
      </c>
      <c r="E1205" s="14">
        <v>230</v>
      </c>
      <c r="F1205" s="23">
        <v>4</v>
      </c>
      <c r="G1205" s="17">
        <v>0.28636385875706216</v>
      </c>
      <c r="H1205" s="4" t="s">
        <v>123</v>
      </c>
      <c r="I1205" s="14"/>
    </row>
    <row r="1206" spans="1:9" x14ac:dyDescent="0.25">
      <c r="A1206" s="14">
        <v>2013</v>
      </c>
      <c r="B1206" s="14">
        <v>189</v>
      </c>
      <c r="C1206" s="20">
        <v>41463</v>
      </c>
      <c r="D1206" s="16">
        <v>0.57638888888888895</v>
      </c>
      <c r="E1206" s="14">
        <v>230</v>
      </c>
      <c r="F1206" s="23">
        <v>5</v>
      </c>
      <c r="G1206" s="17" t="e">
        <v>#N/A</v>
      </c>
      <c r="H1206" s="4" t="s">
        <v>0</v>
      </c>
      <c r="I1206" s="14"/>
    </row>
    <row r="1207" spans="1:9" x14ac:dyDescent="0.25">
      <c r="A1207" s="14">
        <v>2013</v>
      </c>
      <c r="B1207" s="14">
        <v>189</v>
      </c>
      <c r="C1207" s="20">
        <v>41463</v>
      </c>
      <c r="D1207" s="16">
        <v>0.58124999999999993</v>
      </c>
      <c r="E1207" s="14">
        <v>230</v>
      </c>
      <c r="F1207" s="23">
        <v>6</v>
      </c>
      <c r="G1207" s="17" t="e">
        <v>#N/A</v>
      </c>
      <c r="H1207" s="4" t="s">
        <v>0</v>
      </c>
      <c r="I1207" s="14"/>
    </row>
    <row r="1208" spans="1:9" x14ac:dyDescent="0.25">
      <c r="A1208" s="14">
        <v>2013</v>
      </c>
      <c r="B1208" s="14">
        <v>189</v>
      </c>
      <c r="C1208" s="20">
        <v>41463</v>
      </c>
      <c r="D1208" s="16">
        <v>0.58680555555555558</v>
      </c>
      <c r="E1208" s="14">
        <v>230</v>
      </c>
      <c r="F1208" s="23">
        <v>7</v>
      </c>
      <c r="G1208" s="17">
        <v>0.29023982062146897</v>
      </c>
      <c r="H1208" s="4" t="s">
        <v>123</v>
      </c>
      <c r="I1208" s="14"/>
    </row>
    <row r="1209" spans="1:9" x14ac:dyDescent="0.25">
      <c r="A1209" s="14">
        <v>2013</v>
      </c>
      <c r="B1209" s="14">
        <v>189</v>
      </c>
      <c r="C1209" s="20">
        <v>41463</v>
      </c>
      <c r="D1209" s="16">
        <v>0.59236111111111112</v>
      </c>
      <c r="E1209" s="14">
        <v>230</v>
      </c>
      <c r="F1209" s="23">
        <v>8</v>
      </c>
      <c r="G1209" s="17">
        <v>0.31012859463276837</v>
      </c>
      <c r="H1209" s="4" t="s">
        <v>123</v>
      </c>
      <c r="I1209" s="14"/>
    </row>
    <row r="1210" spans="1:9" x14ac:dyDescent="0.25">
      <c r="A1210" s="14">
        <v>2013</v>
      </c>
      <c r="B1210" s="14">
        <v>189</v>
      </c>
      <c r="C1210" s="20">
        <v>41463</v>
      </c>
      <c r="D1210" s="16">
        <v>0.59861111111111109</v>
      </c>
      <c r="E1210" s="14">
        <v>230</v>
      </c>
      <c r="F1210" s="23">
        <v>9</v>
      </c>
      <c r="G1210" s="17">
        <v>0.30926726977401131</v>
      </c>
      <c r="H1210" s="4" t="s">
        <v>123</v>
      </c>
      <c r="I1210" s="14"/>
    </row>
    <row r="1211" spans="1:9" x14ac:dyDescent="0.25">
      <c r="A1211" s="14">
        <v>2013</v>
      </c>
      <c r="B1211" s="14">
        <v>189</v>
      </c>
      <c r="C1211" s="20">
        <v>41463</v>
      </c>
      <c r="D1211" s="16">
        <v>0.60416666666666663</v>
      </c>
      <c r="E1211" s="14">
        <v>230</v>
      </c>
      <c r="F1211" s="23">
        <v>10</v>
      </c>
      <c r="G1211" s="17">
        <v>0.26874585028248588</v>
      </c>
      <c r="H1211" s="4" t="s">
        <v>123</v>
      </c>
      <c r="I1211" s="14"/>
    </row>
    <row r="1212" spans="1:9" x14ac:dyDescent="0.25">
      <c r="A1212" s="14">
        <v>2013</v>
      </c>
      <c r="B1212" s="14">
        <v>189</v>
      </c>
      <c r="C1212" s="20">
        <v>41463</v>
      </c>
      <c r="D1212" s="16">
        <v>0.6118055555555556</v>
      </c>
      <c r="E1212" s="14">
        <v>230</v>
      </c>
      <c r="F1212" s="23">
        <v>11</v>
      </c>
      <c r="G1212" s="17">
        <v>0.29992972528248585</v>
      </c>
      <c r="H1212" s="4" t="s">
        <v>124</v>
      </c>
      <c r="I1212" s="14"/>
    </row>
    <row r="1213" spans="1:9" x14ac:dyDescent="0.25">
      <c r="A1213" s="14">
        <v>2013</v>
      </c>
      <c r="B1213" s="14">
        <v>189</v>
      </c>
      <c r="C1213" s="20">
        <v>41463</v>
      </c>
      <c r="D1213" s="16">
        <v>0.61805555555555558</v>
      </c>
      <c r="E1213" s="14">
        <v>230</v>
      </c>
      <c r="F1213" s="23">
        <v>12</v>
      </c>
      <c r="G1213" s="17">
        <v>0.30300308898305084</v>
      </c>
      <c r="H1213" s="4" t="s">
        <v>124</v>
      </c>
      <c r="I1213" s="14"/>
    </row>
    <row r="1214" spans="1:9" x14ac:dyDescent="0.25">
      <c r="A1214" s="14">
        <v>2013</v>
      </c>
      <c r="B1214" s="14">
        <v>189</v>
      </c>
      <c r="C1214" s="20">
        <v>41463</v>
      </c>
      <c r="D1214" s="16">
        <v>0.62916666666666665</v>
      </c>
      <c r="E1214" s="14">
        <v>230</v>
      </c>
      <c r="F1214" s="23">
        <v>13</v>
      </c>
      <c r="G1214" s="17">
        <v>0.30002760310734466</v>
      </c>
      <c r="H1214" s="4" t="s">
        <v>124</v>
      </c>
      <c r="I1214" s="14"/>
    </row>
    <row r="1215" spans="1:9" x14ac:dyDescent="0.25">
      <c r="A1215" s="14">
        <v>2013</v>
      </c>
      <c r="B1215" s="14">
        <v>189</v>
      </c>
      <c r="C1215" s="20">
        <v>41463</v>
      </c>
      <c r="D1215" s="16">
        <v>0.63611111111111118</v>
      </c>
      <c r="E1215" s="14">
        <v>230</v>
      </c>
      <c r="F1215" s="23">
        <v>14</v>
      </c>
      <c r="G1215" s="17">
        <v>0.28930019350282488</v>
      </c>
      <c r="H1215" s="4" t="s">
        <v>124</v>
      </c>
      <c r="I1215" s="14"/>
    </row>
    <row r="1216" spans="1:9" x14ac:dyDescent="0.25">
      <c r="A1216" s="14">
        <v>2013</v>
      </c>
      <c r="B1216" s="14">
        <v>189</v>
      </c>
      <c r="C1216" s="20">
        <v>41463</v>
      </c>
      <c r="D1216" s="16">
        <v>0.64236111111111105</v>
      </c>
      <c r="E1216" s="14">
        <v>230</v>
      </c>
      <c r="F1216" s="23">
        <v>15</v>
      </c>
      <c r="G1216" s="17" t="e">
        <v>#N/A</v>
      </c>
      <c r="H1216" s="4" t="s">
        <v>1</v>
      </c>
      <c r="I1216" s="14"/>
    </row>
    <row r="1217" spans="1:9" x14ac:dyDescent="0.25">
      <c r="A1217" s="14">
        <v>2013</v>
      </c>
      <c r="B1217" s="14">
        <v>189</v>
      </c>
      <c r="C1217" s="20">
        <v>41463</v>
      </c>
      <c r="D1217" s="16">
        <v>0.64722222222222225</v>
      </c>
      <c r="E1217" s="14">
        <v>230</v>
      </c>
      <c r="F1217" s="23">
        <v>16</v>
      </c>
      <c r="G1217" s="17" t="e">
        <v>#N/A</v>
      </c>
      <c r="H1217" s="4" t="s">
        <v>1</v>
      </c>
      <c r="I1217" s="14"/>
    </row>
    <row r="1218" spans="1:9" x14ac:dyDescent="0.25">
      <c r="A1218" s="14">
        <v>2013</v>
      </c>
      <c r="B1218" s="14">
        <v>189</v>
      </c>
      <c r="C1218" s="20">
        <v>41463</v>
      </c>
      <c r="D1218" s="16">
        <v>0.65277777777777779</v>
      </c>
      <c r="E1218" s="14">
        <v>230</v>
      </c>
      <c r="F1218" s="23">
        <v>17</v>
      </c>
      <c r="G1218" s="17">
        <v>0.30067359675141242</v>
      </c>
      <c r="H1218" s="4" t="s">
        <v>124</v>
      </c>
      <c r="I1218" s="14"/>
    </row>
    <row r="1219" spans="1:9" x14ac:dyDescent="0.25">
      <c r="A1219" s="14">
        <v>2013</v>
      </c>
      <c r="B1219" s="14">
        <v>189</v>
      </c>
      <c r="C1219" s="20">
        <v>41463</v>
      </c>
      <c r="D1219" s="16">
        <v>0.65347222222222223</v>
      </c>
      <c r="E1219" s="14">
        <v>230</v>
      </c>
      <c r="F1219" s="23">
        <v>18</v>
      </c>
      <c r="G1219" s="17">
        <v>0.30223964194915254</v>
      </c>
      <c r="H1219" s="4" t="s">
        <v>124</v>
      </c>
      <c r="I1219" s="14"/>
    </row>
    <row r="1220" spans="1:9" x14ac:dyDescent="0.25">
      <c r="A1220" s="14">
        <v>2013</v>
      </c>
      <c r="B1220" s="14">
        <v>189</v>
      </c>
      <c r="C1220" s="20">
        <v>41463</v>
      </c>
      <c r="D1220" s="16">
        <v>0.65972222222222221</v>
      </c>
      <c r="E1220" s="14">
        <v>230</v>
      </c>
      <c r="F1220" s="23">
        <v>19</v>
      </c>
      <c r="G1220" s="17">
        <v>0.29452686935028249</v>
      </c>
      <c r="H1220" s="4" t="s">
        <v>124</v>
      </c>
      <c r="I1220" s="14"/>
    </row>
    <row r="1221" spans="1:9" x14ac:dyDescent="0.25">
      <c r="A1221" s="14">
        <v>2013</v>
      </c>
      <c r="B1221" s="14">
        <v>189</v>
      </c>
      <c r="C1221" s="20">
        <v>41463</v>
      </c>
      <c r="D1221" s="16">
        <v>0.67083333333333339</v>
      </c>
      <c r="E1221" s="14">
        <v>230</v>
      </c>
      <c r="F1221" s="23">
        <v>20</v>
      </c>
      <c r="G1221" s="17">
        <v>0.30380568714689266</v>
      </c>
      <c r="H1221" s="4" t="s">
        <v>124</v>
      </c>
      <c r="I1221" s="14"/>
    </row>
    <row r="1222" spans="1:9" x14ac:dyDescent="0.25">
      <c r="A1222" s="14">
        <v>2013</v>
      </c>
      <c r="B1222" s="14">
        <v>189</v>
      </c>
      <c r="C1222" s="20">
        <v>41463</v>
      </c>
      <c r="D1222" s="16">
        <v>0.54236111111111118</v>
      </c>
      <c r="E1222" s="14">
        <v>210</v>
      </c>
      <c r="F1222" s="23">
        <v>1</v>
      </c>
      <c r="G1222" s="17">
        <v>0.30384483827683617</v>
      </c>
      <c r="H1222" s="4" t="s">
        <v>123</v>
      </c>
      <c r="I1222" s="14"/>
    </row>
    <row r="1223" spans="1:9" x14ac:dyDescent="0.25">
      <c r="A1223" s="14">
        <v>2013</v>
      </c>
      <c r="B1223" s="14">
        <v>189</v>
      </c>
      <c r="C1223" s="20">
        <v>41463</v>
      </c>
      <c r="D1223" s="16">
        <v>0.54861111111111105</v>
      </c>
      <c r="E1223" s="14">
        <v>210</v>
      </c>
      <c r="F1223" s="23">
        <v>2</v>
      </c>
      <c r="G1223" s="17">
        <v>0.29897052259887003</v>
      </c>
      <c r="H1223" s="4" t="s">
        <v>123</v>
      </c>
      <c r="I1223" s="14"/>
    </row>
    <row r="1224" spans="1:9" x14ac:dyDescent="0.25">
      <c r="A1224" s="14">
        <v>2013</v>
      </c>
      <c r="B1224" s="14">
        <v>189</v>
      </c>
      <c r="C1224" s="20">
        <v>41463</v>
      </c>
      <c r="D1224" s="16">
        <v>0.5625</v>
      </c>
      <c r="E1224" s="14">
        <v>210</v>
      </c>
      <c r="F1224" s="23">
        <v>3</v>
      </c>
      <c r="G1224" s="17">
        <v>0.27679140748587572</v>
      </c>
      <c r="H1224" s="4" t="s">
        <v>123</v>
      </c>
      <c r="I1224" s="14"/>
    </row>
    <row r="1225" spans="1:9" x14ac:dyDescent="0.25">
      <c r="A1225" s="14">
        <v>2013</v>
      </c>
      <c r="B1225" s="14">
        <v>189</v>
      </c>
      <c r="C1225" s="20">
        <v>41463</v>
      </c>
      <c r="D1225" s="16">
        <v>0.56944444444444442</v>
      </c>
      <c r="E1225" s="14">
        <v>210</v>
      </c>
      <c r="F1225" s="23">
        <v>4</v>
      </c>
      <c r="G1225" s="17">
        <v>0.29591673446327688</v>
      </c>
      <c r="H1225" s="4" t="s">
        <v>123</v>
      </c>
      <c r="I1225" s="14"/>
    </row>
    <row r="1226" spans="1:9" x14ac:dyDescent="0.25">
      <c r="A1226" s="14">
        <v>2013</v>
      </c>
      <c r="B1226" s="14">
        <v>189</v>
      </c>
      <c r="C1226" s="20">
        <v>41463</v>
      </c>
      <c r="D1226" s="16">
        <v>0.57638888888888895</v>
      </c>
      <c r="E1226" s="14">
        <v>210</v>
      </c>
      <c r="F1226" s="23">
        <v>5</v>
      </c>
      <c r="G1226" s="17" t="e">
        <v>#N/A</v>
      </c>
      <c r="H1226" s="4" t="s">
        <v>0</v>
      </c>
      <c r="I1226" s="14"/>
    </row>
    <row r="1227" spans="1:9" x14ac:dyDescent="0.25">
      <c r="A1227" s="14">
        <v>2013</v>
      </c>
      <c r="B1227" s="14">
        <v>189</v>
      </c>
      <c r="C1227" s="20">
        <v>41463</v>
      </c>
      <c r="D1227" s="16">
        <v>0.58124999999999993</v>
      </c>
      <c r="E1227" s="14">
        <v>210</v>
      </c>
      <c r="F1227" s="23">
        <v>6</v>
      </c>
      <c r="G1227" s="17" t="e">
        <v>#N/A</v>
      </c>
      <c r="H1227" s="4" t="s">
        <v>0</v>
      </c>
      <c r="I1227" s="14"/>
    </row>
    <row r="1228" spans="1:9" x14ac:dyDescent="0.25">
      <c r="A1228" s="14">
        <v>2013</v>
      </c>
      <c r="B1228" s="14">
        <v>189</v>
      </c>
      <c r="C1228" s="20">
        <v>41463</v>
      </c>
      <c r="D1228" s="16">
        <v>0.58680555555555558</v>
      </c>
      <c r="E1228" s="14">
        <v>210</v>
      </c>
      <c r="F1228" s="23">
        <v>7</v>
      </c>
      <c r="G1228" s="17">
        <v>0.28642258545197741</v>
      </c>
      <c r="H1228" s="4" t="s">
        <v>123</v>
      </c>
      <c r="I1228" s="14"/>
    </row>
    <row r="1229" spans="1:9" x14ac:dyDescent="0.25">
      <c r="A1229" s="14">
        <v>2013</v>
      </c>
      <c r="B1229" s="14">
        <v>189</v>
      </c>
      <c r="C1229" s="20">
        <v>41463</v>
      </c>
      <c r="D1229" s="16">
        <v>0.59236111111111112</v>
      </c>
      <c r="E1229" s="14">
        <v>210</v>
      </c>
      <c r="F1229" s="23">
        <v>8</v>
      </c>
      <c r="G1229" s="17">
        <v>0.30932599646892656</v>
      </c>
      <c r="H1229" s="4" t="s">
        <v>123</v>
      </c>
      <c r="I1229" s="14"/>
    </row>
    <row r="1230" spans="1:9" x14ac:dyDescent="0.25">
      <c r="A1230" s="14">
        <v>2013</v>
      </c>
      <c r="B1230" s="14">
        <v>189</v>
      </c>
      <c r="C1230" s="20">
        <v>41463</v>
      </c>
      <c r="D1230" s="16">
        <v>0.59861111111111109</v>
      </c>
      <c r="E1230" s="14">
        <v>210</v>
      </c>
      <c r="F1230" s="23">
        <v>9</v>
      </c>
      <c r="G1230" s="17">
        <v>0.30251369985875709</v>
      </c>
      <c r="H1230" s="4" t="s">
        <v>123</v>
      </c>
      <c r="I1230" s="14"/>
    </row>
    <row r="1231" spans="1:9" x14ac:dyDescent="0.25">
      <c r="A1231" s="14">
        <v>2013</v>
      </c>
      <c r="B1231" s="14">
        <v>189</v>
      </c>
      <c r="C1231" s="20">
        <v>41463</v>
      </c>
      <c r="D1231" s="16">
        <v>0.60416666666666663</v>
      </c>
      <c r="E1231" s="14">
        <v>210</v>
      </c>
      <c r="F1231" s="23">
        <v>10</v>
      </c>
      <c r="G1231" s="17">
        <v>0.26900033262711864</v>
      </c>
      <c r="H1231" s="4" t="s">
        <v>123</v>
      </c>
      <c r="I1231" s="14"/>
    </row>
    <row r="1232" spans="1:9" x14ac:dyDescent="0.25">
      <c r="A1232" s="14">
        <v>2013</v>
      </c>
      <c r="B1232" s="14">
        <v>189</v>
      </c>
      <c r="C1232" s="20">
        <v>41463</v>
      </c>
      <c r="D1232" s="16">
        <v>0.6118055555555556</v>
      </c>
      <c r="E1232" s="14">
        <v>210</v>
      </c>
      <c r="F1232" s="23">
        <v>11</v>
      </c>
      <c r="G1232" s="17">
        <v>0.3055674879943503</v>
      </c>
      <c r="H1232" s="4" t="s">
        <v>124</v>
      </c>
      <c r="I1232" s="14"/>
    </row>
    <row r="1233" spans="1:9" x14ac:dyDescent="0.25">
      <c r="A1233" s="14">
        <v>2013</v>
      </c>
      <c r="B1233" s="14">
        <v>189</v>
      </c>
      <c r="C1233" s="20">
        <v>41463</v>
      </c>
      <c r="D1233" s="16">
        <v>0.61805555555555558</v>
      </c>
      <c r="E1233" s="14">
        <v>210</v>
      </c>
      <c r="F1233" s="23">
        <v>12</v>
      </c>
      <c r="G1233" s="17">
        <v>0.31114652401129944</v>
      </c>
      <c r="H1233" s="4" t="s">
        <v>124</v>
      </c>
      <c r="I1233" s="14"/>
    </row>
    <row r="1234" spans="1:9" x14ac:dyDescent="0.25">
      <c r="A1234" s="14">
        <v>2013</v>
      </c>
      <c r="B1234" s="14">
        <v>189</v>
      </c>
      <c r="C1234" s="20">
        <v>41463</v>
      </c>
      <c r="D1234" s="16">
        <v>0.62916666666666665</v>
      </c>
      <c r="E1234" s="14">
        <v>210</v>
      </c>
      <c r="F1234" s="23">
        <v>13</v>
      </c>
      <c r="G1234" s="17">
        <v>0.30274860663841813</v>
      </c>
      <c r="H1234" s="4" t="s">
        <v>124</v>
      </c>
      <c r="I1234" s="14"/>
    </row>
    <row r="1235" spans="1:9" x14ac:dyDescent="0.25">
      <c r="A1235" s="14">
        <v>2013</v>
      </c>
      <c r="B1235" s="14">
        <v>189</v>
      </c>
      <c r="C1235" s="20">
        <v>41463</v>
      </c>
      <c r="D1235" s="16">
        <v>0.63611111111111118</v>
      </c>
      <c r="E1235" s="14">
        <v>210</v>
      </c>
      <c r="F1235" s="23">
        <v>14</v>
      </c>
      <c r="G1235" s="17">
        <v>0.27790721468926555</v>
      </c>
      <c r="H1235" s="4" t="s">
        <v>124</v>
      </c>
      <c r="I1235" s="14"/>
    </row>
    <row r="1236" spans="1:9" x14ac:dyDescent="0.25">
      <c r="A1236" s="14">
        <v>2013</v>
      </c>
      <c r="B1236" s="14">
        <v>189</v>
      </c>
      <c r="C1236" s="20">
        <v>41463</v>
      </c>
      <c r="D1236" s="16">
        <v>0.64236111111111105</v>
      </c>
      <c r="E1236" s="14">
        <v>210</v>
      </c>
      <c r="F1236" s="23">
        <v>15</v>
      </c>
      <c r="G1236" s="17" t="e">
        <v>#N/A</v>
      </c>
      <c r="H1236" s="4" t="s">
        <v>1</v>
      </c>
      <c r="I1236" s="14"/>
    </row>
    <row r="1237" spans="1:9" x14ac:dyDescent="0.25">
      <c r="A1237" s="14">
        <v>2013</v>
      </c>
      <c r="B1237" s="14">
        <v>189</v>
      </c>
      <c r="C1237" s="20">
        <v>41463</v>
      </c>
      <c r="D1237" s="16">
        <v>0.64722222222222225</v>
      </c>
      <c r="E1237" s="14">
        <v>210</v>
      </c>
      <c r="F1237" s="23">
        <v>16</v>
      </c>
      <c r="G1237" s="17" t="e">
        <v>#N/A</v>
      </c>
      <c r="H1237" s="4" t="s">
        <v>1</v>
      </c>
      <c r="I1237" s="14"/>
    </row>
    <row r="1238" spans="1:9" x14ac:dyDescent="0.25">
      <c r="A1238" s="14">
        <v>2013</v>
      </c>
      <c r="B1238" s="14">
        <v>189</v>
      </c>
      <c r="C1238" s="20">
        <v>41463</v>
      </c>
      <c r="D1238" s="16">
        <v>0.65277777777777779</v>
      </c>
      <c r="E1238" s="14">
        <v>210</v>
      </c>
      <c r="F1238" s="23">
        <v>17</v>
      </c>
      <c r="G1238" s="17">
        <v>0.30687905084745765</v>
      </c>
      <c r="H1238" s="4" t="s">
        <v>124</v>
      </c>
      <c r="I1238" s="14"/>
    </row>
    <row r="1239" spans="1:9" x14ac:dyDescent="0.25">
      <c r="A1239" s="14">
        <v>2013</v>
      </c>
      <c r="B1239" s="14">
        <v>189</v>
      </c>
      <c r="C1239" s="20">
        <v>41463</v>
      </c>
      <c r="D1239" s="16">
        <v>0.65347222222222223</v>
      </c>
      <c r="E1239" s="14">
        <v>210</v>
      </c>
      <c r="F1239" s="23">
        <v>18</v>
      </c>
      <c r="G1239" s="17">
        <v>0.30683989971751413</v>
      </c>
      <c r="H1239" s="4" t="s">
        <v>124</v>
      </c>
      <c r="I1239" s="14"/>
    </row>
    <row r="1240" spans="1:9" x14ac:dyDescent="0.25">
      <c r="A1240" s="14">
        <v>2013</v>
      </c>
      <c r="B1240" s="14">
        <v>189</v>
      </c>
      <c r="C1240" s="20">
        <v>41463</v>
      </c>
      <c r="D1240" s="16">
        <v>0.65972222222222221</v>
      </c>
      <c r="E1240" s="14">
        <v>210</v>
      </c>
      <c r="F1240" s="23">
        <v>19</v>
      </c>
      <c r="G1240" s="17">
        <v>0.29902924929378533</v>
      </c>
      <c r="H1240" s="4" t="s">
        <v>124</v>
      </c>
      <c r="I1240" s="14"/>
    </row>
    <row r="1241" spans="1:9" x14ac:dyDescent="0.25">
      <c r="A1241" s="14">
        <v>2013</v>
      </c>
      <c r="B1241" s="14">
        <v>189</v>
      </c>
      <c r="C1241" s="20">
        <v>41463</v>
      </c>
      <c r="D1241" s="16">
        <v>0.67083333333333339</v>
      </c>
      <c r="E1241" s="14">
        <v>210</v>
      </c>
      <c r="F1241" s="23">
        <v>20</v>
      </c>
      <c r="G1241" s="17">
        <v>0.30599815042372885</v>
      </c>
      <c r="H1241" s="4" t="s">
        <v>124</v>
      </c>
      <c r="I1241" s="14"/>
    </row>
    <row r="1242" spans="1:9" x14ac:dyDescent="0.25">
      <c r="A1242" s="14">
        <v>2013</v>
      </c>
      <c r="B1242" s="14">
        <v>189</v>
      </c>
      <c r="C1242" s="20">
        <v>41463</v>
      </c>
      <c r="D1242" s="16">
        <v>0.54236111111111118</v>
      </c>
      <c r="E1242" s="14">
        <v>190</v>
      </c>
      <c r="F1242" s="23">
        <v>1</v>
      </c>
      <c r="G1242" s="17">
        <v>0.2925497372881356</v>
      </c>
      <c r="H1242" s="4" t="s">
        <v>123</v>
      </c>
      <c r="I1242" s="14"/>
    </row>
    <row r="1243" spans="1:9" x14ac:dyDescent="0.25">
      <c r="A1243" s="14">
        <v>2013</v>
      </c>
      <c r="B1243" s="14">
        <v>189</v>
      </c>
      <c r="C1243" s="20">
        <v>41463</v>
      </c>
      <c r="D1243" s="16">
        <v>0.54861111111111105</v>
      </c>
      <c r="E1243" s="14">
        <v>190</v>
      </c>
      <c r="F1243" s="23">
        <v>2</v>
      </c>
      <c r="G1243" s="17">
        <v>0.29452686935028249</v>
      </c>
      <c r="H1243" s="4" t="s">
        <v>123</v>
      </c>
      <c r="I1243" s="14"/>
    </row>
    <row r="1244" spans="1:9" x14ac:dyDescent="0.25">
      <c r="A1244" s="14">
        <v>2013</v>
      </c>
      <c r="B1244" s="14">
        <v>189</v>
      </c>
      <c r="C1244" s="20">
        <v>41463</v>
      </c>
      <c r="D1244" s="16">
        <v>0.5625</v>
      </c>
      <c r="E1244" s="14">
        <v>190</v>
      </c>
      <c r="F1244" s="23">
        <v>3</v>
      </c>
      <c r="G1244" s="17">
        <v>0.29464432274011298</v>
      </c>
      <c r="H1244" s="4" t="s">
        <v>123</v>
      </c>
      <c r="I1244" s="14"/>
    </row>
    <row r="1245" spans="1:9" x14ac:dyDescent="0.25">
      <c r="A1245" s="14">
        <v>2013</v>
      </c>
      <c r="B1245" s="14">
        <v>189</v>
      </c>
      <c r="C1245" s="20">
        <v>41463</v>
      </c>
      <c r="D1245" s="16">
        <v>0.56944444444444442</v>
      </c>
      <c r="E1245" s="14">
        <v>190</v>
      </c>
      <c r="F1245" s="23">
        <v>4</v>
      </c>
      <c r="G1245" s="17">
        <v>0.29773726200564976</v>
      </c>
      <c r="H1245" s="4" t="s">
        <v>123</v>
      </c>
      <c r="I1245" s="14"/>
    </row>
    <row r="1246" spans="1:9" x14ac:dyDescent="0.25">
      <c r="A1246" s="14">
        <v>2013</v>
      </c>
      <c r="B1246" s="14">
        <v>189</v>
      </c>
      <c r="C1246" s="20">
        <v>41463</v>
      </c>
      <c r="D1246" s="16">
        <v>0.57638888888888895</v>
      </c>
      <c r="E1246" s="14">
        <v>190</v>
      </c>
      <c r="F1246" s="23">
        <v>5</v>
      </c>
      <c r="G1246" s="17">
        <v>0.33953109322033903</v>
      </c>
      <c r="H1246" s="4" t="s">
        <v>0</v>
      </c>
      <c r="I1246" s="14"/>
    </row>
    <row r="1247" spans="1:9" x14ac:dyDescent="0.25">
      <c r="A1247" s="14">
        <v>2013</v>
      </c>
      <c r="B1247" s="14">
        <v>189</v>
      </c>
      <c r="C1247" s="20">
        <v>41463</v>
      </c>
      <c r="D1247" s="16">
        <v>0.58124999999999993</v>
      </c>
      <c r="E1247" s="14">
        <v>190</v>
      </c>
      <c r="F1247" s="23">
        <v>6</v>
      </c>
      <c r="G1247" s="17">
        <v>0.34469904237288135</v>
      </c>
      <c r="H1247" s="4" t="s">
        <v>0</v>
      </c>
      <c r="I1247" s="14"/>
    </row>
    <row r="1248" spans="1:9" x14ac:dyDescent="0.25">
      <c r="A1248" s="14">
        <v>2013</v>
      </c>
      <c r="B1248" s="14">
        <v>189</v>
      </c>
      <c r="C1248" s="20">
        <v>41463</v>
      </c>
      <c r="D1248" s="16">
        <v>0.58680555555555558</v>
      </c>
      <c r="E1248" s="14">
        <v>190</v>
      </c>
      <c r="F1248" s="23">
        <v>7</v>
      </c>
      <c r="G1248" s="17">
        <v>0.28832141525423732</v>
      </c>
      <c r="H1248" s="4" t="s">
        <v>123</v>
      </c>
      <c r="I1248" s="14"/>
    </row>
    <row r="1249" spans="1:9" x14ac:dyDescent="0.25">
      <c r="A1249" s="14">
        <v>2013</v>
      </c>
      <c r="B1249" s="14">
        <v>189</v>
      </c>
      <c r="C1249" s="20">
        <v>41463</v>
      </c>
      <c r="D1249" s="16">
        <v>0.59236111111111112</v>
      </c>
      <c r="E1249" s="14">
        <v>190</v>
      </c>
      <c r="F1249" s="23">
        <v>8</v>
      </c>
      <c r="G1249" s="17">
        <v>0.29799174435028247</v>
      </c>
      <c r="H1249" s="4" t="s">
        <v>123</v>
      </c>
      <c r="I1249" s="14"/>
    </row>
    <row r="1250" spans="1:9" x14ac:dyDescent="0.25">
      <c r="A1250" s="14">
        <v>2013</v>
      </c>
      <c r="B1250" s="14">
        <v>189</v>
      </c>
      <c r="C1250" s="20">
        <v>41463</v>
      </c>
      <c r="D1250" s="16">
        <v>0.59861111111111109</v>
      </c>
      <c r="E1250" s="14">
        <v>190</v>
      </c>
      <c r="F1250" s="23">
        <v>9</v>
      </c>
      <c r="G1250" s="17">
        <v>0.29319573093220341</v>
      </c>
      <c r="H1250" s="4" t="s">
        <v>123</v>
      </c>
      <c r="I1250" s="14"/>
    </row>
    <row r="1251" spans="1:9" x14ac:dyDescent="0.25">
      <c r="A1251" s="14">
        <v>2013</v>
      </c>
      <c r="B1251" s="14">
        <v>189</v>
      </c>
      <c r="C1251" s="20">
        <v>41463</v>
      </c>
      <c r="D1251" s="16">
        <v>0.60416666666666663</v>
      </c>
      <c r="E1251" s="14">
        <v>190</v>
      </c>
      <c r="F1251" s="23">
        <v>10</v>
      </c>
      <c r="G1251" s="17">
        <v>0.2957797055084746</v>
      </c>
      <c r="H1251" s="4" t="s">
        <v>123</v>
      </c>
      <c r="I1251" s="14"/>
    </row>
    <row r="1252" spans="1:9" x14ac:dyDescent="0.25">
      <c r="A1252" s="14">
        <v>2013</v>
      </c>
      <c r="B1252" s="14">
        <v>189</v>
      </c>
      <c r="C1252" s="20">
        <v>41463</v>
      </c>
      <c r="D1252" s="16">
        <v>0.6118055555555556</v>
      </c>
      <c r="E1252" s="14">
        <v>190</v>
      </c>
      <c r="F1252" s="23">
        <v>11</v>
      </c>
      <c r="G1252" s="17">
        <v>0.31065713488700564</v>
      </c>
      <c r="H1252" s="4" t="s">
        <v>124</v>
      </c>
      <c r="I1252" s="14"/>
    </row>
    <row r="1253" spans="1:9" x14ac:dyDescent="0.25">
      <c r="A1253" s="14">
        <v>2013</v>
      </c>
      <c r="B1253" s="14">
        <v>189</v>
      </c>
      <c r="C1253" s="20">
        <v>41463</v>
      </c>
      <c r="D1253" s="16">
        <v>0.61805555555555558</v>
      </c>
      <c r="E1253" s="14">
        <v>190</v>
      </c>
      <c r="F1253" s="23">
        <v>12</v>
      </c>
      <c r="G1253" s="17">
        <v>0.31457224788135596</v>
      </c>
      <c r="H1253" s="4" t="s">
        <v>124</v>
      </c>
      <c r="I1253" s="14"/>
    </row>
    <row r="1254" spans="1:9" x14ac:dyDescent="0.25">
      <c r="A1254" s="14">
        <v>2013</v>
      </c>
      <c r="B1254" s="14">
        <v>189</v>
      </c>
      <c r="C1254" s="20">
        <v>41463</v>
      </c>
      <c r="D1254" s="16">
        <v>0.62916666666666665</v>
      </c>
      <c r="E1254" s="14">
        <v>190</v>
      </c>
      <c r="F1254" s="23">
        <v>13</v>
      </c>
      <c r="G1254" s="17">
        <v>0.3038644138418079</v>
      </c>
      <c r="H1254" s="4" t="s">
        <v>124</v>
      </c>
      <c r="I1254" s="14"/>
    </row>
    <row r="1255" spans="1:9" x14ac:dyDescent="0.25">
      <c r="A1255" s="14">
        <v>2013</v>
      </c>
      <c r="B1255" s="14">
        <v>189</v>
      </c>
      <c r="C1255" s="20">
        <v>41463</v>
      </c>
      <c r="D1255" s="16">
        <v>0.63611111111111118</v>
      </c>
      <c r="E1255" s="14">
        <v>190</v>
      </c>
      <c r="F1255" s="23">
        <v>14</v>
      </c>
      <c r="G1255" s="17">
        <v>0.30627220833333335</v>
      </c>
      <c r="H1255" s="4" t="s">
        <v>124</v>
      </c>
      <c r="I1255" s="14"/>
    </row>
    <row r="1256" spans="1:9" x14ac:dyDescent="0.25">
      <c r="A1256" s="14">
        <v>2013</v>
      </c>
      <c r="B1256" s="14">
        <v>189</v>
      </c>
      <c r="C1256" s="20">
        <v>41463</v>
      </c>
      <c r="D1256" s="16">
        <v>0.64236111111111105</v>
      </c>
      <c r="E1256" s="14">
        <v>190</v>
      </c>
      <c r="F1256" s="23">
        <v>15</v>
      </c>
      <c r="G1256" s="17">
        <v>0.33058506002824861</v>
      </c>
      <c r="H1256" s="4" t="s">
        <v>1</v>
      </c>
      <c r="I1256" s="14"/>
    </row>
    <row r="1257" spans="1:9" x14ac:dyDescent="0.25">
      <c r="A1257" s="14">
        <v>2013</v>
      </c>
      <c r="B1257" s="14">
        <v>189</v>
      </c>
      <c r="C1257" s="20">
        <v>41463</v>
      </c>
      <c r="D1257" s="16">
        <v>0.64722222222222225</v>
      </c>
      <c r="E1257" s="14">
        <v>190</v>
      </c>
      <c r="F1257" s="23">
        <v>16</v>
      </c>
      <c r="G1257" s="17">
        <v>0.33794547245762713</v>
      </c>
      <c r="H1257" s="4" t="s">
        <v>1</v>
      </c>
      <c r="I1257" s="14"/>
    </row>
    <row r="1258" spans="1:9" x14ac:dyDescent="0.25">
      <c r="A1258" s="14">
        <v>2013</v>
      </c>
      <c r="B1258" s="14">
        <v>189</v>
      </c>
      <c r="C1258" s="20">
        <v>41463</v>
      </c>
      <c r="D1258" s="16">
        <v>0.65277777777777779</v>
      </c>
      <c r="E1258" s="14">
        <v>190</v>
      </c>
      <c r="F1258" s="23">
        <v>17</v>
      </c>
      <c r="G1258" s="17">
        <v>0.32253950282485877</v>
      </c>
      <c r="H1258" s="4" t="s">
        <v>124</v>
      </c>
      <c r="I1258" s="14"/>
    </row>
    <row r="1259" spans="1:9" x14ac:dyDescent="0.25">
      <c r="A1259" s="14">
        <v>2013</v>
      </c>
      <c r="B1259" s="14">
        <v>189</v>
      </c>
      <c r="C1259" s="20">
        <v>41463</v>
      </c>
      <c r="D1259" s="16">
        <v>0.65347222222222223</v>
      </c>
      <c r="E1259" s="14">
        <v>190</v>
      </c>
      <c r="F1259" s="23">
        <v>18</v>
      </c>
      <c r="G1259" s="17">
        <v>0.3138675275423729</v>
      </c>
      <c r="H1259" s="4" t="s">
        <v>124</v>
      </c>
      <c r="I1259" s="14"/>
    </row>
    <row r="1260" spans="1:9" x14ac:dyDescent="0.25">
      <c r="A1260" s="14">
        <v>2013</v>
      </c>
      <c r="B1260" s="14">
        <v>189</v>
      </c>
      <c r="C1260" s="20">
        <v>41463</v>
      </c>
      <c r="D1260" s="16">
        <v>0.65972222222222221</v>
      </c>
      <c r="E1260" s="14">
        <v>190</v>
      </c>
      <c r="F1260" s="23">
        <v>19</v>
      </c>
      <c r="G1260" s="17">
        <v>0.30750546892655367</v>
      </c>
      <c r="H1260" s="4" t="s">
        <v>124</v>
      </c>
      <c r="I1260" s="14"/>
    </row>
    <row r="1261" spans="1:9" x14ac:dyDescent="0.25">
      <c r="A1261" s="14">
        <v>2013</v>
      </c>
      <c r="B1261" s="14">
        <v>189</v>
      </c>
      <c r="C1261" s="20">
        <v>41463</v>
      </c>
      <c r="D1261" s="16">
        <v>0.67083333333333339</v>
      </c>
      <c r="E1261" s="14">
        <v>190</v>
      </c>
      <c r="F1261" s="23">
        <v>20</v>
      </c>
      <c r="G1261" s="17">
        <v>0.30979581002824863</v>
      </c>
      <c r="H1261" s="4" t="s">
        <v>124</v>
      </c>
      <c r="I1261" s="14"/>
    </row>
    <row r="1262" spans="1:9" x14ac:dyDescent="0.25">
      <c r="A1262" s="14">
        <v>2013</v>
      </c>
      <c r="B1262" s="14">
        <v>189</v>
      </c>
      <c r="C1262" s="20">
        <v>41463</v>
      </c>
      <c r="D1262" s="16">
        <v>0.54236111111111118</v>
      </c>
      <c r="E1262" s="14">
        <v>170</v>
      </c>
      <c r="F1262" s="23">
        <v>1</v>
      </c>
      <c r="G1262" s="17">
        <v>0.28015840466101699</v>
      </c>
      <c r="H1262" s="4" t="s">
        <v>123</v>
      </c>
      <c r="I1262" s="14"/>
    </row>
    <row r="1263" spans="1:9" x14ac:dyDescent="0.25">
      <c r="A1263" s="14">
        <v>2013</v>
      </c>
      <c r="B1263" s="14">
        <v>189</v>
      </c>
      <c r="C1263" s="20">
        <v>41463</v>
      </c>
      <c r="D1263" s="16">
        <v>0.54861111111111105</v>
      </c>
      <c r="E1263" s="14">
        <v>170</v>
      </c>
      <c r="F1263" s="23">
        <v>2</v>
      </c>
      <c r="G1263" s="17">
        <v>0.26851094350282484</v>
      </c>
      <c r="H1263" s="4" t="s">
        <v>123</v>
      </c>
      <c r="I1263" s="14"/>
    </row>
    <row r="1264" spans="1:9" x14ac:dyDescent="0.25">
      <c r="A1264" s="14">
        <v>2013</v>
      </c>
      <c r="B1264" s="14">
        <v>189</v>
      </c>
      <c r="C1264" s="20">
        <v>41463</v>
      </c>
      <c r="D1264" s="16">
        <v>0.5625</v>
      </c>
      <c r="E1264" s="14">
        <v>170</v>
      </c>
      <c r="F1264" s="23">
        <v>3</v>
      </c>
      <c r="G1264" s="17">
        <v>0.30063444562146896</v>
      </c>
      <c r="H1264" s="4" t="s">
        <v>123</v>
      </c>
      <c r="I1264" s="14"/>
    </row>
    <row r="1265" spans="1:9" x14ac:dyDescent="0.25">
      <c r="A1265" s="14">
        <v>2013</v>
      </c>
      <c r="B1265" s="14">
        <v>189</v>
      </c>
      <c r="C1265" s="20">
        <v>41463</v>
      </c>
      <c r="D1265" s="16">
        <v>0.56944444444444442</v>
      </c>
      <c r="E1265" s="14">
        <v>170</v>
      </c>
      <c r="F1265" s="23">
        <v>4</v>
      </c>
      <c r="G1265" s="17">
        <v>0.29875519138418077</v>
      </c>
      <c r="H1265" s="4" t="s">
        <v>123</v>
      </c>
      <c r="I1265" s="14"/>
    </row>
    <row r="1266" spans="1:9" x14ac:dyDescent="0.25">
      <c r="A1266" s="14">
        <v>2013</v>
      </c>
      <c r="B1266" s="14">
        <v>189</v>
      </c>
      <c r="C1266" s="20">
        <v>41463</v>
      </c>
      <c r="D1266" s="16">
        <v>0.57638888888888895</v>
      </c>
      <c r="E1266" s="14">
        <v>170</v>
      </c>
      <c r="F1266" s="23">
        <v>5</v>
      </c>
      <c r="G1266" s="17">
        <v>0.32369446115819211</v>
      </c>
      <c r="H1266" s="4" t="s">
        <v>0</v>
      </c>
      <c r="I1266" s="14"/>
    </row>
    <row r="1267" spans="1:9" x14ac:dyDescent="0.25">
      <c r="A1267" s="14">
        <v>2013</v>
      </c>
      <c r="B1267" s="14">
        <v>189</v>
      </c>
      <c r="C1267" s="20">
        <v>41463</v>
      </c>
      <c r="D1267" s="16">
        <v>0.58124999999999993</v>
      </c>
      <c r="E1267" s="14">
        <v>170</v>
      </c>
      <c r="F1267" s="23">
        <v>6</v>
      </c>
      <c r="G1267" s="17">
        <v>0.3302131242937853</v>
      </c>
      <c r="H1267" s="4" t="s">
        <v>0</v>
      </c>
      <c r="I1267" s="14"/>
    </row>
    <row r="1268" spans="1:9" x14ac:dyDescent="0.25">
      <c r="A1268" s="14">
        <v>2013</v>
      </c>
      <c r="B1268" s="14">
        <v>189</v>
      </c>
      <c r="C1268" s="20">
        <v>41463</v>
      </c>
      <c r="D1268" s="16">
        <v>0.58680555555555558</v>
      </c>
      <c r="E1268" s="14">
        <v>170</v>
      </c>
      <c r="F1268" s="23">
        <v>7</v>
      </c>
      <c r="G1268" s="17">
        <v>0.30088892796610167</v>
      </c>
      <c r="H1268" s="4" t="s">
        <v>123</v>
      </c>
      <c r="I1268" s="14"/>
    </row>
    <row r="1269" spans="1:9" x14ac:dyDescent="0.25">
      <c r="A1269" s="14">
        <v>2013</v>
      </c>
      <c r="B1269" s="14">
        <v>189</v>
      </c>
      <c r="C1269" s="20">
        <v>41463</v>
      </c>
      <c r="D1269" s="16">
        <v>0.59236111111111112</v>
      </c>
      <c r="E1269" s="14">
        <v>170</v>
      </c>
      <c r="F1269" s="23">
        <v>8</v>
      </c>
      <c r="G1269" s="17">
        <v>0.30621348163841811</v>
      </c>
      <c r="H1269" s="4" t="s">
        <v>123</v>
      </c>
      <c r="I1269" s="14"/>
    </row>
    <row r="1270" spans="1:9" x14ac:dyDescent="0.25">
      <c r="A1270" s="14">
        <v>2013</v>
      </c>
      <c r="B1270" s="14">
        <v>189</v>
      </c>
      <c r="C1270" s="20">
        <v>41463</v>
      </c>
      <c r="D1270" s="16">
        <v>0.59861111111111109</v>
      </c>
      <c r="E1270" s="14">
        <v>170</v>
      </c>
      <c r="F1270" s="23">
        <v>9</v>
      </c>
      <c r="G1270" s="17">
        <v>0.29844198234463276</v>
      </c>
      <c r="H1270" s="4" t="s">
        <v>123</v>
      </c>
      <c r="I1270" s="14"/>
    </row>
    <row r="1271" spans="1:9" x14ac:dyDescent="0.25">
      <c r="A1271" s="14">
        <v>2013</v>
      </c>
      <c r="B1271" s="14">
        <v>189</v>
      </c>
      <c r="C1271" s="20">
        <v>41463</v>
      </c>
      <c r="D1271" s="16">
        <v>0.60416666666666663</v>
      </c>
      <c r="E1271" s="14">
        <v>170</v>
      </c>
      <c r="F1271" s="23">
        <v>10</v>
      </c>
      <c r="G1271" s="17">
        <v>0.31482673022598873</v>
      </c>
      <c r="H1271" s="4" t="s">
        <v>123</v>
      </c>
      <c r="I1271" s="14"/>
    </row>
    <row r="1272" spans="1:9" x14ac:dyDescent="0.25">
      <c r="A1272" s="14">
        <v>2013</v>
      </c>
      <c r="B1272" s="14">
        <v>189</v>
      </c>
      <c r="C1272" s="20">
        <v>41463</v>
      </c>
      <c r="D1272" s="16">
        <v>0.6118055555555556</v>
      </c>
      <c r="E1272" s="14">
        <v>170</v>
      </c>
      <c r="F1272" s="23">
        <v>11</v>
      </c>
      <c r="G1272" s="17">
        <v>0.32864707909604524</v>
      </c>
      <c r="H1272" s="4" t="s">
        <v>124</v>
      </c>
      <c r="I1272" s="14"/>
    </row>
    <row r="1273" spans="1:9" x14ac:dyDescent="0.25">
      <c r="A1273" s="14">
        <v>2013</v>
      </c>
      <c r="B1273" s="14">
        <v>189</v>
      </c>
      <c r="C1273" s="20">
        <v>41463</v>
      </c>
      <c r="D1273" s="16">
        <v>0.61805555555555558</v>
      </c>
      <c r="E1273" s="14">
        <v>170</v>
      </c>
      <c r="F1273" s="23">
        <v>12</v>
      </c>
      <c r="G1273" s="17">
        <v>0.3369862697740113</v>
      </c>
      <c r="H1273" s="4" t="s">
        <v>124</v>
      </c>
      <c r="I1273" s="14"/>
    </row>
    <row r="1274" spans="1:9" x14ac:dyDescent="0.25">
      <c r="A1274" s="14">
        <v>2013</v>
      </c>
      <c r="B1274" s="14">
        <v>189</v>
      </c>
      <c r="C1274" s="20">
        <v>41463</v>
      </c>
      <c r="D1274" s="16">
        <v>0.62916666666666665</v>
      </c>
      <c r="E1274" s="14">
        <v>170</v>
      </c>
      <c r="F1274" s="23">
        <v>13</v>
      </c>
      <c r="G1274" s="17">
        <v>0.31435691666666671</v>
      </c>
      <c r="H1274" s="4" t="s">
        <v>124</v>
      </c>
      <c r="I1274" s="14"/>
    </row>
    <row r="1275" spans="1:9" x14ac:dyDescent="0.25">
      <c r="A1275" s="14">
        <v>2013</v>
      </c>
      <c r="B1275" s="14">
        <v>189</v>
      </c>
      <c r="C1275" s="20">
        <v>41463</v>
      </c>
      <c r="D1275" s="16">
        <v>0.63611111111111118</v>
      </c>
      <c r="E1275" s="14">
        <v>170</v>
      </c>
      <c r="F1275" s="23">
        <v>14</v>
      </c>
      <c r="G1275" s="17">
        <v>0.31960316807909606</v>
      </c>
      <c r="H1275" s="4" t="s">
        <v>124</v>
      </c>
      <c r="I1275" s="14"/>
    </row>
    <row r="1276" spans="1:9" x14ac:dyDescent="0.25">
      <c r="A1276" s="14">
        <v>2013</v>
      </c>
      <c r="B1276" s="14">
        <v>189</v>
      </c>
      <c r="C1276" s="20">
        <v>41463</v>
      </c>
      <c r="D1276" s="16">
        <v>0.64236111111111105</v>
      </c>
      <c r="E1276" s="14">
        <v>170</v>
      </c>
      <c r="F1276" s="23">
        <v>15</v>
      </c>
      <c r="G1276" s="17">
        <v>0.32657206920903958</v>
      </c>
      <c r="H1276" s="4" t="s">
        <v>1</v>
      </c>
      <c r="I1276" s="14"/>
    </row>
    <row r="1277" spans="1:9" x14ac:dyDescent="0.25">
      <c r="A1277" s="14">
        <v>2013</v>
      </c>
      <c r="B1277" s="14">
        <v>189</v>
      </c>
      <c r="C1277" s="20">
        <v>41463</v>
      </c>
      <c r="D1277" s="16">
        <v>0.64722222222222225</v>
      </c>
      <c r="E1277" s="14">
        <v>170</v>
      </c>
      <c r="F1277" s="23">
        <v>16</v>
      </c>
      <c r="G1277" s="17">
        <v>0.32238289830508476</v>
      </c>
      <c r="H1277" s="4" t="s">
        <v>1</v>
      </c>
      <c r="I1277" s="14"/>
    </row>
    <row r="1278" spans="1:9" x14ac:dyDescent="0.25">
      <c r="A1278" s="14">
        <v>2013</v>
      </c>
      <c r="B1278" s="14">
        <v>189</v>
      </c>
      <c r="C1278" s="20">
        <v>41463</v>
      </c>
      <c r="D1278" s="16">
        <v>0.65277777777777779</v>
      </c>
      <c r="E1278" s="14">
        <v>170</v>
      </c>
      <c r="F1278" s="23">
        <v>17</v>
      </c>
      <c r="G1278" s="17">
        <v>0.32040576624293787</v>
      </c>
      <c r="H1278" s="4" t="s">
        <v>124</v>
      </c>
      <c r="I1278" s="14"/>
    </row>
    <row r="1279" spans="1:9" x14ac:dyDescent="0.25">
      <c r="A1279" s="14">
        <v>2013</v>
      </c>
      <c r="B1279" s="14">
        <v>189</v>
      </c>
      <c r="C1279" s="20">
        <v>41463</v>
      </c>
      <c r="D1279" s="16">
        <v>0.65347222222222223</v>
      </c>
      <c r="E1279" s="14">
        <v>170</v>
      </c>
      <c r="F1279" s="23">
        <v>18</v>
      </c>
      <c r="G1279" s="17">
        <v>0.33031100211864406</v>
      </c>
      <c r="H1279" s="4" t="s">
        <v>124</v>
      </c>
      <c r="I1279" s="14"/>
    </row>
    <row r="1280" spans="1:9" x14ac:dyDescent="0.25">
      <c r="A1280" s="14">
        <v>2013</v>
      </c>
      <c r="B1280" s="14">
        <v>189</v>
      </c>
      <c r="C1280" s="20">
        <v>41463</v>
      </c>
      <c r="D1280" s="16">
        <v>0.65972222222222221</v>
      </c>
      <c r="E1280" s="14">
        <v>170</v>
      </c>
      <c r="F1280" s="23">
        <v>19</v>
      </c>
      <c r="G1280" s="17">
        <v>0.31784136723163842</v>
      </c>
      <c r="H1280" s="4" t="s">
        <v>124</v>
      </c>
      <c r="I1280" s="14"/>
    </row>
    <row r="1281" spans="1:9" x14ac:dyDescent="0.25">
      <c r="A1281" s="14">
        <v>2013</v>
      </c>
      <c r="B1281" s="14">
        <v>189</v>
      </c>
      <c r="C1281" s="20">
        <v>41463</v>
      </c>
      <c r="D1281" s="16">
        <v>0.67083333333333339</v>
      </c>
      <c r="E1281" s="14">
        <v>170</v>
      </c>
      <c r="F1281" s="23">
        <v>20</v>
      </c>
      <c r="G1281" s="17">
        <v>0.32024916172316387</v>
      </c>
      <c r="H1281" s="4" t="s">
        <v>124</v>
      </c>
      <c r="I1281" s="14"/>
    </row>
    <row r="1282" spans="1:9" x14ac:dyDescent="0.25">
      <c r="A1282" s="14">
        <v>2013</v>
      </c>
      <c r="B1282" s="14">
        <v>189</v>
      </c>
      <c r="C1282" s="20">
        <v>41463</v>
      </c>
      <c r="D1282" s="16">
        <v>0.54236111111111118</v>
      </c>
      <c r="E1282" s="14">
        <v>150</v>
      </c>
      <c r="F1282" s="23">
        <v>1</v>
      </c>
      <c r="G1282" s="17">
        <v>0.33592918926553672</v>
      </c>
      <c r="H1282" s="4" t="s">
        <v>123</v>
      </c>
      <c r="I1282" s="14"/>
    </row>
    <row r="1283" spans="1:9" x14ac:dyDescent="0.25">
      <c r="A1283" s="14">
        <v>2013</v>
      </c>
      <c r="B1283" s="14">
        <v>189</v>
      </c>
      <c r="C1283" s="20">
        <v>41463</v>
      </c>
      <c r="D1283" s="16">
        <v>0.54861111111111105</v>
      </c>
      <c r="E1283" s="14">
        <v>150</v>
      </c>
      <c r="F1283" s="23">
        <v>2</v>
      </c>
      <c r="G1283" s="17">
        <v>0.33115275141242939</v>
      </c>
      <c r="H1283" s="4" t="s">
        <v>123</v>
      </c>
      <c r="I1283" s="14"/>
    </row>
    <row r="1284" spans="1:9" x14ac:dyDescent="0.25">
      <c r="A1284" s="14">
        <v>2013</v>
      </c>
      <c r="B1284" s="14">
        <v>189</v>
      </c>
      <c r="C1284" s="20">
        <v>41463</v>
      </c>
      <c r="D1284" s="16">
        <v>0.5625</v>
      </c>
      <c r="E1284" s="14">
        <v>150</v>
      </c>
      <c r="F1284" s="23">
        <v>3</v>
      </c>
      <c r="G1284" s="17">
        <v>0.30930642090395483</v>
      </c>
      <c r="H1284" s="4" t="s">
        <v>123</v>
      </c>
      <c r="I1284" s="14"/>
    </row>
    <row r="1285" spans="1:9" x14ac:dyDescent="0.25">
      <c r="A1285" s="14">
        <v>2013</v>
      </c>
      <c r="B1285" s="14">
        <v>189</v>
      </c>
      <c r="C1285" s="20">
        <v>41463</v>
      </c>
      <c r="D1285" s="16">
        <v>0.56944444444444442</v>
      </c>
      <c r="E1285" s="14">
        <v>150</v>
      </c>
      <c r="F1285" s="23">
        <v>4</v>
      </c>
      <c r="G1285" s="17">
        <v>0.30084977683615821</v>
      </c>
      <c r="H1285" s="4" t="s">
        <v>123</v>
      </c>
      <c r="I1285" s="14"/>
    </row>
    <row r="1286" spans="1:9" x14ac:dyDescent="0.25">
      <c r="A1286" s="14">
        <v>2013</v>
      </c>
      <c r="B1286" s="14">
        <v>189</v>
      </c>
      <c r="C1286" s="20">
        <v>41463</v>
      </c>
      <c r="D1286" s="16">
        <v>0.57638888888888895</v>
      </c>
      <c r="E1286" s="14">
        <v>150</v>
      </c>
      <c r="F1286" s="23">
        <v>5</v>
      </c>
      <c r="G1286" s="17">
        <v>0.35797127542372881</v>
      </c>
      <c r="H1286" s="4" t="s">
        <v>0</v>
      </c>
      <c r="I1286" s="14"/>
    </row>
    <row r="1287" spans="1:9" x14ac:dyDescent="0.25">
      <c r="A1287" s="14">
        <v>2013</v>
      </c>
      <c r="B1287" s="14">
        <v>189</v>
      </c>
      <c r="C1287" s="20">
        <v>41463</v>
      </c>
      <c r="D1287" s="16">
        <v>0.58124999999999993</v>
      </c>
      <c r="E1287" s="14">
        <v>150</v>
      </c>
      <c r="F1287" s="23">
        <v>6</v>
      </c>
      <c r="G1287" s="17">
        <v>0.34632381426553677</v>
      </c>
      <c r="H1287" s="4" t="s">
        <v>0</v>
      </c>
      <c r="I1287" s="14"/>
    </row>
    <row r="1288" spans="1:9" x14ac:dyDescent="0.25">
      <c r="A1288" s="14">
        <v>2013</v>
      </c>
      <c r="B1288" s="14">
        <v>189</v>
      </c>
      <c r="C1288" s="20">
        <v>41463</v>
      </c>
      <c r="D1288" s="16">
        <v>0.58680555555555558</v>
      </c>
      <c r="E1288" s="14">
        <v>150</v>
      </c>
      <c r="F1288" s="23">
        <v>7</v>
      </c>
      <c r="G1288" s="17">
        <v>0.32988033968926556</v>
      </c>
      <c r="H1288" s="4" t="s">
        <v>123</v>
      </c>
      <c r="I1288" s="14"/>
    </row>
    <row r="1289" spans="1:9" x14ac:dyDescent="0.25">
      <c r="A1289" s="14">
        <v>2013</v>
      </c>
      <c r="B1289" s="14">
        <v>189</v>
      </c>
      <c r="C1289" s="20">
        <v>41463</v>
      </c>
      <c r="D1289" s="16">
        <v>0.59236111111111112</v>
      </c>
      <c r="E1289" s="14">
        <v>150</v>
      </c>
      <c r="F1289" s="23">
        <v>8</v>
      </c>
      <c r="G1289" s="17">
        <v>0.3368296652542373</v>
      </c>
      <c r="H1289" s="4" t="s">
        <v>123</v>
      </c>
      <c r="I1289" s="14"/>
    </row>
    <row r="1290" spans="1:9" x14ac:dyDescent="0.25">
      <c r="A1290" s="14">
        <v>2013</v>
      </c>
      <c r="B1290" s="14">
        <v>189</v>
      </c>
      <c r="C1290" s="20">
        <v>41463</v>
      </c>
      <c r="D1290" s="16">
        <v>0.59861111111111109</v>
      </c>
      <c r="E1290" s="14">
        <v>150</v>
      </c>
      <c r="F1290" s="23">
        <v>9</v>
      </c>
      <c r="G1290" s="17">
        <v>0.33040887994350288</v>
      </c>
      <c r="H1290" s="4" t="s">
        <v>123</v>
      </c>
      <c r="I1290" s="14"/>
    </row>
    <row r="1291" spans="1:9" x14ac:dyDescent="0.25">
      <c r="A1291" s="14">
        <v>2013</v>
      </c>
      <c r="B1291" s="14">
        <v>189</v>
      </c>
      <c r="C1291" s="20">
        <v>41463</v>
      </c>
      <c r="D1291" s="16">
        <v>0.60416666666666663</v>
      </c>
      <c r="E1291" s="14">
        <v>150</v>
      </c>
      <c r="F1291" s="23">
        <v>10</v>
      </c>
      <c r="G1291" s="17">
        <v>0.35221605932203387</v>
      </c>
      <c r="H1291" s="4" t="s">
        <v>123</v>
      </c>
      <c r="I1291" s="14"/>
    </row>
    <row r="1292" spans="1:9" x14ac:dyDescent="0.25">
      <c r="A1292" s="14">
        <v>2013</v>
      </c>
      <c r="B1292" s="14">
        <v>189</v>
      </c>
      <c r="C1292" s="20">
        <v>41463</v>
      </c>
      <c r="D1292" s="16">
        <v>0.6118055555555556</v>
      </c>
      <c r="E1292" s="14">
        <v>150</v>
      </c>
      <c r="F1292" s="23">
        <v>11</v>
      </c>
      <c r="G1292" s="17">
        <v>0.34146907415254241</v>
      </c>
      <c r="H1292" s="4" t="s">
        <v>124</v>
      </c>
      <c r="I1292" s="14"/>
    </row>
    <row r="1293" spans="1:9" x14ac:dyDescent="0.25">
      <c r="A1293" s="14">
        <v>2013</v>
      </c>
      <c r="B1293" s="14">
        <v>189</v>
      </c>
      <c r="C1293" s="20">
        <v>41463</v>
      </c>
      <c r="D1293" s="16">
        <v>0.61805555555555558</v>
      </c>
      <c r="E1293" s="14">
        <v>150</v>
      </c>
      <c r="F1293" s="23">
        <v>12</v>
      </c>
      <c r="G1293" s="17">
        <v>0.3427806370056497</v>
      </c>
      <c r="H1293" s="4" t="s">
        <v>124</v>
      </c>
      <c r="I1293" s="14"/>
    </row>
    <row r="1294" spans="1:9" x14ac:dyDescent="0.25">
      <c r="A1294" s="14">
        <v>2013</v>
      </c>
      <c r="B1294" s="14">
        <v>189</v>
      </c>
      <c r="C1294" s="20">
        <v>41463</v>
      </c>
      <c r="D1294" s="16">
        <v>0.62916666666666665</v>
      </c>
      <c r="E1294" s="14">
        <v>150</v>
      </c>
      <c r="F1294" s="23">
        <v>13</v>
      </c>
      <c r="G1294" s="17">
        <v>0.32015128389830511</v>
      </c>
      <c r="H1294" s="4" t="s">
        <v>124</v>
      </c>
      <c r="I1294" s="14"/>
    </row>
    <row r="1295" spans="1:9" x14ac:dyDescent="0.25">
      <c r="A1295" s="14">
        <v>2013</v>
      </c>
      <c r="B1295" s="14">
        <v>189</v>
      </c>
      <c r="C1295" s="20">
        <v>41463</v>
      </c>
      <c r="D1295" s="16">
        <v>0.63611111111111118</v>
      </c>
      <c r="E1295" s="14">
        <v>150</v>
      </c>
      <c r="F1295" s="23">
        <v>14</v>
      </c>
      <c r="G1295" s="17">
        <v>0.3073097132768362</v>
      </c>
      <c r="H1295" s="4" t="s">
        <v>124</v>
      </c>
      <c r="I1295" s="14"/>
    </row>
    <row r="1296" spans="1:9" x14ac:dyDescent="0.25">
      <c r="A1296" s="14">
        <v>2013</v>
      </c>
      <c r="B1296" s="14">
        <v>189</v>
      </c>
      <c r="C1296" s="20">
        <v>41463</v>
      </c>
      <c r="D1296" s="16">
        <v>0.64236111111111105</v>
      </c>
      <c r="E1296" s="14">
        <v>150</v>
      </c>
      <c r="F1296" s="23">
        <v>15</v>
      </c>
      <c r="G1296" s="17">
        <v>0.33692754307909606</v>
      </c>
      <c r="H1296" s="4" t="s">
        <v>1</v>
      </c>
      <c r="I1296" s="14"/>
    </row>
    <row r="1297" spans="1:9" x14ac:dyDescent="0.25">
      <c r="A1297" s="14">
        <v>2013</v>
      </c>
      <c r="B1297" s="14">
        <v>189</v>
      </c>
      <c r="C1297" s="20">
        <v>41463</v>
      </c>
      <c r="D1297" s="16">
        <v>0.64722222222222225</v>
      </c>
      <c r="E1297" s="14">
        <v>150</v>
      </c>
      <c r="F1297" s="23">
        <v>16</v>
      </c>
      <c r="G1297" s="17">
        <v>0.33244473870056496</v>
      </c>
      <c r="H1297" s="4" t="s">
        <v>1</v>
      </c>
      <c r="I1297" s="14"/>
    </row>
    <row r="1298" spans="1:9" x14ac:dyDescent="0.25">
      <c r="A1298" s="14">
        <v>2013</v>
      </c>
      <c r="B1298" s="14">
        <v>189</v>
      </c>
      <c r="C1298" s="20">
        <v>41463</v>
      </c>
      <c r="D1298" s="16">
        <v>0.65277777777777779</v>
      </c>
      <c r="E1298" s="14">
        <v>150</v>
      </c>
      <c r="F1298" s="23">
        <v>17</v>
      </c>
      <c r="G1298" s="17">
        <v>0.32668952259887007</v>
      </c>
      <c r="H1298" s="4" t="s">
        <v>124</v>
      </c>
      <c r="I1298" s="14"/>
    </row>
    <row r="1299" spans="1:9" x14ac:dyDescent="0.25">
      <c r="A1299" s="14">
        <v>2013</v>
      </c>
      <c r="B1299" s="14">
        <v>189</v>
      </c>
      <c r="C1299" s="20">
        <v>41463</v>
      </c>
      <c r="D1299" s="16">
        <v>0.65347222222222223</v>
      </c>
      <c r="E1299" s="14">
        <v>150</v>
      </c>
      <c r="F1299" s="23">
        <v>18</v>
      </c>
      <c r="G1299" s="17">
        <v>0.33401078389830513</v>
      </c>
      <c r="H1299" s="4" t="s">
        <v>124</v>
      </c>
      <c r="I1299" s="14"/>
    </row>
    <row r="1300" spans="1:9" x14ac:dyDescent="0.25">
      <c r="A1300" s="14">
        <v>2013</v>
      </c>
      <c r="B1300" s="14">
        <v>189</v>
      </c>
      <c r="C1300" s="20">
        <v>41463</v>
      </c>
      <c r="D1300" s="16">
        <v>0.65972222222222221</v>
      </c>
      <c r="E1300" s="14">
        <v>150</v>
      </c>
      <c r="F1300" s="23">
        <v>19</v>
      </c>
      <c r="G1300" s="17">
        <v>0.33647730508474577</v>
      </c>
      <c r="H1300" s="4" t="s">
        <v>124</v>
      </c>
      <c r="I1300" s="14"/>
    </row>
    <row r="1301" spans="1:9" x14ac:dyDescent="0.25">
      <c r="A1301" s="14">
        <v>2013</v>
      </c>
      <c r="B1301" s="14">
        <v>189</v>
      </c>
      <c r="C1301" s="20">
        <v>41463</v>
      </c>
      <c r="D1301" s="16">
        <v>0.67083333333333339</v>
      </c>
      <c r="E1301" s="14">
        <v>150</v>
      </c>
      <c r="F1301" s="23">
        <v>20</v>
      </c>
      <c r="G1301" s="17">
        <v>0.34640211652542374</v>
      </c>
      <c r="H1301" s="4" t="s">
        <v>124</v>
      </c>
      <c r="I1301" s="14"/>
    </row>
    <row r="1302" spans="1:9" x14ac:dyDescent="0.25">
      <c r="A1302" s="14">
        <v>2013</v>
      </c>
      <c r="B1302" s="14">
        <v>189</v>
      </c>
      <c r="C1302" s="20">
        <v>41463</v>
      </c>
      <c r="D1302" s="16">
        <v>0.54236111111111118</v>
      </c>
      <c r="E1302" s="14">
        <v>130</v>
      </c>
      <c r="F1302" s="23">
        <v>1</v>
      </c>
      <c r="G1302" s="17">
        <v>0.31263426694915253</v>
      </c>
      <c r="H1302" s="4" t="s">
        <v>123</v>
      </c>
      <c r="I1302" s="14"/>
    </row>
    <row r="1303" spans="1:9" x14ac:dyDescent="0.25">
      <c r="A1303" s="14">
        <v>2013</v>
      </c>
      <c r="B1303" s="14">
        <v>189</v>
      </c>
      <c r="C1303" s="20">
        <v>41463</v>
      </c>
      <c r="D1303" s="16">
        <v>0.54861111111111105</v>
      </c>
      <c r="E1303" s="14">
        <v>130</v>
      </c>
      <c r="F1303" s="23">
        <v>2</v>
      </c>
      <c r="G1303" s="17">
        <v>0.31052010593220336</v>
      </c>
      <c r="H1303" s="4" t="s">
        <v>123</v>
      </c>
      <c r="I1303" s="14"/>
    </row>
    <row r="1304" spans="1:9" x14ac:dyDescent="0.25">
      <c r="A1304" s="14">
        <v>2013</v>
      </c>
      <c r="B1304" s="14">
        <v>189</v>
      </c>
      <c r="C1304" s="20">
        <v>41463</v>
      </c>
      <c r="D1304" s="16">
        <v>0.5625</v>
      </c>
      <c r="E1304" s="14">
        <v>130</v>
      </c>
      <c r="F1304" s="23">
        <v>3</v>
      </c>
      <c r="G1304" s="17">
        <v>0.30623305720338984</v>
      </c>
      <c r="H1304" s="4" t="s">
        <v>123</v>
      </c>
      <c r="I1304" s="14"/>
    </row>
    <row r="1305" spans="1:9" x14ac:dyDescent="0.25">
      <c r="A1305" s="14">
        <v>2013</v>
      </c>
      <c r="B1305" s="14">
        <v>189</v>
      </c>
      <c r="C1305" s="20">
        <v>41463</v>
      </c>
      <c r="D1305" s="16">
        <v>0.56944444444444442</v>
      </c>
      <c r="E1305" s="14">
        <v>130</v>
      </c>
      <c r="F1305" s="23">
        <v>4</v>
      </c>
      <c r="G1305" s="17">
        <v>0.30897363629943503</v>
      </c>
      <c r="H1305" s="4" t="s">
        <v>123</v>
      </c>
      <c r="I1305" s="14"/>
    </row>
    <row r="1306" spans="1:9" x14ac:dyDescent="0.25">
      <c r="A1306" s="14">
        <v>2013</v>
      </c>
      <c r="B1306" s="14">
        <v>189</v>
      </c>
      <c r="C1306" s="20">
        <v>41463</v>
      </c>
      <c r="D1306" s="16">
        <v>0.57638888888888895</v>
      </c>
      <c r="E1306" s="14">
        <v>130</v>
      </c>
      <c r="F1306" s="23">
        <v>5</v>
      </c>
      <c r="G1306" s="17">
        <v>0.32618055790960454</v>
      </c>
      <c r="H1306" s="4" t="s">
        <v>0</v>
      </c>
      <c r="I1306" s="14"/>
    </row>
    <row r="1307" spans="1:9" x14ac:dyDescent="0.25">
      <c r="A1307" s="14">
        <v>2013</v>
      </c>
      <c r="B1307" s="14">
        <v>189</v>
      </c>
      <c r="C1307" s="20">
        <v>41463</v>
      </c>
      <c r="D1307" s="16">
        <v>0.58124999999999993</v>
      </c>
      <c r="E1307" s="14">
        <v>130</v>
      </c>
      <c r="F1307" s="23">
        <v>6</v>
      </c>
      <c r="G1307" s="17">
        <v>0.30294436228813559</v>
      </c>
      <c r="H1307" s="4" t="s">
        <v>0</v>
      </c>
      <c r="I1307" s="14"/>
    </row>
    <row r="1308" spans="1:9" x14ac:dyDescent="0.25">
      <c r="A1308" s="14">
        <v>2013</v>
      </c>
      <c r="B1308" s="14">
        <v>189</v>
      </c>
      <c r="C1308" s="20">
        <v>41463</v>
      </c>
      <c r="D1308" s="16">
        <v>0.58680555555555558</v>
      </c>
      <c r="E1308" s="14">
        <v>130</v>
      </c>
      <c r="F1308" s="23">
        <v>7</v>
      </c>
      <c r="G1308" s="17">
        <v>0.31899632556497176</v>
      </c>
      <c r="H1308" s="4" t="s">
        <v>123</v>
      </c>
      <c r="I1308" s="14"/>
    </row>
    <row r="1309" spans="1:9" x14ac:dyDescent="0.25">
      <c r="A1309" s="14">
        <v>2013</v>
      </c>
      <c r="B1309" s="14">
        <v>189</v>
      </c>
      <c r="C1309" s="20">
        <v>41463</v>
      </c>
      <c r="D1309" s="16">
        <v>0.59236111111111112</v>
      </c>
      <c r="E1309" s="14">
        <v>130</v>
      </c>
      <c r="F1309" s="23">
        <v>8</v>
      </c>
      <c r="G1309" s="17">
        <v>0.35209860593220343</v>
      </c>
      <c r="H1309" s="4" t="s">
        <v>123</v>
      </c>
      <c r="I1309" s="14"/>
    </row>
    <row r="1310" spans="1:9" x14ac:dyDescent="0.25">
      <c r="A1310" s="14">
        <v>2013</v>
      </c>
      <c r="B1310" s="14">
        <v>189</v>
      </c>
      <c r="C1310" s="20">
        <v>41463</v>
      </c>
      <c r="D1310" s="16">
        <v>0.59861111111111109</v>
      </c>
      <c r="E1310" s="14">
        <v>130</v>
      </c>
      <c r="F1310" s="23">
        <v>9</v>
      </c>
      <c r="G1310" s="17">
        <v>0.30627220833333335</v>
      </c>
      <c r="H1310" s="4" t="s">
        <v>123</v>
      </c>
      <c r="I1310" s="14"/>
    </row>
    <row r="1311" spans="1:9" x14ac:dyDescent="0.25">
      <c r="A1311" s="14">
        <v>2013</v>
      </c>
      <c r="B1311" s="14">
        <v>189</v>
      </c>
      <c r="C1311" s="20">
        <v>41463</v>
      </c>
      <c r="D1311" s="16">
        <v>0.60416666666666663</v>
      </c>
      <c r="E1311" s="14">
        <v>130</v>
      </c>
      <c r="F1311" s="23">
        <v>10</v>
      </c>
      <c r="G1311" s="17">
        <v>0.31398498093220339</v>
      </c>
      <c r="H1311" s="4" t="s">
        <v>123</v>
      </c>
      <c r="I1311" s="14"/>
    </row>
    <row r="1312" spans="1:9" x14ac:dyDescent="0.25">
      <c r="A1312" s="14">
        <v>2013</v>
      </c>
      <c r="B1312" s="14">
        <v>189</v>
      </c>
      <c r="C1312" s="20">
        <v>41463</v>
      </c>
      <c r="D1312" s="16">
        <v>0.6118055555555556</v>
      </c>
      <c r="E1312" s="14">
        <v>130</v>
      </c>
      <c r="F1312" s="23">
        <v>11</v>
      </c>
      <c r="G1312" s="17">
        <v>0.31069628601694915</v>
      </c>
      <c r="H1312" s="4" t="s">
        <v>124</v>
      </c>
      <c r="I1312" s="14"/>
    </row>
    <row r="1313" spans="1:9" x14ac:dyDescent="0.25">
      <c r="A1313" s="14">
        <v>2013</v>
      </c>
      <c r="B1313" s="14">
        <v>189</v>
      </c>
      <c r="C1313" s="20">
        <v>41463</v>
      </c>
      <c r="D1313" s="16">
        <v>0.61805555555555558</v>
      </c>
      <c r="E1313" s="14">
        <v>130</v>
      </c>
      <c r="F1313" s="23">
        <v>12</v>
      </c>
      <c r="G1313" s="17">
        <v>0.29660187923728815</v>
      </c>
      <c r="H1313" s="4" t="s">
        <v>124</v>
      </c>
      <c r="I1313" s="14"/>
    </row>
    <row r="1314" spans="1:9" x14ac:dyDescent="0.25">
      <c r="A1314" s="14">
        <v>2013</v>
      </c>
      <c r="B1314" s="14">
        <v>189</v>
      </c>
      <c r="C1314" s="20">
        <v>41463</v>
      </c>
      <c r="D1314" s="16">
        <v>0.62916666666666665</v>
      </c>
      <c r="E1314" s="14">
        <v>130</v>
      </c>
      <c r="F1314" s="23">
        <v>13</v>
      </c>
      <c r="G1314" s="17">
        <v>0.32802066101694916</v>
      </c>
      <c r="H1314" s="4" t="s">
        <v>124</v>
      </c>
      <c r="I1314" s="14"/>
    </row>
    <row r="1315" spans="1:9" x14ac:dyDescent="0.25">
      <c r="A1315" s="14">
        <v>2013</v>
      </c>
      <c r="B1315" s="14">
        <v>189</v>
      </c>
      <c r="C1315" s="20">
        <v>41463</v>
      </c>
      <c r="D1315" s="16">
        <v>0.63611111111111118</v>
      </c>
      <c r="E1315" s="14">
        <v>130</v>
      </c>
      <c r="F1315" s="23">
        <v>14</v>
      </c>
      <c r="G1315" s="17">
        <v>0.31699961793785314</v>
      </c>
      <c r="H1315" s="4" t="s">
        <v>124</v>
      </c>
      <c r="I1315" s="14"/>
    </row>
    <row r="1316" spans="1:9" x14ac:dyDescent="0.25">
      <c r="A1316" s="14">
        <v>2013</v>
      </c>
      <c r="B1316" s="14">
        <v>189</v>
      </c>
      <c r="C1316" s="20">
        <v>41463</v>
      </c>
      <c r="D1316" s="16">
        <v>0.64236111111111105</v>
      </c>
      <c r="E1316" s="14">
        <v>130</v>
      </c>
      <c r="F1316" s="23">
        <v>15</v>
      </c>
      <c r="G1316" s="17">
        <v>0.30360993149717513</v>
      </c>
      <c r="H1316" s="4" t="s">
        <v>1</v>
      </c>
      <c r="I1316" s="14"/>
    </row>
    <row r="1317" spans="1:9" x14ac:dyDescent="0.25">
      <c r="A1317" s="14">
        <v>2013</v>
      </c>
      <c r="B1317" s="14">
        <v>189</v>
      </c>
      <c r="C1317" s="20">
        <v>41463</v>
      </c>
      <c r="D1317" s="16">
        <v>0.64722222222222225</v>
      </c>
      <c r="E1317" s="14">
        <v>130</v>
      </c>
      <c r="F1317" s="23">
        <v>16</v>
      </c>
      <c r="G1317" s="17">
        <v>0.29619079237288137</v>
      </c>
      <c r="H1317" s="4" t="s">
        <v>1</v>
      </c>
      <c r="I1317" s="14"/>
    </row>
    <row r="1318" spans="1:9" x14ac:dyDescent="0.25">
      <c r="A1318" s="14">
        <v>2013</v>
      </c>
      <c r="B1318" s="14">
        <v>189</v>
      </c>
      <c r="C1318" s="20">
        <v>41463</v>
      </c>
      <c r="D1318" s="16">
        <v>0.65277777777777779</v>
      </c>
      <c r="E1318" s="14">
        <v>130</v>
      </c>
      <c r="F1318" s="23">
        <v>17</v>
      </c>
      <c r="G1318" s="17">
        <v>0.31363262076271187</v>
      </c>
      <c r="H1318" s="4" t="s">
        <v>124</v>
      </c>
      <c r="I1318" s="14"/>
    </row>
    <row r="1319" spans="1:9" x14ac:dyDescent="0.25">
      <c r="A1319" s="14">
        <v>2013</v>
      </c>
      <c r="B1319" s="14">
        <v>189</v>
      </c>
      <c r="C1319" s="20">
        <v>41463</v>
      </c>
      <c r="D1319" s="16">
        <v>0.65347222222222223</v>
      </c>
      <c r="E1319" s="14">
        <v>130</v>
      </c>
      <c r="F1319" s="23">
        <v>18</v>
      </c>
      <c r="G1319" s="17">
        <v>0.31189039548022601</v>
      </c>
      <c r="H1319" s="4" t="s">
        <v>124</v>
      </c>
      <c r="I1319" s="14"/>
    </row>
    <row r="1320" spans="1:9" x14ac:dyDescent="0.25">
      <c r="A1320" s="14">
        <v>2013</v>
      </c>
      <c r="B1320" s="14">
        <v>189</v>
      </c>
      <c r="C1320" s="20">
        <v>41463</v>
      </c>
      <c r="D1320" s="16">
        <v>0.65972222222222221</v>
      </c>
      <c r="E1320" s="14">
        <v>130</v>
      </c>
      <c r="F1320" s="23">
        <v>19</v>
      </c>
      <c r="G1320" s="17">
        <v>0.30748589336158194</v>
      </c>
      <c r="H1320" s="4" t="s">
        <v>124</v>
      </c>
      <c r="I1320" s="14"/>
    </row>
    <row r="1321" spans="1:9" x14ac:dyDescent="0.25">
      <c r="A1321" s="14">
        <v>2013</v>
      </c>
      <c r="B1321" s="14">
        <v>189</v>
      </c>
      <c r="C1321" s="20">
        <v>41463</v>
      </c>
      <c r="D1321" s="16">
        <v>0.67083333333333339</v>
      </c>
      <c r="E1321" s="14">
        <v>130</v>
      </c>
      <c r="F1321" s="23">
        <v>20</v>
      </c>
      <c r="G1321" s="17">
        <v>0.30969793220338981</v>
      </c>
      <c r="H1321" s="4" t="s">
        <v>124</v>
      </c>
      <c r="I1321" s="14"/>
    </row>
    <row r="1322" spans="1:9" x14ac:dyDescent="0.25">
      <c r="A1322" s="14">
        <v>2013</v>
      </c>
      <c r="B1322" s="14">
        <v>189</v>
      </c>
      <c r="C1322" s="20">
        <v>41463</v>
      </c>
      <c r="D1322" s="16">
        <v>0.54236111111111118</v>
      </c>
      <c r="E1322" s="14">
        <v>110</v>
      </c>
      <c r="F1322" s="23">
        <v>1</v>
      </c>
      <c r="G1322" s="17">
        <v>0.34703219067796609</v>
      </c>
      <c r="H1322" s="4" t="s">
        <v>123</v>
      </c>
      <c r="I1322" s="14"/>
    </row>
    <row r="1323" spans="1:9" x14ac:dyDescent="0.25">
      <c r="A1323" s="14">
        <v>2013</v>
      </c>
      <c r="B1323" s="14">
        <v>189</v>
      </c>
      <c r="C1323" s="20">
        <v>41463</v>
      </c>
      <c r="D1323" s="16">
        <v>0.54861111111111105</v>
      </c>
      <c r="E1323" s="14">
        <v>110</v>
      </c>
      <c r="F1323" s="23">
        <v>2</v>
      </c>
      <c r="G1323" s="17">
        <v>0.3425876024011299</v>
      </c>
      <c r="H1323" s="4" t="s">
        <v>123</v>
      </c>
      <c r="I1323" s="14"/>
    </row>
    <row r="1324" spans="1:9" x14ac:dyDescent="0.25">
      <c r="A1324" s="14">
        <v>2013</v>
      </c>
      <c r="B1324" s="14">
        <v>189</v>
      </c>
      <c r="C1324" s="20">
        <v>41463</v>
      </c>
      <c r="D1324" s="16">
        <v>0.5625</v>
      </c>
      <c r="E1324" s="14">
        <v>110</v>
      </c>
      <c r="F1324" s="23">
        <v>3</v>
      </c>
      <c r="G1324" s="17">
        <v>0.33208639901129938</v>
      </c>
      <c r="H1324" s="4" t="s">
        <v>123</v>
      </c>
      <c r="I1324" s="14"/>
    </row>
    <row r="1325" spans="1:9" x14ac:dyDescent="0.25">
      <c r="A1325" s="14">
        <v>2013</v>
      </c>
      <c r="B1325" s="14">
        <v>189</v>
      </c>
      <c r="C1325" s="20">
        <v>41463</v>
      </c>
      <c r="D1325" s="16">
        <v>0.56944444444444442</v>
      </c>
      <c r="E1325" s="14">
        <v>110</v>
      </c>
      <c r="F1325" s="23">
        <v>4</v>
      </c>
      <c r="G1325" s="17">
        <v>0.34104466242937853</v>
      </c>
      <c r="H1325" s="4" t="s">
        <v>123</v>
      </c>
      <c r="I1325" s="14"/>
    </row>
    <row r="1326" spans="1:9" x14ac:dyDescent="0.25">
      <c r="A1326" s="14">
        <v>2013</v>
      </c>
      <c r="B1326" s="14">
        <v>189</v>
      </c>
      <c r="C1326" s="20">
        <v>41463</v>
      </c>
      <c r="D1326" s="16">
        <v>0.57638888888888895</v>
      </c>
      <c r="E1326" s="14">
        <v>110</v>
      </c>
      <c r="F1326" s="23">
        <v>5</v>
      </c>
      <c r="G1326" s="17">
        <v>0.33825815889830507</v>
      </c>
      <c r="H1326" s="4" t="s">
        <v>0</v>
      </c>
      <c r="I1326" s="14"/>
    </row>
    <row r="1327" spans="1:9" x14ac:dyDescent="0.25">
      <c r="A1327" s="14">
        <v>2013</v>
      </c>
      <c r="B1327" s="14">
        <v>189</v>
      </c>
      <c r="C1327" s="20">
        <v>41463</v>
      </c>
      <c r="D1327" s="16">
        <v>0.58124999999999993</v>
      </c>
      <c r="E1327" s="14">
        <v>110</v>
      </c>
      <c r="F1327" s="23">
        <v>6</v>
      </c>
      <c r="G1327" s="17">
        <v>0.3253849731638418</v>
      </c>
      <c r="H1327" s="4" t="s">
        <v>0</v>
      </c>
      <c r="I1327" s="14"/>
    </row>
    <row r="1328" spans="1:9" x14ac:dyDescent="0.25">
      <c r="A1328" s="14">
        <v>2013</v>
      </c>
      <c r="B1328" s="14">
        <v>189</v>
      </c>
      <c r="C1328" s="20">
        <v>41463</v>
      </c>
      <c r="D1328" s="16">
        <v>0.58680555555555558</v>
      </c>
      <c r="E1328" s="14">
        <v>110</v>
      </c>
      <c r="F1328" s="23">
        <v>7</v>
      </c>
      <c r="G1328" s="17">
        <v>0.34491352683615817</v>
      </c>
      <c r="H1328" s="4" t="s">
        <v>123</v>
      </c>
      <c r="I1328" s="14"/>
    </row>
    <row r="1329" spans="1:9" x14ac:dyDescent="0.25">
      <c r="A1329" s="14">
        <v>2013</v>
      </c>
      <c r="B1329" s="14">
        <v>189</v>
      </c>
      <c r="C1329" s="20">
        <v>41463</v>
      </c>
      <c r="D1329" s="16">
        <v>0.59236111111111112</v>
      </c>
      <c r="E1329" s="14">
        <v>110</v>
      </c>
      <c r="F1329" s="23">
        <v>8</v>
      </c>
      <c r="G1329" s="17">
        <v>0.3448904978813559</v>
      </c>
      <c r="H1329" s="4" t="s">
        <v>123</v>
      </c>
      <c r="I1329" s="14"/>
    </row>
    <row r="1330" spans="1:9" x14ac:dyDescent="0.25">
      <c r="A1330" s="14">
        <v>2013</v>
      </c>
      <c r="B1330" s="14">
        <v>189</v>
      </c>
      <c r="C1330" s="20">
        <v>41463</v>
      </c>
      <c r="D1330" s="16">
        <v>0.59861111111111109</v>
      </c>
      <c r="E1330" s="14">
        <v>110</v>
      </c>
      <c r="F1330" s="23">
        <v>9</v>
      </c>
      <c r="G1330" s="17">
        <v>0.34007744632768361</v>
      </c>
      <c r="H1330" s="4" t="s">
        <v>123</v>
      </c>
      <c r="I1330" s="14"/>
    </row>
    <row r="1331" spans="1:9" x14ac:dyDescent="0.25">
      <c r="A1331" s="14">
        <v>2013</v>
      </c>
      <c r="B1331" s="14">
        <v>189</v>
      </c>
      <c r="C1331" s="20">
        <v>41463</v>
      </c>
      <c r="D1331" s="16">
        <v>0.60416666666666663</v>
      </c>
      <c r="E1331" s="14">
        <v>110</v>
      </c>
      <c r="F1331" s="23">
        <v>10</v>
      </c>
      <c r="G1331" s="17">
        <v>0.34523593220338983</v>
      </c>
      <c r="H1331" s="4" t="s">
        <v>123</v>
      </c>
      <c r="I1331" s="14"/>
    </row>
    <row r="1332" spans="1:9" x14ac:dyDescent="0.25">
      <c r="A1332" s="14">
        <v>2013</v>
      </c>
      <c r="B1332" s="14">
        <v>189</v>
      </c>
      <c r="C1332" s="20">
        <v>41463</v>
      </c>
      <c r="D1332" s="16">
        <v>0.6118055555555556</v>
      </c>
      <c r="E1332" s="14">
        <v>110</v>
      </c>
      <c r="F1332" s="23">
        <v>11</v>
      </c>
      <c r="G1332" s="17">
        <v>0.3351953079096045</v>
      </c>
      <c r="H1332" s="4" t="s">
        <v>124</v>
      </c>
      <c r="I1332" s="14"/>
    </row>
    <row r="1333" spans="1:9" x14ac:dyDescent="0.25">
      <c r="A1333" s="14">
        <v>2013</v>
      </c>
      <c r="B1333" s="14">
        <v>189</v>
      </c>
      <c r="C1333" s="20">
        <v>41463</v>
      </c>
      <c r="D1333" s="16">
        <v>0.61805555555555558</v>
      </c>
      <c r="E1333" s="14">
        <v>110</v>
      </c>
      <c r="F1333" s="23">
        <v>12</v>
      </c>
      <c r="G1333" s="17">
        <v>0.34362390536723164</v>
      </c>
      <c r="H1333" s="4" t="s">
        <v>124</v>
      </c>
      <c r="I1333" s="14"/>
    </row>
    <row r="1334" spans="1:9" x14ac:dyDescent="0.25">
      <c r="A1334" s="14">
        <v>2013</v>
      </c>
      <c r="B1334" s="14">
        <v>189</v>
      </c>
      <c r="C1334" s="20">
        <v>41463</v>
      </c>
      <c r="D1334" s="16">
        <v>0.62916666666666665</v>
      </c>
      <c r="E1334" s="14">
        <v>110</v>
      </c>
      <c r="F1334" s="23">
        <v>13</v>
      </c>
      <c r="G1334" s="17">
        <v>0.35069379449152538</v>
      </c>
      <c r="H1334" s="4" t="s">
        <v>124</v>
      </c>
      <c r="I1334" s="14"/>
    </row>
    <row r="1335" spans="1:9" x14ac:dyDescent="0.25">
      <c r="A1335" s="14">
        <v>2013</v>
      </c>
      <c r="B1335" s="14">
        <v>189</v>
      </c>
      <c r="C1335" s="20">
        <v>41463</v>
      </c>
      <c r="D1335" s="16">
        <v>0.63611111111111118</v>
      </c>
      <c r="E1335" s="14">
        <v>110</v>
      </c>
      <c r="F1335" s="23">
        <v>14</v>
      </c>
      <c r="G1335" s="17">
        <v>0.33275423870056497</v>
      </c>
      <c r="H1335" s="4" t="s">
        <v>124</v>
      </c>
      <c r="I1335" s="14"/>
    </row>
    <row r="1336" spans="1:9" x14ac:dyDescent="0.25">
      <c r="A1336" s="14">
        <v>2013</v>
      </c>
      <c r="B1336" s="14">
        <v>189</v>
      </c>
      <c r="C1336" s="20">
        <v>41463</v>
      </c>
      <c r="D1336" s="16">
        <v>0.64236111111111105</v>
      </c>
      <c r="E1336" s="14">
        <v>110</v>
      </c>
      <c r="F1336" s="23">
        <v>15</v>
      </c>
      <c r="G1336" s="17">
        <v>0.32275967231638419</v>
      </c>
      <c r="H1336" s="4" t="s">
        <v>1</v>
      </c>
      <c r="I1336" s="14"/>
    </row>
    <row r="1337" spans="1:9" x14ac:dyDescent="0.25">
      <c r="A1337" s="14">
        <v>2013</v>
      </c>
      <c r="B1337" s="14">
        <v>189</v>
      </c>
      <c r="C1337" s="20">
        <v>41463</v>
      </c>
      <c r="D1337" s="16">
        <v>0.64722222222222225</v>
      </c>
      <c r="E1337" s="14">
        <v>110</v>
      </c>
      <c r="F1337" s="23">
        <v>16</v>
      </c>
      <c r="G1337" s="17">
        <v>0.32333539618644069</v>
      </c>
      <c r="H1337" s="4" t="s">
        <v>1</v>
      </c>
      <c r="I1337" s="14"/>
    </row>
    <row r="1338" spans="1:9" x14ac:dyDescent="0.25">
      <c r="A1338" s="14">
        <v>2013</v>
      </c>
      <c r="B1338" s="14">
        <v>189</v>
      </c>
      <c r="C1338" s="20">
        <v>41463</v>
      </c>
      <c r="D1338" s="16">
        <v>0.65277777777777779</v>
      </c>
      <c r="E1338" s="14">
        <v>110</v>
      </c>
      <c r="F1338" s="23">
        <v>17</v>
      </c>
      <c r="G1338" s="17">
        <v>0.3442687161016949</v>
      </c>
      <c r="H1338" s="4" t="s">
        <v>124</v>
      </c>
      <c r="I1338" s="14"/>
    </row>
    <row r="1339" spans="1:9" x14ac:dyDescent="0.25">
      <c r="A1339" s="14">
        <v>2013</v>
      </c>
      <c r="B1339" s="14">
        <v>189</v>
      </c>
      <c r="C1339" s="20">
        <v>41463</v>
      </c>
      <c r="D1339" s="16">
        <v>0.65347222222222223</v>
      </c>
      <c r="E1339" s="14">
        <v>110</v>
      </c>
      <c r="F1339" s="23">
        <v>18</v>
      </c>
      <c r="G1339" s="17">
        <v>0.34670978531073449</v>
      </c>
      <c r="H1339" s="4" t="s">
        <v>124</v>
      </c>
      <c r="I1339" s="14"/>
    </row>
    <row r="1340" spans="1:9" x14ac:dyDescent="0.25">
      <c r="A1340" s="14">
        <v>2013</v>
      </c>
      <c r="B1340" s="14">
        <v>189</v>
      </c>
      <c r="C1340" s="20">
        <v>41463</v>
      </c>
      <c r="D1340" s="16">
        <v>0.65972222222222221</v>
      </c>
      <c r="E1340" s="14">
        <v>110</v>
      </c>
      <c r="F1340" s="23">
        <v>19</v>
      </c>
      <c r="G1340" s="17">
        <v>0.34132100988700564</v>
      </c>
      <c r="H1340" s="4" t="s">
        <v>124</v>
      </c>
      <c r="I1340" s="14"/>
    </row>
    <row r="1341" spans="1:9" x14ac:dyDescent="0.25">
      <c r="A1341" s="14">
        <v>2013</v>
      </c>
      <c r="B1341" s="14">
        <v>189</v>
      </c>
      <c r="C1341" s="20">
        <v>41463</v>
      </c>
      <c r="D1341" s="16">
        <v>0.67083333333333339</v>
      </c>
      <c r="E1341" s="14">
        <v>110</v>
      </c>
      <c r="F1341" s="23">
        <v>20</v>
      </c>
      <c r="G1341" s="17">
        <v>0.33786666666666665</v>
      </c>
      <c r="H1341" s="4" t="s">
        <v>124</v>
      </c>
      <c r="I1341" s="14"/>
    </row>
    <row r="1342" spans="1:9" x14ac:dyDescent="0.25">
      <c r="A1342" s="14">
        <v>2013</v>
      </c>
      <c r="B1342" s="14">
        <v>189</v>
      </c>
      <c r="C1342" s="20">
        <v>41463</v>
      </c>
      <c r="D1342" s="16">
        <v>0.54236111111111118</v>
      </c>
      <c r="E1342" s="14">
        <v>90</v>
      </c>
      <c r="F1342" s="23">
        <v>1</v>
      </c>
      <c r="G1342" s="17">
        <v>0.34825272528248585</v>
      </c>
      <c r="H1342" s="4" t="s">
        <v>123</v>
      </c>
      <c r="I1342" s="14"/>
    </row>
    <row r="1343" spans="1:9" x14ac:dyDescent="0.25">
      <c r="A1343" s="14">
        <v>2013</v>
      </c>
      <c r="B1343" s="14">
        <v>189</v>
      </c>
      <c r="C1343" s="20">
        <v>41463</v>
      </c>
      <c r="D1343" s="16">
        <v>0.54861111111111105</v>
      </c>
      <c r="E1343" s="14">
        <v>90</v>
      </c>
      <c r="F1343" s="23">
        <v>2</v>
      </c>
      <c r="G1343" s="17">
        <v>0.34892056497175139</v>
      </c>
      <c r="H1343" s="4" t="s">
        <v>123</v>
      </c>
      <c r="I1343" s="14"/>
    </row>
    <row r="1344" spans="1:9" x14ac:dyDescent="0.25">
      <c r="A1344" s="14">
        <v>2013</v>
      </c>
      <c r="B1344" s="14">
        <v>189</v>
      </c>
      <c r="C1344" s="20">
        <v>41463</v>
      </c>
      <c r="D1344" s="16">
        <v>0.5625</v>
      </c>
      <c r="E1344" s="14">
        <v>90</v>
      </c>
      <c r="F1344" s="23">
        <v>3</v>
      </c>
      <c r="G1344" s="17">
        <v>0.33710671115819207</v>
      </c>
      <c r="H1344" s="4" t="s">
        <v>123</v>
      </c>
      <c r="I1344" s="14"/>
    </row>
    <row r="1345" spans="1:9" x14ac:dyDescent="0.25">
      <c r="A1345" s="14">
        <v>2013</v>
      </c>
      <c r="B1345" s="14">
        <v>189</v>
      </c>
      <c r="C1345" s="20">
        <v>41463</v>
      </c>
      <c r="D1345" s="16">
        <v>0.56944444444444442</v>
      </c>
      <c r="E1345" s="14">
        <v>90</v>
      </c>
      <c r="F1345" s="23">
        <v>4</v>
      </c>
      <c r="G1345" s="17">
        <v>0.34323241313559316</v>
      </c>
      <c r="H1345" s="4" t="s">
        <v>123</v>
      </c>
      <c r="I1345" s="14"/>
    </row>
    <row r="1346" spans="1:9" x14ac:dyDescent="0.25">
      <c r="A1346" s="14">
        <v>2013</v>
      </c>
      <c r="B1346" s="14">
        <v>189</v>
      </c>
      <c r="C1346" s="20">
        <v>41463</v>
      </c>
      <c r="D1346" s="16">
        <v>0.57638888888888895</v>
      </c>
      <c r="E1346" s="14">
        <v>90</v>
      </c>
      <c r="F1346" s="23">
        <v>5</v>
      </c>
      <c r="G1346" s="17">
        <v>0.33098100918079099</v>
      </c>
      <c r="H1346" s="4" t="s">
        <v>0</v>
      </c>
      <c r="I1346" s="14"/>
    </row>
    <row r="1347" spans="1:9" x14ac:dyDescent="0.25">
      <c r="A1347" s="14">
        <v>2013</v>
      </c>
      <c r="B1347" s="14">
        <v>189</v>
      </c>
      <c r="C1347" s="20">
        <v>41463</v>
      </c>
      <c r="D1347" s="16">
        <v>0.58124999999999993</v>
      </c>
      <c r="E1347" s="14">
        <v>90</v>
      </c>
      <c r="F1347" s="23">
        <v>6</v>
      </c>
      <c r="G1347" s="17">
        <v>0.32455593079096046</v>
      </c>
      <c r="H1347" s="4" t="s">
        <v>0</v>
      </c>
      <c r="I1347" s="14"/>
    </row>
    <row r="1348" spans="1:9" x14ac:dyDescent="0.25">
      <c r="A1348" s="14">
        <v>2013</v>
      </c>
      <c r="B1348" s="14">
        <v>189</v>
      </c>
      <c r="C1348" s="20">
        <v>41463</v>
      </c>
      <c r="D1348" s="16">
        <v>0.58680555555555558</v>
      </c>
      <c r="E1348" s="14">
        <v>90</v>
      </c>
      <c r="F1348" s="23">
        <v>7</v>
      </c>
      <c r="G1348" s="17">
        <v>0.35106225776836153</v>
      </c>
      <c r="H1348" s="4" t="s">
        <v>123</v>
      </c>
      <c r="I1348" s="14"/>
    </row>
    <row r="1349" spans="1:9" x14ac:dyDescent="0.25">
      <c r="A1349" s="14">
        <v>2013</v>
      </c>
      <c r="B1349" s="14">
        <v>189</v>
      </c>
      <c r="C1349" s="20">
        <v>41463</v>
      </c>
      <c r="D1349" s="16">
        <v>0.59236111111111112</v>
      </c>
      <c r="E1349" s="14">
        <v>90</v>
      </c>
      <c r="F1349" s="23">
        <v>8</v>
      </c>
      <c r="G1349" s="17">
        <v>0.35170706850282485</v>
      </c>
      <c r="H1349" s="4" t="s">
        <v>123</v>
      </c>
      <c r="I1349" s="14"/>
    </row>
    <row r="1350" spans="1:9" x14ac:dyDescent="0.25">
      <c r="A1350" s="14">
        <v>2013</v>
      </c>
      <c r="B1350" s="14">
        <v>189</v>
      </c>
      <c r="C1350" s="20">
        <v>41463</v>
      </c>
      <c r="D1350" s="16">
        <v>0.59861111111111109</v>
      </c>
      <c r="E1350" s="14">
        <v>90</v>
      </c>
      <c r="F1350" s="23">
        <v>9</v>
      </c>
      <c r="G1350" s="17">
        <v>0.33883388276836157</v>
      </c>
      <c r="H1350" s="4" t="s">
        <v>123</v>
      </c>
      <c r="I1350" s="14"/>
    </row>
    <row r="1351" spans="1:9" x14ac:dyDescent="0.25">
      <c r="A1351" s="14">
        <v>2013</v>
      </c>
      <c r="B1351" s="14">
        <v>189</v>
      </c>
      <c r="C1351" s="20">
        <v>41463</v>
      </c>
      <c r="D1351" s="16">
        <v>0.60416666666666663</v>
      </c>
      <c r="E1351" s="14">
        <v>90</v>
      </c>
      <c r="F1351" s="23">
        <v>10</v>
      </c>
      <c r="G1351" s="17">
        <v>0.35000292584745762</v>
      </c>
      <c r="H1351" s="4" t="s">
        <v>123</v>
      </c>
      <c r="I1351" s="14"/>
    </row>
    <row r="1352" spans="1:9" x14ac:dyDescent="0.25">
      <c r="A1352" s="14">
        <v>2013</v>
      </c>
      <c r="B1352" s="14">
        <v>189</v>
      </c>
      <c r="C1352" s="20">
        <v>41463</v>
      </c>
      <c r="D1352" s="16">
        <v>0.6118055555555556</v>
      </c>
      <c r="E1352" s="14">
        <v>90</v>
      </c>
      <c r="F1352" s="23">
        <v>11</v>
      </c>
      <c r="G1352" s="17">
        <v>0.34728550918079099</v>
      </c>
      <c r="H1352" s="4" t="s">
        <v>124</v>
      </c>
      <c r="I1352" s="14"/>
    </row>
    <row r="1353" spans="1:9" x14ac:dyDescent="0.25">
      <c r="A1353" s="14">
        <v>2013</v>
      </c>
      <c r="B1353" s="14">
        <v>189</v>
      </c>
      <c r="C1353" s="20">
        <v>41463</v>
      </c>
      <c r="D1353" s="16">
        <v>0.61805555555555558</v>
      </c>
      <c r="E1353" s="14">
        <v>90</v>
      </c>
      <c r="F1353" s="23">
        <v>12</v>
      </c>
      <c r="G1353" s="17">
        <v>0.34802243573446329</v>
      </c>
      <c r="H1353" s="4" t="s">
        <v>124</v>
      </c>
      <c r="I1353" s="14"/>
    </row>
    <row r="1354" spans="1:9" x14ac:dyDescent="0.25">
      <c r="A1354" s="14">
        <v>2013</v>
      </c>
      <c r="B1354" s="14">
        <v>189</v>
      </c>
      <c r="C1354" s="20">
        <v>41463</v>
      </c>
      <c r="D1354" s="16">
        <v>0.62916666666666665</v>
      </c>
      <c r="E1354" s="14">
        <v>90</v>
      </c>
      <c r="F1354" s="23">
        <v>13</v>
      </c>
      <c r="G1354" s="17">
        <v>0.34461415042372878</v>
      </c>
      <c r="H1354" s="4" t="s">
        <v>124</v>
      </c>
      <c r="I1354" s="14"/>
    </row>
    <row r="1355" spans="1:9" x14ac:dyDescent="0.25">
      <c r="A1355" s="14">
        <v>2013</v>
      </c>
      <c r="B1355" s="14">
        <v>189</v>
      </c>
      <c r="C1355" s="20">
        <v>41463</v>
      </c>
      <c r="D1355" s="16">
        <v>0.63611111111111118</v>
      </c>
      <c r="E1355" s="14">
        <v>90</v>
      </c>
      <c r="F1355" s="23">
        <v>14</v>
      </c>
      <c r="G1355" s="17">
        <v>0.33947869350282484</v>
      </c>
      <c r="H1355" s="4" t="s">
        <v>124</v>
      </c>
      <c r="I1355" s="14"/>
    </row>
    <row r="1356" spans="1:9" x14ac:dyDescent="0.25">
      <c r="A1356" s="14">
        <v>2013</v>
      </c>
      <c r="B1356" s="14">
        <v>189</v>
      </c>
      <c r="C1356" s="20">
        <v>41463</v>
      </c>
      <c r="D1356" s="16">
        <v>0.64236111111111105</v>
      </c>
      <c r="E1356" s="14">
        <v>90</v>
      </c>
      <c r="F1356" s="23">
        <v>15</v>
      </c>
      <c r="G1356" s="17">
        <v>0.31898292372881354</v>
      </c>
      <c r="H1356" s="4" t="s">
        <v>1</v>
      </c>
      <c r="I1356" s="14"/>
    </row>
    <row r="1357" spans="1:9" x14ac:dyDescent="0.25">
      <c r="A1357" s="14">
        <v>2013</v>
      </c>
      <c r="B1357" s="14">
        <v>189</v>
      </c>
      <c r="C1357" s="20">
        <v>41463</v>
      </c>
      <c r="D1357" s="16">
        <v>0.64722222222222225</v>
      </c>
      <c r="E1357" s="14">
        <v>90</v>
      </c>
      <c r="F1357" s="23">
        <v>16</v>
      </c>
      <c r="G1357" s="17">
        <v>0.31534434887005647</v>
      </c>
      <c r="H1357" s="4" t="s">
        <v>1</v>
      </c>
      <c r="I1357" s="14"/>
    </row>
    <row r="1358" spans="1:9" x14ac:dyDescent="0.25">
      <c r="A1358" s="14">
        <v>2013</v>
      </c>
      <c r="B1358" s="14">
        <v>189</v>
      </c>
      <c r="C1358" s="20">
        <v>41463</v>
      </c>
      <c r="D1358" s="16">
        <v>0.65277777777777779</v>
      </c>
      <c r="E1358" s="14">
        <v>90</v>
      </c>
      <c r="F1358" s="23">
        <v>17</v>
      </c>
      <c r="G1358" s="17">
        <v>0.35044047598870054</v>
      </c>
      <c r="H1358" s="4" t="s">
        <v>124</v>
      </c>
      <c r="I1358" s="14"/>
    </row>
    <row r="1359" spans="1:9" x14ac:dyDescent="0.25">
      <c r="A1359" s="14">
        <v>2013</v>
      </c>
      <c r="B1359" s="14">
        <v>189</v>
      </c>
      <c r="C1359" s="20">
        <v>41463</v>
      </c>
      <c r="D1359" s="16">
        <v>0.65347222222222223</v>
      </c>
      <c r="E1359" s="14">
        <v>90</v>
      </c>
      <c r="F1359" s="23">
        <v>18</v>
      </c>
      <c r="G1359" s="17">
        <v>0.34231125494350284</v>
      </c>
      <c r="H1359" s="4" t="s">
        <v>124</v>
      </c>
      <c r="I1359" s="14"/>
    </row>
    <row r="1360" spans="1:9" x14ac:dyDescent="0.25">
      <c r="A1360" s="14">
        <v>2013</v>
      </c>
      <c r="B1360" s="14">
        <v>189</v>
      </c>
      <c r="C1360" s="20">
        <v>41463</v>
      </c>
      <c r="D1360" s="16">
        <v>0.65972222222222221</v>
      </c>
      <c r="E1360" s="14">
        <v>90</v>
      </c>
      <c r="F1360" s="23">
        <v>19</v>
      </c>
      <c r="G1360" s="17">
        <v>0.33673824788135592</v>
      </c>
      <c r="H1360" s="4" t="s">
        <v>124</v>
      </c>
      <c r="I1360" s="14"/>
    </row>
    <row r="1361" spans="1:9" x14ac:dyDescent="0.25">
      <c r="A1361" s="14">
        <v>2013</v>
      </c>
      <c r="B1361" s="14">
        <v>189</v>
      </c>
      <c r="C1361" s="20">
        <v>41463</v>
      </c>
      <c r="D1361" s="16">
        <v>0.67083333333333339</v>
      </c>
      <c r="E1361" s="14">
        <v>90</v>
      </c>
      <c r="F1361" s="23">
        <v>20</v>
      </c>
      <c r="G1361" s="17">
        <v>0.33671521892655365</v>
      </c>
      <c r="H1361" s="4" t="s">
        <v>124</v>
      </c>
      <c r="I1361" s="14"/>
    </row>
    <row r="1362" spans="1:9" x14ac:dyDescent="0.25">
      <c r="A1362" s="14">
        <v>2013</v>
      </c>
      <c r="B1362" s="14">
        <v>189</v>
      </c>
      <c r="C1362" s="20">
        <v>41463</v>
      </c>
      <c r="D1362" s="16">
        <v>0.54236111111111118</v>
      </c>
      <c r="E1362" s="14">
        <v>70</v>
      </c>
      <c r="F1362" s="23">
        <v>1</v>
      </c>
      <c r="G1362" s="17">
        <v>0.34802243573446329</v>
      </c>
      <c r="H1362" s="4" t="s">
        <v>123</v>
      </c>
      <c r="I1362" s="14"/>
    </row>
    <row r="1363" spans="1:9" x14ac:dyDescent="0.25">
      <c r="A1363" s="14">
        <v>2013</v>
      </c>
      <c r="B1363" s="14">
        <v>189</v>
      </c>
      <c r="C1363" s="20">
        <v>41463</v>
      </c>
      <c r="D1363" s="16">
        <v>0.54861111111111105</v>
      </c>
      <c r="E1363" s="14">
        <v>70</v>
      </c>
      <c r="F1363" s="23">
        <v>2</v>
      </c>
      <c r="G1363" s="17">
        <v>0.3560134830508474</v>
      </c>
      <c r="H1363" s="4" t="s">
        <v>123</v>
      </c>
      <c r="I1363" s="14"/>
    </row>
    <row r="1364" spans="1:9" x14ac:dyDescent="0.25">
      <c r="A1364" s="14">
        <v>2013</v>
      </c>
      <c r="B1364" s="14">
        <v>189</v>
      </c>
      <c r="C1364" s="20">
        <v>41463</v>
      </c>
      <c r="D1364" s="16">
        <v>0.5625</v>
      </c>
      <c r="E1364" s="14">
        <v>70</v>
      </c>
      <c r="F1364" s="23">
        <v>3</v>
      </c>
      <c r="G1364" s="17">
        <v>0.34859815960451979</v>
      </c>
      <c r="H1364" s="4" t="s">
        <v>123</v>
      </c>
      <c r="I1364" s="14"/>
    </row>
    <row r="1365" spans="1:9" x14ac:dyDescent="0.25">
      <c r="A1365" s="14">
        <v>2013</v>
      </c>
      <c r="B1365" s="14">
        <v>189</v>
      </c>
      <c r="C1365" s="20">
        <v>41463</v>
      </c>
      <c r="D1365" s="16">
        <v>0.56944444444444442</v>
      </c>
      <c r="E1365" s="14">
        <v>70</v>
      </c>
      <c r="F1365" s="23">
        <v>4</v>
      </c>
      <c r="G1365" s="17">
        <v>0.34074528601694914</v>
      </c>
      <c r="H1365" s="4" t="s">
        <v>123</v>
      </c>
      <c r="I1365" s="14"/>
    </row>
    <row r="1366" spans="1:9" x14ac:dyDescent="0.25">
      <c r="A1366" s="14">
        <v>2013</v>
      </c>
      <c r="B1366" s="14">
        <v>189</v>
      </c>
      <c r="C1366" s="20">
        <v>41463</v>
      </c>
      <c r="D1366" s="16">
        <v>0.57638888888888895</v>
      </c>
      <c r="E1366" s="14">
        <v>70</v>
      </c>
      <c r="F1366" s="23">
        <v>5</v>
      </c>
      <c r="G1366" s="17">
        <v>0.30737633050847457</v>
      </c>
      <c r="H1366" s="4" t="s">
        <v>0</v>
      </c>
      <c r="I1366" s="14"/>
    </row>
    <row r="1367" spans="1:9" x14ac:dyDescent="0.25">
      <c r="A1367" s="14">
        <v>2013</v>
      </c>
      <c r="B1367" s="14">
        <v>189</v>
      </c>
      <c r="C1367" s="20">
        <v>41463</v>
      </c>
      <c r="D1367" s="16">
        <v>0.58124999999999993</v>
      </c>
      <c r="E1367" s="14">
        <v>70</v>
      </c>
      <c r="F1367" s="23">
        <v>6</v>
      </c>
      <c r="G1367" s="17">
        <v>0.31900595268361581</v>
      </c>
      <c r="H1367" s="4" t="s">
        <v>0</v>
      </c>
      <c r="I1367" s="14"/>
    </row>
    <row r="1368" spans="1:9" x14ac:dyDescent="0.25">
      <c r="A1368" s="14">
        <v>2013</v>
      </c>
      <c r="B1368" s="14">
        <v>189</v>
      </c>
      <c r="C1368" s="20">
        <v>41463</v>
      </c>
      <c r="D1368" s="16">
        <v>0.58680555555555558</v>
      </c>
      <c r="E1368" s="14">
        <v>70</v>
      </c>
      <c r="F1368" s="23">
        <v>7</v>
      </c>
      <c r="G1368" s="17">
        <v>0.35021018644067797</v>
      </c>
      <c r="H1368" s="4" t="s">
        <v>123</v>
      </c>
      <c r="I1368" s="14"/>
    </row>
    <row r="1369" spans="1:9" x14ac:dyDescent="0.25">
      <c r="A1369" s="14">
        <v>2013</v>
      </c>
      <c r="B1369" s="14">
        <v>189</v>
      </c>
      <c r="C1369" s="20">
        <v>41463</v>
      </c>
      <c r="D1369" s="16">
        <v>0.59236111111111112</v>
      </c>
      <c r="E1369" s="14">
        <v>70</v>
      </c>
      <c r="F1369" s="23">
        <v>8</v>
      </c>
      <c r="G1369" s="17">
        <v>0.3490357097457627</v>
      </c>
      <c r="H1369" s="4" t="s">
        <v>123</v>
      </c>
      <c r="I1369" s="14"/>
    </row>
    <row r="1370" spans="1:9" x14ac:dyDescent="0.25">
      <c r="A1370" s="14">
        <v>2013</v>
      </c>
      <c r="B1370" s="14">
        <v>189</v>
      </c>
      <c r="C1370" s="20">
        <v>41463</v>
      </c>
      <c r="D1370" s="16">
        <v>0.59861111111111109</v>
      </c>
      <c r="E1370" s="14">
        <v>70</v>
      </c>
      <c r="F1370" s="23">
        <v>9</v>
      </c>
      <c r="G1370" s="17">
        <v>0.34991081002824853</v>
      </c>
      <c r="H1370" s="4" t="s">
        <v>123</v>
      </c>
      <c r="I1370" s="14"/>
    </row>
    <row r="1371" spans="1:9" x14ac:dyDescent="0.25">
      <c r="A1371" s="14">
        <v>2013</v>
      </c>
      <c r="B1371" s="14">
        <v>189</v>
      </c>
      <c r="C1371" s="20">
        <v>41463</v>
      </c>
      <c r="D1371" s="16">
        <v>0.60416666666666663</v>
      </c>
      <c r="E1371" s="14">
        <v>70</v>
      </c>
      <c r="F1371" s="23">
        <v>10</v>
      </c>
      <c r="G1371" s="17">
        <v>0.35502323799435026</v>
      </c>
      <c r="H1371" s="4" t="s">
        <v>123</v>
      </c>
      <c r="I1371" s="14"/>
    </row>
    <row r="1372" spans="1:9" x14ac:dyDescent="0.25">
      <c r="A1372" s="14">
        <v>2013</v>
      </c>
      <c r="B1372" s="14">
        <v>189</v>
      </c>
      <c r="C1372" s="20">
        <v>41463</v>
      </c>
      <c r="D1372" s="16">
        <v>0.6118055555555556</v>
      </c>
      <c r="E1372" s="14">
        <v>70</v>
      </c>
      <c r="F1372" s="23">
        <v>11</v>
      </c>
      <c r="G1372" s="17">
        <v>0.35850061016949147</v>
      </c>
      <c r="H1372" s="4" t="s">
        <v>124</v>
      </c>
      <c r="I1372" s="14"/>
    </row>
    <row r="1373" spans="1:9" x14ac:dyDescent="0.25">
      <c r="A1373" s="14">
        <v>2013</v>
      </c>
      <c r="B1373" s="14">
        <v>189</v>
      </c>
      <c r="C1373" s="20">
        <v>41463</v>
      </c>
      <c r="D1373" s="16">
        <v>0.61805555555555558</v>
      </c>
      <c r="E1373" s="14">
        <v>70</v>
      </c>
      <c r="F1373" s="23">
        <v>12</v>
      </c>
      <c r="G1373" s="17">
        <v>0.34072225706214687</v>
      </c>
      <c r="H1373" s="4" t="s">
        <v>124</v>
      </c>
      <c r="I1373" s="14"/>
    </row>
    <row r="1374" spans="1:9" x14ac:dyDescent="0.25">
      <c r="A1374" s="14">
        <v>2013</v>
      </c>
      <c r="B1374" s="14">
        <v>189</v>
      </c>
      <c r="C1374" s="20">
        <v>41463</v>
      </c>
      <c r="D1374" s="16">
        <v>0.62916666666666665</v>
      </c>
      <c r="E1374" s="14">
        <v>70</v>
      </c>
      <c r="F1374" s="23">
        <v>13</v>
      </c>
      <c r="G1374" s="17">
        <v>0.34758488559322032</v>
      </c>
      <c r="H1374" s="4" t="s">
        <v>124</v>
      </c>
      <c r="I1374" s="14"/>
    </row>
    <row r="1375" spans="1:9" x14ac:dyDescent="0.25">
      <c r="A1375" s="14">
        <v>2013</v>
      </c>
      <c r="B1375" s="14">
        <v>189</v>
      </c>
      <c r="C1375" s="20">
        <v>41463</v>
      </c>
      <c r="D1375" s="16">
        <v>0.63611111111111118</v>
      </c>
      <c r="E1375" s="14">
        <v>70</v>
      </c>
      <c r="F1375" s="23">
        <v>14</v>
      </c>
      <c r="G1375" s="17">
        <v>0.35080893926553669</v>
      </c>
      <c r="H1375" s="4" t="s">
        <v>124</v>
      </c>
      <c r="I1375" s="14"/>
    </row>
    <row r="1376" spans="1:9" x14ac:dyDescent="0.25">
      <c r="A1376" s="14">
        <v>2013</v>
      </c>
      <c r="B1376" s="14">
        <v>189</v>
      </c>
      <c r="C1376" s="20">
        <v>41463</v>
      </c>
      <c r="D1376" s="16">
        <v>0.64236111111111105</v>
      </c>
      <c r="E1376" s="14">
        <v>70</v>
      </c>
      <c r="F1376" s="23">
        <v>15</v>
      </c>
      <c r="G1376" s="17">
        <v>0.29678301129943502</v>
      </c>
      <c r="H1376" s="4" t="s">
        <v>1</v>
      </c>
      <c r="I1376" s="14"/>
    </row>
    <row r="1377" spans="1:9" x14ac:dyDescent="0.25">
      <c r="A1377" s="14">
        <v>2013</v>
      </c>
      <c r="B1377" s="14">
        <v>189</v>
      </c>
      <c r="C1377" s="20">
        <v>41463</v>
      </c>
      <c r="D1377" s="16">
        <v>0.64722222222222225</v>
      </c>
      <c r="E1377" s="14">
        <v>70</v>
      </c>
      <c r="F1377" s="23">
        <v>16</v>
      </c>
      <c r="G1377" s="17">
        <v>0.30917258898305083</v>
      </c>
      <c r="H1377" s="4" t="s">
        <v>1</v>
      </c>
      <c r="I1377" s="14"/>
    </row>
    <row r="1378" spans="1:9" x14ac:dyDescent="0.25">
      <c r="A1378" s="14">
        <v>2013</v>
      </c>
      <c r="B1378" s="14">
        <v>189</v>
      </c>
      <c r="C1378" s="20">
        <v>41463</v>
      </c>
      <c r="D1378" s="16">
        <v>0.65277777777777779</v>
      </c>
      <c r="E1378" s="14">
        <v>70</v>
      </c>
      <c r="F1378" s="23">
        <v>17</v>
      </c>
      <c r="G1378" s="17">
        <v>0.34689401694915256</v>
      </c>
      <c r="H1378" s="4" t="s">
        <v>124</v>
      </c>
      <c r="I1378" s="14"/>
    </row>
    <row r="1379" spans="1:9" x14ac:dyDescent="0.25">
      <c r="A1379" s="14">
        <v>2013</v>
      </c>
      <c r="B1379" s="14">
        <v>189</v>
      </c>
      <c r="C1379" s="20">
        <v>41463</v>
      </c>
      <c r="D1379" s="16">
        <v>0.65347222222222223</v>
      </c>
      <c r="E1379" s="14">
        <v>70</v>
      </c>
      <c r="F1379" s="23">
        <v>18</v>
      </c>
      <c r="G1379" s="17">
        <v>0.34588074293785309</v>
      </c>
      <c r="H1379" s="4" t="s">
        <v>124</v>
      </c>
      <c r="I1379" s="14"/>
    </row>
    <row r="1380" spans="1:9" x14ac:dyDescent="0.25">
      <c r="A1380" s="14">
        <v>2013</v>
      </c>
      <c r="B1380" s="14">
        <v>189</v>
      </c>
      <c r="C1380" s="20">
        <v>41463</v>
      </c>
      <c r="D1380" s="16">
        <v>0.65972222222222221</v>
      </c>
      <c r="E1380" s="14">
        <v>70</v>
      </c>
      <c r="F1380" s="23">
        <v>19</v>
      </c>
      <c r="G1380" s="17">
        <v>0.33139553036723163</v>
      </c>
      <c r="H1380" s="4" t="s">
        <v>124</v>
      </c>
      <c r="I1380" s="14"/>
    </row>
    <row r="1381" spans="1:9" x14ac:dyDescent="0.25">
      <c r="A1381" s="14">
        <v>2013</v>
      </c>
      <c r="B1381" s="14">
        <v>189</v>
      </c>
      <c r="C1381" s="20">
        <v>41463</v>
      </c>
      <c r="D1381" s="16">
        <v>0.67083333333333339</v>
      </c>
      <c r="E1381" s="14">
        <v>70</v>
      </c>
      <c r="F1381" s="23">
        <v>20</v>
      </c>
      <c r="G1381" s="17">
        <v>0.34668675635593221</v>
      </c>
      <c r="H1381" s="4" t="s">
        <v>124</v>
      </c>
      <c r="I1381" s="14"/>
    </row>
    <row r="1382" spans="1:9" x14ac:dyDescent="0.25">
      <c r="A1382" s="14">
        <v>2013</v>
      </c>
      <c r="B1382" s="14">
        <v>189</v>
      </c>
      <c r="C1382" s="20">
        <v>41463</v>
      </c>
      <c r="D1382" s="16">
        <v>0.54236111111111118</v>
      </c>
      <c r="E1382" s="14">
        <v>50</v>
      </c>
      <c r="F1382" s="23">
        <v>1</v>
      </c>
      <c r="G1382" s="17">
        <v>0.3448904978813559</v>
      </c>
      <c r="H1382" s="4" t="s">
        <v>123</v>
      </c>
      <c r="I1382" s="14"/>
    </row>
    <row r="1383" spans="1:9" x14ac:dyDescent="0.25">
      <c r="A1383" s="14">
        <v>2013</v>
      </c>
      <c r="B1383" s="14">
        <v>189</v>
      </c>
      <c r="C1383" s="20">
        <v>41463</v>
      </c>
      <c r="D1383" s="16">
        <v>0.54861111111111105</v>
      </c>
      <c r="E1383" s="14">
        <v>50</v>
      </c>
      <c r="F1383" s="23">
        <v>2</v>
      </c>
      <c r="G1383" s="17">
        <v>0.35691161228813556</v>
      </c>
      <c r="H1383" s="4" t="s">
        <v>123</v>
      </c>
      <c r="I1383" s="14"/>
    </row>
    <row r="1384" spans="1:9" x14ac:dyDescent="0.25">
      <c r="A1384" s="14">
        <v>2013</v>
      </c>
      <c r="B1384" s="14">
        <v>189</v>
      </c>
      <c r="C1384" s="20">
        <v>41463</v>
      </c>
      <c r="D1384" s="16">
        <v>0.5625</v>
      </c>
      <c r="E1384" s="14">
        <v>50</v>
      </c>
      <c r="F1384" s="23">
        <v>3</v>
      </c>
      <c r="G1384" s="17">
        <v>0.35055562076271185</v>
      </c>
      <c r="H1384" s="4" t="s">
        <v>123</v>
      </c>
      <c r="I1384" s="14"/>
    </row>
    <row r="1385" spans="1:9" x14ac:dyDescent="0.25">
      <c r="A1385" s="14">
        <v>2013</v>
      </c>
      <c r="B1385" s="14">
        <v>189</v>
      </c>
      <c r="C1385" s="20">
        <v>41463</v>
      </c>
      <c r="D1385" s="16">
        <v>0.56944444444444442</v>
      </c>
      <c r="E1385" s="14">
        <v>50</v>
      </c>
      <c r="F1385" s="23">
        <v>4</v>
      </c>
      <c r="G1385" s="17">
        <v>0.34364693432203391</v>
      </c>
      <c r="H1385" s="4" t="s">
        <v>123</v>
      </c>
      <c r="I1385" s="14"/>
    </row>
    <row r="1386" spans="1:9" x14ac:dyDescent="0.25">
      <c r="A1386" s="14">
        <v>2013</v>
      </c>
      <c r="B1386" s="14">
        <v>189</v>
      </c>
      <c r="C1386" s="20">
        <v>41463</v>
      </c>
      <c r="D1386" s="16">
        <v>0.57638888888888895</v>
      </c>
      <c r="E1386" s="14">
        <v>50</v>
      </c>
      <c r="F1386" s="23">
        <v>5</v>
      </c>
      <c r="G1386" s="17">
        <v>0.2933516970338983</v>
      </c>
      <c r="H1386" s="4" t="s">
        <v>0</v>
      </c>
      <c r="I1386" s="14"/>
    </row>
    <row r="1387" spans="1:9" x14ac:dyDescent="0.25">
      <c r="A1387" s="14">
        <v>2013</v>
      </c>
      <c r="B1387" s="14">
        <v>189</v>
      </c>
      <c r="C1387" s="20">
        <v>41463</v>
      </c>
      <c r="D1387" s="16">
        <v>0.58124999999999993</v>
      </c>
      <c r="E1387" s="14">
        <v>50</v>
      </c>
      <c r="F1387" s="23">
        <v>6</v>
      </c>
      <c r="G1387" s="17">
        <v>0.30553401412429376</v>
      </c>
      <c r="H1387" s="4" t="s">
        <v>0</v>
      </c>
      <c r="I1387" s="14"/>
    </row>
    <row r="1388" spans="1:9" x14ac:dyDescent="0.25">
      <c r="A1388" s="14">
        <v>2013</v>
      </c>
      <c r="B1388" s="14">
        <v>189</v>
      </c>
      <c r="C1388" s="20">
        <v>41463</v>
      </c>
      <c r="D1388" s="16">
        <v>0.58680555555555558</v>
      </c>
      <c r="E1388" s="14">
        <v>50</v>
      </c>
      <c r="F1388" s="23">
        <v>7</v>
      </c>
      <c r="G1388" s="17">
        <v>0.35502323799435026</v>
      </c>
      <c r="H1388" s="4" t="s">
        <v>123</v>
      </c>
      <c r="I1388" s="14"/>
    </row>
    <row r="1389" spans="1:9" x14ac:dyDescent="0.25">
      <c r="A1389" s="14">
        <v>2013</v>
      </c>
      <c r="B1389" s="14">
        <v>189</v>
      </c>
      <c r="C1389" s="20">
        <v>41463</v>
      </c>
      <c r="D1389" s="16">
        <v>0.59236111111111112</v>
      </c>
      <c r="E1389" s="14">
        <v>50</v>
      </c>
      <c r="F1389" s="23">
        <v>8</v>
      </c>
      <c r="G1389" s="17">
        <v>0.3430021235875706</v>
      </c>
      <c r="H1389" s="4" t="s">
        <v>123</v>
      </c>
      <c r="I1389" s="14"/>
    </row>
    <row r="1390" spans="1:9" x14ac:dyDescent="0.25">
      <c r="A1390" s="14">
        <v>2013</v>
      </c>
      <c r="B1390" s="14">
        <v>189</v>
      </c>
      <c r="C1390" s="20">
        <v>41463</v>
      </c>
      <c r="D1390" s="16">
        <v>0.59861111111111109</v>
      </c>
      <c r="E1390" s="14">
        <v>50</v>
      </c>
      <c r="F1390" s="23">
        <v>9</v>
      </c>
      <c r="G1390" s="17">
        <v>0.35103922881355931</v>
      </c>
      <c r="H1390" s="4" t="s">
        <v>123</v>
      </c>
      <c r="I1390" s="14"/>
    </row>
    <row r="1391" spans="1:9" x14ac:dyDescent="0.25">
      <c r="A1391" s="14">
        <v>2013</v>
      </c>
      <c r="B1391" s="14">
        <v>189</v>
      </c>
      <c r="C1391" s="20">
        <v>41463</v>
      </c>
      <c r="D1391" s="16">
        <v>0.60416666666666663</v>
      </c>
      <c r="E1391" s="14">
        <v>50</v>
      </c>
      <c r="F1391" s="23">
        <v>10</v>
      </c>
      <c r="G1391" s="17">
        <v>0.35900724717514121</v>
      </c>
      <c r="H1391" s="4" t="s">
        <v>123</v>
      </c>
      <c r="I1391" s="14"/>
    </row>
    <row r="1392" spans="1:9" x14ac:dyDescent="0.25">
      <c r="A1392" s="14">
        <v>2013</v>
      </c>
      <c r="B1392" s="14">
        <v>189</v>
      </c>
      <c r="C1392" s="20">
        <v>41463</v>
      </c>
      <c r="D1392" s="16">
        <v>0.6118055555555556</v>
      </c>
      <c r="E1392" s="14">
        <v>50</v>
      </c>
      <c r="F1392" s="23">
        <v>11</v>
      </c>
      <c r="G1392" s="17">
        <v>0.35124648940677961</v>
      </c>
      <c r="H1392" s="4" t="s">
        <v>124</v>
      </c>
      <c r="I1392" s="14"/>
    </row>
    <row r="1393" spans="1:9" x14ac:dyDescent="0.25">
      <c r="A1393" s="14">
        <v>2013</v>
      </c>
      <c r="B1393" s="14">
        <v>189</v>
      </c>
      <c r="C1393" s="20">
        <v>41463</v>
      </c>
      <c r="D1393" s="16">
        <v>0.61805555555555558</v>
      </c>
      <c r="E1393" s="14">
        <v>50</v>
      </c>
      <c r="F1393" s="23">
        <v>12</v>
      </c>
      <c r="G1393" s="17">
        <v>0.34364693432203391</v>
      </c>
      <c r="H1393" s="4" t="s">
        <v>124</v>
      </c>
      <c r="I1393" s="14"/>
    </row>
    <row r="1394" spans="1:9" x14ac:dyDescent="0.25">
      <c r="A1394" s="14">
        <v>2013</v>
      </c>
      <c r="B1394" s="14">
        <v>189</v>
      </c>
      <c r="C1394" s="20">
        <v>41463</v>
      </c>
      <c r="D1394" s="16">
        <v>0.62916666666666665</v>
      </c>
      <c r="E1394" s="14">
        <v>50</v>
      </c>
      <c r="F1394" s="23">
        <v>13</v>
      </c>
      <c r="G1394" s="17">
        <v>0.34058408333333334</v>
      </c>
      <c r="H1394" s="4" t="s">
        <v>124</v>
      </c>
      <c r="I1394" s="14"/>
    </row>
    <row r="1395" spans="1:9" x14ac:dyDescent="0.25">
      <c r="A1395" s="14">
        <v>2013</v>
      </c>
      <c r="B1395" s="14">
        <v>189</v>
      </c>
      <c r="C1395" s="20">
        <v>41463</v>
      </c>
      <c r="D1395" s="16">
        <v>0.63611111111111118</v>
      </c>
      <c r="E1395" s="14">
        <v>50</v>
      </c>
      <c r="F1395" s="23">
        <v>14</v>
      </c>
      <c r="G1395" s="17">
        <v>0.34645646680790959</v>
      </c>
      <c r="H1395" s="4" t="s">
        <v>124</v>
      </c>
      <c r="I1395" s="14"/>
    </row>
    <row r="1396" spans="1:9" x14ac:dyDescent="0.25">
      <c r="A1396" s="14">
        <v>2013</v>
      </c>
      <c r="B1396" s="14">
        <v>189</v>
      </c>
      <c r="C1396" s="20">
        <v>41463</v>
      </c>
      <c r="D1396" s="16">
        <v>0.64236111111111105</v>
      </c>
      <c r="E1396" s="14">
        <v>50</v>
      </c>
      <c r="F1396" s="23">
        <v>15</v>
      </c>
      <c r="G1396" s="17">
        <v>0.27674782062146891</v>
      </c>
      <c r="H1396" s="4" t="s">
        <v>1</v>
      </c>
      <c r="I1396" s="14"/>
    </row>
    <row r="1397" spans="1:9" x14ac:dyDescent="0.25">
      <c r="A1397" s="14">
        <v>2013</v>
      </c>
      <c r="B1397" s="14">
        <v>189</v>
      </c>
      <c r="C1397" s="20">
        <v>41463</v>
      </c>
      <c r="D1397" s="16">
        <v>0.64722222222222225</v>
      </c>
      <c r="E1397" s="14">
        <v>50</v>
      </c>
      <c r="F1397" s="23">
        <v>16</v>
      </c>
      <c r="G1397" s="17">
        <v>0.29535521610169485</v>
      </c>
      <c r="H1397" s="4" t="s">
        <v>1</v>
      </c>
      <c r="I1397" s="14"/>
    </row>
    <row r="1398" spans="1:9" x14ac:dyDescent="0.25">
      <c r="A1398" s="14">
        <v>2013</v>
      </c>
      <c r="B1398" s="14">
        <v>189</v>
      </c>
      <c r="C1398" s="20">
        <v>41463</v>
      </c>
      <c r="D1398" s="16">
        <v>0.65277777777777779</v>
      </c>
      <c r="E1398" s="14">
        <v>50</v>
      </c>
      <c r="F1398" s="23">
        <v>17</v>
      </c>
      <c r="G1398" s="17">
        <v>0.34984172316384177</v>
      </c>
      <c r="H1398" s="4" t="s">
        <v>124</v>
      </c>
      <c r="I1398" s="14"/>
    </row>
    <row r="1399" spans="1:9" x14ac:dyDescent="0.25">
      <c r="A1399" s="14">
        <v>2013</v>
      </c>
      <c r="B1399" s="14">
        <v>189</v>
      </c>
      <c r="C1399" s="20">
        <v>41463</v>
      </c>
      <c r="D1399" s="16">
        <v>0.65347222222222223</v>
      </c>
      <c r="E1399" s="14">
        <v>50</v>
      </c>
      <c r="F1399" s="23">
        <v>18</v>
      </c>
      <c r="G1399" s="17">
        <v>0.34452203460451974</v>
      </c>
      <c r="H1399" s="4" t="s">
        <v>124</v>
      </c>
      <c r="I1399" s="14"/>
    </row>
    <row r="1400" spans="1:9" x14ac:dyDescent="0.25">
      <c r="A1400" s="14">
        <v>2013</v>
      </c>
      <c r="B1400" s="14">
        <v>189</v>
      </c>
      <c r="C1400" s="20">
        <v>41463</v>
      </c>
      <c r="D1400" s="16">
        <v>0.65972222222222221</v>
      </c>
      <c r="E1400" s="14">
        <v>50</v>
      </c>
      <c r="F1400" s="23">
        <v>19</v>
      </c>
      <c r="G1400" s="17">
        <v>0.33549468432203389</v>
      </c>
      <c r="H1400" s="4" t="s">
        <v>124</v>
      </c>
      <c r="I1400" s="14"/>
    </row>
    <row r="1401" spans="1:9" x14ac:dyDescent="0.25">
      <c r="A1401" s="14">
        <v>2013</v>
      </c>
      <c r="B1401" s="14">
        <v>189</v>
      </c>
      <c r="C1401" s="20">
        <v>41463</v>
      </c>
      <c r="D1401" s="16">
        <v>0.67083333333333339</v>
      </c>
      <c r="E1401" s="14">
        <v>50</v>
      </c>
      <c r="F1401" s="23">
        <v>20</v>
      </c>
      <c r="G1401" s="17">
        <v>0.3524900529661017</v>
      </c>
      <c r="H1401" s="4" t="s">
        <v>124</v>
      </c>
      <c r="I1401" s="14"/>
    </row>
    <row r="1402" spans="1:9" x14ac:dyDescent="0.25">
      <c r="A1402" s="14">
        <v>2013</v>
      </c>
      <c r="B1402" s="14">
        <v>189</v>
      </c>
      <c r="C1402" s="20">
        <v>41463</v>
      </c>
      <c r="D1402" s="16">
        <v>0.54236111111111118</v>
      </c>
      <c r="E1402" s="14">
        <v>30</v>
      </c>
      <c r="F1402" s="23">
        <v>1</v>
      </c>
      <c r="G1402" s="17">
        <v>0.30714604096045195</v>
      </c>
      <c r="H1402" s="4" t="s">
        <v>123</v>
      </c>
      <c r="I1402" s="14"/>
    </row>
    <row r="1403" spans="1:9" x14ac:dyDescent="0.25">
      <c r="A1403" s="14">
        <v>2013</v>
      </c>
      <c r="B1403" s="14">
        <v>189</v>
      </c>
      <c r="C1403" s="20">
        <v>41463</v>
      </c>
      <c r="D1403" s="16">
        <v>0.54861111111111105</v>
      </c>
      <c r="E1403" s="14">
        <v>30</v>
      </c>
      <c r="F1403" s="23">
        <v>2</v>
      </c>
      <c r="G1403" s="17">
        <v>0.30583339053672315</v>
      </c>
      <c r="H1403" s="4" t="s">
        <v>123</v>
      </c>
      <c r="I1403" s="14"/>
    </row>
    <row r="1404" spans="1:9" x14ac:dyDescent="0.25">
      <c r="A1404" s="14">
        <v>2013</v>
      </c>
      <c r="B1404" s="14">
        <v>189</v>
      </c>
      <c r="C1404" s="20">
        <v>41463</v>
      </c>
      <c r="D1404" s="16">
        <v>0.5625</v>
      </c>
      <c r="E1404" s="14">
        <v>30</v>
      </c>
      <c r="F1404" s="23">
        <v>3</v>
      </c>
      <c r="G1404" s="17">
        <v>0.31668002824858754</v>
      </c>
      <c r="H1404" s="4" t="s">
        <v>123</v>
      </c>
      <c r="I1404" s="14"/>
    </row>
    <row r="1405" spans="1:9" x14ac:dyDescent="0.25">
      <c r="A1405" s="14">
        <v>2013</v>
      </c>
      <c r="B1405" s="14">
        <v>189</v>
      </c>
      <c r="C1405" s="20">
        <v>41463</v>
      </c>
      <c r="D1405" s="16">
        <v>0.56944444444444442</v>
      </c>
      <c r="E1405" s="14">
        <v>30</v>
      </c>
      <c r="F1405" s="23">
        <v>4</v>
      </c>
      <c r="G1405" s="17">
        <v>0.30233298940677966</v>
      </c>
      <c r="H1405" s="4" t="s">
        <v>123</v>
      </c>
      <c r="I1405" s="14"/>
    </row>
    <row r="1406" spans="1:9" x14ac:dyDescent="0.25">
      <c r="A1406" s="14">
        <v>2013</v>
      </c>
      <c r="B1406" s="14">
        <v>189</v>
      </c>
      <c r="C1406" s="20">
        <v>41463</v>
      </c>
      <c r="D1406" s="16">
        <v>0.57638888888888895</v>
      </c>
      <c r="E1406" s="14">
        <v>30</v>
      </c>
      <c r="F1406" s="23">
        <v>5</v>
      </c>
      <c r="G1406" s="17">
        <v>0.28093909039548021</v>
      </c>
      <c r="H1406" s="4" t="s">
        <v>0</v>
      </c>
      <c r="I1406" s="14"/>
    </row>
    <row r="1407" spans="1:9" x14ac:dyDescent="0.25">
      <c r="A1407" s="14">
        <v>2013</v>
      </c>
      <c r="B1407" s="14">
        <v>189</v>
      </c>
      <c r="C1407" s="20">
        <v>41463</v>
      </c>
      <c r="D1407" s="16">
        <v>0.58124999999999993</v>
      </c>
      <c r="E1407" s="14">
        <v>30</v>
      </c>
      <c r="F1407" s="23">
        <v>6</v>
      </c>
      <c r="G1407" s="17">
        <v>0.28192933545197735</v>
      </c>
      <c r="H1407" s="4" t="s">
        <v>0</v>
      </c>
      <c r="I1407" s="14"/>
    </row>
    <row r="1408" spans="1:9" x14ac:dyDescent="0.25">
      <c r="A1408" s="14">
        <v>2013</v>
      </c>
      <c r="B1408" s="14">
        <v>189</v>
      </c>
      <c r="C1408" s="20">
        <v>41463</v>
      </c>
      <c r="D1408" s="16">
        <v>0.58680555555555558</v>
      </c>
      <c r="E1408" s="14">
        <v>30</v>
      </c>
      <c r="F1408" s="23">
        <v>7</v>
      </c>
      <c r="G1408" s="17">
        <v>0.32729637641242937</v>
      </c>
      <c r="H1408" s="4" t="s">
        <v>123</v>
      </c>
      <c r="I1408" s="14"/>
    </row>
    <row r="1409" spans="1:9" x14ac:dyDescent="0.25">
      <c r="A1409" s="14">
        <v>2013</v>
      </c>
      <c r="B1409" s="14">
        <v>189</v>
      </c>
      <c r="C1409" s="20">
        <v>41463</v>
      </c>
      <c r="D1409" s="16">
        <v>0.59236111111111112</v>
      </c>
      <c r="E1409" s="14">
        <v>30</v>
      </c>
      <c r="F1409" s="23">
        <v>8</v>
      </c>
      <c r="G1409" s="17">
        <v>0.32706608686440675</v>
      </c>
      <c r="H1409" s="4" t="s">
        <v>123</v>
      </c>
      <c r="I1409" s="14"/>
    </row>
    <row r="1410" spans="1:9" x14ac:dyDescent="0.25">
      <c r="A1410" s="14">
        <v>2013</v>
      </c>
      <c r="B1410" s="14">
        <v>189</v>
      </c>
      <c r="C1410" s="20">
        <v>41463</v>
      </c>
      <c r="D1410" s="16">
        <v>0.59861111111111109</v>
      </c>
      <c r="E1410" s="14">
        <v>30</v>
      </c>
      <c r="F1410" s="23">
        <v>9</v>
      </c>
      <c r="G1410" s="17">
        <v>0.32310510663841802</v>
      </c>
      <c r="H1410" s="4" t="s">
        <v>123</v>
      </c>
      <c r="I1410" s="14"/>
    </row>
    <row r="1411" spans="1:9" x14ac:dyDescent="0.25">
      <c r="A1411" s="14">
        <v>2013</v>
      </c>
      <c r="B1411" s="14">
        <v>189</v>
      </c>
      <c r="C1411" s="20">
        <v>41463</v>
      </c>
      <c r="D1411" s="16">
        <v>0.60416666666666663</v>
      </c>
      <c r="E1411" s="14">
        <v>30</v>
      </c>
      <c r="F1411" s="23">
        <v>10</v>
      </c>
      <c r="G1411" s="17">
        <v>0.31532131991525425</v>
      </c>
      <c r="H1411" s="4" t="s">
        <v>123</v>
      </c>
      <c r="I1411" s="14"/>
    </row>
    <row r="1412" spans="1:9" x14ac:dyDescent="0.25">
      <c r="A1412" s="14">
        <v>2013</v>
      </c>
      <c r="B1412" s="14">
        <v>189</v>
      </c>
      <c r="C1412" s="20">
        <v>41463</v>
      </c>
      <c r="D1412" s="16">
        <v>0.6118055555555556</v>
      </c>
      <c r="E1412" s="14">
        <v>30</v>
      </c>
      <c r="F1412" s="23">
        <v>11</v>
      </c>
      <c r="G1412" s="17">
        <v>0.29894773305084743</v>
      </c>
      <c r="H1412" s="4" t="s">
        <v>124</v>
      </c>
      <c r="I1412" s="14"/>
    </row>
    <row r="1413" spans="1:9" x14ac:dyDescent="0.25">
      <c r="A1413" s="14">
        <v>2013</v>
      </c>
      <c r="B1413" s="14">
        <v>189</v>
      </c>
      <c r="C1413" s="20">
        <v>41463</v>
      </c>
      <c r="D1413" s="16">
        <v>0.61805555555555558</v>
      </c>
      <c r="E1413" s="14">
        <v>30</v>
      </c>
      <c r="F1413" s="23">
        <v>12</v>
      </c>
      <c r="G1413" s="17">
        <v>0.28319592796610166</v>
      </c>
      <c r="H1413" s="4" t="s">
        <v>124</v>
      </c>
      <c r="I1413" s="14"/>
    </row>
    <row r="1414" spans="1:9" x14ac:dyDescent="0.25">
      <c r="A1414" s="14">
        <v>2013</v>
      </c>
      <c r="B1414" s="14">
        <v>189</v>
      </c>
      <c r="C1414" s="20">
        <v>41463</v>
      </c>
      <c r="D1414" s="16">
        <v>0.62916666666666665</v>
      </c>
      <c r="E1414" s="14">
        <v>30</v>
      </c>
      <c r="F1414" s="23">
        <v>13</v>
      </c>
      <c r="G1414" s="17">
        <v>0.30364563983050846</v>
      </c>
      <c r="H1414" s="4" t="s">
        <v>124</v>
      </c>
      <c r="I1414" s="14"/>
    </row>
    <row r="1415" spans="1:9" x14ac:dyDescent="0.25">
      <c r="A1415" s="14">
        <v>2013</v>
      </c>
      <c r="B1415" s="14">
        <v>189</v>
      </c>
      <c r="C1415" s="20">
        <v>41463</v>
      </c>
      <c r="D1415" s="16">
        <v>0.63611111111111118</v>
      </c>
      <c r="E1415" s="14">
        <v>30</v>
      </c>
      <c r="F1415" s="23">
        <v>14</v>
      </c>
      <c r="G1415" s="17">
        <v>0.28998946963276834</v>
      </c>
      <c r="H1415" s="4" t="s">
        <v>124</v>
      </c>
      <c r="I1415" s="14"/>
    </row>
    <row r="1416" spans="1:9" x14ac:dyDescent="0.25">
      <c r="A1416" s="14">
        <v>2013</v>
      </c>
      <c r="B1416" s="14">
        <v>189</v>
      </c>
      <c r="C1416" s="20">
        <v>41463</v>
      </c>
      <c r="D1416" s="16">
        <v>0.64236111111111105</v>
      </c>
      <c r="E1416" s="14">
        <v>30</v>
      </c>
      <c r="F1416" s="23">
        <v>15</v>
      </c>
      <c r="G1416" s="17">
        <v>0.27409949081920898</v>
      </c>
      <c r="H1416" s="4" t="s">
        <v>1</v>
      </c>
      <c r="I1416" s="14"/>
    </row>
    <row r="1417" spans="1:9" x14ac:dyDescent="0.25">
      <c r="A1417" s="14">
        <v>2013</v>
      </c>
      <c r="B1417" s="14">
        <v>189</v>
      </c>
      <c r="C1417" s="20">
        <v>41463</v>
      </c>
      <c r="D1417" s="16">
        <v>0.64722222222222225</v>
      </c>
      <c r="E1417" s="14">
        <v>30</v>
      </c>
      <c r="F1417" s="23">
        <v>16</v>
      </c>
      <c r="G1417" s="17">
        <v>0.28411708615819209</v>
      </c>
      <c r="H1417" s="4" t="s">
        <v>1</v>
      </c>
      <c r="I1417" s="14"/>
    </row>
    <row r="1418" spans="1:9" x14ac:dyDescent="0.25">
      <c r="A1418" s="14">
        <v>2013</v>
      </c>
      <c r="B1418" s="14">
        <v>189</v>
      </c>
      <c r="C1418" s="20">
        <v>41463</v>
      </c>
      <c r="D1418" s="16">
        <v>0.65277777777777779</v>
      </c>
      <c r="E1418" s="14">
        <v>30</v>
      </c>
      <c r="F1418" s="23">
        <v>17</v>
      </c>
      <c r="G1418" s="17">
        <v>0.31306448234463274</v>
      </c>
      <c r="H1418" s="4" t="s">
        <v>124</v>
      </c>
      <c r="I1418" s="14"/>
    </row>
    <row r="1419" spans="1:9" x14ac:dyDescent="0.25">
      <c r="A1419" s="14">
        <v>2013</v>
      </c>
      <c r="B1419" s="14">
        <v>189</v>
      </c>
      <c r="C1419" s="20">
        <v>41463</v>
      </c>
      <c r="D1419" s="16">
        <v>0.65347222222222223</v>
      </c>
      <c r="E1419" s="14">
        <v>30</v>
      </c>
      <c r="F1419" s="23">
        <v>18</v>
      </c>
      <c r="G1419" s="17">
        <v>0.32024951624293779</v>
      </c>
      <c r="H1419" s="4" t="s">
        <v>124</v>
      </c>
      <c r="I1419" s="14"/>
    </row>
    <row r="1420" spans="1:9" x14ac:dyDescent="0.25">
      <c r="A1420" s="14">
        <v>2013</v>
      </c>
      <c r="B1420" s="14">
        <v>189</v>
      </c>
      <c r="C1420" s="20">
        <v>41463</v>
      </c>
      <c r="D1420" s="16">
        <v>0.65972222222222221</v>
      </c>
      <c r="E1420" s="14">
        <v>30</v>
      </c>
      <c r="F1420" s="23">
        <v>19</v>
      </c>
      <c r="G1420" s="17">
        <v>0.28835441384180788</v>
      </c>
      <c r="H1420" s="4" t="s">
        <v>124</v>
      </c>
      <c r="I1420" s="14"/>
    </row>
    <row r="1421" spans="1:9" x14ac:dyDescent="0.25">
      <c r="A1421" s="14">
        <v>2013</v>
      </c>
      <c r="B1421" s="14">
        <v>189</v>
      </c>
      <c r="C1421" s="20">
        <v>41463</v>
      </c>
      <c r="D1421" s="16">
        <v>0.67083333333333339</v>
      </c>
      <c r="E1421" s="14">
        <v>30</v>
      </c>
      <c r="F1421" s="23">
        <v>20</v>
      </c>
      <c r="G1421" s="17">
        <v>0.31138336864406779</v>
      </c>
      <c r="H1421" s="4" t="s">
        <v>124</v>
      </c>
      <c r="I1421" s="14"/>
    </row>
    <row r="1422" spans="1:9" x14ac:dyDescent="0.25">
      <c r="A1422" s="14">
        <v>2013</v>
      </c>
      <c r="B1422" s="14">
        <v>189</v>
      </c>
      <c r="C1422" s="20">
        <v>41463</v>
      </c>
      <c r="D1422" s="16">
        <v>0.54236111111111118</v>
      </c>
      <c r="E1422" s="14">
        <v>10</v>
      </c>
      <c r="F1422" s="23">
        <v>1</v>
      </c>
      <c r="G1422" s="17">
        <v>0.27947792766343826</v>
      </c>
      <c r="H1422" s="4" t="s">
        <v>123</v>
      </c>
      <c r="I1422" s="14"/>
    </row>
    <row r="1423" spans="1:9" x14ac:dyDescent="0.25">
      <c r="A1423" s="14">
        <v>2013</v>
      </c>
      <c r="B1423" s="14">
        <v>189</v>
      </c>
      <c r="C1423" s="20">
        <v>41463</v>
      </c>
      <c r="D1423" s="16">
        <v>0.54861111111111105</v>
      </c>
      <c r="E1423" s="14">
        <v>10</v>
      </c>
      <c r="F1423" s="23">
        <v>2</v>
      </c>
      <c r="G1423" s="17">
        <v>0.28813952360774819</v>
      </c>
      <c r="H1423" s="4" t="s">
        <v>123</v>
      </c>
      <c r="I1423" s="14"/>
    </row>
    <row r="1424" spans="1:9" x14ac:dyDescent="0.25">
      <c r="A1424" s="14">
        <v>2013</v>
      </c>
      <c r="B1424" s="14">
        <v>189</v>
      </c>
      <c r="C1424" s="20">
        <v>41463</v>
      </c>
      <c r="D1424" s="16">
        <v>0.5625</v>
      </c>
      <c r="E1424" s="14">
        <v>10</v>
      </c>
      <c r="F1424" s="23">
        <v>3</v>
      </c>
      <c r="G1424" s="17">
        <v>0.29780424424939467</v>
      </c>
      <c r="H1424" s="4" t="s">
        <v>123</v>
      </c>
      <c r="I1424" s="14"/>
    </row>
    <row r="1425" spans="1:9" x14ac:dyDescent="0.25">
      <c r="A1425" s="14">
        <v>2013</v>
      </c>
      <c r="B1425" s="14">
        <v>189</v>
      </c>
      <c r="C1425" s="20">
        <v>41463</v>
      </c>
      <c r="D1425" s="16">
        <v>0.56944444444444442</v>
      </c>
      <c r="E1425" s="14">
        <v>10</v>
      </c>
      <c r="F1425" s="23">
        <v>4</v>
      </c>
      <c r="G1425" s="17">
        <v>0.25621315102905567</v>
      </c>
      <c r="H1425" s="4" t="s">
        <v>123</v>
      </c>
      <c r="I1425" s="14"/>
    </row>
    <row r="1426" spans="1:9" x14ac:dyDescent="0.25">
      <c r="A1426" s="14">
        <v>2013</v>
      </c>
      <c r="B1426" s="14">
        <v>189</v>
      </c>
      <c r="C1426" s="20">
        <v>41463</v>
      </c>
      <c r="D1426" s="16">
        <v>0.57638888888888895</v>
      </c>
      <c r="E1426" s="14">
        <v>10</v>
      </c>
      <c r="F1426" s="23">
        <v>5</v>
      </c>
      <c r="G1426" s="17">
        <v>0.26570425393462466</v>
      </c>
      <c r="H1426" s="4" t="s">
        <v>0</v>
      </c>
      <c r="I1426" s="14"/>
    </row>
    <row r="1427" spans="1:9" x14ac:dyDescent="0.25">
      <c r="A1427" s="14">
        <v>2013</v>
      </c>
      <c r="B1427" s="14">
        <v>189</v>
      </c>
      <c r="C1427" s="20">
        <v>41463</v>
      </c>
      <c r="D1427" s="16">
        <v>0.58124999999999993</v>
      </c>
      <c r="E1427" s="14">
        <v>10</v>
      </c>
      <c r="F1427" s="23">
        <v>6</v>
      </c>
      <c r="G1427" s="17">
        <v>0.24461934443099276</v>
      </c>
      <c r="H1427" s="4" t="s">
        <v>0</v>
      </c>
      <c r="I1427" s="14"/>
    </row>
    <row r="1428" spans="1:9" x14ac:dyDescent="0.25">
      <c r="A1428" s="14">
        <v>2013</v>
      </c>
      <c r="B1428" s="14">
        <v>189</v>
      </c>
      <c r="C1428" s="20">
        <v>41463</v>
      </c>
      <c r="D1428" s="16">
        <v>0.58680555555555558</v>
      </c>
      <c r="E1428" s="14">
        <v>10</v>
      </c>
      <c r="F1428" s="23">
        <v>7</v>
      </c>
      <c r="G1428" s="17">
        <v>0.30247263226392251</v>
      </c>
      <c r="H1428" s="4" t="s">
        <v>123</v>
      </c>
      <c r="I1428" s="14"/>
    </row>
    <row r="1429" spans="1:9" x14ac:dyDescent="0.25">
      <c r="A1429" s="14">
        <v>2013</v>
      </c>
      <c r="B1429" s="14">
        <v>189</v>
      </c>
      <c r="C1429" s="20">
        <v>41463</v>
      </c>
      <c r="D1429" s="16">
        <v>0.59236111111111112</v>
      </c>
      <c r="E1429" s="14">
        <v>10</v>
      </c>
      <c r="F1429" s="23">
        <v>8</v>
      </c>
      <c r="G1429" s="17">
        <v>0.2935409642857143</v>
      </c>
      <c r="H1429" s="4" t="s">
        <v>123</v>
      </c>
      <c r="I1429" s="14"/>
    </row>
    <row r="1430" spans="1:9" x14ac:dyDescent="0.25">
      <c r="A1430" s="14">
        <v>2013</v>
      </c>
      <c r="B1430" s="14">
        <v>189</v>
      </c>
      <c r="C1430" s="20">
        <v>41463</v>
      </c>
      <c r="D1430" s="16">
        <v>0.59861111111111109</v>
      </c>
      <c r="E1430" s="14">
        <v>10</v>
      </c>
      <c r="F1430" s="23">
        <v>9</v>
      </c>
      <c r="G1430" s="17">
        <v>0.28181212167070219</v>
      </c>
      <c r="H1430" s="4" t="s">
        <v>123</v>
      </c>
      <c r="I1430" s="14"/>
    </row>
    <row r="1431" spans="1:9" x14ac:dyDescent="0.25">
      <c r="A1431" s="14">
        <v>2013</v>
      </c>
      <c r="B1431" s="14">
        <v>189</v>
      </c>
      <c r="C1431" s="20">
        <v>41463</v>
      </c>
      <c r="D1431" s="16">
        <v>0.60416666666666663</v>
      </c>
      <c r="E1431" s="14">
        <v>10</v>
      </c>
      <c r="F1431" s="23">
        <v>10</v>
      </c>
      <c r="G1431" s="17">
        <v>0.26688099636803875</v>
      </c>
      <c r="H1431" s="4" t="s">
        <v>123</v>
      </c>
      <c r="I1431" s="14"/>
    </row>
    <row r="1432" spans="1:9" x14ac:dyDescent="0.25">
      <c r="A1432" s="14">
        <v>2013</v>
      </c>
      <c r="B1432" s="14">
        <v>189</v>
      </c>
      <c r="C1432" s="20">
        <v>41463</v>
      </c>
      <c r="D1432" s="16">
        <v>0.6118055555555556</v>
      </c>
      <c r="E1432" s="14">
        <v>10</v>
      </c>
      <c r="F1432" s="23">
        <v>11</v>
      </c>
      <c r="G1432" s="17">
        <v>0.2428252944915254</v>
      </c>
      <c r="H1432" s="4" t="s">
        <v>124</v>
      </c>
      <c r="I1432" s="14"/>
    </row>
    <row r="1433" spans="1:9" x14ac:dyDescent="0.25">
      <c r="A1433" s="14">
        <v>2013</v>
      </c>
      <c r="B1433" s="14">
        <v>189</v>
      </c>
      <c r="C1433" s="20">
        <v>41463</v>
      </c>
      <c r="D1433" s="16">
        <v>0.61805555555555558</v>
      </c>
      <c r="E1433" s="14">
        <v>10</v>
      </c>
      <c r="F1433" s="23">
        <v>12</v>
      </c>
      <c r="G1433" s="17">
        <v>0.24357763801452781</v>
      </c>
      <c r="H1433" s="4" t="s">
        <v>124</v>
      </c>
      <c r="I1433" s="14"/>
    </row>
    <row r="1434" spans="1:9" x14ac:dyDescent="0.25">
      <c r="A1434" s="14">
        <v>2013</v>
      </c>
      <c r="B1434" s="14">
        <v>189</v>
      </c>
      <c r="C1434" s="20">
        <v>41463</v>
      </c>
      <c r="D1434" s="16">
        <v>0.62916666666666665</v>
      </c>
      <c r="E1434" s="14">
        <v>10</v>
      </c>
      <c r="F1434" s="23">
        <v>13</v>
      </c>
      <c r="G1434" s="17">
        <v>0.27301548970944312</v>
      </c>
      <c r="H1434" s="4" t="s">
        <v>124</v>
      </c>
      <c r="I1434" s="14"/>
    </row>
    <row r="1435" spans="1:9" x14ac:dyDescent="0.25">
      <c r="A1435" s="14">
        <v>2013</v>
      </c>
      <c r="B1435" s="14">
        <v>189</v>
      </c>
      <c r="C1435" s="20">
        <v>41463</v>
      </c>
      <c r="D1435" s="16">
        <v>0.63611111111111118</v>
      </c>
      <c r="E1435" s="14">
        <v>10</v>
      </c>
      <c r="F1435" s="23">
        <v>14</v>
      </c>
      <c r="G1435" s="17">
        <v>0.23449164315980631</v>
      </c>
      <c r="H1435" s="4" t="s">
        <v>124</v>
      </c>
      <c r="I1435" s="14"/>
    </row>
    <row r="1436" spans="1:9" x14ac:dyDescent="0.25">
      <c r="A1436" s="14">
        <v>2013</v>
      </c>
      <c r="B1436" s="14">
        <v>189</v>
      </c>
      <c r="C1436" s="20">
        <v>41463</v>
      </c>
      <c r="D1436" s="16">
        <v>0.64236111111111105</v>
      </c>
      <c r="E1436" s="14">
        <v>10</v>
      </c>
      <c r="F1436" s="23">
        <v>15</v>
      </c>
      <c r="G1436" s="17">
        <v>0.24367409231234866</v>
      </c>
      <c r="H1436" s="4" t="s">
        <v>1</v>
      </c>
      <c r="I1436" s="14"/>
    </row>
    <row r="1437" spans="1:9" x14ac:dyDescent="0.25">
      <c r="A1437" s="14">
        <v>2013</v>
      </c>
      <c r="B1437" s="14">
        <v>189</v>
      </c>
      <c r="C1437" s="20">
        <v>41463</v>
      </c>
      <c r="D1437" s="16">
        <v>0.64722222222222225</v>
      </c>
      <c r="E1437" s="14">
        <v>10</v>
      </c>
      <c r="F1437" s="23">
        <v>16</v>
      </c>
      <c r="G1437" s="17">
        <v>0.24224656870460048</v>
      </c>
      <c r="H1437" s="4" t="s">
        <v>1</v>
      </c>
      <c r="I1437" s="14"/>
    </row>
    <row r="1438" spans="1:9" x14ac:dyDescent="0.25">
      <c r="A1438" s="14">
        <v>2013</v>
      </c>
      <c r="B1438" s="14">
        <v>189</v>
      </c>
      <c r="C1438" s="20">
        <v>41463</v>
      </c>
      <c r="D1438" s="16">
        <v>0.65277777777777779</v>
      </c>
      <c r="E1438" s="14">
        <v>10</v>
      </c>
      <c r="F1438" s="23">
        <v>17</v>
      </c>
      <c r="G1438" s="17">
        <v>0.26352438680387408</v>
      </c>
      <c r="H1438" s="4" t="s">
        <v>124</v>
      </c>
      <c r="I1438" s="14"/>
    </row>
    <row r="1439" spans="1:9" x14ac:dyDescent="0.25">
      <c r="A1439" s="14">
        <v>2013</v>
      </c>
      <c r="B1439" s="14">
        <v>189</v>
      </c>
      <c r="C1439" s="20">
        <v>41463</v>
      </c>
      <c r="D1439" s="16">
        <v>0.65347222222222223</v>
      </c>
      <c r="E1439" s="14">
        <v>10</v>
      </c>
      <c r="F1439" s="23">
        <v>18</v>
      </c>
      <c r="G1439" s="17">
        <v>0.24510161592009683</v>
      </c>
      <c r="H1439" s="4" t="s">
        <v>124</v>
      </c>
      <c r="I1439" s="14"/>
    </row>
    <row r="1440" spans="1:9" x14ac:dyDescent="0.25">
      <c r="A1440" s="14">
        <v>2013</v>
      </c>
      <c r="B1440" s="14">
        <v>189</v>
      </c>
      <c r="C1440" s="20">
        <v>41463</v>
      </c>
      <c r="D1440" s="16">
        <v>0.65972222222222221</v>
      </c>
      <c r="E1440" s="14">
        <v>10</v>
      </c>
      <c r="F1440" s="23">
        <v>19</v>
      </c>
      <c r="G1440" s="17">
        <v>0.22370805266343829</v>
      </c>
      <c r="H1440" s="4" t="s">
        <v>124</v>
      </c>
      <c r="I1440" s="14"/>
    </row>
    <row r="1441" spans="1:9" x14ac:dyDescent="0.25">
      <c r="A1441" s="14">
        <v>2013</v>
      </c>
      <c r="B1441" s="14">
        <v>189</v>
      </c>
      <c r="C1441" s="20">
        <v>41463</v>
      </c>
      <c r="D1441" s="16">
        <v>0.67083333333333339</v>
      </c>
      <c r="E1441" s="14">
        <v>10</v>
      </c>
      <c r="F1441" s="23">
        <v>20</v>
      </c>
      <c r="G1441" s="17">
        <v>0.22465330478208229</v>
      </c>
      <c r="H1441" s="4" t="s">
        <v>124</v>
      </c>
      <c r="I1441" s="14"/>
    </row>
    <row r="1442" spans="1:9" x14ac:dyDescent="0.25">
      <c r="A1442" s="14">
        <v>2013</v>
      </c>
      <c r="B1442" s="14">
        <v>197</v>
      </c>
      <c r="C1442" s="20">
        <v>41471</v>
      </c>
      <c r="D1442" s="16">
        <v>0.5444444444444444</v>
      </c>
      <c r="E1442" s="14">
        <v>230</v>
      </c>
      <c r="F1442" s="23">
        <v>1</v>
      </c>
      <c r="G1442" s="17">
        <v>0.29955778954802259</v>
      </c>
      <c r="H1442" s="4" t="s">
        <v>123</v>
      </c>
      <c r="I1442" s="14"/>
    </row>
    <row r="1443" spans="1:9" x14ac:dyDescent="0.25">
      <c r="A1443" s="14">
        <v>2013</v>
      </c>
      <c r="B1443" s="14">
        <v>197</v>
      </c>
      <c r="C1443" s="20">
        <v>41471</v>
      </c>
      <c r="D1443" s="16">
        <v>0.55069444444444449</v>
      </c>
      <c r="E1443" s="14">
        <v>230</v>
      </c>
      <c r="F1443" s="23">
        <v>2</v>
      </c>
      <c r="G1443" s="17">
        <v>0.30186770621468928</v>
      </c>
      <c r="H1443" s="4" t="s">
        <v>123</v>
      </c>
      <c r="I1443" s="14"/>
    </row>
    <row r="1444" spans="1:9" x14ac:dyDescent="0.25">
      <c r="A1444" s="14">
        <v>2013</v>
      </c>
      <c r="B1444" s="14">
        <v>197</v>
      </c>
      <c r="C1444" s="20">
        <v>41471</v>
      </c>
      <c r="D1444" s="16">
        <v>0.55694444444444446</v>
      </c>
      <c r="E1444" s="14">
        <v>230</v>
      </c>
      <c r="F1444" s="23">
        <v>3</v>
      </c>
      <c r="G1444" s="17">
        <v>0.28417139548022596</v>
      </c>
      <c r="H1444" s="4" t="s">
        <v>123</v>
      </c>
      <c r="I1444" s="14"/>
    </row>
    <row r="1445" spans="1:9" x14ac:dyDescent="0.25">
      <c r="A1445" s="14">
        <v>2013</v>
      </c>
      <c r="B1445" s="14">
        <v>197</v>
      </c>
      <c r="C1445" s="20">
        <v>41471</v>
      </c>
      <c r="D1445" s="16">
        <v>0.56319444444444444</v>
      </c>
      <c r="E1445" s="14">
        <v>230</v>
      </c>
      <c r="F1445" s="23">
        <v>4</v>
      </c>
      <c r="G1445" s="17">
        <v>0.28738178813559323</v>
      </c>
      <c r="H1445" s="4" t="s">
        <v>123</v>
      </c>
      <c r="I1445" s="14"/>
    </row>
    <row r="1446" spans="1:9" x14ac:dyDescent="0.25">
      <c r="A1446" s="14">
        <v>2013</v>
      </c>
      <c r="B1446" s="14">
        <v>197</v>
      </c>
      <c r="C1446" s="20">
        <v>41471</v>
      </c>
      <c r="D1446" s="16">
        <v>0.56944444444444442</v>
      </c>
      <c r="E1446" s="14">
        <v>230</v>
      </c>
      <c r="F1446" s="23">
        <v>5</v>
      </c>
      <c r="G1446" s="17" t="e">
        <v>#N/A</v>
      </c>
      <c r="H1446" s="4" t="s">
        <v>0</v>
      </c>
      <c r="I1446" s="14"/>
    </row>
    <row r="1447" spans="1:9" x14ac:dyDescent="0.25">
      <c r="A1447" s="14">
        <v>2013</v>
      </c>
      <c r="B1447" s="14">
        <v>197</v>
      </c>
      <c r="C1447" s="20">
        <v>41471</v>
      </c>
      <c r="D1447" s="16">
        <v>0.56944444444444442</v>
      </c>
      <c r="E1447" s="14">
        <v>230</v>
      </c>
      <c r="F1447" s="23">
        <v>6</v>
      </c>
      <c r="G1447" s="17" t="e">
        <v>#N/A</v>
      </c>
      <c r="H1447" s="4" t="s">
        <v>0</v>
      </c>
      <c r="I1447" s="14"/>
    </row>
    <row r="1448" spans="1:9" x14ac:dyDescent="0.25">
      <c r="A1448" s="14">
        <v>2013</v>
      </c>
      <c r="B1448" s="14">
        <v>197</v>
      </c>
      <c r="C1448" s="20">
        <v>41471</v>
      </c>
      <c r="D1448" s="16">
        <v>0.5805555555555556</v>
      </c>
      <c r="E1448" s="14">
        <v>230</v>
      </c>
      <c r="F1448" s="23">
        <v>7</v>
      </c>
      <c r="G1448" s="17">
        <v>0.28383861087570622</v>
      </c>
      <c r="H1448" s="4" t="s">
        <v>123</v>
      </c>
      <c r="I1448" s="14"/>
    </row>
    <row r="1449" spans="1:9" x14ac:dyDescent="0.25">
      <c r="A1449" s="14">
        <v>2013</v>
      </c>
      <c r="B1449" s="14">
        <v>197</v>
      </c>
      <c r="C1449" s="20">
        <v>41471</v>
      </c>
      <c r="D1449" s="16">
        <v>0.58611111111111114</v>
      </c>
      <c r="E1449" s="14">
        <v>230</v>
      </c>
      <c r="F1449" s="23">
        <v>8</v>
      </c>
      <c r="G1449" s="17">
        <v>0.31179251765536725</v>
      </c>
      <c r="H1449" s="4" t="s">
        <v>123</v>
      </c>
      <c r="I1449" s="14"/>
    </row>
    <row r="1450" spans="1:9" x14ac:dyDescent="0.25">
      <c r="A1450" s="14">
        <v>2013</v>
      </c>
      <c r="B1450" s="14">
        <v>197</v>
      </c>
      <c r="C1450" s="20">
        <v>41471</v>
      </c>
      <c r="D1450" s="16">
        <v>0.59236111111111112</v>
      </c>
      <c r="E1450" s="14">
        <v>230</v>
      </c>
      <c r="F1450" s="23">
        <v>9</v>
      </c>
      <c r="G1450" s="17">
        <v>0.30821018926553673</v>
      </c>
      <c r="H1450" s="4" t="s">
        <v>123</v>
      </c>
      <c r="I1450" s="14"/>
    </row>
    <row r="1451" spans="1:9" x14ac:dyDescent="0.25">
      <c r="A1451" s="14">
        <v>2013</v>
      </c>
      <c r="B1451" s="14">
        <v>197</v>
      </c>
      <c r="C1451" s="20">
        <v>41471</v>
      </c>
      <c r="D1451" s="16">
        <v>0.59861111111111109</v>
      </c>
      <c r="E1451" s="14">
        <v>230</v>
      </c>
      <c r="F1451" s="23">
        <v>10</v>
      </c>
      <c r="G1451" s="17">
        <v>0.26786494985875708</v>
      </c>
      <c r="H1451" s="4" t="s">
        <v>123</v>
      </c>
      <c r="I1451" s="14"/>
    </row>
    <row r="1452" spans="1:9" x14ac:dyDescent="0.25">
      <c r="A1452" s="14">
        <v>2013</v>
      </c>
      <c r="B1452" s="14">
        <v>197</v>
      </c>
      <c r="C1452" s="20">
        <v>41471</v>
      </c>
      <c r="D1452" s="16">
        <v>0.60902777777777783</v>
      </c>
      <c r="E1452" s="14">
        <v>230</v>
      </c>
      <c r="F1452" s="23">
        <v>11</v>
      </c>
      <c r="G1452" s="17">
        <v>0.30171110169491527</v>
      </c>
      <c r="H1452" s="4" t="s">
        <v>124</v>
      </c>
      <c r="I1452" s="14"/>
    </row>
    <row r="1453" spans="1:9" x14ac:dyDescent="0.25">
      <c r="A1453" s="14">
        <v>2013</v>
      </c>
      <c r="B1453" s="14">
        <v>197</v>
      </c>
      <c r="C1453" s="20">
        <v>41471</v>
      </c>
      <c r="D1453" s="16">
        <v>0.61527777777777781</v>
      </c>
      <c r="E1453" s="14">
        <v>230</v>
      </c>
      <c r="F1453" s="23">
        <v>12</v>
      </c>
      <c r="G1453" s="17">
        <v>0.30543045903954802</v>
      </c>
      <c r="H1453" s="4" t="s">
        <v>124</v>
      </c>
      <c r="I1453" s="14"/>
    </row>
    <row r="1454" spans="1:9" x14ac:dyDescent="0.25">
      <c r="A1454" s="14">
        <v>2013</v>
      </c>
      <c r="B1454" s="14">
        <v>197</v>
      </c>
      <c r="C1454" s="20">
        <v>41471</v>
      </c>
      <c r="D1454" s="16">
        <v>0.62152777777777779</v>
      </c>
      <c r="E1454" s="14">
        <v>230</v>
      </c>
      <c r="F1454" s="23">
        <v>13</v>
      </c>
      <c r="G1454" s="17">
        <v>0.29726744844632769</v>
      </c>
      <c r="H1454" s="4" t="s">
        <v>124</v>
      </c>
      <c r="I1454" s="14"/>
    </row>
    <row r="1455" spans="1:9" x14ac:dyDescent="0.25">
      <c r="A1455" s="14">
        <v>2013</v>
      </c>
      <c r="B1455" s="14">
        <v>197</v>
      </c>
      <c r="C1455" s="20">
        <v>41471</v>
      </c>
      <c r="D1455" s="16">
        <v>0.62708333333333333</v>
      </c>
      <c r="E1455" s="14">
        <v>230</v>
      </c>
      <c r="F1455" s="23">
        <v>14</v>
      </c>
      <c r="G1455" s="17">
        <v>0.291022843220339</v>
      </c>
      <c r="H1455" s="4" t="s">
        <v>124</v>
      </c>
      <c r="I1455" s="14"/>
    </row>
    <row r="1456" spans="1:9" x14ac:dyDescent="0.25">
      <c r="A1456" s="14">
        <v>2013</v>
      </c>
      <c r="B1456" s="14">
        <v>197</v>
      </c>
      <c r="C1456" s="20">
        <v>41471</v>
      </c>
      <c r="D1456" s="16">
        <v>0.63402777777777775</v>
      </c>
      <c r="E1456" s="14">
        <v>230</v>
      </c>
      <c r="F1456" s="23">
        <v>15</v>
      </c>
      <c r="G1456" s="17" t="e">
        <v>#N/A</v>
      </c>
      <c r="H1456" s="4" t="s">
        <v>1</v>
      </c>
      <c r="I1456" s="14"/>
    </row>
    <row r="1457" spans="1:9" x14ac:dyDescent="0.25">
      <c r="A1457" s="14">
        <v>2013</v>
      </c>
      <c r="B1457" s="14">
        <v>197</v>
      </c>
      <c r="C1457" s="20">
        <v>41471</v>
      </c>
      <c r="D1457" s="16">
        <v>0.63888888888888895</v>
      </c>
      <c r="E1457" s="14">
        <v>230</v>
      </c>
      <c r="F1457" s="23">
        <v>16</v>
      </c>
      <c r="G1457" s="17" t="e">
        <v>#N/A</v>
      </c>
      <c r="H1457" s="4" t="s">
        <v>1</v>
      </c>
      <c r="I1457" s="14"/>
    </row>
    <row r="1458" spans="1:9" x14ac:dyDescent="0.25">
      <c r="A1458" s="14">
        <v>2013</v>
      </c>
      <c r="B1458" s="14">
        <v>197</v>
      </c>
      <c r="C1458" s="20">
        <v>41471</v>
      </c>
      <c r="D1458" s="16">
        <v>0.63888888888888895</v>
      </c>
      <c r="E1458" s="14">
        <v>230</v>
      </c>
      <c r="F1458" s="23">
        <v>17</v>
      </c>
      <c r="G1458" s="17">
        <v>0.30194600847457631</v>
      </c>
      <c r="H1458" s="4" t="s">
        <v>124</v>
      </c>
      <c r="I1458" s="14"/>
    </row>
    <row r="1459" spans="1:9" x14ac:dyDescent="0.25">
      <c r="A1459" s="14">
        <v>2013</v>
      </c>
      <c r="B1459" s="14">
        <v>197</v>
      </c>
      <c r="C1459" s="20">
        <v>41471</v>
      </c>
      <c r="D1459" s="16" t="e">
        <v>#N/A</v>
      </c>
      <c r="E1459" s="14">
        <v>230</v>
      </c>
      <c r="F1459" s="23">
        <v>18</v>
      </c>
      <c r="G1459" s="17" t="e">
        <v>#N/A</v>
      </c>
      <c r="H1459" s="4" t="s">
        <v>124</v>
      </c>
      <c r="I1459" s="14"/>
    </row>
    <row r="1460" spans="1:9" x14ac:dyDescent="0.25">
      <c r="A1460" s="14">
        <v>2013</v>
      </c>
      <c r="B1460" s="14">
        <v>197</v>
      </c>
      <c r="C1460" s="20">
        <v>41471</v>
      </c>
      <c r="D1460" s="16" t="e">
        <v>#N/A</v>
      </c>
      <c r="E1460" s="14">
        <v>230</v>
      </c>
      <c r="F1460" s="23">
        <v>19</v>
      </c>
      <c r="G1460" s="17" t="e">
        <v>#N/A</v>
      </c>
      <c r="H1460" s="4" t="s">
        <v>124</v>
      </c>
      <c r="I1460" s="14"/>
    </row>
    <row r="1461" spans="1:9" x14ac:dyDescent="0.25">
      <c r="A1461" s="14">
        <v>2013</v>
      </c>
      <c r="B1461" s="14">
        <v>197</v>
      </c>
      <c r="C1461" s="20">
        <v>41471</v>
      </c>
      <c r="D1461" s="16" t="e">
        <v>#N/A</v>
      </c>
      <c r="E1461" s="14">
        <v>230</v>
      </c>
      <c r="F1461" s="23">
        <v>20</v>
      </c>
      <c r="G1461" s="17" t="e">
        <v>#N/A</v>
      </c>
      <c r="H1461" s="4" t="s">
        <v>124</v>
      </c>
      <c r="I1461" s="14"/>
    </row>
    <row r="1462" spans="1:9" x14ac:dyDescent="0.25">
      <c r="A1462" s="14">
        <v>2013</v>
      </c>
      <c r="B1462" s="14">
        <v>197</v>
      </c>
      <c r="C1462" s="20">
        <v>41471</v>
      </c>
      <c r="D1462" s="16">
        <v>0.5444444444444444</v>
      </c>
      <c r="E1462" s="14">
        <v>210</v>
      </c>
      <c r="F1462" s="23">
        <v>1</v>
      </c>
      <c r="G1462" s="17">
        <v>0.30525427895480228</v>
      </c>
      <c r="H1462" s="4" t="s">
        <v>123</v>
      </c>
      <c r="I1462" s="14"/>
    </row>
    <row r="1463" spans="1:9" x14ac:dyDescent="0.25">
      <c r="A1463" s="14">
        <v>2013</v>
      </c>
      <c r="B1463" s="14">
        <v>197</v>
      </c>
      <c r="C1463" s="20">
        <v>41471</v>
      </c>
      <c r="D1463" s="16">
        <v>0.55069444444444449</v>
      </c>
      <c r="E1463" s="14">
        <v>210</v>
      </c>
      <c r="F1463" s="23">
        <v>2</v>
      </c>
      <c r="G1463" s="17">
        <v>0.30141746822033899</v>
      </c>
      <c r="H1463" s="4" t="s">
        <v>123</v>
      </c>
      <c r="I1463" s="14"/>
    </row>
    <row r="1464" spans="1:9" x14ac:dyDescent="0.25">
      <c r="A1464" s="14">
        <v>2013</v>
      </c>
      <c r="B1464" s="14">
        <v>197</v>
      </c>
      <c r="C1464" s="20">
        <v>41471</v>
      </c>
      <c r="D1464" s="16">
        <v>0.55694444444444446</v>
      </c>
      <c r="E1464" s="14">
        <v>210</v>
      </c>
      <c r="F1464" s="23">
        <v>3</v>
      </c>
      <c r="G1464" s="17">
        <v>0.27176048728813557</v>
      </c>
      <c r="H1464" s="4" t="s">
        <v>123</v>
      </c>
      <c r="I1464" s="14"/>
    </row>
    <row r="1465" spans="1:9" x14ac:dyDescent="0.25">
      <c r="A1465" s="14">
        <v>2013</v>
      </c>
      <c r="B1465" s="14">
        <v>197</v>
      </c>
      <c r="C1465" s="20">
        <v>41471</v>
      </c>
      <c r="D1465" s="16">
        <v>0.56319444444444444</v>
      </c>
      <c r="E1465" s="14">
        <v>210</v>
      </c>
      <c r="F1465" s="23">
        <v>4</v>
      </c>
      <c r="G1465" s="17">
        <v>0.28969170480225986</v>
      </c>
      <c r="H1465" s="4" t="s">
        <v>123</v>
      </c>
      <c r="I1465" s="14"/>
    </row>
    <row r="1466" spans="1:9" x14ac:dyDescent="0.25">
      <c r="A1466" s="14">
        <v>2013</v>
      </c>
      <c r="B1466" s="14">
        <v>197</v>
      </c>
      <c r="C1466" s="20">
        <v>41471</v>
      </c>
      <c r="D1466" s="16">
        <v>0.56944444444444442</v>
      </c>
      <c r="E1466" s="14">
        <v>210</v>
      </c>
      <c r="F1466" s="23">
        <v>5</v>
      </c>
      <c r="G1466" s="17" t="e">
        <v>#N/A</v>
      </c>
      <c r="H1466" s="4" t="s">
        <v>0</v>
      </c>
      <c r="I1466" s="14"/>
    </row>
    <row r="1467" spans="1:9" x14ac:dyDescent="0.25">
      <c r="A1467" s="14">
        <v>2013</v>
      </c>
      <c r="B1467" s="14">
        <v>197</v>
      </c>
      <c r="C1467" s="20">
        <v>41471</v>
      </c>
      <c r="D1467" s="16">
        <v>0.56944444444444442</v>
      </c>
      <c r="E1467" s="14">
        <v>210</v>
      </c>
      <c r="F1467" s="23">
        <v>6</v>
      </c>
      <c r="G1467" s="17" t="e">
        <v>#N/A</v>
      </c>
      <c r="H1467" s="4" t="s">
        <v>0</v>
      </c>
      <c r="I1467" s="14"/>
    </row>
    <row r="1468" spans="1:9" x14ac:dyDescent="0.25">
      <c r="A1468" s="14">
        <v>2013</v>
      </c>
      <c r="B1468" s="14">
        <v>197</v>
      </c>
      <c r="C1468" s="20">
        <v>41471</v>
      </c>
      <c r="D1468" s="16">
        <v>0.5805555555555556</v>
      </c>
      <c r="E1468" s="14">
        <v>210</v>
      </c>
      <c r="F1468" s="23">
        <v>7</v>
      </c>
      <c r="G1468" s="17">
        <v>0.27957113771186443</v>
      </c>
      <c r="H1468" s="4" t="s">
        <v>123</v>
      </c>
      <c r="I1468" s="14"/>
    </row>
    <row r="1469" spans="1:9" x14ac:dyDescent="0.25">
      <c r="A1469" s="14">
        <v>2013</v>
      </c>
      <c r="B1469" s="14">
        <v>197</v>
      </c>
      <c r="C1469" s="20">
        <v>41471</v>
      </c>
      <c r="D1469" s="16">
        <v>0.58611111111111114</v>
      </c>
      <c r="E1469" s="14">
        <v>210</v>
      </c>
      <c r="F1469" s="23">
        <v>8</v>
      </c>
      <c r="G1469" s="17">
        <v>0.30729013771186442</v>
      </c>
      <c r="H1469" s="4" t="s">
        <v>123</v>
      </c>
      <c r="I1469" s="14"/>
    </row>
    <row r="1470" spans="1:9" x14ac:dyDescent="0.25">
      <c r="A1470" s="14">
        <v>2013</v>
      </c>
      <c r="B1470" s="14">
        <v>197</v>
      </c>
      <c r="C1470" s="20">
        <v>41471</v>
      </c>
      <c r="D1470" s="16">
        <v>0.59236111111111112</v>
      </c>
      <c r="E1470" s="14">
        <v>210</v>
      </c>
      <c r="F1470" s="23">
        <v>9</v>
      </c>
      <c r="G1470" s="17">
        <v>0.29341106214689266</v>
      </c>
      <c r="H1470" s="4" t="s">
        <v>123</v>
      </c>
      <c r="I1470" s="14"/>
    </row>
    <row r="1471" spans="1:9" x14ac:dyDescent="0.25">
      <c r="A1471" s="14">
        <v>2013</v>
      </c>
      <c r="B1471" s="14">
        <v>197</v>
      </c>
      <c r="C1471" s="20">
        <v>41471</v>
      </c>
      <c r="D1471" s="16">
        <v>0.59861111111111109</v>
      </c>
      <c r="E1471" s="14">
        <v>210</v>
      </c>
      <c r="F1471" s="23">
        <v>10</v>
      </c>
      <c r="G1471" s="17">
        <v>0.27015529096045199</v>
      </c>
      <c r="H1471" s="4" t="s">
        <v>123</v>
      </c>
      <c r="I1471" s="14"/>
    </row>
    <row r="1472" spans="1:9" x14ac:dyDescent="0.25">
      <c r="A1472" s="14">
        <v>2013</v>
      </c>
      <c r="B1472" s="14">
        <v>197</v>
      </c>
      <c r="C1472" s="20">
        <v>41471</v>
      </c>
      <c r="D1472" s="16">
        <v>0.60902777777777783</v>
      </c>
      <c r="E1472" s="14">
        <v>210</v>
      </c>
      <c r="F1472" s="23">
        <v>11</v>
      </c>
      <c r="G1472" s="17">
        <v>0.30958047881355938</v>
      </c>
      <c r="H1472" s="4" t="s">
        <v>124</v>
      </c>
      <c r="I1472" s="14"/>
    </row>
    <row r="1473" spans="1:9" x14ac:dyDescent="0.25">
      <c r="A1473" s="14">
        <v>2013</v>
      </c>
      <c r="B1473" s="14">
        <v>197</v>
      </c>
      <c r="C1473" s="20">
        <v>41471</v>
      </c>
      <c r="D1473" s="16">
        <v>0.61527777777777781</v>
      </c>
      <c r="E1473" s="14">
        <v>210</v>
      </c>
      <c r="F1473" s="23">
        <v>12</v>
      </c>
      <c r="G1473" s="17">
        <v>0.31320195833333336</v>
      </c>
      <c r="H1473" s="4" t="s">
        <v>124</v>
      </c>
      <c r="I1473" s="14"/>
    </row>
    <row r="1474" spans="1:9" x14ac:dyDescent="0.25">
      <c r="A1474" s="14">
        <v>2013</v>
      </c>
      <c r="B1474" s="14">
        <v>197</v>
      </c>
      <c r="C1474" s="20">
        <v>41471</v>
      </c>
      <c r="D1474" s="16">
        <v>0.62152777777777779</v>
      </c>
      <c r="E1474" s="14">
        <v>210</v>
      </c>
      <c r="F1474" s="23">
        <v>13</v>
      </c>
      <c r="G1474" s="17">
        <v>0.30858212499999998</v>
      </c>
      <c r="H1474" s="4" t="s">
        <v>124</v>
      </c>
      <c r="I1474" s="14"/>
    </row>
    <row r="1475" spans="1:9" x14ac:dyDescent="0.25">
      <c r="A1475" s="14">
        <v>2013</v>
      </c>
      <c r="B1475" s="14">
        <v>197</v>
      </c>
      <c r="C1475" s="20">
        <v>41471</v>
      </c>
      <c r="D1475" s="16">
        <v>0.62708333333333333</v>
      </c>
      <c r="E1475" s="14">
        <v>210</v>
      </c>
      <c r="F1475" s="23">
        <v>14</v>
      </c>
      <c r="G1475" s="17">
        <v>0.28051076483050846</v>
      </c>
      <c r="H1475" s="4" t="s">
        <v>124</v>
      </c>
      <c r="I1475" s="14"/>
    </row>
    <row r="1476" spans="1:9" x14ac:dyDescent="0.25">
      <c r="A1476" s="14">
        <v>2013</v>
      </c>
      <c r="B1476" s="14">
        <v>197</v>
      </c>
      <c r="C1476" s="20">
        <v>41471</v>
      </c>
      <c r="D1476" s="16">
        <v>0.63402777777777775</v>
      </c>
      <c r="E1476" s="14">
        <v>210</v>
      </c>
      <c r="F1476" s="23">
        <v>15</v>
      </c>
      <c r="G1476" s="17" t="e">
        <v>#N/A</v>
      </c>
      <c r="H1476" s="4" t="s">
        <v>1</v>
      </c>
      <c r="I1476" s="14"/>
    </row>
    <row r="1477" spans="1:9" x14ac:dyDescent="0.25">
      <c r="A1477" s="14">
        <v>2013</v>
      </c>
      <c r="B1477" s="14">
        <v>197</v>
      </c>
      <c r="C1477" s="20">
        <v>41471</v>
      </c>
      <c r="D1477" s="16">
        <v>0.63888888888888895</v>
      </c>
      <c r="E1477" s="14">
        <v>210</v>
      </c>
      <c r="F1477" s="23">
        <v>16</v>
      </c>
      <c r="G1477" s="17" t="e">
        <v>#N/A</v>
      </c>
      <c r="H1477" s="4" t="s">
        <v>1</v>
      </c>
      <c r="I1477" s="14"/>
    </row>
    <row r="1478" spans="1:9" x14ac:dyDescent="0.25">
      <c r="A1478" s="14">
        <v>2013</v>
      </c>
      <c r="B1478" s="14">
        <v>197</v>
      </c>
      <c r="C1478" s="20">
        <v>41471</v>
      </c>
      <c r="D1478" s="16">
        <v>0.63888888888888895</v>
      </c>
      <c r="E1478" s="14">
        <v>210</v>
      </c>
      <c r="F1478" s="23">
        <v>17</v>
      </c>
      <c r="G1478" s="17">
        <v>0.3067615974576271</v>
      </c>
      <c r="H1478" s="4" t="s">
        <v>124</v>
      </c>
      <c r="I1478" s="14"/>
    </row>
    <row r="1479" spans="1:9" x14ac:dyDescent="0.25">
      <c r="A1479" s="14">
        <v>2013</v>
      </c>
      <c r="B1479" s="14">
        <v>197</v>
      </c>
      <c r="C1479" s="20">
        <v>41471</v>
      </c>
      <c r="D1479" s="16" t="e">
        <v>#N/A</v>
      </c>
      <c r="E1479" s="14">
        <v>210</v>
      </c>
      <c r="F1479" s="23">
        <v>18</v>
      </c>
      <c r="G1479" s="17" t="e">
        <v>#N/A</v>
      </c>
      <c r="H1479" s="4" t="s">
        <v>124</v>
      </c>
      <c r="I1479" s="14"/>
    </row>
    <row r="1480" spans="1:9" x14ac:dyDescent="0.25">
      <c r="A1480" s="14">
        <v>2013</v>
      </c>
      <c r="B1480" s="14">
        <v>197</v>
      </c>
      <c r="C1480" s="20">
        <v>41471</v>
      </c>
      <c r="D1480" s="16" t="e">
        <v>#N/A</v>
      </c>
      <c r="E1480" s="14">
        <v>210</v>
      </c>
      <c r="F1480" s="23">
        <v>19</v>
      </c>
      <c r="G1480" s="17" t="e">
        <v>#N/A</v>
      </c>
      <c r="H1480" s="4" t="s">
        <v>124</v>
      </c>
      <c r="I1480" s="14"/>
    </row>
    <row r="1481" spans="1:9" x14ac:dyDescent="0.25">
      <c r="A1481" s="14">
        <v>2013</v>
      </c>
      <c r="B1481" s="14">
        <v>197</v>
      </c>
      <c r="C1481" s="20">
        <v>41471</v>
      </c>
      <c r="D1481" s="16" t="e">
        <v>#N/A</v>
      </c>
      <c r="E1481" s="14">
        <v>210</v>
      </c>
      <c r="F1481" s="23">
        <v>20</v>
      </c>
      <c r="G1481" s="17" t="e">
        <v>#N/A</v>
      </c>
      <c r="H1481" s="4" t="s">
        <v>124</v>
      </c>
      <c r="I1481" s="14"/>
    </row>
    <row r="1482" spans="1:9" x14ac:dyDescent="0.25">
      <c r="A1482" s="14">
        <v>2013</v>
      </c>
      <c r="B1482" s="14">
        <v>197</v>
      </c>
      <c r="C1482" s="20">
        <v>41471</v>
      </c>
      <c r="D1482" s="16">
        <v>0.5444444444444444</v>
      </c>
      <c r="E1482" s="14">
        <v>190</v>
      </c>
      <c r="F1482" s="23">
        <v>1</v>
      </c>
      <c r="G1482" s="17">
        <v>0.28628555649717513</v>
      </c>
      <c r="H1482" s="4" t="s">
        <v>123</v>
      </c>
      <c r="I1482" s="14"/>
    </row>
    <row r="1483" spans="1:9" x14ac:dyDescent="0.25">
      <c r="A1483" s="14">
        <v>2013</v>
      </c>
      <c r="B1483" s="14">
        <v>197</v>
      </c>
      <c r="C1483" s="20">
        <v>41471</v>
      </c>
      <c r="D1483" s="16">
        <v>0.55069444444444449</v>
      </c>
      <c r="E1483" s="14">
        <v>190</v>
      </c>
      <c r="F1483" s="23">
        <v>2</v>
      </c>
      <c r="G1483" s="17">
        <v>0.28886953107344632</v>
      </c>
      <c r="H1483" s="4" t="s">
        <v>123</v>
      </c>
      <c r="I1483" s="14"/>
    </row>
    <row r="1484" spans="1:9" x14ac:dyDescent="0.25">
      <c r="A1484" s="14">
        <v>2013</v>
      </c>
      <c r="B1484" s="14">
        <v>197</v>
      </c>
      <c r="C1484" s="20">
        <v>41471</v>
      </c>
      <c r="D1484" s="16">
        <v>0.55694444444444446</v>
      </c>
      <c r="E1484" s="14">
        <v>190</v>
      </c>
      <c r="F1484" s="23">
        <v>3</v>
      </c>
      <c r="G1484" s="17">
        <v>0.29521201412429376</v>
      </c>
      <c r="H1484" s="4" t="s">
        <v>123</v>
      </c>
      <c r="I1484" s="14"/>
    </row>
    <row r="1485" spans="1:9" x14ac:dyDescent="0.25">
      <c r="A1485" s="14">
        <v>2013</v>
      </c>
      <c r="B1485" s="14">
        <v>197</v>
      </c>
      <c r="C1485" s="20">
        <v>41471</v>
      </c>
      <c r="D1485" s="16">
        <v>0.56319444444444444</v>
      </c>
      <c r="E1485" s="14">
        <v>190</v>
      </c>
      <c r="F1485" s="23">
        <v>4</v>
      </c>
      <c r="G1485" s="17">
        <v>0.29716957062146893</v>
      </c>
      <c r="H1485" s="4" t="s">
        <v>123</v>
      </c>
      <c r="I1485" s="14"/>
    </row>
    <row r="1486" spans="1:9" x14ac:dyDescent="0.25">
      <c r="A1486" s="14">
        <v>2013</v>
      </c>
      <c r="B1486" s="14">
        <v>197</v>
      </c>
      <c r="C1486" s="20">
        <v>41471</v>
      </c>
      <c r="D1486" s="16">
        <v>0.56944444444444442</v>
      </c>
      <c r="E1486" s="14">
        <v>190</v>
      </c>
      <c r="F1486" s="23">
        <v>5</v>
      </c>
      <c r="G1486" s="17">
        <v>0.3325034653954802</v>
      </c>
      <c r="H1486" s="4" t="s">
        <v>0</v>
      </c>
      <c r="I1486" s="14"/>
    </row>
    <row r="1487" spans="1:9" x14ac:dyDescent="0.25">
      <c r="A1487" s="14">
        <v>2013</v>
      </c>
      <c r="B1487" s="14">
        <v>197</v>
      </c>
      <c r="C1487" s="20">
        <v>41471</v>
      </c>
      <c r="D1487" s="16">
        <v>0.56944444444444442</v>
      </c>
      <c r="E1487" s="14">
        <v>190</v>
      </c>
      <c r="F1487" s="23">
        <v>6</v>
      </c>
      <c r="G1487" s="17">
        <v>0.34146907415254241</v>
      </c>
      <c r="H1487" s="4" t="s">
        <v>0</v>
      </c>
      <c r="I1487" s="14"/>
    </row>
    <row r="1488" spans="1:9" x14ac:dyDescent="0.25">
      <c r="A1488" s="14">
        <v>2013</v>
      </c>
      <c r="B1488" s="14">
        <v>197</v>
      </c>
      <c r="C1488" s="20">
        <v>41471</v>
      </c>
      <c r="D1488" s="16">
        <v>0.5805555555555556</v>
      </c>
      <c r="E1488" s="14">
        <v>190</v>
      </c>
      <c r="F1488" s="23">
        <v>7</v>
      </c>
      <c r="G1488" s="17">
        <v>0.2814112408192091</v>
      </c>
      <c r="H1488" s="4" t="s">
        <v>123</v>
      </c>
      <c r="I1488" s="14"/>
    </row>
    <row r="1489" spans="1:9" x14ac:dyDescent="0.25">
      <c r="A1489" s="14">
        <v>2013</v>
      </c>
      <c r="B1489" s="14">
        <v>197</v>
      </c>
      <c r="C1489" s="20">
        <v>41471</v>
      </c>
      <c r="D1489" s="16">
        <v>0.58611111111111114</v>
      </c>
      <c r="E1489" s="14">
        <v>190</v>
      </c>
      <c r="F1489" s="23">
        <v>8</v>
      </c>
      <c r="G1489" s="17">
        <v>0.29538819420903956</v>
      </c>
      <c r="H1489" s="4" t="s">
        <v>123</v>
      </c>
      <c r="I1489" s="14"/>
    </row>
    <row r="1490" spans="1:9" x14ac:dyDescent="0.25">
      <c r="A1490" s="14">
        <v>2013</v>
      </c>
      <c r="B1490" s="14">
        <v>197</v>
      </c>
      <c r="C1490" s="20">
        <v>41471</v>
      </c>
      <c r="D1490" s="16">
        <v>0.59236111111111112</v>
      </c>
      <c r="E1490" s="14">
        <v>190</v>
      </c>
      <c r="F1490" s="23">
        <v>9</v>
      </c>
      <c r="G1490" s="17">
        <v>0.29061175635593223</v>
      </c>
      <c r="H1490" s="4" t="s">
        <v>123</v>
      </c>
      <c r="I1490" s="14"/>
    </row>
    <row r="1491" spans="1:9" x14ac:dyDescent="0.25">
      <c r="A1491" s="14">
        <v>2013</v>
      </c>
      <c r="B1491" s="14">
        <v>197</v>
      </c>
      <c r="C1491" s="20">
        <v>41471</v>
      </c>
      <c r="D1491" s="16">
        <v>0.59861111111111109</v>
      </c>
      <c r="E1491" s="14">
        <v>190</v>
      </c>
      <c r="F1491" s="23">
        <v>10</v>
      </c>
      <c r="G1491" s="17">
        <v>0.29906840042372884</v>
      </c>
      <c r="H1491" s="4" t="s">
        <v>123</v>
      </c>
      <c r="I1491" s="14"/>
    </row>
    <row r="1492" spans="1:9" x14ac:dyDescent="0.25">
      <c r="A1492" s="14">
        <v>2013</v>
      </c>
      <c r="B1492" s="14">
        <v>197</v>
      </c>
      <c r="C1492" s="20">
        <v>41471</v>
      </c>
      <c r="D1492" s="16">
        <v>0.60902777777777783</v>
      </c>
      <c r="E1492" s="14">
        <v>190</v>
      </c>
      <c r="F1492" s="23">
        <v>11</v>
      </c>
      <c r="G1492" s="17">
        <v>0.31373049858757063</v>
      </c>
      <c r="H1492" s="4" t="s">
        <v>124</v>
      </c>
      <c r="I1492" s="14"/>
    </row>
    <row r="1493" spans="1:9" x14ac:dyDescent="0.25">
      <c r="A1493" s="14">
        <v>2013</v>
      </c>
      <c r="B1493" s="14">
        <v>197</v>
      </c>
      <c r="C1493" s="20">
        <v>41471</v>
      </c>
      <c r="D1493" s="16">
        <v>0.61527777777777781</v>
      </c>
      <c r="E1493" s="14">
        <v>190</v>
      </c>
      <c r="F1493" s="23">
        <v>12</v>
      </c>
      <c r="G1493" s="17">
        <v>0.31241893573446328</v>
      </c>
      <c r="H1493" s="4" t="s">
        <v>124</v>
      </c>
      <c r="I1493" s="14"/>
    </row>
    <row r="1494" spans="1:9" x14ac:dyDescent="0.25">
      <c r="A1494" s="14">
        <v>2013</v>
      </c>
      <c r="B1494" s="14">
        <v>197</v>
      </c>
      <c r="C1494" s="20">
        <v>41471</v>
      </c>
      <c r="D1494" s="16">
        <v>0.62152777777777779</v>
      </c>
      <c r="E1494" s="14">
        <v>190</v>
      </c>
      <c r="F1494" s="23">
        <v>13</v>
      </c>
      <c r="G1494" s="17">
        <v>0.30646796398305082</v>
      </c>
      <c r="H1494" s="4" t="s">
        <v>124</v>
      </c>
      <c r="I1494" s="14"/>
    </row>
    <row r="1495" spans="1:9" x14ac:dyDescent="0.25">
      <c r="A1495" s="14">
        <v>2013</v>
      </c>
      <c r="B1495" s="14">
        <v>197</v>
      </c>
      <c r="C1495" s="20">
        <v>41471</v>
      </c>
      <c r="D1495" s="16">
        <v>0.62708333333333333</v>
      </c>
      <c r="E1495" s="14">
        <v>190</v>
      </c>
      <c r="F1495" s="23">
        <v>14</v>
      </c>
      <c r="G1495" s="17">
        <v>0.30345332697740113</v>
      </c>
      <c r="H1495" s="4" t="s">
        <v>124</v>
      </c>
      <c r="I1495" s="14"/>
    </row>
    <row r="1496" spans="1:9" x14ac:dyDescent="0.25">
      <c r="A1496" s="14">
        <v>2013</v>
      </c>
      <c r="B1496" s="14">
        <v>197</v>
      </c>
      <c r="C1496" s="20">
        <v>41471</v>
      </c>
      <c r="D1496" s="16">
        <v>0.63402777777777775</v>
      </c>
      <c r="E1496" s="14">
        <v>190</v>
      </c>
      <c r="F1496" s="23">
        <v>15</v>
      </c>
      <c r="G1496" s="17">
        <v>0.3299390663841808</v>
      </c>
      <c r="H1496" s="4" t="s">
        <v>1</v>
      </c>
      <c r="I1496" s="14"/>
    </row>
    <row r="1497" spans="1:9" x14ac:dyDescent="0.25">
      <c r="A1497" s="14">
        <v>2013</v>
      </c>
      <c r="B1497" s="14">
        <v>197</v>
      </c>
      <c r="C1497" s="20">
        <v>41471</v>
      </c>
      <c r="D1497" s="16">
        <v>0.63888888888888895</v>
      </c>
      <c r="E1497" s="14">
        <v>190</v>
      </c>
      <c r="F1497" s="23">
        <v>16</v>
      </c>
      <c r="G1497" s="17">
        <v>0.32373361228813563</v>
      </c>
      <c r="H1497" s="4" t="s">
        <v>1</v>
      </c>
      <c r="I1497" s="14"/>
    </row>
    <row r="1498" spans="1:9" x14ac:dyDescent="0.25">
      <c r="A1498" s="14">
        <v>2013</v>
      </c>
      <c r="B1498" s="14">
        <v>197</v>
      </c>
      <c r="C1498" s="20">
        <v>41471</v>
      </c>
      <c r="D1498" s="16">
        <v>0.63888888888888895</v>
      </c>
      <c r="E1498" s="14">
        <v>190</v>
      </c>
      <c r="F1498" s="23">
        <v>17</v>
      </c>
      <c r="G1498" s="17">
        <v>0.32161945127118646</v>
      </c>
      <c r="H1498" s="4" t="s">
        <v>124</v>
      </c>
      <c r="I1498" s="14"/>
    </row>
    <row r="1499" spans="1:9" x14ac:dyDescent="0.25">
      <c r="A1499" s="14">
        <v>2013</v>
      </c>
      <c r="B1499" s="14">
        <v>197</v>
      </c>
      <c r="C1499" s="20">
        <v>41471</v>
      </c>
      <c r="D1499" s="16" t="e">
        <v>#N/A</v>
      </c>
      <c r="E1499" s="14">
        <v>190</v>
      </c>
      <c r="F1499" s="23">
        <v>18</v>
      </c>
      <c r="G1499" s="17" t="e">
        <v>#N/A</v>
      </c>
      <c r="H1499" s="4" t="s">
        <v>124</v>
      </c>
      <c r="I1499" s="14"/>
    </row>
    <row r="1500" spans="1:9" x14ac:dyDescent="0.25">
      <c r="A1500" s="14">
        <v>2013</v>
      </c>
      <c r="B1500" s="14">
        <v>197</v>
      </c>
      <c r="C1500" s="20">
        <v>41471</v>
      </c>
      <c r="D1500" s="16" t="e">
        <v>#N/A</v>
      </c>
      <c r="E1500" s="14">
        <v>190</v>
      </c>
      <c r="F1500" s="23">
        <v>19</v>
      </c>
      <c r="G1500" s="17" t="e">
        <v>#N/A</v>
      </c>
      <c r="H1500" s="4" t="s">
        <v>124</v>
      </c>
      <c r="I1500" s="14"/>
    </row>
    <row r="1501" spans="1:9" x14ac:dyDescent="0.25">
      <c r="A1501" s="14">
        <v>2013</v>
      </c>
      <c r="B1501" s="14">
        <v>197</v>
      </c>
      <c r="C1501" s="20">
        <v>41471</v>
      </c>
      <c r="D1501" s="16" t="e">
        <v>#N/A</v>
      </c>
      <c r="E1501" s="14">
        <v>190</v>
      </c>
      <c r="F1501" s="23">
        <v>20</v>
      </c>
      <c r="G1501" s="17" t="e">
        <v>#N/A</v>
      </c>
      <c r="H1501" s="4" t="s">
        <v>124</v>
      </c>
      <c r="I1501" s="14"/>
    </row>
    <row r="1502" spans="1:9" x14ac:dyDescent="0.25">
      <c r="A1502" s="14">
        <v>2013</v>
      </c>
      <c r="B1502" s="14">
        <v>197</v>
      </c>
      <c r="C1502" s="20">
        <v>41471</v>
      </c>
      <c r="D1502" s="16">
        <v>0.5444444444444444</v>
      </c>
      <c r="E1502" s="14">
        <v>170</v>
      </c>
      <c r="F1502" s="23">
        <v>1</v>
      </c>
      <c r="G1502" s="17">
        <v>0.27890556850282489</v>
      </c>
      <c r="H1502" s="4" t="s">
        <v>123</v>
      </c>
      <c r="I1502" s="14"/>
    </row>
    <row r="1503" spans="1:9" x14ac:dyDescent="0.25">
      <c r="A1503" s="14">
        <v>2013</v>
      </c>
      <c r="B1503" s="14">
        <v>197</v>
      </c>
      <c r="C1503" s="20">
        <v>41471</v>
      </c>
      <c r="D1503" s="16">
        <v>0.55069444444444449</v>
      </c>
      <c r="E1503" s="14">
        <v>170</v>
      </c>
      <c r="F1503" s="23">
        <v>2</v>
      </c>
      <c r="G1503" s="17">
        <v>0.27506875776836159</v>
      </c>
      <c r="H1503" s="4" t="s">
        <v>123</v>
      </c>
      <c r="I1503" s="14"/>
    </row>
    <row r="1504" spans="1:9" x14ac:dyDescent="0.25">
      <c r="A1504" s="14">
        <v>2013</v>
      </c>
      <c r="B1504" s="14">
        <v>197</v>
      </c>
      <c r="C1504" s="20">
        <v>41471</v>
      </c>
      <c r="D1504" s="16">
        <v>0.55694444444444446</v>
      </c>
      <c r="E1504" s="14">
        <v>170</v>
      </c>
      <c r="F1504" s="23">
        <v>3</v>
      </c>
      <c r="G1504" s="17">
        <v>0.28552210946327683</v>
      </c>
      <c r="H1504" s="4" t="s">
        <v>123</v>
      </c>
      <c r="I1504" s="14"/>
    </row>
    <row r="1505" spans="1:9" x14ac:dyDescent="0.25">
      <c r="A1505" s="14">
        <v>2013</v>
      </c>
      <c r="B1505" s="14">
        <v>197</v>
      </c>
      <c r="C1505" s="20">
        <v>41471</v>
      </c>
      <c r="D1505" s="16">
        <v>0.56319444444444444</v>
      </c>
      <c r="E1505" s="14">
        <v>170</v>
      </c>
      <c r="F1505" s="23">
        <v>4</v>
      </c>
      <c r="G1505" s="17">
        <v>0.29262803954802258</v>
      </c>
      <c r="H1505" s="4" t="s">
        <v>123</v>
      </c>
      <c r="I1505" s="14"/>
    </row>
    <row r="1506" spans="1:9" x14ac:dyDescent="0.25">
      <c r="A1506" s="14">
        <v>2013</v>
      </c>
      <c r="B1506" s="14">
        <v>197</v>
      </c>
      <c r="C1506" s="20">
        <v>41471</v>
      </c>
      <c r="D1506" s="16">
        <v>0.56944444444444442</v>
      </c>
      <c r="E1506" s="14">
        <v>170</v>
      </c>
      <c r="F1506" s="23">
        <v>5</v>
      </c>
      <c r="G1506" s="17">
        <v>0.32015128389830511</v>
      </c>
      <c r="H1506" s="4" t="s">
        <v>0</v>
      </c>
      <c r="I1506" s="14"/>
    </row>
    <row r="1507" spans="1:9" x14ac:dyDescent="0.25">
      <c r="A1507" s="14">
        <v>2013</v>
      </c>
      <c r="B1507" s="14">
        <v>197</v>
      </c>
      <c r="C1507" s="20">
        <v>41471</v>
      </c>
      <c r="D1507" s="16">
        <v>0.56944444444444442</v>
      </c>
      <c r="E1507" s="14">
        <v>170</v>
      </c>
      <c r="F1507" s="23">
        <v>6</v>
      </c>
      <c r="G1507" s="17">
        <v>0.32753127189265541</v>
      </c>
      <c r="H1507" s="4" t="s">
        <v>0</v>
      </c>
      <c r="I1507" s="14"/>
    </row>
    <row r="1508" spans="1:9" x14ac:dyDescent="0.25">
      <c r="A1508" s="14">
        <v>2013</v>
      </c>
      <c r="B1508" s="14">
        <v>197</v>
      </c>
      <c r="C1508" s="20">
        <v>41471</v>
      </c>
      <c r="D1508" s="16">
        <v>0.5805555555555556</v>
      </c>
      <c r="E1508" s="14">
        <v>170</v>
      </c>
      <c r="F1508" s="23">
        <v>7</v>
      </c>
      <c r="G1508" s="17">
        <v>0.29718914618644066</v>
      </c>
      <c r="H1508" s="4" t="s">
        <v>123</v>
      </c>
      <c r="I1508" s="14"/>
    </row>
    <row r="1509" spans="1:9" x14ac:dyDescent="0.25">
      <c r="A1509" s="14">
        <v>2013</v>
      </c>
      <c r="B1509" s="14">
        <v>197</v>
      </c>
      <c r="C1509" s="20">
        <v>41471</v>
      </c>
      <c r="D1509" s="16">
        <v>0.58611111111111114</v>
      </c>
      <c r="E1509" s="14">
        <v>170</v>
      </c>
      <c r="F1509" s="23">
        <v>8</v>
      </c>
      <c r="G1509" s="17">
        <v>0.30873872951977399</v>
      </c>
      <c r="H1509" s="4" t="s">
        <v>123</v>
      </c>
      <c r="I1509" s="14"/>
    </row>
    <row r="1510" spans="1:9" x14ac:dyDescent="0.25">
      <c r="A1510" s="14">
        <v>2013</v>
      </c>
      <c r="B1510" s="14">
        <v>197</v>
      </c>
      <c r="C1510" s="20">
        <v>41471</v>
      </c>
      <c r="D1510" s="16">
        <v>0.59236111111111112</v>
      </c>
      <c r="E1510" s="14">
        <v>170</v>
      </c>
      <c r="F1510" s="23">
        <v>9</v>
      </c>
      <c r="G1510" s="17">
        <v>0.30615475494350286</v>
      </c>
      <c r="H1510" s="4" t="s">
        <v>123</v>
      </c>
      <c r="I1510" s="14"/>
    </row>
    <row r="1511" spans="1:9" x14ac:dyDescent="0.25">
      <c r="A1511" s="14">
        <v>2013</v>
      </c>
      <c r="B1511" s="14">
        <v>197</v>
      </c>
      <c r="C1511" s="20">
        <v>41471</v>
      </c>
      <c r="D1511" s="16">
        <v>0.59861111111111109</v>
      </c>
      <c r="E1511" s="14">
        <v>170</v>
      </c>
      <c r="F1511" s="23">
        <v>10</v>
      </c>
      <c r="G1511" s="17">
        <v>0.31114652401129944</v>
      </c>
      <c r="H1511" s="4" t="s">
        <v>123</v>
      </c>
      <c r="I1511" s="14"/>
    </row>
    <row r="1512" spans="1:9" x14ac:dyDescent="0.25">
      <c r="A1512" s="14">
        <v>2013</v>
      </c>
      <c r="B1512" s="14">
        <v>197</v>
      </c>
      <c r="C1512" s="20">
        <v>41471</v>
      </c>
      <c r="D1512" s="16">
        <v>0.60902777777777783</v>
      </c>
      <c r="E1512" s="14">
        <v>170</v>
      </c>
      <c r="F1512" s="23">
        <v>11</v>
      </c>
      <c r="G1512" s="17">
        <v>0.3316421405367232</v>
      </c>
      <c r="H1512" s="4" t="s">
        <v>124</v>
      </c>
      <c r="I1512" s="14"/>
    </row>
    <row r="1513" spans="1:9" x14ac:dyDescent="0.25">
      <c r="A1513" s="14">
        <v>2013</v>
      </c>
      <c r="B1513" s="14">
        <v>197</v>
      </c>
      <c r="C1513" s="20">
        <v>41471</v>
      </c>
      <c r="D1513" s="16">
        <v>0.61527777777777781</v>
      </c>
      <c r="E1513" s="14">
        <v>170</v>
      </c>
      <c r="F1513" s="23">
        <v>12</v>
      </c>
      <c r="G1513" s="17">
        <v>0.34060774929378529</v>
      </c>
      <c r="H1513" s="4" t="s">
        <v>124</v>
      </c>
      <c r="I1513" s="14"/>
    </row>
    <row r="1514" spans="1:9" x14ac:dyDescent="0.25">
      <c r="A1514" s="14">
        <v>2013</v>
      </c>
      <c r="B1514" s="14">
        <v>197</v>
      </c>
      <c r="C1514" s="20">
        <v>41471</v>
      </c>
      <c r="D1514" s="16">
        <v>0.62152777777777779</v>
      </c>
      <c r="E1514" s="14">
        <v>170</v>
      </c>
      <c r="F1514" s="23">
        <v>13</v>
      </c>
      <c r="G1514" s="17">
        <v>0.31746943149717516</v>
      </c>
      <c r="H1514" s="4" t="s">
        <v>124</v>
      </c>
      <c r="I1514" s="14"/>
    </row>
    <row r="1515" spans="1:9" x14ac:dyDescent="0.25">
      <c r="A1515" s="14">
        <v>2013</v>
      </c>
      <c r="B1515" s="14">
        <v>197</v>
      </c>
      <c r="C1515" s="20">
        <v>41471</v>
      </c>
      <c r="D1515" s="16">
        <v>0.62708333333333333</v>
      </c>
      <c r="E1515" s="14">
        <v>170</v>
      </c>
      <c r="F1515" s="23">
        <v>14</v>
      </c>
      <c r="G1515" s="17">
        <v>0.32428172810734462</v>
      </c>
      <c r="H1515" s="4" t="s">
        <v>124</v>
      </c>
      <c r="I1515" s="14"/>
    </row>
    <row r="1516" spans="1:9" x14ac:dyDescent="0.25">
      <c r="A1516" s="14">
        <v>2013</v>
      </c>
      <c r="B1516" s="14">
        <v>197</v>
      </c>
      <c r="C1516" s="20">
        <v>41471</v>
      </c>
      <c r="D1516" s="16">
        <v>0.63402777777777775</v>
      </c>
      <c r="E1516" s="14">
        <v>170</v>
      </c>
      <c r="F1516" s="23">
        <v>15</v>
      </c>
      <c r="G1516" s="17">
        <v>0.32768787641242941</v>
      </c>
      <c r="H1516" s="4" t="s">
        <v>1</v>
      </c>
      <c r="I1516" s="14"/>
    </row>
    <row r="1517" spans="1:9" x14ac:dyDescent="0.25">
      <c r="A1517" s="14">
        <v>2013</v>
      </c>
      <c r="B1517" s="14">
        <v>197</v>
      </c>
      <c r="C1517" s="20">
        <v>41471</v>
      </c>
      <c r="D1517" s="16">
        <v>0.63888888888888895</v>
      </c>
      <c r="E1517" s="14">
        <v>170</v>
      </c>
      <c r="F1517" s="23">
        <v>16</v>
      </c>
      <c r="G1517" s="17">
        <v>0.32432087923728814</v>
      </c>
      <c r="H1517" s="4" t="s">
        <v>1</v>
      </c>
      <c r="I1517" s="14"/>
    </row>
    <row r="1518" spans="1:9" x14ac:dyDescent="0.25">
      <c r="A1518" s="14">
        <v>2013</v>
      </c>
      <c r="B1518" s="14">
        <v>197</v>
      </c>
      <c r="C1518" s="20">
        <v>41471</v>
      </c>
      <c r="D1518" s="16">
        <v>0.63888888888888895</v>
      </c>
      <c r="E1518" s="14">
        <v>170</v>
      </c>
      <c r="F1518" s="23">
        <v>17</v>
      </c>
      <c r="G1518" s="17">
        <v>0.32107133545197741</v>
      </c>
      <c r="H1518" s="4" t="s">
        <v>124</v>
      </c>
      <c r="I1518" s="14"/>
    </row>
    <row r="1519" spans="1:9" x14ac:dyDescent="0.25">
      <c r="A1519" s="14">
        <v>2013</v>
      </c>
      <c r="B1519" s="14">
        <v>197</v>
      </c>
      <c r="C1519" s="20">
        <v>41471</v>
      </c>
      <c r="D1519" s="16" t="e">
        <v>#N/A</v>
      </c>
      <c r="E1519" s="14">
        <v>170</v>
      </c>
      <c r="F1519" s="23">
        <v>18</v>
      </c>
      <c r="G1519" s="17" t="e">
        <v>#N/A</v>
      </c>
      <c r="H1519" s="4" t="s">
        <v>124</v>
      </c>
      <c r="I1519" s="14"/>
    </row>
    <row r="1520" spans="1:9" x14ac:dyDescent="0.25">
      <c r="A1520" s="14">
        <v>2013</v>
      </c>
      <c r="B1520" s="14">
        <v>197</v>
      </c>
      <c r="C1520" s="20">
        <v>41471</v>
      </c>
      <c r="D1520" s="16" t="e">
        <v>#N/A</v>
      </c>
      <c r="E1520" s="14">
        <v>170</v>
      </c>
      <c r="F1520" s="23">
        <v>19</v>
      </c>
      <c r="G1520" s="17" t="e">
        <v>#N/A</v>
      </c>
      <c r="H1520" s="4" t="s">
        <v>124</v>
      </c>
      <c r="I1520" s="14"/>
    </row>
    <row r="1521" spans="1:9" x14ac:dyDescent="0.25">
      <c r="A1521" s="14">
        <v>2013</v>
      </c>
      <c r="B1521" s="14">
        <v>197</v>
      </c>
      <c r="C1521" s="20">
        <v>41471</v>
      </c>
      <c r="D1521" s="16" t="e">
        <v>#N/A</v>
      </c>
      <c r="E1521" s="14">
        <v>170</v>
      </c>
      <c r="F1521" s="23">
        <v>20</v>
      </c>
      <c r="G1521" s="17" t="e">
        <v>#N/A</v>
      </c>
      <c r="H1521" s="4" t="s">
        <v>124</v>
      </c>
      <c r="I1521" s="14"/>
    </row>
    <row r="1522" spans="1:9" x14ac:dyDescent="0.25">
      <c r="A1522" s="14">
        <v>2013</v>
      </c>
      <c r="B1522" s="14">
        <v>197</v>
      </c>
      <c r="C1522" s="20">
        <v>41471</v>
      </c>
      <c r="D1522" s="16">
        <v>0.5444444444444444</v>
      </c>
      <c r="E1522" s="14">
        <v>150</v>
      </c>
      <c r="F1522" s="23">
        <v>1</v>
      </c>
      <c r="G1522" s="17">
        <v>0.34420965324858754</v>
      </c>
      <c r="H1522" s="4" t="s">
        <v>123</v>
      </c>
      <c r="I1522" s="14"/>
    </row>
    <row r="1523" spans="1:9" x14ac:dyDescent="0.25">
      <c r="A1523" s="14">
        <v>2013</v>
      </c>
      <c r="B1523" s="14">
        <v>197</v>
      </c>
      <c r="C1523" s="20">
        <v>41471</v>
      </c>
      <c r="D1523" s="16">
        <v>0.55069444444444449</v>
      </c>
      <c r="E1523" s="14">
        <v>150</v>
      </c>
      <c r="F1523" s="23">
        <v>2</v>
      </c>
      <c r="G1523" s="17">
        <v>0.33577258474576271</v>
      </c>
      <c r="H1523" s="4" t="s">
        <v>123</v>
      </c>
      <c r="I1523" s="14"/>
    </row>
    <row r="1524" spans="1:9" x14ac:dyDescent="0.25">
      <c r="A1524" s="14">
        <v>2013</v>
      </c>
      <c r="B1524" s="14">
        <v>197</v>
      </c>
      <c r="C1524" s="20">
        <v>41471</v>
      </c>
      <c r="D1524" s="16">
        <v>0.55694444444444446</v>
      </c>
      <c r="E1524" s="14">
        <v>150</v>
      </c>
      <c r="F1524" s="23">
        <v>3</v>
      </c>
      <c r="G1524" s="17">
        <v>0.31036350141242935</v>
      </c>
      <c r="H1524" s="4" t="s">
        <v>123</v>
      </c>
      <c r="I1524" s="14"/>
    </row>
    <row r="1525" spans="1:9" x14ac:dyDescent="0.25">
      <c r="A1525" s="14">
        <v>2013</v>
      </c>
      <c r="B1525" s="14">
        <v>197</v>
      </c>
      <c r="C1525" s="20">
        <v>41471</v>
      </c>
      <c r="D1525" s="16">
        <v>0.56319444444444444</v>
      </c>
      <c r="E1525" s="14">
        <v>150</v>
      </c>
      <c r="F1525" s="23">
        <v>4</v>
      </c>
      <c r="G1525" s="17">
        <v>0.29638654802259889</v>
      </c>
      <c r="H1525" s="4" t="s">
        <v>123</v>
      </c>
      <c r="I1525" s="14"/>
    </row>
    <row r="1526" spans="1:9" x14ac:dyDescent="0.25">
      <c r="A1526" s="14">
        <v>2013</v>
      </c>
      <c r="B1526" s="14">
        <v>197</v>
      </c>
      <c r="C1526" s="20">
        <v>41471</v>
      </c>
      <c r="D1526" s="16">
        <v>0.56944444444444442</v>
      </c>
      <c r="E1526" s="14">
        <v>150</v>
      </c>
      <c r="F1526" s="23">
        <v>5</v>
      </c>
      <c r="G1526" s="17">
        <v>0.35485876059322036</v>
      </c>
      <c r="H1526" s="4" t="s">
        <v>0</v>
      </c>
      <c r="I1526" s="14"/>
    </row>
    <row r="1527" spans="1:9" x14ac:dyDescent="0.25">
      <c r="A1527" s="14">
        <v>2013</v>
      </c>
      <c r="B1527" s="14">
        <v>197</v>
      </c>
      <c r="C1527" s="20">
        <v>41471</v>
      </c>
      <c r="D1527" s="16">
        <v>0.56944444444444442</v>
      </c>
      <c r="E1527" s="14">
        <v>150</v>
      </c>
      <c r="F1527" s="23">
        <v>6</v>
      </c>
      <c r="G1527" s="17">
        <v>0.34213464336158195</v>
      </c>
      <c r="H1527" s="4" t="s">
        <v>0</v>
      </c>
      <c r="I1527" s="14"/>
    </row>
    <row r="1528" spans="1:9" x14ac:dyDescent="0.25">
      <c r="A1528" s="14">
        <v>2013</v>
      </c>
      <c r="B1528" s="14">
        <v>197</v>
      </c>
      <c r="C1528" s="20">
        <v>41471</v>
      </c>
      <c r="D1528" s="16">
        <v>0.5805555555555556</v>
      </c>
      <c r="E1528" s="14">
        <v>150</v>
      </c>
      <c r="F1528" s="23">
        <v>7</v>
      </c>
      <c r="G1528" s="17">
        <v>0.3302718509887006</v>
      </c>
      <c r="H1528" s="4" t="s">
        <v>123</v>
      </c>
      <c r="I1528" s="14"/>
    </row>
    <row r="1529" spans="1:9" x14ac:dyDescent="0.25">
      <c r="A1529" s="14">
        <v>2013</v>
      </c>
      <c r="B1529" s="14">
        <v>197</v>
      </c>
      <c r="C1529" s="20">
        <v>41471</v>
      </c>
      <c r="D1529" s="16">
        <v>0.58611111111111114</v>
      </c>
      <c r="E1529" s="14">
        <v>150</v>
      </c>
      <c r="F1529" s="23">
        <v>8</v>
      </c>
      <c r="G1529" s="17">
        <v>0.34109713841807909</v>
      </c>
      <c r="H1529" s="4" t="s">
        <v>123</v>
      </c>
      <c r="I1529" s="14"/>
    </row>
    <row r="1530" spans="1:9" x14ac:dyDescent="0.25">
      <c r="A1530" s="14">
        <v>2013</v>
      </c>
      <c r="B1530" s="14">
        <v>197</v>
      </c>
      <c r="C1530" s="20">
        <v>41471</v>
      </c>
      <c r="D1530" s="16">
        <v>0.59236111111111112</v>
      </c>
      <c r="E1530" s="14">
        <v>150</v>
      </c>
      <c r="F1530" s="23">
        <v>9</v>
      </c>
      <c r="G1530" s="17">
        <v>0.33080039124293786</v>
      </c>
      <c r="H1530" s="4" t="s">
        <v>123</v>
      </c>
      <c r="I1530" s="14"/>
    </row>
    <row r="1531" spans="1:9" x14ac:dyDescent="0.25">
      <c r="A1531" s="14">
        <v>2013</v>
      </c>
      <c r="B1531" s="14">
        <v>197</v>
      </c>
      <c r="C1531" s="20">
        <v>41471</v>
      </c>
      <c r="D1531" s="16">
        <v>0.59861111111111109</v>
      </c>
      <c r="E1531" s="14">
        <v>150</v>
      </c>
      <c r="F1531" s="23">
        <v>10</v>
      </c>
      <c r="G1531" s="17">
        <v>0.34943632909604522</v>
      </c>
      <c r="H1531" s="4" t="s">
        <v>123</v>
      </c>
      <c r="I1531" s="14"/>
    </row>
    <row r="1532" spans="1:9" x14ac:dyDescent="0.25">
      <c r="A1532" s="14">
        <v>2013</v>
      </c>
      <c r="B1532" s="14">
        <v>197</v>
      </c>
      <c r="C1532" s="20">
        <v>41471</v>
      </c>
      <c r="D1532" s="16">
        <v>0.60902777777777783</v>
      </c>
      <c r="E1532" s="14">
        <v>150</v>
      </c>
      <c r="F1532" s="23">
        <v>11</v>
      </c>
      <c r="G1532" s="17">
        <v>0.33908085522598874</v>
      </c>
      <c r="H1532" s="4" t="s">
        <v>124</v>
      </c>
      <c r="I1532" s="14"/>
    </row>
    <row r="1533" spans="1:9" x14ac:dyDescent="0.25">
      <c r="A1533" s="14">
        <v>2013</v>
      </c>
      <c r="B1533" s="14">
        <v>197</v>
      </c>
      <c r="C1533" s="20">
        <v>41471</v>
      </c>
      <c r="D1533" s="16">
        <v>0.61527777777777781</v>
      </c>
      <c r="E1533" s="14">
        <v>150</v>
      </c>
      <c r="F1533" s="23">
        <v>12</v>
      </c>
      <c r="G1533" s="17">
        <v>0.33755396115819208</v>
      </c>
      <c r="H1533" s="4" t="s">
        <v>124</v>
      </c>
      <c r="I1533" s="14"/>
    </row>
    <row r="1534" spans="1:9" x14ac:dyDescent="0.25">
      <c r="A1534" s="14">
        <v>2013</v>
      </c>
      <c r="B1534" s="14">
        <v>197</v>
      </c>
      <c r="C1534" s="20">
        <v>41471</v>
      </c>
      <c r="D1534" s="16">
        <v>0.62152777777777779</v>
      </c>
      <c r="E1534" s="14">
        <v>150</v>
      </c>
      <c r="F1534" s="23">
        <v>13</v>
      </c>
      <c r="G1534" s="17">
        <v>0.32056237076271188</v>
      </c>
      <c r="H1534" s="4" t="s">
        <v>124</v>
      </c>
      <c r="I1534" s="14"/>
    </row>
    <row r="1535" spans="1:9" x14ac:dyDescent="0.25">
      <c r="A1535" s="14">
        <v>2013</v>
      </c>
      <c r="B1535" s="14">
        <v>197</v>
      </c>
      <c r="C1535" s="20">
        <v>41471</v>
      </c>
      <c r="D1535" s="16">
        <v>0.62708333333333333</v>
      </c>
      <c r="E1535" s="14">
        <v>150</v>
      </c>
      <c r="F1535" s="23">
        <v>14</v>
      </c>
      <c r="G1535" s="17">
        <v>0.30615475494350286</v>
      </c>
      <c r="H1535" s="4" t="s">
        <v>124</v>
      </c>
      <c r="I1535" s="14"/>
    </row>
    <row r="1536" spans="1:9" x14ac:dyDescent="0.25">
      <c r="A1536" s="14">
        <v>2013</v>
      </c>
      <c r="B1536" s="14">
        <v>197</v>
      </c>
      <c r="C1536" s="20">
        <v>41471</v>
      </c>
      <c r="D1536" s="16">
        <v>0.63402777777777775</v>
      </c>
      <c r="E1536" s="14">
        <v>150</v>
      </c>
      <c r="F1536" s="23">
        <v>15</v>
      </c>
      <c r="G1536" s="17">
        <v>0.34227167231638422</v>
      </c>
      <c r="H1536" s="4" t="s">
        <v>1</v>
      </c>
      <c r="I1536" s="14"/>
    </row>
    <row r="1537" spans="1:9" x14ac:dyDescent="0.25">
      <c r="A1537" s="14">
        <v>2013</v>
      </c>
      <c r="B1537" s="14">
        <v>197</v>
      </c>
      <c r="C1537" s="20">
        <v>41471</v>
      </c>
      <c r="D1537" s="16">
        <v>0.63888888888888895</v>
      </c>
      <c r="E1537" s="14">
        <v>150</v>
      </c>
      <c r="F1537" s="23">
        <v>16</v>
      </c>
      <c r="G1537" s="17">
        <v>0.32528008192090396</v>
      </c>
      <c r="H1537" s="4" t="s">
        <v>1</v>
      </c>
      <c r="I1537" s="14"/>
    </row>
    <row r="1538" spans="1:9" x14ac:dyDescent="0.25">
      <c r="A1538" s="14">
        <v>2013</v>
      </c>
      <c r="B1538" s="14">
        <v>197</v>
      </c>
      <c r="C1538" s="20">
        <v>41471</v>
      </c>
      <c r="D1538" s="16">
        <v>0.63888888888888895</v>
      </c>
      <c r="E1538" s="14">
        <v>150</v>
      </c>
      <c r="F1538" s="23">
        <v>17</v>
      </c>
      <c r="G1538" s="17">
        <v>0.32377276341807915</v>
      </c>
      <c r="H1538" s="4" t="s">
        <v>124</v>
      </c>
      <c r="I1538" s="14"/>
    </row>
    <row r="1539" spans="1:9" x14ac:dyDescent="0.25">
      <c r="A1539" s="14">
        <v>2013</v>
      </c>
      <c r="B1539" s="14">
        <v>197</v>
      </c>
      <c r="C1539" s="20">
        <v>41471</v>
      </c>
      <c r="D1539" s="16" t="e">
        <v>#N/A</v>
      </c>
      <c r="E1539" s="14">
        <v>150</v>
      </c>
      <c r="F1539" s="23">
        <v>18</v>
      </c>
      <c r="G1539" s="17" t="e">
        <v>#N/A</v>
      </c>
      <c r="H1539" s="4" t="s">
        <v>124</v>
      </c>
      <c r="I1539" s="14"/>
    </row>
    <row r="1540" spans="1:9" x14ac:dyDescent="0.25">
      <c r="A1540" s="14">
        <v>2013</v>
      </c>
      <c r="B1540" s="14">
        <v>197</v>
      </c>
      <c r="C1540" s="20">
        <v>41471</v>
      </c>
      <c r="D1540" s="16" t="e">
        <v>#N/A</v>
      </c>
      <c r="E1540" s="14">
        <v>150</v>
      </c>
      <c r="F1540" s="23">
        <v>19</v>
      </c>
      <c r="G1540" s="17" t="e">
        <v>#N/A</v>
      </c>
      <c r="H1540" s="4" t="s">
        <v>124</v>
      </c>
      <c r="I1540" s="14"/>
    </row>
    <row r="1541" spans="1:9" x14ac:dyDescent="0.25">
      <c r="A1541" s="14">
        <v>2013</v>
      </c>
      <c r="B1541" s="14">
        <v>197</v>
      </c>
      <c r="C1541" s="20">
        <v>41471</v>
      </c>
      <c r="D1541" s="16" t="e">
        <v>#N/A</v>
      </c>
      <c r="E1541" s="14">
        <v>150</v>
      </c>
      <c r="F1541" s="23">
        <v>20</v>
      </c>
      <c r="G1541" s="17" t="e">
        <v>#N/A</v>
      </c>
      <c r="H1541" s="4" t="s">
        <v>124</v>
      </c>
      <c r="I1541" s="14"/>
    </row>
    <row r="1542" spans="1:9" x14ac:dyDescent="0.25">
      <c r="A1542" s="14">
        <v>2013</v>
      </c>
      <c r="B1542" s="14">
        <v>197</v>
      </c>
      <c r="C1542" s="20">
        <v>41471</v>
      </c>
      <c r="D1542" s="16">
        <v>0.5444444444444444</v>
      </c>
      <c r="E1542" s="14">
        <v>130</v>
      </c>
      <c r="F1542" s="23">
        <v>1</v>
      </c>
      <c r="G1542" s="17">
        <v>0.3193878368644068</v>
      </c>
      <c r="H1542" s="4" t="s">
        <v>123</v>
      </c>
      <c r="I1542" s="14"/>
    </row>
    <row r="1543" spans="1:9" x14ac:dyDescent="0.25">
      <c r="A1543" s="14">
        <v>2013</v>
      </c>
      <c r="B1543" s="14">
        <v>197</v>
      </c>
      <c r="C1543" s="20">
        <v>41471</v>
      </c>
      <c r="D1543" s="16">
        <v>0.55069444444444449</v>
      </c>
      <c r="E1543" s="14">
        <v>130</v>
      </c>
      <c r="F1543" s="23">
        <v>2</v>
      </c>
      <c r="G1543" s="17">
        <v>0.31100949505649716</v>
      </c>
      <c r="H1543" s="4" t="s">
        <v>123</v>
      </c>
      <c r="I1543" s="14"/>
    </row>
    <row r="1544" spans="1:9" x14ac:dyDescent="0.25">
      <c r="A1544" s="14">
        <v>2013</v>
      </c>
      <c r="B1544" s="14">
        <v>197</v>
      </c>
      <c r="C1544" s="20">
        <v>41471</v>
      </c>
      <c r="D1544" s="16">
        <v>0.55694444444444446</v>
      </c>
      <c r="E1544" s="14">
        <v>130</v>
      </c>
      <c r="F1544" s="23">
        <v>3</v>
      </c>
      <c r="G1544" s="17">
        <v>0.30668329519774012</v>
      </c>
      <c r="H1544" s="4" t="s">
        <v>123</v>
      </c>
      <c r="I1544" s="14"/>
    </row>
    <row r="1545" spans="1:9" x14ac:dyDescent="0.25">
      <c r="A1545" s="14">
        <v>2013</v>
      </c>
      <c r="B1545" s="14">
        <v>197</v>
      </c>
      <c r="C1545" s="20">
        <v>41471</v>
      </c>
      <c r="D1545" s="16">
        <v>0.56319444444444444</v>
      </c>
      <c r="E1545" s="14">
        <v>130</v>
      </c>
      <c r="F1545" s="23">
        <v>4</v>
      </c>
      <c r="G1545" s="17">
        <v>0.30809273587570618</v>
      </c>
      <c r="H1545" s="4" t="s">
        <v>123</v>
      </c>
      <c r="I1545" s="14"/>
    </row>
    <row r="1546" spans="1:9" x14ac:dyDescent="0.25">
      <c r="A1546" s="14">
        <v>2013</v>
      </c>
      <c r="B1546" s="14">
        <v>197</v>
      </c>
      <c r="C1546" s="20">
        <v>41471</v>
      </c>
      <c r="D1546" s="16">
        <v>0.56944444444444442</v>
      </c>
      <c r="E1546" s="14">
        <v>130</v>
      </c>
      <c r="F1546" s="23">
        <v>5</v>
      </c>
      <c r="G1546" s="17">
        <v>0.31611871751412429</v>
      </c>
      <c r="H1546" s="4" t="s">
        <v>0</v>
      </c>
      <c r="I1546" s="14"/>
    </row>
    <row r="1547" spans="1:9" x14ac:dyDescent="0.25">
      <c r="A1547" s="14">
        <v>2013</v>
      </c>
      <c r="B1547" s="14">
        <v>197</v>
      </c>
      <c r="C1547" s="20">
        <v>41471</v>
      </c>
      <c r="D1547" s="16">
        <v>0.56944444444444442</v>
      </c>
      <c r="E1547" s="14">
        <v>130</v>
      </c>
      <c r="F1547" s="23">
        <v>6</v>
      </c>
      <c r="G1547" s="17">
        <v>0.30274860663841813</v>
      </c>
      <c r="H1547" s="4" t="s">
        <v>0</v>
      </c>
      <c r="I1547" s="14"/>
    </row>
    <row r="1548" spans="1:9" x14ac:dyDescent="0.25">
      <c r="A1548" s="14">
        <v>2013</v>
      </c>
      <c r="B1548" s="14">
        <v>197</v>
      </c>
      <c r="C1548" s="20">
        <v>41471</v>
      </c>
      <c r="D1548" s="16">
        <v>0.5805555555555556</v>
      </c>
      <c r="E1548" s="14">
        <v>130</v>
      </c>
      <c r="F1548" s="23">
        <v>7</v>
      </c>
      <c r="G1548" s="17">
        <v>0.31421988771186443</v>
      </c>
      <c r="H1548" s="4" t="s">
        <v>123</v>
      </c>
      <c r="I1548" s="14"/>
    </row>
    <row r="1549" spans="1:9" x14ac:dyDescent="0.25">
      <c r="A1549" s="14">
        <v>2013</v>
      </c>
      <c r="B1549" s="14">
        <v>197</v>
      </c>
      <c r="C1549" s="20">
        <v>41471</v>
      </c>
      <c r="D1549" s="16">
        <v>0.58611111111111114</v>
      </c>
      <c r="E1549" s="14">
        <v>130</v>
      </c>
      <c r="F1549" s="23">
        <v>8</v>
      </c>
      <c r="G1549" s="17">
        <v>0.33900255296610171</v>
      </c>
      <c r="H1549" s="4" t="s">
        <v>123</v>
      </c>
      <c r="I1549" s="14"/>
    </row>
    <row r="1550" spans="1:9" x14ac:dyDescent="0.25">
      <c r="A1550" s="14">
        <v>2013</v>
      </c>
      <c r="B1550" s="14">
        <v>197</v>
      </c>
      <c r="C1550" s="20">
        <v>41471</v>
      </c>
      <c r="D1550" s="16">
        <v>0.59236111111111112</v>
      </c>
      <c r="E1550" s="14">
        <v>130</v>
      </c>
      <c r="F1550" s="23">
        <v>9</v>
      </c>
      <c r="G1550" s="17">
        <v>0.30754462005649719</v>
      </c>
      <c r="H1550" s="4" t="s">
        <v>123</v>
      </c>
      <c r="I1550" s="14"/>
    </row>
    <row r="1551" spans="1:9" x14ac:dyDescent="0.25">
      <c r="A1551" s="14">
        <v>2013</v>
      </c>
      <c r="B1551" s="14">
        <v>197</v>
      </c>
      <c r="C1551" s="20">
        <v>41471</v>
      </c>
      <c r="D1551" s="16">
        <v>0.59861111111111109</v>
      </c>
      <c r="E1551" s="14">
        <v>130</v>
      </c>
      <c r="F1551" s="23">
        <v>10</v>
      </c>
      <c r="G1551" s="17">
        <v>0.31420031214689265</v>
      </c>
      <c r="H1551" s="4" t="s">
        <v>123</v>
      </c>
      <c r="I1551" s="14"/>
    </row>
    <row r="1552" spans="1:9" x14ac:dyDescent="0.25">
      <c r="A1552" s="14">
        <v>2013</v>
      </c>
      <c r="B1552" s="14">
        <v>197</v>
      </c>
      <c r="C1552" s="20">
        <v>41471</v>
      </c>
      <c r="D1552" s="16">
        <v>0.60902777777777783</v>
      </c>
      <c r="E1552" s="14">
        <v>130</v>
      </c>
      <c r="F1552" s="23">
        <v>11</v>
      </c>
      <c r="G1552" s="17">
        <v>0.31439606779661017</v>
      </c>
      <c r="H1552" s="4" t="s">
        <v>124</v>
      </c>
      <c r="I1552" s="14"/>
    </row>
    <row r="1553" spans="1:9" x14ac:dyDescent="0.25">
      <c r="A1553" s="14">
        <v>2013</v>
      </c>
      <c r="B1553" s="14">
        <v>197</v>
      </c>
      <c r="C1553" s="20">
        <v>41471</v>
      </c>
      <c r="D1553" s="16">
        <v>0.61527777777777781</v>
      </c>
      <c r="E1553" s="14">
        <v>130</v>
      </c>
      <c r="F1553" s="23">
        <v>12</v>
      </c>
      <c r="G1553" s="17">
        <v>0.29853986016949152</v>
      </c>
      <c r="H1553" s="4" t="s">
        <v>124</v>
      </c>
      <c r="I1553" s="14"/>
    </row>
    <row r="1554" spans="1:9" x14ac:dyDescent="0.25">
      <c r="A1554" s="14">
        <v>2013</v>
      </c>
      <c r="B1554" s="14">
        <v>197</v>
      </c>
      <c r="C1554" s="20">
        <v>41471</v>
      </c>
      <c r="D1554" s="16">
        <v>0.62152777777777779</v>
      </c>
      <c r="E1554" s="14">
        <v>130</v>
      </c>
      <c r="F1554" s="23">
        <v>13</v>
      </c>
      <c r="G1554" s="17">
        <v>0.32849047457627123</v>
      </c>
      <c r="H1554" s="4" t="s">
        <v>124</v>
      </c>
      <c r="I1554" s="14"/>
    </row>
    <row r="1555" spans="1:9" x14ac:dyDescent="0.25">
      <c r="A1555" s="14">
        <v>2013</v>
      </c>
      <c r="B1555" s="14">
        <v>197</v>
      </c>
      <c r="C1555" s="20">
        <v>41471</v>
      </c>
      <c r="D1555" s="16">
        <v>0.62708333333333333</v>
      </c>
      <c r="E1555" s="14">
        <v>130</v>
      </c>
      <c r="F1555" s="23">
        <v>14</v>
      </c>
      <c r="G1555" s="17">
        <v>0.31746943149717516</v>
      </c>
      <c r="H1555" s="4" t="s">
        <v>124</v>
      </c>
      <c r="I1555" s="14"/>
    </row>
    <row r="1556" spans="1:9" x14ac:dyDescent="0.25">
      <c r="A1556" s="14">
        <v>2013</v>
      </c>
      <c r="B1556" s="14">
        <v>197</v>
      </c>
      <c r="C1556" s="20">
        <v>41471</v>
      </c>
      <c r="D1556" s="16">
        <v>0.63402777777777775</v>
      </c>
      <c r="E1556" s="14">
        <v>130</v>
      </c>
      <c r="F1556" s="23">
        <v>15</v>
      </c>
      <c r="G1556" s="17">
        <v>0.30075189901129945</v>
      </c>
      <c r="H1556" s="4" t="s">
        <v>1</v>
      </c>
      <c r="I1556" s="14"/>
    </row>
    <row r="1557" spans="1:9" x14ac:dyDescent="0.25">
      <c r="A1557" s="14">
        <v>2013</v>
      </c>
      <c r="B1557" s="14">
        <v>197</v>
      </c>
      <c r="C1557" s="20">
        <v>41471</v>
      </c>
      <c r="D1557" s="16">
        <v>0.63888888888888895</v>
      </c>
      <c r="E1557" s="14">
        <v>130</v>
      </c>
      <c r="F1557" s="23">
        <v>16</v>
      </c>
      <c r="G1557" s="17">
        <v>0.29709126836158195</v>
      </c>
      <c r="H1557" s="4" t="s">
        <v>1</v>
      </c>
      <c r="I1557" s="14"/>
    </row>
    <row r="1558" spans="1:9" x14ac:dyDescent="0.25">
      <c r="A1558" s="14">
        <v>2013</v>
      </c>
      <c r="B1558" s="14">
        <v>197</v>
      </c>
      <c r="C1558" s="20">
        <v>41471</v>
      </c>
      <c r="D1558" s="16">
        <v>0.63888888888888895</v>
      </c>
      <c r="E1558" s="14">
        <v>130</v>
      </c>
      <c r="F1558" s="23">
        <v>17</v>
      </c>
      <c r="G1558" s="17">
        <v>0.31257554025423728</v>
      </c>
      <c r="H1558" s="4" t="s">
        <v>124</v>
      </c>
      <c r="I1558" s="14"/>
    </row>
    <row r="1559" spans="1:9" x14ac:dyDescent="0.25">
      <c r="A1559" s="14">
        <v>2013</v>
      </c>
      <c r="B1559" s="14">
        <v>197</v>
      </c>
      <c r="C1559" s="20">
        <v>41471</v>
      </c>
      <c r="D1559" s="16" t="e">
        <v>#N/A</v>
      </c>
      <c r="E1559" s="14">
        <v>130</v>
      </c>
      <c r="F1559" s="23">
        <v>18</v>
      </c>
      <c r="G1559" s="17" t="e">
        <v>#N/A</v>
      </c>
      <c r="H1559" s="4" t="s">
        <v>124</v>
      </c>
      <c r="I1559" s="14"/>
    </row>
    <row r="1560" spans="1:9" x14ac:dyDescent="0.25">
      <c r="A1560" s="14">
        <v>2013</v>
      </c>
      <c r="B1560" s="14">
        <v>197</v>
      </c>
      <c r="C1560" s="20">
        <v>41471</v>
      </c>
      <c r="D1560" s="16" t="e">
        <v>#N/A</v>
      </c>
      <c r="E1560" s="14">
        <v>130</v>
      </c>
      <c r="F1560" s="23">
        <v>19</v>
      </c>
      <c r="G1560" s="17" t="e">
        <v>#N/A</v>
      </c>
      <c r="H1560" s="4" t="s">
        <v>124</v>
      </c>
      <c r="I1560" s="14"/>
    </row>
    <row r="1561" spans="1:9" x14ac:dyDescent="0.25">
      <c r="A1561" s="14">
        <v>2013</v>
      </c>
      <c r="B1561" s="14">
        <v>197</v>
      </c>
      <c r="C1561" s="20">
        <v>41471</v>
      </c>
      <c r="D1561" s="16" t="e">
        <v>#N/A</v>
      </c>
      <c r="E1561" s="14">
        <v>130</v>
      </c>
      <c r="F1561" s="23">
        <v>20</v>
      </c>
      <c r="G1561" s="17" t="e">
        <v>#N/A</v>
      </c>
      <c r="H1561" s="4" t="s">
        <v>124</v>
      </c>
      <c r="I1561" s="14"/>
    </row>
    <row r="1562" spans="1:9" x14ac:dyDescent="0.25">
      <c r="A1562" s="14">
        <v>2013</v>
      </c>
      <c r="B1562" s="14">
        <v>197</v>
      </c>
      <c r="C1562" s="20">
        <v>41471</v>
      </c>
      <c r="D1562" s="16">
        <v>0.5444444444444444</v>
      </c>
      <c r="E1562" s="14">
        <v>110</v>
      </c>
      <c r="F1562" s="23">
        <v>1</v>
      </c>
      <c r="G1562" s="17">
        <v>0.34834484110169489</v>
      </c>
      <c r="H1562" s="4" t="s">
        <v>123</v>
      </c>
      <c r="I1562" s="14"/>
    </row>
    <row r="1563" spans="1:9" x14ac:dyDescent="0.25">
      <c r="A1563" s="14">
        <v>2013</v>
      </c>
      <c r="B1563" s="14">
        <v>197</v>
      </c>
      <c r="C1563" s="20">
        <v>41471</v>
      </c>
      <c r="D1563" s="16">
        <v>0.55069444444444449</v>
      </c>
      <c r="E1563" s="14">
        <v>110</v>
      </c>
      <c r="F1563" s="23">
        <v>2</v>
      </c>
      <c r="G1563" s="17">
        <v>0.34369299223163841</v>
      </c>
      <c r="H1563" s="4" t="s">
        <v>123</v>
      </c>
      <c r="I1563" s="14"/>
    </row>
    <row r="1564" spans="1:9" x14ac:dyDescent="0.25">
      <c r="A1564" s="14">
        <v>2013</v>
      </c>
      <c r="B1564" s="14">
        <v>197</v>
      </c>
      <c r="C1564" s="20">
        <v>41471</v>
      </c>
      <c r="D1564" s="16">
        <v>0.55694444444444446</v>
      </c>
      <c r="E1564" s="14">
        <v>110</v>
      </c>
      <c r="F1564" s="23">
        <v>3</v>
      </c>
      <c r="G1564" s="17">
        <v>0.32619098658192092</v>
      </c>
      <c r="H1564" s="4" t="s">
        <v>123</v>
      </c>
      <c r="I1564" s="14"/>
    </row>
    <row r="1565" spans="1:9" x14ac:dyDescent="0.25">
      <c r="A1565" s="14">
        <v>2013</v>
      </c>
      <c r="B1565" s="14">
        <v>197</v>
      </c>
      <c r="C1565" s="20">
        <v>41471</v>
      </c>
      <c r="D1565" s="16">
        <v>0.56319444444444444</v>
      </c>
      <c r="E1565" s="14">
        <v>110</v>
      </c>
      <c r="F1565" s="23">
        <v>4</v>
      </c>
      <c r="G1565" s="17">
        <v>0.33913325918079096</v>
      </c>
      <c r="H1565" s="4" t="s">
        <v>123</v>
      </c>
      <c r="I1565" s="14"/>
    </row>
    <row r="1566" spans="1:9" x14ac:dyDescent="0.25">
      <c r="A1566" s="14">
        <v>2013</v>
      </c>
      <c r="B1566" s="14">
        <v>197</v>
      </c>
      <c r="C1566" s="20">
        <v>41471</v>
      </c>
      <c r="D1566" s="16">
        <v>0.56944444444444442</v>
      </c>
      <c r="E1566" s="14">
        <v>110</v>
      </c>
      <c r="F1566" s="23">
        <v>5</v>
      </c>
      <c r="G1566" s="17">
        <v>0.33102706709039548</v>
      </c>
      <c r="H1566" s="4" t="s">
        <v>0</v>
      </c>
      <c r="I1566" s="14"/>
    </row>
    <row r="1567" spans="1:9" x14ac:dyDescent="0.25">
      <c r="A1567" s="14">
        <v>2013</v>
      </c>
      <c r="B1567" s="14">
        <v>197</v>
      </c>
      <c r="C1567" s="20">
        <v>41471</v>
      </c>
      <c r="D1567" s="16">
        <v>0.56944444444444442</v>
      </c>
      <c r="E1567" s="14">
        <v>110</v>
      </c>
      <c r="F1567" s="23">
        <v>6</v>
      </c>
      <c r="G1567" s="17">
        <v>0.32216091949152537</v>
      </c>
      <c r="H1567" s="4" t="s">
        <v>0</v>
      </c>
      <c r="I1567" s="14"/>
    </row>
    <row r="1568" spans="1:9" x14ac:dyDescent="0.25">
      <c r="A1568" s="14">
        <v>2013</v>
      </c>
      <c r="B1568" s="14">
        <v>197</v>
      </c>
      <c r="C1568" s="20">
        <v>41471</v>
      </c>
      <c r="D1568" s="16">
        <v>0.5805555555555556</v>
      </c>
      <c r="E1568" s="14">
        <v>110</v>
      </c>
      <c r="F1568" s="23">
        <v>7</v>
      </c>
      <c r="G1568" s="17">
        <v>0.34005441737288133</v>
      </c>
      <c r="H1568" s="4" t="s">
        <v>123</v>
      </c>
      <c r="I1568" s="14"/>
    </row>
    <row r="1569" spans="1:9" x14ac:dyDescent="0.25">
      <c r="A1569" s="14">
        <v>2013</v>
      </c>
      <c r="B1569" s="14">
        <v>197</v>
      </c>
      <c r="C1569" s="20">
        <v>41471</v>
      </c>
      <c r="D1569" s="16">
        <v>0.58611111111111114</v>
      </c>
      <c r="E1569" s="14">
        <v>110</v>
      </c>
      <c r="F1569" s="23">
        <v>8</v>
      </c>
      <c r="G1569" s="17">
        <v>0.34650252471751414</v>
      </c>
      <c r="H1569" s="4" t="s">
        <v>123</v>
      </c>
      <c r="I1569" s="14"/>
    </row>
    <row r="1570" spans="1:9" x14ac:dyDescent="0.25">
      <c r="A1570" s="14">
        <v>2013</v>
      </c>
      <c r="B1570" s="14">
        <v>197</v>
      </c>
      <c r="C1570" s="20">
        <v>41471</v>
      </c>
      <c r="D1570" s="16">
        <v>0.59236111111111112</v>
      </c>
      <c r="E1570" s="14">
        <v>110</v>
      </c>
      <c r="F1570" s="23">
        <v>9</v>
      </c>
      <c r="G1570" s="17">
        <v>0.336922479519774</v>
      </c>
      <c r="H1570" s="4" t="s">
        <v>123</v>
      </c>
      <c r="I1570" s="14"/>
    </row>
    <row r="1571" spans="1:9" x14ac:dyDescent="0.25">
      <c r="A1571" s="14">
        <v>2013</v>
      </c>
      <c r="B1571" s="14">
        <v>197</v>
      </c>
      <c r="C1571" s="20">
        <v>41471</v>
      </c>
      <c r="D1571" s="16">
        <v>0.59861111111111109</v>
      </c>
      <c r="E1571" s="14">
        <v>110</v>
      </c>
      <c r="F1571" s="23">
        <v>10</v>
      </c>
      <c r="G1571" s="17">
        <v>0.33977806991525422</v>
      </c>
      <c r="H1571" s="4" t="s">
        <v>123</v>
      </c>
      <c r="I1571" s="14"/>
    </row>
    <row r="1572" spans="1:9" x14ac:dyDescent="0.25">
      <c r="A1572" s="14">
        <v>2013</v>
      </c>
      <c r="B1572" s="14">
        <v>197</v>
      </c>
      <c r="C1572" s="20">
        <v>41471</v>
      </c>
      <c r="D1572" s="16">
        <v>0.60902777777777783</v>
      </c>
      <c r="E1572" s="14">
        <v>110</v>
      </c>
      <c r="F1572" s="23">
        <v>11</v>
      </c>
      <c r="G1572" s="17">
        <v>0.34452203460451974</v>
      </c>
      <c r="H1572" s="4" t="s">
        <v>124</v>
      </c>
      <c r="I1572" s="14"/>
    </row>
    <row r="1573" spans="1:9" x14ac:dyDescent="0.25">
      <c r="A1573" s="14">
        <v>2013</v>
      </c>
      <c r="B1573" s="14">
        <v>197</v>
      </c>
      <c r="C1573" s="20">
        <v>41471</v>
      </c>
      <c r="D1573" s="16">
        <v>0.61527777777777781</v>
      </c>
      <c r="E1573" s="14">
        <v>110</v>
      </c>
      <c r="F1573" s="23">
        <v>12</v>
      </c>
      <c r="G1573" s="17">
        <v>0.34219611016949153</v>
      </c>
      <c r="H1573" s="4" t="s">
        <v>124</v>
      </c>
      <c r="I1573" s="14"/>
    </row>
    <row r="1574" spans="1:9" x14ac:dyDescent="0.25">
      <c r="A1574" s="14">
        <v>2013</v>
      </c>
      <c r="B1574" s="14">
        <v>197</v>
      </c>
      <c r="C1574" s="20">
        <v>41471</v>
      </c>
      <c r="D1574" s="16">
        <v>0.62152777777777779</v>
      </c>
      <c r="E1574" s="14">
        <v>110</v>
      </c>
      <c r="F1574" s="23">
        <v>13</v>
      </c>
      <c r="G1574" s="17">
        <v>0.35193735805084742</v>
      </c>
      <c r="H1574" s="4" t="s">
        <v>124</v>
      </c>
      <c r="I1574" s="14"/>
    </row>
    <row r="1575" spans="1:9" x14ac:dyDescent="0.25">
      <c r="A1575" s="14">
        <v>2013</v>
      </c>
      <c r="B1575" s="14">
        <v>197</v>
      </c>
      <c r="C1575" s="20">
        <v>41471</v>
      </c>
      <c r="D1575" s="16">
        <v>0.62708333333333333</v>
      </c>
      <c r="E1575" s="14">
        <v>110</v>
      </c>
      <c r="F1575" s="23">
        <v>14</v>
      </c>
      <c r="G1575" s="17">
        <v>0.33480381567796608</v>
      </c>
      <c r="H1575" s="4" t="s">
        <v>124</v>
      </c>
      <c r="I1575" s="14"/>
    </row>
    <row r="1576" spans="1:9" x14ac:dyDescent="0.25">
      <c r="A1576" s="14">
        <v>2013</v>
      </c>
      <c r="B1576" s="14">
        <v>197</v>
      </c>
      <c r="C1576" s="20">
        <v>41471</v>
      </c>
      <c r="D1576" s="16">
        <v>0.63402777777777775</v>
      </c>
      <c r="E1576" s="14">
        <v>110</v>
      </c>
      <c r="F1576" s="23">
        <v>15</v>
      </c>
      <c r="G1576" s="17">
        <v>0.32317419350282484</v>
      </c>
      <c r="H1576" s="4" t="s">
        <v>1</v>
      </c>
      <c r="I1576" s="14"/>
    </row>
    <row r="1577" spans="1:9" x14ac:dyDescent="0.25">
      <c r="A1577" s="14">
        <v>2013</v>
      </c>
      <c r="B1577" s="14">
        <v>197</v>
      </c>
      <c r="C1577" s="20">
        <v>41471</v>
      </c>
      <c r="D1577" s="16">
        <v>0.63888888888888895</v>
      </c>
      <c r="E1577" s="14">
        <v>110</v>
      </c>
      <c r="F1577" s="23">
        <v>16</v>
      </c>
      <c r="G1577" s="17">
        <v>0.32474016242937853</v>
      </c>
      <c r="H1577" s="4" t="s">
        <v>1</v>
      </c>
      <c r="I1577" s="14"/>
    </row>
    <row r="1578" spans="1:9" x14ac:dyDescent="0.25">
      <c r="A1578" s="14">
        <v>2013</v>
      </c>
      <c r="B1578" s="14">
        <v>197</v>
      </c>
      <c r="C1578" s="20">
        <v>41471</v>
      </c>
      <c r="D1578" s="16">
        <v>0.63888888888888895</v>
      </c>
      <c r="E1578" s="14">
        <v>110</v>
      </c>
      <c r="F1578" s="23">
        <v>17</v>
      </c>
      <c r="G1578" s="17">
        <v>0.34532804802259881</v>
      </c>
      <c r="H1578" s="4" t="s">
        <v>124</v>
      </c>
      <c r="I1578" s="14"/>
    </row>
    <row r="1579" spans="1:9" x14ac:dyDescent="0.25">
      <c r="A1579" s="14">
        <v>2013</v>
      </c>
      <c r="B1579" s="14">
        <v>197</v>
      </c>
      <c r="C1579" s="20">
        <v>41471</v>
      </c>
      <c r="D1579" s="16" t="e">
        <v>#N/A</v>
      </c>
      <c r="E1579" s="14">
        <v>110</v>
      </c>
      <c r="F1579" s="23">
        <v>18</v>
      </c>
      <c r="G1579" s="17" t="e">
        <v>#N/A</v>
      </c>
      <c r="H1579" s="4" t="s">
        <v>124</v>
      </c>
      <c r="I1579" s="14"/>
    </row>
    <row r="1580" spans="1:9" x14ac:dyDescent="0.25">
      <c r="A1580" s="14">
        <v>2013</v>
      </c>
      <c r="B1580" s="14">
        <v>197</v>
      </c>
      <c r="C1580" s="20">
        <v>41471</v>
      </c>
      <c r="D1580" s="16" t="e">
        <v>#N/A</v>
      </c>
      <c r="E1580" s="14">
        <v>110</v>
      </c>
      <c r="F1580" s="23">
        <v>19</v>
      </c>
      <c r="G1580" s="17" t="e">
        <v>#N/A</v>
      </c>
      <c r="H1580" s="4" t="s">
        <v>124</v>
      </c>
      <c r="I1580" s="14"/>
    </row>
    <row r="1581" spans="1:9" x14ac:dyDescent="0.25">
      <c r="A1581" s="14">
        <v>2013</v>
      </c>
      <c r="B1581" s="14">
        <v>197</v>
      </c>
      <c r="C1581" s="20">
        <v>41471</v>
      </c>
      <c r="D1581" s="16" t="e">
        <v>#N/A</v>
      </c>
      <c r="E1581" s="14">
        <v>110</v>
      </c>
      <c r="F1581" s="23">
        <v>20</v>
      </c>
      <c r="G1581" s="17" t="e">
        <v>#N/A</v>
      </c>
      <c r="H1581" s="4" t="s">
        <v>124</v>
      </c>
      <c r="I1581" s="14"/>
    </row>
    <row r="1582" spans="1:9" x14ac:dyDescent="0.25">
      <c r="A1582" s="14">
        <v>2013</v>
      </c>
      <c r="B1582" s="14">
        <v>197</v>
      </c>
      <c r="C1582" s="20">
        <v>41471</v>
      </c>
      <c r="D1582" s="16">
        <v>0.5444444444444444</v>
      </c>
      <c r="E1582" s="14">
        <v>90</v>
      </c>
      <c r="F1582" s="23">
        <v>1</v>
      </c>
      <c r="G1582" s="17">
        <v>0.35214461864406776</v>
      </c>
      <c r="H1582" s="4" t="s">
        <v>123</v>
      </c>
      <c r="I1582" s="14"/>
    </row>
    <row r="1583" spans="1:9" x14ac:dyDescent="0.25">
      <c r="A1583" s="14">
        <v>2013</v>
      </c>
      <c r="B1583" s="14">
        <v>197</v>
      </c>
      <c r="C1583" s="20">
        <v>41471</v>
      </c>
      <c r="D1583" s="16">
        <v>0.55069444444444449</v>
      </c>
      <c r="E1583" s="14">
        <v>90</v>
      </c>
      <c r="F1583" s="23">
        <v>2</v>
      </c>
      <c r="G1583" s="17">
        <v>0.35670435169491527</v>
      </c>
      <c r="H1583" s="4" t="s">
        <v>123</v>
      </c>
      <c r="I1583" s="14"/>
    </row>
    <row r="1584" spans="1:9" x14ac:dyDescent="0.25">
      <c r="A1584" s="14">
        <v>2013</v>
      </c>
      <c r="B1584" s="14">
        <v>197</v>
      </c>
      <c r="C1584" s="20">
        <v>41471</v>
      </c>
      <c r="D1584" s="16">
        <v>0.55694444444444446</v>
      </c>
      <c r="E1584" s="14">
        <v>90</v>
      </c>
      <c r="F1584" s="23">
        <v>3</v>
      </c>
      <c r="G1584" s="17">
        <v>0.33611646610169488</v>
      </c>
      <c r="H1584" s="4" t="s">
        <v>123</v>
      </c>
      <c r="I1584" s="14"/>
    </row>
    <row r="1585" spans="1:9" x14ac:dyDescent="0.25">
      <c r="A1585" s="14">
        <v>2013</v>
      </c>
      <c r="B1585" s="14">
        <v>197</v>
      </c>
      <c r="C1585" s="20">
        <v>41471</v>
      </c>
      <c r="D1585" s="16">
        <v>0.56319444444444444</v>
      </c>
      <c r="E1585" s="14">
        <v>90</v>
      </c>
      <c r="F1585" s="23">
        <v>4</v>
      </c>
      <c r="G1585" s="17">
        <v>0.3378206087570621</v>
      </c>
      <c r="H1585" s="4" t="s">
        <v>123</v>
      </c>
      <c r="I1585" s="14"/>
    </row>
    <row r="1586" spans="1:9" x14ac:dyDescent="0.25">
      <c r="A1586" s="14">
        <v>2013</v>
      </c>
      <c r="B1586" s="14">
        <v>197</v>
      </c>
      <c r="C1586" s="20">
        <v>41471</v>
      </c>
      <c r="D1586" s="16">
        <v>0.56944444444444442</v>
      </c>
      <c r="E1586" s="14">
        <v>90</v>
      </c>
      <c r="F1586" s="23">
        <v>5</v>
      </c>
      <c r="G1586" s="17">
        <v>0.3188908079096045</v>
      </c>
      <c r="H1586" s="4" t="s">
        <v>0</v>
      </c>
      <c r="I1586" s="14"/>
    </row>
    <row r="1587" spans="1:9" x14ac:dyDescent="0.25">
      <c r="A1587" s="14">
        <v>2013</v>
      </c>
      <c r="B1587" s="14">
        <v>197</v>
      </c>
      <c r="C1587" s="20">
        <v>41471</v>
      </c>
      <c r="D1587" s="16">
        <v>0.56944444444444442</v>
      </c>
      <c r="E1587" s="14">
        <v>90</v>
      </c>
      <c r="F1587" s="23">
        <v>6</v>
      </c>
      <c r="G1587" s="17">
        <v>0.32229909322033895</v>
      </c>
      <c r="H1587" s="4" t="s">
        <v>0</v>
      </c>
      <c r="I1587" s="14"/>
    </row>
    <row r="1588" spans="1:9" x14ac:dyDescent="0.25">
      <c r="A1588" s="14">
        <v>2013</v>
      </c>
      <c r="B1588" s="14">
        <v>197</v>
      </c>
      <c r="C1588" s="20">
        <v>41471</v>
      </c>
      <c r="D1588" s="16">
        <v>0.5805555555555556</v>
      </c>
      <c r="E1588" s="14">
        <v>90</v>
      </c>
      <c r="F1588" s="23">
        <v>7</v>
      </c>
      <c r="G1588" s="17">
        <v>0.34553530861581921</v>
      </c>
      <c r="H1588" s="4" t="s">
        <v>123</v>
      </c>
      <c r="I1588" s="14"/>
    </row>
    <row r="1589" spans="1:9" x14ac:dyDescent="0.25">
      <c r="A1589" s="14">
        <v>2013</v>
      </c>
      <c r="B1589" s="14">
        <v>197</v>
      </c>
      <c r="C1589" s="20">
        <v>41471</v>
      </c>
      <c r="D1589" s="16">
        <v>0.58611111111111114</v>
      </c>
      <c r="E1589" s="14">
        <v>90</v>
      </c>
      <c r="F1589" s="23">
        <v>8</v>
      </c>
      <c r="G1589" s="17">
        <v>0.3405380254237288</v>
      </c>
      <c r="H1589" s="4" t="s">
        <v>123</v>
      </c>
      <c r="I1589" s="14"/>
    </row>
    <row r="1590" spans="1:9" x14ac:dyDescent="0.25">
      <c r="A1590" s="14">
        <v>2013</v>
      </c>
      <c r="B1590" s="14">
        <v>197</v>
      </c>
      <c r="C1590" s="20">
        <v>41471</v>
      </c>
      <c r="D1590" s="16">
        <v>0.59236111111111112</v>
      </c>
      <c r="E1590" s="14">
        <v>90</v>
      </c>
      <c r="F1590" s="23">
        <v>9</v>
      </c>
      <c r="G1590" s="17">
        <v>0.34097557556497177</v>
      </c>
      <c r="H1590" s="4" t="s">
        <v>123</v>
      </c>
      <c r="I1590" s="14"/>
    </row>
    <row r="1591" spans="1:9" x14ac:dyDescent="0.25">
      <c r="A1591" s="14">
        <v>2013</v>
      </c>
      <c r="B1591" s="14">
        <v>197</v>
      </c>
      <c r="C1591" s="20">
        <v>41471</v>
      </c>
      <c r="D1591" s="16">
        <v>0.59861111111111109</v>
      </c>
      <c r="E1591" s="14">
        <v>90</v>
      </c>
      <c r="F1591" s="23">
        <v>10</v>
      </c>
      <c r="G1591" s="17">
        <v>0.34360087641242931</v>
      </c>
      <c r="H1591" s="4" t="s">
        <v>123</v>
      </c>
      <c r="I1591" s="14"/>
    </row>
    <row r="1592" spans="1:9" x14ac:dyDescent="0.25">
      <c r="A1592" s="14">
        <v>2013</v>
      </c>
      <c r="B1592" s="14">
        <v>197</v>
      </c>
      <c r="C1592" s="20">
        <v>41471</v>
      </c>
      <c r="D1592" s="16">
        <v>0.60902777777777783</v>
      </c>
      <c r="E1592" s="14">
        <v>90</v>
      </c>
      <c r="F1592" s="23">
        <v>11</v>
      </c>
      <c r="G1592" s="17">
        <v>0.35009504166666661</v>
      </c>
      <c r="H1592" s="4" t="s">
        <v>124</v>
      </c>
      <c r="I1592" s="14"/>
    </row>
    <row r="1593" spans="1:9" x14ac:dyDescent="0.25">
      <c r="A1593" s="14">
        <v>2013</v>
      </c>
      <c r="B1593" s="14">
        <v>197</v>
      </c>
      <c r="C1593" s="20">
        <v>41471</v>
      </c>
      <c r="D1593" s="16">
        <v>0.61527777777777781</v>
      </c>
      <c r="E1593" s="14">
        <v>90</v>
      </c>
      <c r="F1593" s="23">
        <v>12</v>
      </c>
      <c r="G1593" s="17">
        <v>0.34433780296610167</v>
      </c>
      <c r="H1593" s="4" t="s">
        <v>124</v>
      </c>
      <c r="I1593" s="14"/>
    </row>
    <row r="1594" spans="1:9" x14ac:dyDescent="0.25">
      <c r="A1594" s="14">
        <v>2013</v>
      </c>
      <c r="B1594" s="14">
        <v>197</v>
      </c>
      <c r="C1594" s="20">
        <v>41471</v>
      </c>
      <c r="D1594" s="16">
        <v>0.62152777777777779</v>
      </c>
      <c r="E1594" s="14">
        <v>90</v>
      </c>
      <c r="F1594" s="23">
        <v>13</v>
      </c>
      <c r="G1594" s="17">
        <v>0.34997989689265535</v>
      </c>
      <c r="H1594" s="4" t="s">
        <v>124</v>
      </c>
      <c r="I1594" s="14"/>
    </row>
    <row r="1595" spans="1:9" x14ac:dyDescent="0.25">
      <c r="A1595" s="14">
        <v>2013</v>
      </c>
      <c r="B1595" s="14">
        <v>197</v>
      </c>
      <c r="C1595" s="20">
        <v>41471</v>
      </c>
      <c r="D1595" s="16">
        <v>0.62708333333333333</v>
      </c>
      <c r="E1595" s="14">
        <v>90</v>
      </c>
      <c r="F1595" s="23">
        <v>14</v>
      </c>
      <c r="G1595" s="17">
        <v>0.33625463983050846</v>
      </c>
      <c r="H1595" s="4" t="s">
        <v>124</v>
      </c>
      <c r="I1595" s="14"/>
    </row>
    <row r="1596" spans="1:9" x14ac:dyDescent="0.25">
      <c r="A1596" s="14">
        <v>2013</v>
      </c>
      <c r="B1596" s="14">
        <v>197</v>
      </c>
      <c r="C1596" s="20">
        <v>41471</v>
      </c>
      <c r="D1596" s="16">
        <v>0.63402777777777775</v>
      </c>
      <c r="E1596" s="14">
        <v>90</v>
      </c>
      <c r="F1596" s="23">
        <v>15</v>
      </c>
      <c r="G1596" s="17">
        <v>0.30719209887005644</v>
      </c>
      <c r="H1596" s="4" t="s">
        <v>1</v>
      </c>
      <c r="I1596" s="14"/>
    </row>
    <row r="1597" spans="1:9" x14ac:dyDescent="0.25">
      <c r="A1597" s="14">
        <v>2013</v>
      </c>
      <c r="B1597" s="14">
        <v>197</v>
      </c>
      <c r="C1597" s="20">
        <v>41471</v>
      </c>
      <c r="D1597" s="16">
        <v>0.63888888888888895</v>
      </c>
      <c r="E1597" s="14">
        <v>90</v>
      </c>
      <c r="F1597" s="23">
        <v>16</v>
      </c>
      <c r="G1597" s="17">
        <v>0.31007071822033894</v>
      </c>
      <c r="H1597" s="4" t="s">
        <v>1</v>
      </c>
      <c r="I1597" s="14"/>
    </row>
    <row r="1598" spans="1:9" x14ac:dyDescent="0.25">
      <c r="A1598" s="14">
        <v>2013</v>
      </c>
      <c r="B1598" s="14">
        <v>197</v>
      </c>
      <c r="C1598" s="20">
        <v>41471</v>
      </c>
      <c r="D1598" s="16">
        <v>0.63888888888888895</v>
      </c>
      <c r="E1598" s="14">
        <v>90</v>
      </c>
      <c r="F1598" s="23">
        <v>17</v>
      </c>
      <c r="G1598" s="17">
        <v>0.34760791454802259</v>
      </c>
      <c r="H1598" s="4" t="s">
        <v>124</v>
      </c>
      <c r="I1598" s="14"/>
    </row>
    <row r="1599" spans="1:9" x14ac:dyDescent="0.25">
      <c r="A1599" s="14">
        <v>2013</v>
      </c>
      <c r="B1599" s="14">
        <v>197</v>
      </c>
      <c r="C1599" s="20">
        <v>41471</v>
      </c>
      <c r="D1599" s="16" t="e">
        <v>#N/A</v>
      </c>
      <c r="E1599" s="14">
        <v>90</v>
      </c>
      <c r="F1599" s="23">
        <v>18</v>
      </c>
      <c r="G1599" s="17" t="e">
        <v>#N/A</v>
      </c>
      <c r="H1599" s="4" t="s">
        <v>124</v>
      </c>
      <c r="I1599" s="14"/>
    </row>
    <row r="1600" spans="1:9" x14ac:dyDescent="0.25">
      <c r="A1600" s="14">
        <v>2013</v>
      </c>
      <c r="B1600" s="14">
        <v>197</v>
      </c>
      <c r="C1600" s="20">
        <v>41471</v>
      </c>
      <c r="D1600" s="16" t="e">
        <v>#N/A</v>
      </c>
      <c r="E1600" s="14">
        <v>90</v>
      </c>
      <c r="F1600" s="23">
        <v>19</v>
      </c>
      <c r="G1600" s="17" t="e">
        <v>#N/A</v>
      </c>
      <c r="H1600" s="4" t="s">
        <v>124</v>
      </c>
      <c r="I1600" s="14"/>
    </row>
    <row r="1601" spans="1:9" x14ac:dyDescent="0.25">
      <c r="A1601" s="14">
        <v>2013</v>
      </c>
      <c r="B1601" s="14">
        <v>197</v>
      </c>
      <c r="C1601" s="20">
        <v>41471</v>
      </c>
      <c r="D1601" s="16" t="e">
        <v>#N/A</v>
      </c>
      <c r="E1601" s="14">
        <v>90</v>
      </c>
      <c r="F1601" s="23">
        <v>20</v>
      </c>
      <c r="G1601" s="17" t="e">
        <v>#N/A</v>
      </c>
      <c r="H1601" s="4" t="s">
        <v>124</v>
      </c>
      <c r="I1601" s="14"/>
    </row>
    <row r="1602" spans="1:9" x14ac:dyDescent="0.25">
      <c r="A1602" s="14">
        <v>2013</v>
      </c>
      <c r="B1602" s="14">
        <v>197</v>
      </c>
      <c r="C1602" s="20">
        <v>41471</v>
      </c>
      <c r="D1602" s="16">
        <v>0.5444444444444444</v>
      </c>
      <c r="E1602" s="14">
        <v>70</v>
      </c>
      <c r="F1602" s="23">
        <v>1</v>
      </c>
      <c r="G1602" s="17">
        <v>0.34921994138418078</v>
      </c>
      <c r="H1602" s="4" t="s">
        <v>123</v>
      </c>
      <c r="I1602" s="14"/>
    </row>
    <row r="1603" spans="1:9" x14ac:dyDescent="0.25">
      <c r="A1603" s="14">
        <v>2013</v>
      </c>
      <c r="B1603" s="14">
        <v>197</v>
      </c>
      <c r="C1603" s="20">
        <v>41471</v>
      </c>
      <c r="D1603" s="16">
        <v>0.55069444444444449</v>
      </c>
      <c r="E1603" s="14">
        <v>70</v>
      </c>
      <c r="F1603" s="23">
        <v>2</v>
      </c>
      <c r="G1603" s="17">
        <v>0.35516141172316384</v>
      </c>
      <c r="H1603" s="4" t="s">
        <v>123</v>
      </c>
      <c r="I1603" s="14"/>
    </row>
    <row r="1604" spans="1:9" x14ac:dyDescent="0.25">
      <c r="A1604" s="14">
        <v>2013</v>
      </c>
      <c r="B1604" s="14">
        <v>197</v>
      </c>
      <c r="C1604" s="20">
        <v>41471</v>
      </c>
      <c r="D1604" s="16">
        <v>0.55694444444444446</v>
      </c>
      <c r="E1604" s="14">
        <v>70</v>
      </c>
      <c r="F1604" s="23">
        <v>3</v>
      </c>
      <c r="G1604" s="17">
        <v>0.34546622175141239</v>
      </c>
      <c r="H1604" s="4" t="s">
        <v>123</v>
      </c>
      <c r="I1604" s="14"/>
    </row>
    <row r="1605" spans="1:9" x14ac:dyDescent="0.25">
      <c r="A1605" s="14">
        <v>2013</v>
      </c>
      <c r="B1605" s="14">
        <v>197</v>
      </c>
      <c r="C1605" s="20">
        <v>41471</v>
      </c>
      <c r="D1605" s="16">
        <v>0.56319444444444444</v>
      </c>
      <c r="E1605" s="14">
        <v>70</v>
      </c>
      <c r="F1605" s="23">
        <v>4</v>
      </c>
      <c r="G1605" s="17">
        <v>0.33374448375706212</v>
      </c>
      <c r="H1605" s="4" t="s">
        <v>123</v>
      </c>
      <c r="I1605" s="14"/>
    </row>
    <row r="1606" spans="1:9" x14ac:dyDescent="0.25">
      <c r="A1606" s="14">
        <v>2013</v>
      </c>
      <c r="B1606" s="14">
        <v>197</v>
      </c>
      <c r="C1606" s="20">
        <v>41471</v>
      </c>
      <c r="D1606" s="16">
        <v>0.56944444444444442</v>
      </c>
      <c r="E1606" s="14">
        <v>70</v>
      </c>
      <c r="F1606" s="23">
        <v>5</v>
      </c>
      <c r="G1606" s="17">
        <v>0.30072096257062142</v>
      </c>
      <c r="H1606" s="4" t="s">
        <v>0</v>
      </c>
      <c r="I1606" s="14"/>
    </row>
    <row r="1607" spans="1:9" x14ac:dyDescent="0.25">
      <c r="A1607" s="14">
        <v>2013</v>
      </c>
      <c r="B1607" s="14">
        <v>197</v>
      </c>
      <c r="C1607" s="20">
        <v>41471</v>
      </c>
      <c r="D1607" s="16">
        <v>0.56944444444444442</v>
      </c>
      <c r="E1607" s="14">
        <v>70</v>
      </c>
      <c r="F1607" s="23">
        <v>6</v>
      </c>
      <c r="G1607" s="17">
        <v>0.30323111864406782</v>
      </c>
      <c r="H1607" s="4" t="s">
        <v>0</v>
      </c>
      <c r="I1607" s="14"/>
    </row>
    <row r="1608" spans="1:9" x14ac:dyDescent="0.25">
      <c r="A1608" s="14">
        <v>2013</v>
      </c>
      <c r="B1608" s="14">
        <v>197</v>
      </c>
      <c r="C1608" s="20">
        <v>41471</v>
      </c>
      <c r="D1608" s="16">
        <v>0.5805555555555556</v>
      </c>
      <c r="E1608" s="14">
        <v>70</v>
      </c>
      <c r="F1608" s="23">
        <v>7</v>
      </c>
      <c r="G1608" s="17">
        <v>0.34539713488700563</v>
      </c>
      <c r="H1608" s="4" t="s">
        <v>123</v>
      </c>
      <c r="I1608" s="14"/>
    </row>
    <row r="1609" spans="1:9" x14ac:dyDescent="0.25">
      <c r="A1609" s="14">
        <v>2013</v>
      </c>
      <c r="B1609" s="14">
        <v>197</v>
      </c>
      <c r="C1609" s="20">
        <v>41471</v>
      </c>
      <c r="D1609" s="16">
        <v>0.58611111111111114</v>
      </c>
      <c r="E1609" s="14">
        <v>70</v>
      </c>
      <c r="F1609" s="23">
        <v>8</v>
      </c>
      <c r="G1609" s="17">
        <v>0.34380813700564972</v>
      </c>
      <c r="H1609" s="4" t="s">
        <v>123</v>
      </c>
      <c r="I1609" s="14"/>
    </row>
    <row r="1610" spans="1:9" x14ac:dyDescent="0.25">
      <c r="A1610" s="14">
        <v>2013</v>
      </c>
      <c r="B1610" s="14">
        <v>197</v>
      </c>
      <c r="C1610" s="20">
        <v>41471</v>
      </c>
      <c r="D1610" s="16">
        <v>0.59236111111111112</v>
      </c>
      <c r="E1610" s="14">
        <v>70</v>
      </c>
      <c r="F1610" s="23">
        <v>9</v>
      </c>
      <c r="G1610" s="17">
        <v>0.34601891666666662</v>
      </c>
      <c r="H1610" s="4" t="s">
        <v>123</v>
      </c>
      <c r="I1610" s="14"/>
    </row>
    <row r="1611" spans="1:9" x14ac:dyDescent="0.25">
      <c r="A1611" s="14">
        <v>2013</v>
      </c>
      <c r="B1611" s="14">
        <v>197</v>
      </c>
      <c r="C1611" s="20">
        <v>41471</v>
      </c>
      <c r="D1611" s="16">
        <v>0.59861111111111109</v>
      </c>
      <c r="E1611" s="14">
        <v>70</v>
      </c>
      <c r="F1611" s="23">
        <v>10</v>
      </c>
      <c r="G1611" s="17">
        <v>0.34901268079096043</v>
      </c>
      <c r="H1611" s="4" t="s">
        <v>123</v>
      </c>
      <c r="I1611" s="14"/>
    </row>
    <row r="1612" spans="1:9" x14ac:dyDescent="0.25">
      <c r="A1612" s="14">
        <v>2013</v>
      </c>
      <c r="B1612" s="14">
        <v>197</v>
      </c>
      <c r="C1612" s="20">
        <v>41471</v>
      </c>
      <c r="D1612" s="16">
        <v>0.60902777777777783</v>
      </c>
      <c r="E1612" s="14">
        <v>70</v>
      </c>
      <c r="F1612" s="23">
        <v>11</v>
      </c>
      <c r="G1612" s="17">
        <v>0.35532261440677965</v>
      </c>
      <c r="H1612" s="4" t="s">
        <v>124</v>
      </c>
      <c r="I1612" s="14"/>
    </row>
    <row r="1613" spans="1:9" x14ac:dyDescent="0.25">
      <c r="A1613" s="14">
        <v>2013</v>
      </c>
      <c r="B1613" s="14">
        <v>197</v>
      </c>
      <c r="C1613" s="20">
        <v>41471</v>
      </c>
      <c r="D1613" s="16">
        <v>0.61527777777777781</v>
      </c>
      <c r="E1613" s="14">
        <v>70</v>
      </c>
      <c r="F1613" s="23">
        <v>12</v>
      </c>
      <c r="G1613" s="17">
        <v>0.34277183403954797</v>
      </c>
      <c r="H1613" s="4" t="s">
        <v>124</v>
      </c>
      <c r="I1613" s="14"/>
    </row>
    <row r="1614" spans="1:9" x14ac:dyDescent="0.25">
      <c r="A1614" s="14">
        <v>2013</v>
      </c>
      <c r="B1614" s="14">
        <v>197</v>
      </c>
      <c r="C1614" s="20">
        <v>41471</v>
      </c>
      <c r="D1614" s="16">
        <v>0.62152777777777779</v>
      </c>
      <c r="E1614" s="14">
        <v>70</v>
      </c>
      <c r="F1614" s="23">
        <v>13</v>
      </c>
      <c r="G1614" s="17">
        <v>0.34857513064971746</v>
      </c>
      <c r="H1614" s="4" t="s">
        <v>124</v>
      </c>
      <c r="I1614" s="14"/>
    </row>
    <row r="1615" spans="1:9" x14ac:dyDescent="0.25">
      <c r="A1615" s="14">
        <v>2013</v>
      </c>
      <c r="B1615" s="14">
        <v>197</v>
      </c>
      <c r="C1615" s="20">
        <v>41471</v>
      </c>
      <c r="D1615" s="16">
        <v>0.62708333333333333</v>
      </c>
      <c r="E1615" s="14">
        <v>70</v>
      </c>
      <c r="F1615" s="23">
        <v>14</v>
      </c>
      <c r="G1615" s="17">
        <v>0.3503483601694915</v>
      </c>
      <c r="H1615" s="4" t="s">
        <v>124</v>
      </c>
      <c r="I1615" s="14"/>
    </row>
    <row r="1616" spans="1:9" x14ac:dyDescent="0.25">
      <c r="A1616" s="14">
        <v>2013</v>
      </c>
      <c r="B1616" s="14">
        <v>197</v>
      </c>
      <c r="C1616" s="20">
        <v>41471</v>
      </c>
      <c r="D1616" s="16">
        <v>0.63402777777777775</v>
      </c>
      <c r="E1616" s="14">
        <v>70</v>
      </c>
      <c r="F1616" s="23">
        <v>15</v>
      </c>
      <c r="G1616" s="17">
        <v>0.27651753107344629</v>
      </c>
      <c r="H1616" s="4" t="s">
        <v>1</v>
      </c>
      <c r="I1616" s="14"/>
    </row>
    <row r="1617" spans="1:9" x14ac:dyDescent="0.25">
      <c r="A1617" s="14">
        <v>2013</v>
      </c>
      <c r="B1617" s="14">
        <v>197</v>
      </c>
      <c r="C1617" s="20">
        <v>41471</v>
      </c>
      <c r="D1617" s="16">
        <v>0.63888888888888895</v>
      </c>
      <c r="E1617" s="14">
        <v>70</v>
      </c>
      <c r="F1617" s="23">
        <v>16</v>
      </c>
      <c r="G1617" s="17">
        <v>0.29070336723163837</v>
      </c>
      <c r="H1617" s="4" t="s">
        <v>1</v>
      </c>
      <c r="I1617" s="14"/>
    </row>
    <row r="1618" spans="1:9" x14ac:dyDescent="0.25">
      <c r="A1618" s="14">
        <v>2013</v>
      </c>
      <c r="B1618" s="14">
        <v>197</v>
      </c>
      <c r="C1618" s="20">
        <v>41471</v>
      </c>
      <c r="D1618" s="16">
        <v>0.63888888888888895</v>
      </c>
      <c r="E1618" s="14">
        <v>70</v>
      </c>
      <c r="F1618" s="23">
        <v>17</v>
      </c>
      <c r="G1618" s="17">
        <v>0.34622617725988697</v>
      </c>
      <c r="H1618" s="4" t="s">
        <v>124</v>
      </c>
      <c r="I1618" s="14"/>
    </row>
    <row r="1619" spans="1:9" x14ac:dyDescent="0.25">
      <c r="A1619" s="14">
        <v>2013</v>
      </c>
      <c r="B1619" s="14">
        <v>197</v>
      </c>
      <c r="C1619" s="20">
        <v>41471</v>
      </c>
      <c r="D1619" s="16" t="e">
        <v>#N/A</v>
      </c>
      <c r="E1619" s="14">
        <v>70</v>
      </c>
      <c r="F1619" s="23">
        <v>18</v>
      </c>
      <c r="G1619" s="17" t="e">
        <v>#N/A</v>
      </c>
      <c r="H1619" s="4" t="s">
        <v>124</v>
      </c>
      <c r="I1619" s="14"/>
    </row>
    <row r="1620" spans="1:9" x14ac:dyDescent="0.25">
      <c r="A1620" s="14">
        <v>2013</v>
      </c>
      <c r="B1620" s="14">
        <v>197</v>
      </c>
      <c r="C1620" s="20">
        <v>41471</v>
      </c>
      <c r="D1620" s="16" t="e">
        <v>#N/A</v>
      </c>
      <c r="E1620" s="14">
        <v>70</v>
      </c>
      <c r="F1620" s="23">
        <v>19</v>
      </c>
      <c r="G1620" s="17" t="e">
        <v>#N/A</v>
      </c>
      <c r="H1620" s="4" t="s">
        <v>124</v>
      </c>
      <c r="I1620" s="14"/>
    </row>
    <row r="1621" spans="1:9" x14ac:dyDescent="0.25">
      <c r="A1621" s="14">
        <v>2013</v>
      </c>
      <c r="B1621" s="14">
        <v>197</v>
      </c>
      <c r="C1621" s="20">
        <v>41471</v>
      </c>
      <c r="D1621" s="16" t="e">
        <v>#N/A</v>
      </c>
      <c r="E1621" s="14">
        <v>70</v>
      </c>
      <c r="F1621" s="23">
        <v>20</v>
      </c>
      <c r="G1621" s="17" t="e">
        <v>#N/A</v>
      </c>
      <c r="H1621" s="4" t="s">
        <v>124</v>
      </c>
      <c r="I1621" s="14"/>
    </row>
    <row r="1622" spans="1:9" x14ac:dyDescent="0.25">
      <c r="A1622" s="14">
        <v>2013</v>
      </c>
      <c r="B1622" s="14">
        <v>197</v>
      </c>
      <c r="C1622" s="20">
        <v>41471</v>
      </c>
      <c r="D1622" s="16">
        <v>0.5444444444444444</v>
      </c>
      <c r="E1622" s="14">
        <v>50</v>
      </c>
      <c r="F1622" s="23">
        <v>1</v>
      </c>
      <c r="G1622" s="17">
        <v>0.33563285805084747</v>
      </c>
      <c r="H1622" s="4" t="s">
        <v>123</v>
      </c>
      <c r="I1622" s="14"/>
    </row>
    <row r="1623" spans="1:9" x14ac:dyDescent="0.25">
      <c r="A1623" s="14">
        <v>2013</v>
      </c>
      <c r="B1623" s="14">
        <v>197</v>
      </c>
      <c r="C1623" s="20">
        <v>41471</v>
      </c>
      <c r="D1623" s="16">
        <v>0.55069444444444449</v>
      </c>
      <c r="E1623" s="14">
        <v>50</v>
      </c>
      <c r="F1623" s="23">
        <v>2</v>
      </c>
      <c r="G1623" s="17">
        <v>0.35573713559322034</v>
      </c>
      <c r="H1623" s="4" t="s">
        <v>123</v>
      </c>
      <c r="I1623" s="14"/>
    </row>
    <row r="1624" spans="1:9" x14ac:dyDescent="0.25">
      <c r="A1624" s="14">
        <v>2013</v>
      </c>
      <c r="B1624" s="14">
        <v>197</v>
      </c>
      <c r="C1624" s="20">
        <v>41471</v>
      </c>
      <c r="D1624" s="16">
        <v>0.55694444444444446</v>
      </c>
      <c r="E1624" s="14">
        <v>50</v>
      </c>
      <c r="F1624" s="23">
        <v>3</v>
      </c>
      <c r="G1624" s="17">
        <v>0.33395174435028246</v>
      </c>
      <c r="H1624" s="4" t="s">
        <v>123</v>
      </c>
      <c r="I1624" s="14"/>
    </row>
    <row r="1625" spans="1:9" x14ac:dyDescent="0.25">
      <c r="A1625" s="14">
        <v>2013</v>
      </c>
      <c r="B1625" s="14">
        <v>197</v>
      </c>
      <c r="C1625" s="20">
        <v>41471</v>
      </c>
      <c r="D1625" s="16">
        <v>0.56319444444444444</v>
      </c>
      <c r="E1625" s="14">
        <v>50</v>
      </c>
      <c r="F1625" s="23">
        <v>4</v>
      </c>
      <c r="G1625" s="17">
        <v>0.32759575282485875</v>
      </c>
      <c r="H1625" s="4" t="s">
        <v>123</v>
      </c>
      <c r="I1625" s="14"/>
    </row>
    <row r="1626" spans="1:9" x14ac:dyDescent="0.25">
      <c r="A1626" s="14">
        <v>2013</v>
      </c>
      <c r="B1626" s="14">
        <v>197</v>
      </c>
      <c r="C1626" s="20">
        <v>41471</v>
      </c>
      <c r="D1626" s="16">
        <v>0.56944444444444442</v>
      </c>
      <c r="E1626" s="14">
        <v>50</v>
      </c>
      <c r="F1626" s="23">
        <v>5</v>
      </c>
      <c r="G1626" s="17">
        <v>0.28787080579096042</v>
      </c>
      <c r="H1626" s="4" t="s">
        <v>0</v>
      </c>
      <c r="I1626" s="14"/>
    </row>
    <row r="1627" spans="1:9" x14ac:dyDescent="0.25">
      <c r="A1627" s="14">
        <v>2013</v>
      </c>
      <c r="B1627" s="14">
        <v>197</v>
      </c>
      <c r="C1627" s="20">
        <v>41471</v>
      </c>
      <c r="D1627" s="16">
        <v>0.56944444444444442</v>
      </c>
      <c r="E1627" s="14">
        <v>50</v>
      </c>
      <c r="F1627" s="23">
        <v>6</v>
      </c>
      <c r="G1627" s="17">
        <v>0.29404256567796611</v>
      </c>
      <c r="H1627" s="4" t="s">
        <v>0</v>
      </c>
      <c r="I1627" s="14"/>
    </row>
    <row r="1628" spans="1:9" x14ac:dyDescent="0.25">
      <c r="A1628" s="14">
        <v>2013</v>
      </c>
      <c r="B1628" s="14">
        <v>197</v>
      </c>
      <c r="C1628" s="20">
        <v>41471</v>
      </c>
      <c r="D1628" s="16">
        <v>0.5805555555555556</v>
      </c>
      <c r="E1628" s="14">
        <v>50</v>
      </c>
      <c r="F1628" s="23">
        <v>7</v>
      </c>
      <c r="G1628" s="17">
        <v>0.34396933968926552</v>
      </c>
      <c r="H1628" s="4" t="s">
        <v>123</v>
      </c>
      <c r="I1628" s="14"/>
    </row>
    <row r="1629" spans="1:9" x14ac:dyDescent="0.25">
      <c r="A1629" s="14">
        <v>2013</v>
      </c>
      <c r="B1629" s="14">
        <v>197</v>
      </c>
      <c r="C1629" s="20">
        <v>41471</v>
      </c>
      <c r="D1629" s="16">
        <v>0.58611111111111114</v>
      </c>
      <c r="E1629" s="14">
        <v>50</v>
      </c>
      <c r="F1629" s="23">
        <v>8</v>
      </c>
      <c r="G1629" s="17">
        <v>0.33600132132768362</v>
      </c>
      <c r="H1629" s="4" t="s">
        <v>123</v>
      </c>
      <c r="I1629" s="14"/>
    </row>
    <row r="1630" spans="1:9" x14ac:dyDescent="0.25">
      <c r="A1630" s="14">
        <v>2013</v>
      </c>
      <c r="B1630" s="14">
        <v>197</v>
      </c>
      <c r="C1630" s="20">
        <v>41471</v>
      </c>
      <c r="D1630" s="16">
        <v>0.59236111111111112</v>
      </c>
      <c r="E1630" s="14">
        <v>50</v>
      </c>
      <c r="F1630" s="23">
        <v>9</v>
      </c>
      <c r="G1630" s="17">
        <v>0.32874720056497175</v>
      </c>
      <c r="H1630" s="4" t="s">
        <v>123</v>
      </c>
      <c r="I1630" s="14"/>
    </row>
    <row r="1631" spans="1:9" x14ac:dyDescent="0.25">
      <c r="A1631" s="14">
        <v>2013</v>
      </c>
      <c r="B1631" s="14">
        <v>197</v>
      </c>
      <c r="C1631" s="20">
        <v>41471</v>
      </c>
      <c r="D1631" s="16">
        <v>0.59861111111111109</v>
      </c>
      <c r="E1631" s="14">
        <v>50</v>
      </c>
      <c r="F1631" s="23">
        <v>10</v>
      </c>
      <c r="G1631" s="17">
        <v>0.34044590960451976</v>
      </c>
      <c r="H1631" s="4" t="s">
        <v>123</v>
      </c>
      <c r="I1631" s="14"/>
    </row>
    <row r="1632" spans="1:9" x14ac:dyDescent="0.25">
      <c r="A1632" s="14">
        <v>2013</v>
      </c>
      <c r="B1632" s="14">
        <v>197</v>
      </c>
      <c r="C1632" s="20">
        <v>41471</v>
      </c>
      <c r="D1632" s="16">
        <v>0.60902777777777783</v>
      </c>
      <c r="E1632" s="14">
        <v>50</v>
      </c>
      <c r="F1632" s="23">
        <v>11</v>
      </c>
      <c r="G1632" s="17">
        <v>0.34908176765536719</v>
      </c>
      <c r="H1632" s="4" t="s">
        <v>124</v>
      </c>
      <c r="I1632" s="14"/>
    </row>
    <row r="1633" spans="1:9" x14ac:dyDescent="0.25">
      <c r="A1633" s="14">
        <v>2013</v>
      </c>
      <c r="B1633" s="14">
        <v>197</v>
      </c>
      <c r="C1633" s="20">
        <v>41471</v>
      </c>
      <c r="D1633" s="16">
        <v>0.61527777777777781</v>
      </c>
      <c r="E1633" s="14">
        <v>50</v>
      </c>
      <c r="F1633" s="23">
        <v>12</v>
      </c>
      <c r="G1633" s="17">
        <v>0.3356098290960452</v>
      </c>
      <c r="H1633" s="4" t="s">
        <v>124</v>
      </c>
      <c r="I1633" s="14"/>
    </row>
    <row r="1634" spans="1:9" x14ac:dyDescent="0.25">
      <c r="A1634" s="14">
        <v>2013</v>
      </c>
      <c r="B1634" s="14">
        <v>197</v>
      </c>
      <c r="C1634" s="20">
        <v>41471</v>
      </c>
      <c r="D1634" s="16">
        <v>0.62152777777777779</v>
      </c>
      <c r="E1634" s="14">
        <v>50</v>
      </c>
      <c r="F1634" s="23">
        <v>13</v>
      </c>
      <c r="G1634" s="17">
        <v>0.33821210098870053</v>
      </c>
      <c r="H1634" s="4" t="s">
        <v>124</v>
      </c>
      <c r="I1634" s="14"/>
    </row>
    <row r="1635" spans="1:9" x14ac:dyDescent="0.25">
      <c r="A1635" s="14">
        <v>2013</v>
      </c>
      <c r="B1635" s="14">
        <v>197</v>
      </c>
      <c r="C1635" s="20">
        <v>41471</v>
      </c>
      <c r="D1635" s="16">
        <v>0.62708333333333333</v>
      </c>
      <c r="E1635" s="14">
        <v>50</v>
      </c>
      <c r="F1635" s="23">
        <v>14</v>
      </c>
      <c r="G1635" s="17">
        <v>0.33671521892655365</v>
      </c>
      <c r="H1635" s="4" t="s">
        <v>124</v>
      </c>
      <c r="I1635" s="14"/>
    </row>
    <row r="1636" spans="1:9" x14ac:dyDescent="0.25">
      <c r="A1636" s="14">
        <v>2013</v>
      </c>
      <c r="B1636" s="14">
        <v>197</v>
      </c>
      <c r="C1636" s="20">
        <v>41471</v>
      </c>
      <c r="D1636" s="16">
        <v>0.63402777777777775</v>
      </c>
      <c r="E1636" s="14">
        <v>50</v>
      </c>
      <c r="F1636" s="23">
        <v>15</v>
      </c>
      <c r="G1636" s="17">
        <v>0.27730051553672314</v>
      </c>
      <c r="H1636" s="4" t="s">
        <v>1</v>
      </c>
      <c r="I1636" s="14"/>
    </row>
    <row r="1637" spans="1:9" x14ac:dyDescent="0.25">
      <c r="A1637" s="14">
        <v>2013</v>
      </c>
      <c r="B1637" s="14">
        <v>197</v>
      </c>
      <c r="C1637" s="20">
        <v>41471</v>
      </c>
      <c r="D1637" s="16">
        <v>0.63888888888888895</v>
      </c>
      <c r="E1637" s="14">
        <v>50</v>
      </c>
      <c r="F1637" s="23">
        <v>16</v>
      </c>
      <c r="G1637" s="17">
        <v>0.28356439124293786</v>
      </c>
      <c r="H1637" s="4" t="s">
        <v>1</v>
      </c>
      <c r="I1637" s="14"/>
    </row>
    <row r="1638" spans="1:9" x14ac:dyDescent="0.25">
      <c r="A1638" s="14">
        <v>2013</v>
      </c>
      <c r="B1638" s="14">
        <v>197</v>
      </c>
      <c r="C1638" s="20">
        <v>41471</v>
      </c>
      <c r="D1638" s="16">
        <v>0.63888888888888895</v>
      </c>
      <c r="E1638" s="14">
        <v>50</v>
      </c>
      <c r="F1638" s="23">
        <v>17</v>
      </c>
      <c r="G1638" s="17">
        <v>0.34848301483050848</v>
      </c>
      <c r="H1638" s="4" t="s">
        <v>124</v>
      </c>
      <c r="I1638" s="14"/>
    </row>
    <row r="1639" spans="1:9" x14ac:dyDescent="0.25">
      <c r="A1639" s="14">
        <v>2013</v>
      </c>
      <c r="B1639" s="14">
        <v>197</v>
      </c>
      <c r="C1639" s="20">
        <v>41471</v>
      </c>
      <c r="D1639" s="16" t="e">
        <v>#N/A</v>
      </c>
      <c r="E1639" s="14">
        <v>50</v>
      </c>
      <c r="F1639" s="23">
        <v>18</v>
      </c>
      <c r="G1639" s="17" t="e">
        <v>#N/A</v>
      </c>
      <c r="H1639" s="4" t="s">
        <v>124</v>
      </c>
      <c r="I1639" s="14"/>
    </row>
    <row r="1640" spans="1:9" x14ac:dyDescent="0.25">
      <c r="A1640" s="14">
        <v>2013</v>
      </c>
      <c r="B1640" s="14">
        <v>197</v>
      </c>
      <c r="C1640" s="20">
        <v>41471</v>
      </c>
      <c r="D1640" s="16" t="e">
        <v>#N/A</v>
      </c>
      <c r="E1640" s="14">
        <v>50</v>
      </c>
      <c r="F1640" s="23">
        <v>19</v>
      </c>
      <c r="G1640" s="17" t="e">
        <v>#N/A</v>
      </c>
      <c r="H1640" s="4" t="s">
        <v>124</v>
      </c>
      <c r="I1640" s="14"/>
    </row>
    <row r="1641" spans="1:9" x14ac:dyDescent="0.25">
      <c r="A1641" s="14">
        <v>2013</v>
      </c>
      <c r="B1641" s="14">
        <v>197</v>
      </c>
      <c r="C1641" s="20">
        <v>41471</v>
      </c>
      <c r="D1641" s="16" t="e">
        <v>#N/A</v>
      </c>
      <c r="E1641" s="14">
        <v>50</v>
      </c>
      <c r="F1641" s="23">
        <v>20</v>
      </c>
      <c r="G1641" s="17" t="e">
        <v>#N/A</v>
      </c>
      <c r="H1641" s="4" t="s">
        <v>124</v>
      </c>
      <c r="I1641" s="14"/>
    </row>
    <row r="1642" spans="1:9" x14ac:dyDescent="0.25">
      <c r="A1642" s="14">
        <v>2013</v>
      </c>
      <c r="B1642" s="14">
        <v>197</v>
      </c>
      <c r="C1642" s="20">
        <v>41471</v>
      </c>
      <c r="D1642" s="16">
        <v>0.5444444444444444</v>
      </c>
      <c r="E1642" s="14">
        <v>30</v>
      </c>
      <c r="F1642" s="23">
        <v>1</v>
      </c>
      <c r="G1642" s="17">
        <v>0.31760118644067797</v>
      </c>
      <c r="H1642" s="4" t="s">
        <v>123</v>
      </c>
      <c r="I1642" s="14"/>
    </row>
    <row r="1643" spans="1:9" x14ac:dyDescent="0.25">
      <c r="A1643" s="14">
        <v>2013</v>
      </c>
      <c r="B1643" s="14">
        <v>197</v>
      </c>
      <c r="C1643" s="20">
        <v>41471</v>
      </c>
      <c r="D1643" s="16">
        <v>0.55069444444444449</v>
      </c>
      <c r="E1643" s="14">
        <v>30</v>
      </c>
      <c r="F1643" s="23">
        <v>2</v>
      </c>
      <c r="G1643" s="17">
        <v>0.34076831497175142</v>
      </c>
      <c r="H1643" s="4" t="s">
        <v>123</v>
      </c>
      <c r="I1643" s="14"/>
    </row>
    <row r="1644" spans="1:9" x14ac:dyDescent="0.25">
      <c r="A1644" s="14">
        <v>2013</v>
      </c>
      <c r="B1644" s="14">
        <v>197</v>
      </c>
      <c r="C1644" s="20">
        <v>41471</v>
      </c>
      <c r="D1644" s="16">
        <v>0.55694444444444446</v>
      </c>
      <c r="E1644" s="14">
        <v>30</v>
      </c>
      <c r="F1644" s="23">
        <v>3</v>
      </c>
      <c r="G1644" s="17">
        <v>0.3143771327683616</v>
      </c>
      <c r="H1644" s="4" t="s">
        <v>123</v>
      </c>
      <c r="I1644" s="14"/>
    </row>
    <row r="1645" spans="1:9" x14ac:dyDescent="0.25">
      <c r="A1645" s="14">
        <v>2013</v>
      </c>
      <c r="B1645" s="14">
        <v>197</v>
      </c>
      <c r="C1645" s="20">
        <v>41471</v>
      </c>
      <c r="D1645" s="16">
        <v>0.56319444444444444</v>
      </c>
      <c r="E1645" s="14">
        <v>30</v>
      </c>
      <c r="F1645" s="23">
        <v>4</v>
      </c>
      <c r="G1645" s="17">
        <v>0.28492309957627115</v>
      </c>
      <c r="H1645" s="4" t="s">
        <v>123</v>
      </c>
      <c r="I1645" s="14"/>
    </row>
    <row r="1646" spans="1:9" x14ac:dyDescent="0.25">
      <c r="A1646" s="14">
        <v>2013</v>
      </c>
      <c r="B1646" s="14">
        <v>197</v>
      </c>
      <c r="C1646" s="20">
        <v>41471</v>
      </c>
      <c r="D1646" s="16">
        <v>0.56944444444444442</v>
      </c>
      <c r="E1646" s="14">
        <v>30</v>
      </c>
      <c r="F1646" s="23">
        <v>5</v>
      </c>
      <c r="G1646" s="17">
        <v>0.27426069350282484</v>
      </c>
      <c r="H1646" s="4" t="s">
        <v>0</v>
      </c>
      <c r="I1646" s="14"/>
    </row>
    <row r="1647" spans="1:9" x14ac:dyDescent="0.25">
      <c r="A1647" s="14">
        <v>2013</v>
      </c>
      <c r="B1647" s="14">
        <v>197</v>
      </c>
      <c r="C1647" s="20">
        <v>41471</v>
      </c>
      <c r="D1647" s="16">
        <v>0.56944444444444442</v>
      </c>
      <c r="E1647" s="14">
        <v>30</v>
      </c>
      <c r="F1647" s="23">
        <v>6</v>
      </c>
      <c r="G1647" s="17">
        <v>0.28063971398305088</v>
      </c>
      <c r="H1647" s="4" t="s">
        <v>0</v>
      </c>
      <c r="I1647" s="14"/>
    </row>
    <row r="1648" spans="1:9" x14ac:dyDescent="0.25">
      <c r="A1648" s="14">
        <v>2013</v>
      </c>
      <c r="B1648" s="14">
        <v>197</v>
      </c>
      <c r="C1648" s="20">
        <v>41471</v>
      </c>
      <c r="D1648" s="16">
        <v>0.5805555555555556</v>
      </c>
      <c r="E1648" s="14">
        <v>30</v>
      </c>
      <c r="F1648" s="23">
        <v>7</v>
      </c>
      <c r="G1648" s="17">
        <v>0.35198341596045196</v>
      </c>
      <c r="H1648" s="4" t="s">
        <v>123</v>
      </c>
      <c r="I1648" s="14"/>
    </row>
    <row r="1649" spans="1:9" x14ac:dyDescent="0.25">
      <c r="A1649" s="14">
        <v>2013</v>
      </c>
      <c r="B1649" s="14">
        <v>197</v>
      </c>
      <c r="C1649" s="20">
        <v>41471</v>
      </c>
      <c r="D1649" s="16">
        <v>0.58611111111111114</v>
      </c>
      <c r="E1649" s="14">
        <v>30</v>
      </c>
      <c r="F1649" s="23">
        <v>8</v>
      </c>
      <c r="G1649" s="17">
        <v>0.32796421610169491</v>
      </c>
      <c r="H1649" s="4" t="s">
        <v>123</v>
      </c>
      <c r="I1649" s="14"/>
    </row>
    <row r="1650" spans="1:9" x14ac:dyDescent="0.25">
      <c r="A1650" s="14">
        <v>2013</v>
      </c>
      <c r="B1650" s="14">
        <v>197</v>
      </c>
      <c r="C1650" s="20">
        <v>41471</v>
      </c>
      <c r="D1650" s="16">
        <v>0.59236111111111112</v>
      </c>
      <c r="E1650" s="14">
        <v>30</v>
      </c>
      <c r="F1650" s="23">
        <v>9</v>
      </c>
      <c r="G1650" s="17">
        <v>0.30903441525423725</v>
      </c>
      <c r="H1650" s="4" t="s">
        <v>123</v>
      </c>
      <c r="I1650" s="14"/>
    </row>
    <row r="1651" spans="1:9" x14ac:dyDescent="0.25">
      <c r="A1651" s="14">
        <v>2013</v>
      </c>
      <c r="B1651" s="14">
        <v>197</v>
      </c>
      <c r="C1651" s="20">
        <v>41471</v>
      </c>
      <c r="D1651" s="16">
        <v>0.59861111111111109</v>
      </c>
      <c r="E1651" s="14">
        <v>30</v>
      </c>
      <c r="F1651" s="23">
        <v>10</v>
      </c>
      <c r="G1651" s="17">
        <v>0.30657031709039545</v>
      </c>
      <c r="H1651" s="4" t="s">
        <v>123</v>
      </c>
      <c r="I1651" s="14"/>
    </row>
    <row r="1652" spans="1:9" x14ac:dyDescent="0.25">
      <c r="A1652" s="14">
        <v>2013</v>
      </c>
      <c r="B1652" s="14">
        <v>197</v>
      </c>
      <c r="C1652" s="20">
        <v>41471</v>
      </c>
      <c r="D1652" s="16">
        <v>0.60902777777777783</v>
      </c>
      <c r="E1652" s="14">
        <v>30</v>
      </c>
      <c r="F1652" s="23">
        <v>11</v>
      </c>
      <c r="G1652" s="17">
        <v>0.33151067514124288</v>
      </c>
      <c r="H1652" s="4" t="s">
        <v>124</v>
      </c>
      <c r="I1652" s="14"/>
    </row>
    <row r="1653" spans="1:9" x14ac:dyDescent="0.25">
      <c r="A1653" s="14">
        <v>2013</v>
      </c>
      <c r="B1653" s="14">
        <v>197</v>
      </c>
      <c r="C1653" s="20">
        <v>41471</v>
      </c>
      <c r="D1653" s="16">
        <v>0.61527777777777781</v>
      </c>
      <c r="E1653" s="14">
        <v>30</v>
      </c>
      <c r="F1653" s="23">
        <v>12</v>
      </c>
      <c r="G1653" s="17">
        <v>0.32084826906779662</v>
      </c>
      <c r="H1653" s="4" t="s">
        <v>124</v>
      </c>
      <c r="I1653" s="14"/>
    </row>
    <row r="1654" spans="1:9" x14ac:dyDescent="0.25">
      <c r="A1654" s="14">
        <v>2013</v>
      </c>
      <c r="B1654" s="14">
        <v>197</v>
      </c>
      <c r="C1654" s="20">
        <v>41471</v>
      </c>
      <c r="D1654" s="16">
        <v>0.62152777777777779</v>
      </c>
      <c r="E1654" s="14">
        <v>30</v>
      </c>
      <c r="F1654" s="23">
        <v>13</v>
      </c>
      <c r="G1654" s="17">
        <v>0.30327717655367231</v>
      </c>
      <c r="H1654" s="4" t="s">
        <v>124</v>
      </c>
      <c r="I1654" s="14"/>
    </row>
    <row r="1655" spans="1:9" x14ac:dyDescent="0.25">
      <c r="A1655" s="14">
        <v>2013</v>
      </c>
      <c r="B1655" s="14">
        <v>197</v>
      </c>
      <c r="C1655" s="20">
        <v>41471</v>
      </c>
      <c r="D1655" s="16">
        <v>0.62708333333333333</v>
      </c>
      <c r="E1655" s="14">
        <v>30</v>
      </c>
      <c r="F1655" s="23">
        <v>14</v>
      </c>
      <c r="G1655" s="17">
        <v>0.30263236581920899</v>
      </c>
      <c r="H1655" s="4" t="s">
        <v>124</v>
      </c>
      <c r="I1655" s="14"/>
    </row>
    <row r="1656" spans="1:9" x14ac:dyDescent="0.25">
      <c r="A1656" s="14">
        <v>2013</v>
      </c>
      <c r="B1656" s="14">
        <v>197</v>
      </c>
      <c r="C1656" s="20">
        <v>41471</v>
      </c>
      <c r="D1656" s="16">
        <v>0.63402777777777775</v>
      </c>
      <c r="E1656" s="14">
        <v>30</v>
      </c>
      <c r="F1656" s="23">
        <v>15</v>
      </c>
      <c r="G1656" s="17">
        <v>0.27456006991525422</v>
      </c>
      <c r="H1656" s="4" t="s">
        <v>1</v>
      </c>
      <c r="I1656" s="14"/>
    </row>
    <row r="1657" spans="1:9" x14ac:dyDescent="0.25">
      <c r="A1657" s="14">
        <v>2013</v>
      </c>
      <c r="B1657" s="14">
        <v>197</v>
      </c>
      <c r="C1657" s="20">
        <v>41471</v>
      </c>
      <c r="D1657" s="16">
        <v>0.63888888888888895</v>
      </c>
      <c r="E1657" s="14">
        <v>30</v>
      </c>
      <c r="F1657" s="23">
        <v>16</v>
      </c>
      <c r="G1657" s="17">
        <v>0.28017913488700563</v>
      </c>
      <c r="H1657" s="4" t="s">
        <v>1</v>
      </c>
      <c r="I1657" s="14"/>
    </row>
    <row r="1658" spans="1:9" x14ac:dyDescent="0.25">
      <c r="A1658" s="14">
        <v>2013</v>
      </c>
      <c r="B1658" s="14">
        <v>197</v>
      </c>
      <c r="C1658" s="20">
        <v>41471</v>
      </c>
      <c r="D1658" s="16">
        <v>0.63888888888888895</v>
      </c>
      <c r="E1658" s="14">
        <v>30</v>
      </c>
      <c r="F1658" s="23">
        <v>17</v>
      </c>
      <c r="G1658" s="17">
        <v>0.33623161087570619</v>
      </c>
      <c r="H1658" s="4" t="s">
        <v>124</v>
      </c>
      <c r="I1658" s="14"/>
    </row>
    <row r="1659" spans="1:9" x14ac:dyDescent="0.25">
      <c r="A1659" s="14">
        <v>2013</v>
      </c>
      <c r="B1659" s="14">
        <v>197</v>
      </c>
      <c r="C1659" s="20">
        <v>41471</v>
      </c>
      <c r="D1659" s="16" t="e">
        <v>#N/A</v>
      </c>
      <c r="E1659" s="14">
        <v>30</v>
      </c>
      <c r="F1659" s="23">
        <v>18</v>
      </c>
      <c r="G1659" s="17" t="e">
        <v>#N/A</v>
      </c>
      <c r="H1659" s="4" t="s">
        <v>124</v>
      </c>
      <c r="I1659" s="14"/>
    </row>
    <row r="1660" spans="1:9" x14ac:dyDescent="0.25">
      <c r="A1660" s="14">
        <v>2013</v>
      </c>
      <c r="B1660" s="14">
        <v>197</v>
      </c>
      <c r="C1660" s="20">
        <v>41471</v>
      </c>
      <c r="D1660" s="16" t="e">
        <v>#N/A</v>
      </c>
      <c r="E1660" s="14">
        <v>30</v>
      </c>
      <c r="F1660" s="23">
        <v>19</v>
      </c>
      <c r="G1660" s="17" t="e">
        <v>#N/A</v>
      </c>
      <c r="H1660" s="4" t="s">
        <v>124</v>
      </c>
      <c r="I1660" s="14"/>
    </row>
    <row r="1661" spans="1:9" x14ac:dyDescent="0.25">
      <c r="A1661" s="14">
        <v>2013</v>
      </c>
      <c r="B1661" s="14">
        <v>197</v>
      </c>
      <c r="C1661" s="20">
        <v>41471</v>
      </c>
      <c r="D1661" s="16" t="e">
        <v>#N/A</v>
      </c>
      <c r="E1661" s="14">
        <v>30</v>
      </c>
      <c r="F1661" s="23">
        <v>20</v>
      </c>
      <c r="G1661" s="17" t="e">
        <v>#N/A</v>
      </c>
      <c r="H1661" s="4" t="s">
        <v>124</v>
      </c>
      <c r="I1661" s="14"/>
    </row>
    <row r="1662" spans="1:9" x14ac:dyDescent="0.25">
      <c r="A1662" s="14">
        <v>2013</v>
      </c>
      <c r="B1662" s="14">
        <v>197</v>
      </c>
      <c r="C1662" s="20">
        <v>41471</v>
      </c>
      <c r="D1662" s="16">
        <v>0.5444444444444444</v>
      </c>
      <c r="E1662" s="14">
        <v>10</v>
      </c>
      <c r="F1662" s="23">
        <v>1</v>
      </c>
      <c r="G1662" s="17">
        <v>0.23892854085956416</v>
      </c>
      <c r="H1662" s="4" t="s">
        <v>123</v>
      </c>
      <c r="I1662" s="14"/>
    </row>
    <row r="1663" spans="1:9" x14ac:dyDescent="0.25">
      <c r="A1663" s="14">
        <v>2013</v>
      </c>
      <c r="B1663" s="14">
        <v>197</v>
      </c>
      <c r="C1663" s="20">
        <v>41471</v>
      </c>
      <c r="D1663" s="16">
        <v>0.55069444444444449</v>
      </c>
      <c r="E1663" s="14">
        <v>10</v>
      </c>
      <c r="F1663" s="23">
        <v>2</v>
      </c>
      <c r="G1663" s="17">
        <v>0.27081633171912833</v>
      </c>
      <c r="H1663" s="4" t="s">
        <v>123</v>
      </c>
      <c r="I1663" s="14"/>
    </row>
    <row r="1664" spans="1:9" x14ac:dyDescent="0.25">
      <c r="A1664" s="14">
        <v>2013</v>
      </c>
      <c r="B1664" s="14">
        <v>197</v>
      </c>
      <c r="C1664" s="20">
        <v>41471</v>
      </c>
      <c r="D1664" s="16">
        <v>0.55694444444444446</v>
      </c>
      <c r="E1664" s="14">
        <v>10</v>
      </c>
      <c r="F1664" s="23">
        <v>3</v>
      </c>
      <c r="G1664" s="17">
        <v>0.25858592675544795</v>
      </c>
      <c r="H1664" s="4" t="s">
        <v>123</v>
      </c>
      <c r="I1664" s="14"/>
    </row>
    <row r="1665" spans="1:9" x14ac:dyDescent="0.25">
      <c r="A1665" s="14">
        <v>2013</v>
      </c>
      <c r="B1665" s="14">
        <v>197</v>
      </c>
      <c r="C1665" s="20">
        <v>41471</v>
      </c>
      <c r="D1665" s="16">
        <v>0.56319444444444444</v>
      </c>
      <c r="E1665" s="14">
        <v>10</v>
      </c>
      <c r="F1665" s="23">
        <v>4</v>
      </c>
      <c r="G1665" s="17">
        <v>0.24392487348668279</v>
      </c>
      <c r="H1665" s="4" t="s">
        <v>123</v>
      </c>
      <c r="I1665" s="14"/>
    </row>
    <row r="1666" spans="1:9" x14ac:dyDescent="0.25">
      <c r="A1666" s="14">
        <v>2013</v>
      </c>
      <c r="B1666" s="14">
        <v>197</v>
      </c>
      <c r="C1666" s="20">
        <v>41471</v>
      </c>
      <c r="D1666" s="16">
        <v>0.56944444444444442</v>
      </c>
      <c r="E1666" s="14">
        <v>10</v>
      </c>
      <c r="F1666" s="23">
        <v>5</v>
      </c>
      <c r="G1666" s="17">
        <v>0.24020173759079899</v>
      </c>
      <c r="H1666" s="4" t="s">
        <v>0</v>
      </c>
      <c r="I1666" s="14"/>
    </row>
    <row r="1667" spans="1:9" x14ac:dyDescent="0.25">
      <c r="A1667" s="14">
        <v>2013</v>
      </c>
      <c r="B1667" s="14">
        <v>197</v>
      </c>
      <c r="C1667" s="20">
        <v>41471</v>
      </c>
      <c r="D1667" s="16">
        <v>0.56944444444444442</v>
      </c>
      <c r="E1667" s="14">
        <v>10</v>
      </c>
      <c r="F1667" s="23">
        <v>6</v>
      </c>
      <c r="G1667" s="17">
        <v>0.21525865617433415</v>
      </c>
      <c r="H1667" s="4" t="s">
        <v>0</v>
      </c>
      <c r="I1667" s="14"/>
    </row>
    <row r="1668" spans="1:9" x14ac:dyDescent="0.25">
      <c r="A1668" s="14">
        <v>2013</v>
      </c>
      <c r="B1668" s="14">
        <v>197</v>
      </c>
      <c r="C1668" s="20">
        <v>41471</v>
      </c>
      <c r="D1668" s="16">
        <v>0.5805555555555556</v>
      </c>
      <c r="E1668" s="14">
        <v>10</v>
      </c>
      <c r="F1668" s="23">
        <v>7</v>
      </c>
      <c r="G1668" s="17">
        <v>0.28636476452784504</v>
      </c>
      <c r="H1668" s="4" t="s">
        <v>123</v>
      </c>
      <c r="I1668" s="14"/>
    </row>
    <row r="1669" spans="1:9" x14ac:dyDescent="0.25">
      <c r="A1669" s="14">
        <v>2013</v>
      </c>
      <c r="B1669" s="14">
        <v>197</v>
      </c>
      <c r="C1669" s="20">
        <v>41471</v>
      </c>
      <c r="D1669" s="16">
        <v>0.58611111111111114</v>
      </c>
      <c r="E1669" s="14">
        <v>10</v>
      </c>
      <c r="F1669" s="23">
        <v>8</v>
      </c>
      <c r="G1669" s="17">
        <v>0.27994090829297819</v>
      </c>
      <c r="H1669" s="4" t="s">
        <v>123</v>
      </c>
      <c r="I1669" s="14"/>
    </row>
    <row r="1670" spans="1:9" x14ac:dyDescent="0.25">
      <c r="A1670" s="14">
        <v>2013</v>
      </c>
      <c r="B1670" s="14">
        <v>197</v>
      </c>
      <c r="C1670" s="20">
        <v>41471</v>
      </c>
      <c r="D1670" s="16">
        <v>0.59236111111111112</v>
      </c>
      <c r="E1670" s="14">
        <v>10</v>
      </c>
      <c r="F1670" s="23">
        <v>9</v>
      </c>
      <c r="G1670" s="17">
        <v>0.22731544340193705</v>
      </c>
      <c r="H1670" s="4" t="s">
        <v>123</v>
      </c>
      <c r="I1670" s="14"/>
    </row>
    <row r="1671" spans="1:9" x14ac:dyDescent="0.25">
      <c r="A1671" s="14">
        <v>2013</v>
      </c>
      <c r="B1671" s="14">
        <v>197</v>
      </c>
      <c r="C1671" s="20">
        <v>41471</v>
      </c>
      <c r="D1671" s="16">
        <v>0.59861111111111109</v>
      </c>
      <c r="E1671" s="14">
        <v>10</v>
      </c>
      <c r="F1671" s="23">
        <v>10</v>
      </c>
      <c r="G1671" s="17">
        <v>0.2613252288135593</v>
      </c>
      <c r="H1671" s="4" t="s">
        <v>123</v>
      </c>
      <c r="I1671" s="14"/>
    </row>
    <row r="1672" spans="1:9" x14ac:dyDescent="0.25">
      <c r="A1672" s="14">
        <v>2013</v>
      </c>
      <c r="B1672" s="14">
        <v>197</v>
      </c>
      <c r="C1672" s="20">
        <v>41471</v>
      </c>
      <c r="D1672" s="16">
        <v>0.60902777777777783</v>
      </c>
      <c r="E1672" s="14">
        <v>10</v>
      </c>
      <c r="F1672" s="23">
        <v>11</v>
      </c>
      <c r="G1672" s="17">
        <v>0.25081171035108962</v>
      </c>
      <c r="H1672" s="4" t="s">
        <v>124</v>
      </c>
      <c r="I1672" s="14"/>
    </row>
    <row r="1673" spans="1:9" x14ac:dyDescent="0.25">
      <c r="A1673" s="14">
        <v>2013</v>
      </c>
      <c r="B1673" s="14">
        <v>197</v>
      </c>
      <c r="C1673" s="20">
        <v>41471</v>
      </c>
      <c r="D1673" s="16">
        <v>0.61527777777777781</v>
      </c>
      <c r="E1673" s="14">
        <v>10</v>
      </c>
      <c r="F1673" s="23">
        <v>12</v>
      </c>
      <c r="G1673" s="17">
        <v>0.21471851210653753</v>
      </c>
      <c r="H1673" s="4" t="s">
        <v>124</v>
      </c>
      <c r="I1673" s="14"/>
    </row>
    <row r="1674" spans="1:9" x14ac:dyDescent="0.25">
      <c r="A1674" s="14">
        <v>2013</v>
      </c>
      <c r="B1674" s="14">
        <v>197</v>
      </c>
      <c r="C1674" s="20">
        <v>41471</v>
      </c>
      <c r="D1674" s="16">
        <v>0.62152777777777779</v>
      </c>
      <c r="E1674" s="14">
        <v>10</v>
      </c>
      <c r="F1674" s="23">
        <v>13</v>
      </c>
      <c r="G1674" s="17">
        <v>0.25781429237288134</v>
      </c>
      <c r="H1674" s="4" t="s">
        <v>124</v>
      </c>
      <c r="I1674" s="14"/>
    </row>
    <row r="1675" spans="1:9" x14ac:dyDescent="0.25">
      <c r="A1675" s="14">
        <v>2013</v>
      </c>
      <c r="B1675" s="14">
        <v>197</v>
      </c>
      <c r="C1675" s="20">
        <v>41471</v>
      </c>
      <c r="D1675" s="16">
        <v>0.62708333333333333</v>
      </c>
      <c r="E1675" s="14">
        <v>10</v>
      </c>
      <c r="F1675" s="23">
        <v>14</v>
      </c>
      <c r="G1675" s="17">
        <v>0.22017782536319613</v>
      </c>
      <c r="H1675" s="4" t="s">
        <v>124</v>
      </c>
      <c r="I1675" s="14"/>
    </row>
    <row r="1676" spans="1:9" x14ac:dyDescent="0.25">
      <c r="A1676" s="14">
        <v>2013</v>
      </c>
      <c r="B1676" s="14">
        <v>197</v>
      </c>
      <c r="C1676" s="20">
        <v>41471</v>
      </c>
      <c r="D1676" s="16">
        <v>0.63402777777777775</v>
      </c>
      <c r="E1676" s="14">
        <v>10</v>
      </c>
      <c r="F1676" s="23">
        <v>15</v>
      </c>
      <c r="G1676" s="17">
        <v>0.21631965345036319</v>
      </c>
      <c r="H1676" s="4" t="s">
        <v>1</v>
      </c>
      <c r="I1676" s="14"/>
    </row>
    <row r="1677" spans="1:9" x14ac:dyDescent="0.25">
      <c r="A1677" s="14">
        <v>2013</v>
      </c>
      <c r="B1677" s="14">
        <v>197</v>
      </c>
      <c r="C1677" s="20">
        <v>41471</v>
      </c>
      <c r="D1677" s="16">
        <v>0.63888888888888895</v>
      </c>
      <c r="E1677" s="14">
        <v>10</v>
      </c>
      <c r="F1677" s="23">
        <v>16</v>
      </c>
      <c r="G1677" s="17">
        <v>0.23943010320823244</v>
      </c>
      <c r="H1677" s="4" t="s">
        <v>1</v>
      </c>
      <c r="I1677" s="14"/>
    </row>
    <row r="1678" spans="1:9" x14ac:dyDescent="0.25">
      <c r="A1678" s="14">
        <v>2013</v>
      </c>
      <c r="B1678" s="14">
        <v>197</v>
      </c>
      <c r="C1678" s="20">
        <v>41471</v>
      </c>
      <c r="D1678" s="16">
        <v>0.63888888888888895</v>
      </c>
      <c r="E1678" s="14">
        <v>10</v>
      </c>
      <c r="F1678" s="23">
        <v>17</v>
      </c>
      <c r="G1678" s="17">
        <v>0.24197649667070215</v>
      </c>
      <c r="H1678" s="4" t="s">
        <v>124</v>
      </c>
      <c r="I1678" s="14"/>
    </row>
    <row r="1679" spans="1:9" x14ac:dyDescent="0.25">
      <c r="A1679" s="14">
        <v>2013</v>
      </c>
      <c r="B1679" s="14">
        <v>197</v>
      </c>
      <c r="C1679" s="20">
        <v>41471</v>
      </c>
      <c r="D1679" s="16" t="e">
        <v>#N/A</v>
      </c>
      <c r="E1679" s="14">
        <v>10</v>
      </c>
      <c r="F1679" s="23">
        <v>18</v>
      </c>
      <c r="G1679" s="17" t="e">
        <v>#N/A</v>
      </c>
      <c r="H1679" s="4" t="s">
        <v>124</v>
      </c>
      <c r="I1679" s="14"/>
    </row>
    <row r="1680" spans="1:9" x14ac:dyDescent="0.25">
      <c r="A1680" s="14">
        <v>2013</v>
      </c>
      <c r="B1680" s="14">
        <v>197</v>
      </c>
      <c r="C1680" s="20">
        <v>41471</v>
      </c>
      <c r="D1680" s="16" t="e">
        <v>#N/A</v>
      </c>
      <c r="E1680" s="14">
        <v>10</v>
      </c>
      <c r="F1680" s="23">
        <v>19</v>
      </c>
      <c r="G1680" s="17" t="e">
        <v>#N/A</v>
      </c>
      <c r="H1680" s="4" t="s">
        <v>124</v>
      </c>
      <c r="I1680" s="14"/>
    </row>
    <row r="1681" spans="1:9" x14ac:dyDescent="0.25">
      <c r="A1681" s="14">
        <v>2013</v>
      </c>
      <c r="B1681" s="14">
        <v>197</v>
      </c>
      <c r="C1681" s="20">
        <v>41471</v>
      </c>
      <c r="D1681" s="16" t="e">
        <v>#N/A</v>
      </c>
      <c r="E1681" s="14">
        <v>10</v>
      </c>
      <c r="F1681" s="23">
        <v>20</v>
      </c>
      <c r="G1681" s="17" t="e">
        <v>#N/A</v>
      </c>
      <c r="H1681" s="4" t="s">
        <v>124</v>
      </c>
      <c r="I1681" s="14"/>
    </row>
    <row r="1682" spans="1:9" x14ac:dyDescent="0.25">
      <c r="A1682" s="14">
        <v>2013</v>
      </c>
      <c r="B1682" s="14">
        <v>203</v>
      </c>
      <c r="C1682" s="20">
        <v>41477</v>
      </c>
      <c r="D1682" s="16">
        <v>0.53055555555555556</v>
      </c>
      <c r="E1682" s="14">
        <v>230</v>
      </c>
      <c r="F1682" s="23">
        <v>1</v>
      </c>
      <c r="G1682" s="17">
        <v>0.29994930084745763</v>
      </c>
      <c r="H1682" s="4" t="s">
        <v>123</v>
      </c>
      <c r="I1682" s="14"/>
    </row>
    <row r="1683" spans="1:9" x14ac:dyDescent="0.25">
      <c r="A1683" s="14">
        <v>2013</v>
      </c>
      <c r="B1683" s="14">
        <v>203</v>
      </c>
      <c r="C1683" s="20">
        <v>41477</v>
      </c>
      <c r="D1683" s="16">
        <v>0.53749999999999998</v>
      </c>
      <c r="E1683" s="14">
        <v>230</v>
      </c>
      <c r="F1683" s="23">
        <v>2</v>
      </c>
      <c r="G1683" s="17">
        <v>0.30243539759887006</v>
      </c>
      <c r="H1683" s="4" t="s">
        <v>123</v>
      </c>
      <c r="I1683" s="14"/>
    </row>
    <row r="1684" spans="1:9" x14ac:dyDescent="0.25">
      <c r="A1684" s="14">
        <v>2013</v>
      </c>
      <c r="B1684" s="14">
        <v>203</v>
      </c>
      <c r="C1684" s="20">
        <v>41477</v>
      </c>
      <c r="D1684" s="16">
        <v>0.54375000000000007</v>
      </c>
      <c r="E1684" s="14">
        <v>230</v>
      </c>
      <c r="F1684" s="23">
        <v>3</v>
      </c>
      <c r="G1684" s="17">
        <v>0.29298039971751416</v>
      </c>
      <c r="H1684" s="4" t="s">
        <v>123</v>
      </c>
      <c r="I1684" s="14"/>
    </row>
    <row r="1685" spans="1:9" x14ac:dyDescent="0.25">
      <c r="A1685" s="14">
        <v>2013</v>
      </c>
      <c r="B1685" s="14">
        <v>203</v>
      </c>
      <c r="C1685" s="20">
        <v>41477</v>
      </c>
      <c r="D1685" s="16">
        <v>0.55069444444444449</v>
      </c>
      <c r="E1685" s="14">
        <v>230</v>
      </c>
      <c r="F1685" s="23">
        <v>4</v>
      </c>
      <c r="G1685" s="17">
        <v>0.28608980084745761</v>
      </c>
      <c r="H1685" s="4" t="s">
        <v>123</v>
      </c>
      <c r="I1685" s="14"/>
    </row>
    <row r="1686" spans="1:9" x14ac:dyDescent="0.25">
      <c r="A1686" s="14">
        <v>2013</v>
      </c>
      <c r="B1686" s="14">
        <v>203</v>
      </c>
      <c r="C1686" s="20">
        <v>41477</v>
      </c>
      <c r="D1686" s="16">
        <v>0.55694444444444446</v>
      </c>
      <c r="E1686" s="14">
        <v>230</v>
      </c>
      <c r="F1686" s="23">
        <v>5</v>
      </c>
      <c r="G1686" s="17" t="e">
        <v>#N/A</v>
      </c>
      <c r="H1686" s="4" t="s">
        <v>0</v>
      </c>
      <c r="I1686" s="14"/>
    </row>
    <row r="1687" spans="1:9" x14ac:dyDescent="0.25">
      <c r="A1687" s="14">
        <v>2013</v>
      </c>
      <c r="B1687" s="14">
        <v>203</v>
      </c>
      <c r="C1687" s="20">
        <v>41477</v>
      </c>
      <c r="D1687" s="16">
        <v>0.56736111111111109</v>
      </c>
      <c r="E1687" s="14">
        <v>230</v>
      </c>
      <c r="F1687" s="23">
        <v>6</v>
      </c>
      <c r="G1687" s="17" t="e">
        <v>#N/A</v>
      </c>
      <c r="H1687" s="4" t="s">
        <v>0</v>
      </c>
      <c r="I1687" s="14"/>
    </row>
    <row r="1688" spans="1:9" x14ac:dyDescent="0.25">
      <c r="A1688" s="14">
        <v>2013</v>
      </c>
      <c r="B1688" s="14">
        <v>203</v>
      </c>
      <c r="C1688" s="20">
        <v>41477</v>
      </c>
      <c r="D1688" s="16">
        <v>0.57291666666666663</v>
      </c>
      <c r="E1688" s="14">
        <v>230</v>
      </c>
      <c r="F1688" s="23">
        <v>7</v>
      </c>
      <c r="G1688" s="17">
        <v>0.28456290677966101</v>
      </c>
      <c r="H1688" s="4" t="s">
        <v>123</v>
      </c>
      <c r="I1688" s="14"/>
    </row>
    <row r="1689" spans="1:9" x14ac:dyDescent="0.25">
      <c r="A1689" s="14">
        <v>2013</v>
      </c>
      <c r="B1689" s="14">
        <v>203</v>
      </c>
      <c r="C1689" s="20">
        <v>41477</v>
      </c>
      <c r="D1689" s="16">
        <v>0.57847222222222217</v>
      </c>
      <c r="E1689" s="14">
        <v>230</v>
      </c>
      <c r="F1689" s="23">
        <v>8</v>
      </c>
      <c r="G1689" s="17">
        <v>0.31367177189265538</v>
      </c>
      <c r="H1689" s="4" t="s">
        <v>123</v>
      </c>
      <c r="I1689" s="14"/>
    </row>
    <row r="1690" spans="1:9" x14ac:dyDescent="0.25">
      <c r="A1690" s="14">
        <v>2013</v>
      </c>
      <c r="B1690" s="14">
        <v>203</v>
      </c>
      <c r="C1690" s="20">
        <v>41477</v>
      </c>
      <c r="D1690" s="16">
        <v>0.58611111111111114</v>
      </c>
      <c r="E1690" s="14">
        <v>230</v>
      </c>
      <c r="F1690" s="23">
        <v>9</v>
      </c>
      <c r="G1690" s="17">
        <v>0.30723141101694917</v>
      </c>
      <c r="H1690" s="4" t="s">
        <v>123</v>
      </c>
      <c r="I1690" s="14"/>
    </row>
    <row r="1691" spans="1:9" x14ac:dyDescent="0.25">
      <c r="A1691" s="14">
        <v>2013</v>
      </c>
      <c r="B1691" s="14">
        <v>203</v>
      </c>
      <c r="C1691" s="20">
        <v>41477</v>
      </c>
      <c r="D1691" s="16">
        <v>0.59166666666666667</v>
      </c>
      <c r="E1691" s="14">
        <v>230</v>
      </c>
      <c r="F1691" s="23">
        <v>10</v>
      </c>
      <c r="G1691" s="17">
        <v>0.26633805579096048</v>
      </c>
      <c r="H1691" s="4" t="s">
        <v>123</v>
      </c>
      <c r="I1691" s="14"/>
    </row>
    <row r="1692" spans="1:9" x14ac:dyDescent="0.25">
      <c r="A1692" s="14">
        <v>2013</v>
      </c>
      <c r="B1692" s="14">
        <v>203</v>
      </c>
      <c r="C1692" s="20">
        <v>41477</v>
      </c>
      <c r="D1692" s="16">
        <v>0.60486111111111118</v>
      </c>
      <c r="E1692" s="14">
        <v>230</v>
      </c>
      <c r="F1692" s="23">
        <v>11</v>
      </c>
      <c r="G1692" s="17">
        <v>0.29822665112994351</v>
      </c>
      <c r="H1692" s="4" t="s">
        <v>124</v>
      </c>
      <c r="I1692" s="14"/>
    </row>
    <row r="1693" spans="1:9" x14ac:dyDescent="0.25">
      <c r="A1693" s="14">
        <v>2013</v>
      </c>
      <c r="B1693" s="14">
        <v>203</v>
      </c>
      <c r="C1693" s="20">
        <v>41477</v>
      </c>
      <c r="D1693" s="16">
        <v>0.60486111111111118</v>
      </c>
      <c r="E1693" s="14">
        <v>230</v>
      </c>
      <c r="F1693" s="23">
        <v>12</v>
      </c>
      <c r="G1693" s="17">
        <v>0.30498022104519773</v>
      </c>
      <c r="H1693" s="4" t="s">
        <v>124</v>
      </c>
      <c r="I1693" s="14"/>
    </row>
    <row r="1694" spans="1:9" x14ac:dyDescent="0.25">
      <c r="A1694" s="14">
        <v>2013</v>
      </c>
      <c r="B1694" s="14">
        <v>203</v>
      </c>
      <c r="C1694" s="20">
        <v>41477</v>
      </c>
      <c r="D1694" s="16">
        <v>0.61111111111111105</v>
      </c>
      <c r="E1694" s="14">
        <v>230</v>
      </c>
      <c r="F1694" s="23">
        <v>13</v>
      </c>
      <c r="G1694" s="17">
        <v>0.29707169279661017</v>
      </c>
      <c r="H1694" s="4" t="s">
        <v>124</v>
      </c>
      <c r="I1694" s="14"/>
    </row>
    <row r="1695" spans="1:9" x14ac:dyDescent="0.25">
      <c r="A1695" s="14">
        <v>2013</v>
      </c>
      <c r="B1695" s="14">
        <v>203</v>
      </c>
      <c r="C1695" s="20">
        <v>41477</v>
      </c>
      <c r="D1695" s="16">
        <v>0.61805555555555558</v>
      </c>
      <c r="E1695" s="14">
        <v>230</v>
      </c>
      <c r="F1695" s="23">
        <v>14</v>
      </c>
      <c r="G1695" s="17">
        <v>0.29016151836158194</v>
      </c>
      <c r="H1695" s="4" t="s">
        <v>124</v>
      </c>
      <c r="I1695" s="14"/>
    </row>
    <row r="1696" spans="1:9" x14ac:dyDescent="0.25">
      <c r="A1696" s="14">
        <v>2013</v>
      </c>
      <c r="B1696" s="14">
        <v>203</v>
      </c>
      <c r="C1696" s="20">
        <v>41477</v>
      </c>
      <c r="D1696" s="16">
        <v>0.62916666666666665</v>
      </c>
      <c r="E1696" s="14">
        <v>230</v>
      </c>
      <c r="F1696" s="23">
        <v>15</v>
      </c>
      <c r="G1696" s="17" t="e">
        <v>#N/A</v>
      </c>
      <c r="H1696" s="4" t="s">
        <v>1</v>
      </c>
      <c r="I1696" s="14"/>
    </row>
    <row r="1697" spans="1:9" x14ac:dyDescent="0.25">
      <c r="A1697" s="14">
        <v>2013</v>
      </c>
      <c r="B1697" s="14">
        <v>203</v>
      </c>
      <c r="C1697" s="20">
        <v>41477</v>
      </c>
      <c r="D1697" s="16">
        <v>0.63402777777777775</v>
      </c>
      <c r="E1697" s="14">
        <v>230</v>
      </c>
      <c r="F1697" s="23">
        <v>16</v>
      </c>
      <c r="G1697" s="17" t="e">
        <v>#N/A</v>
      </c>
      <c r="H1697" s="4" t="s">
        <v>1</v>
      </c>
      <c r="I1697" s="14"/>
    </row>
    <row r="1698" spans="1:9" x14ac:dyDescent="0.25">
      <c r="A1698" s="14">
        <v>2013</v>
      </c>
      <c r="B1698" s="14">
        <v>203</v>
      </c>
      <c r="C1698" s="20">
        <v>41477</v>
      </c>
      <c r="D1698" s="16">
        <v>0.64166666666666672</v>
      </c>
      <c r="E1698" s="14">
        <v>230</v>
      </c>
      <c r="F1698" s="23">
        <v>17</v>
      </c>
      <c r="G1698" s="17">
        <v>0.30374696045197741</v>
      </c>
      <c r="H1698" s="4" t="s">
        <v>124</v>
      </c>
      <c r="I1698" s="14"/>
    </row>
    <row r="1699" spans="1:9" x14ac:dyDescent="0.25">
      <c r="A1699" s="14">
        <v>2013</v>
      </c>
      <c r="B1699" s="14">
        <v>203</v>
      </c>
      <c r="C1699" s="20">
        <v>41477</v>
      </c>
      <c r="D1699" s="16">
        <v>0.64861111111111114</v>
      </c>
      <c r="E1699" s="14">
        <v>230</v>
      </c>
      <c r="F1699" s="23">
        <v>18</v>
      </c>
      <c r="G1699" s="17">
        <v>0.30247454872881357</v>
      </c>
      <c r="H1699" s="4" t="s">
        <v>124</v>
      </c>
      <c r="I1699" s="14"/>
    </row>
    <row r="1700" spans="1:9" x14ac:dyDescent="0.25">
      <c r="A1700" s="14">
        <v>2013</v>
      </c>
      <c r="B1700" s="14">
        <v>203</v>
      </c>
      <c r="C1700" s="20">
        <v>41477</v>
      </c>
      <c r="D1700" s="16">
        <v>0.65486111111111112</v>
      </c>
      <c r="E1700" s="14">
        <v>230</v>
      </c>
      <c r="F1700" s="23">
        <v>19</v>
      </c>
      <c r="G1700" s="17">
        <v>0.2928825218926554</v>
      </c>
      <c r="H1700" s="4" t="s">
        <v>124</v>
      </c>
      <c r="I1700" s="14"/>
    </row>
    <row r="1701" spans="1:9" x14ac:dyDescent="0.25">
      <c r="A1701" s="14">
        <v>2013</v>
      </c>
      <c r="B1701" s="14">
        <v>203</v>
      </c>
      <c r="C1701" s="20">
        <v>41477</v>
      </c>
      <c r="D1701" s="16">
        <v>0.66111111111111109</v>
      </c>
      <c r="E1701" s="14">
        <v>230</v>
      </c>
      <c r="F1701" s="23">
        <v>20</v>
      </c>
      <c r="G1701" s="17">
        <v>0.30133916596045202</v>
      </c>
      <c r="H1701" s="4" t="s">
        <v>124</v>
      </c>
      <c r="I1701" s="14"/>
    </row>
    <row r="1702" spans="1:9" x14ac:dyDescent="0.25">
      <c r="A1702" s="14">
        <v>2013</v>
      </c>
      <c r="B1702" s="14">
        <v>203</v>
      </c>
      <c r="C1702" s="20">
        <v>41477</v>
      </c>
      <c r="D1702" s="16">
        <v>0.53055555555555556</v>
      </c>
      <c r="E1702" s="14">
        <v>210</v>
      </c>
      <c r="F1702" s="23">
        <v>1</v>
      </c>
      <c r="G1702" s="17">
        <v>0.29932288276836161</v>
      </c>
      <c r="H1702" s="4" t="s">
        <v>123</v>
      </c>
      <c r="I1702" s="14"/>
    </row>
    <row r="1703" spans="1:9" x14ac:dyDescent="0.25">
      <c r="A1703" s="14">
        <v>2013</v>
      </c>
      <c r="B1703" s="14">
        <v>203</v>
      </c>
      <c r="C1703" s="20">
        <v>41477</v>
      </c>
      <c r="D1703" s="16">
        <v>0.53749999999999998</v>
      </c>
      <c r="E1703" s="14">
        <v>210</v>
      </c>
      <c r="F1703" s="23">
        <v>2</v>
      </c>
      <c r="G1703" s="17">
        <v>0.2975806574858757</v>
      </c>
      <c r="H1703" s="4" t="s">
        <v>123</v>
      </c>
      <c r="I1703" s="14"/>
    </row>
    <row r="1704" spans="1:9" x14ac:dyDescent="0.25">
      <c r="A1704" s="14">
        <v>2013</v>
      </c>
      <c r="B1704" s="14">
        <v>203</v>
      </c>
      <c r="C1704" s="20">
        <v>41477</v>
      </c>
      <c r="D1704" s="16">
        <v>0.54375000000000007</v>
      </c>
      <c r="E1704" s="14">
        <v>210</v>
      </c>
      <c r="F1704" s="23">
        <v>3</v>
      </c>
      <c r="G1704" s="17">
        <v>0.28080439830508475</v>
      </c>
      <c r="H1704" s="4" t="s">
        <v>123</v>
      </c>
      <c r="I1704" s="14"/>
    </row>
    <row r="1705" spans="1:9" x14ac:dyDescent="0.25">
      <c r="A1705" s="14">
        <v>2013</v>
      </c>
      <c r="B1705" s="14">
        <v>203</v>
      </c>
      <c r="C1705" s="20">
        <v>41477</v>
      </c>
      <c r="D1705" s="16">
        <v>0.55069444444444449</v>
      </c>
      <c r="E1705" s="14">
        <v>210</v>
      </c>
      <c r="F1705" s="23">
        <v>4</v>
      </c>
      <c r="G1705" s="17">
        <v>0.29098369209039548</v>
      </c>
      <c r="H1705" s="4" t="s">
        <v>123</v>
      </c>
      <c r="I1705" s="14"/>
    </row>
    <row r="1706" spans="1:9" x14ac:dyDescent="0.25">
      <c r="A1706" s="14">
        <v>2013</v>
      </c>
      <c r="B1706" s="14">
        <v>203</v>
      </c>
      <c r="C1706" s="20">
        <v>41477</v>
      </c>
      <c r="D1706" s="16">
        <v>0.55694444444444446</v>
      </c>
      <c r="E1706" s="14">
        <v>210</v>
      </c>
      <c r="F1706" s="23">
        <v>5</v>
      </c>
      <c r="G1706" s="17" t="e">
        <v>#N/A</v>
      </c>
      <c r="H1706" s="4" t="s">
        <v>0</v>
      </c>
      <c r="I1706" s="14"/>
    </row>
    <row r="1707" spans="1:9" x14ac:dyDescent="0.25">
      <c r="A1707" s="14">
        <v>2013</v>
      </c>
      <c r="B1707" s="14">
        <v>203</v>
      </c>
      <c r="C1707" s="20">
        <v>41477</v>
      </c>
      <c r="D1707" s="16">
        <v>0.56736111111111109</v>
      </c>
      <c r="E1707" s="14">
        <v>210</v>
      </c>
      <c r="F1707" s="23">
        <v>6</v>
      </c>
      <c r="G1707" s="17" t="e">
        <v>#N/A</v>
      </c>
      <c r="H1707" s="4" t="s">
        <v>0</v>
      </c>
      <c r="I1707" s="14"/>
    </row>
    <row r="1708" spans="1:9" x14ac:dyDescent="0.25">
      <c r="A1708" s="14">
        <v>2013</v>
      </c>
      <c r="B1708" s="14">
        <v>203</v>
      </c>
      <c r="C1708" s="20">
        <v>41477</v>
      </c>
      <c r="D1708" s="16">
        <v>0.57291666666666663</v>
      </c>
      <c r="E1708" s="14">
        <v>210</v>
      </c>
      <c r="F1708" s="23">
        <v>7</v>
      </c>
      <c r="G1708" s="17">
        <v>0.28162657203389835</v>
      </c>
      <c r="H1708" s="4" t="s">
        <v>123</v>
      </c>
      <c r="I1708" s="14"/>
    </row>
    <row r="1709" spans="1:9" x14ac:dyDescent="0.25">
      <c r="A1709" s="14">
        <v>2013</v>
      </c>
      <c r="B1709" s="14">
        <v>203</v>
      </c>
      <c r="C1709" s="20">
        <v>41477</v>
      </c>
      <c r="D1709" s="16">
        <v>0.57847222222222217</v>
      </c>
      <c r="E1709" s="14">
        <v>210</v>
      </c>
      <c r="F1709" s="23">
        <v>8</v>
      </c>
      <c r="G1709" s="17">
        <v>0.311577186440678</v>
      </c>
      <c r="H1709" s="4" t="s">
        <v>123</v>
      </c>
      <c r="I1709" s="14"/>
    </row>
    <row r="1710" spans="1:9" x14ac:dyDescent="0.25">
      <c r="A1710" s="14">
        <v>2013</v>
      </c>
      <c r="B1710" s="14">
        <v>203</v>
      </c>
      <c r="C1710" s="20">
        <v>41477</v>
      </c>
      <c r="D1710" s="16">
        <v>0.58611111111111114</v>
      </c>
      <c r="E1710" s="14">
        <v>210</v>
      </c>
      <c r="F1710" s="23">
        <v>9</v>
      </c>
      <c r="G1710" s="17">
        <v>0.29728702401129942</v>
      </c>
      <c r="H1710" s="4" t="s">
        <v>123</v>
      </c>
      <c r="I1710" s="14"/>
    </row>
    <row r="1711" spans="1:9" x14ac:dyDescent="0.25">
      <c r="A1711" s="14">
        <v>2013</v>
      </c>
      <c r="B1711" s="14">
        <v>203</v>
      </c>
      <c r="C1711" s="20">
        <v>41477</v>
      </c>
      <c r="D1711" s="16">
        <v>0.59166666666666667</v>
      </c>
      <c r="E1711" s="14">
        <v>210</v>
      </c>
      <c r="F1711" s="23">
        <v>10</v>
      </c>
      <c r="G1711" s="17">
        <v>0.26526139971751411</v>
      </c>
      <c r="H1711" s="4" t="s">
        <v>123</v>
      </c>
      <c r="I1711" s="14"/>
    </row>
    <row r="1712" spans="1:9" x14ac:dyDescent="0.25">
      <c r="A1712" s="14">
        <v>2013</v>
      </c>
      <c r="B1712" s="14">
        <v>203</v>
      </c>
      <c r="C1712" s="20">
        <v>41477</v>
      </c>
      <c r="D1712" s="16">
        <v>0.60486111111111118</v>
      </c>
      <c r="E1712" s="14">
        <v>210</v>
      </c>
      <c r="F1712" s="23">
        <v>11</v>
      </c>
      <c r="G1712" s="17">
        <v>0.30664414406779666</v>
      </c>
      <c r="H1712" s="4" t="s">
        <v>124</v>
      </c>
      <c r="I1712" s="14"/>
    </row>
    <row r="1713" spans="1:9" x14ac:dyDescent="0.25">
      <c r="A1713" s="14">
        <v>2013</v>
      </c>
      <c r="B1713" s="14">
        <v>203</v>
      </c>
      <c r="C1713" s="20">
        <v>41477</v>
      </c>
      <c r="D1713" s="16">
        <v>0.60486111111111118</v>
      </c>
      <c r="E1713" s="14">
        <v>210</v>
      </c>
      <c r="F1713" s="23">
        <v>12</v>
      </c>
      <c r="G1713" s="17">
        <v>0.31241893573446328</v>
      </c>
      <c r="H1713" s="4" t="s">
        <v>124</v>
      </c>
      <c r="I1713" s="14"/>
    </row>
    <row r="1714" spans="1:9" x14ac:dyDescent="0.25">
      <c r="A1714" s="14">
        <v>2013</v>
      </c>
      <c r="B1714" s="14">
        <v>203</v>
      </c>
      <c r="C1714" s="20">
        <v>41477</v>
      </c>
      <c r="D1714" s="16">
        <v>0.61111111111111105</v>
      </c>
      <c r="E1714" s="14">
        <v>210</v>
      </c>
      <c r="F1714" s="23">
        <v>13</v>
      </c>
      <c r="G1714" s="17">
        <v>0.30560663912429381</v>
      </c>
      <c r="H1714" s="4" t="s">
        <v>124</v>
      </c>
      <c r="I1714" s="14"/>
    </row>
    <row r="1715" spans="1:9" x14ac:dyDescent="0.25">
      <c r="A1715" s="14">
        <v>2013</v>
      </c>
      <c r="B1715" s="14">
        <v>203</v>
      </c>
      <c r="C1715" s="20">
        <v>41477</v>
      </c>
      <c r="D1715" s="16">
        <v>0.61805555555555558</v>
      </c>
      <c r="E1715" s="14">
        <v>210</v>
      </c>
      <c r="F1715" s="23">
        <v>14</v>
      </c>
      <c r="G1715" s="17">
        <v>0.27671310522598874</v>
      </c>
      <c r="H1715" s="4" t="s">
        <v>124</v>
      </c>
      <c r="I1715" s="14"/>
    </row>
    <row r="1716" spans="1:9" x14ac:dyDescent="0.25">
      <c r="A1716" s="14">
        <v>2013</v>
      </c>
      <c r="B1716" s="14">
        <v>203</v>
      </c>
      <c r="C1716" s="20">
        <v>41477</v>
      </c>
      <c r="D1716" s="16">
        <v>0.62916666666666665</v>
      </c>
      <c r="E1716" s="14">
        <v>210</v>
      </c>
      <c r="F1716" s="23">
        <v>15</v>
      </c>
      <c r="G1716" s="17" t="e">
        <v>#N/A</v>
      </c>
      <c r="H1716" s="4" t="s">
        <v>1</v>
      </c>
      <c r="I1716" s="14"/>
    </row>
    <row r="1717" spans="1:9" x14ac:dyDescent="0.25">
      <c r="A1717" s="14">
        <v>2013</v>
      </c>
      <c r="B1717" s="14">
        <v>203</v>
      </c>
      <c r="C1717" s="20">
        <v>41477</v>
      </c>
      <c r="D1717" s="16">
        <v>0.63402777777777775</v>
      </c>
      <c r="E1717" s="14">
        <v>210</v>
      </c>
      <c r="F1717" s="23">
        <v>16</v>
      </c>
      <c r="G1717" s="17" t="e">
        <v>#N/A</v>
      </c>
      <c r="H1717" s="4" t="s">
        <v>1</v>
      </c>
      <c r="I1717" s="14"/>
    </row>
    <row r="1718" spans="1:9" x14ac:dyDescent="0.25">
      <c r="A1718" s="14">
        <v>2013</v>
      </c>
      <c r="B1718" s="14">
        <v>203</v>
      </c>
      <c r="C1718" s="20">
        <v>41477</v>
      </c>
      <c r="D1718" s="16">
        <v>0.64166666666666672</v>
      </c>
      <c r="E1718" s="14">
        <v>210</v>
      </c>
      <c r="F1718" s="23">
        <v>17</v>
      </c>
      <c r="G1718" s="17">
        <v>0.30366865819209038</v>
      </c>
      <c r="H1718" s="4" t="s">
        <v>124</v>
      </c>
      <c r="I1718" s="14"/>
    </row>
    <row r="1719" spans="1:9" x14ac:dyDescent="0.25">
      <c r="A1719" s="14">
        <v>2013</v>
      </c>
      <c r="B1719" s="14">
        <v>203</v>
      </c>
      <c r="C1719" s="20">
        <v>41477</v>
      </c>
      <c r="D1719" s="16">
        <v>0.64861111111111114</v>
      </c>
      <c r="E1719" s="14">
        <v>210</v>
      </c>
      <c r="F1719" s="23">
        <v>18</v>
      </c>
      <c r="G1719" s="17">
        <v>0.30631135946327681</v>
      </c>
      <c r="H1719" s="4" t="s">
        <v>124</v>
      </c>
      <c r="I1719" s="14"/>
    </row>
    <row r="1720" spans="1:9" x14ac:dyDescent="0.25">
      <c r="A1720" s="14">
        <v>2013</v>
      </c>
      <c r="B1720" s="14">
        <v>203</v>
      </c>
      <c r="C1720" s="20">
        <v>41477</v>
      </c>
      <c r="D1720" s="16">
        <v>0.65486111111111112</v>
      </c>
      <c r="E1720" s="14">
        <v>210</v>
      </c>
      <c r="F1720" s="23">
        <v>19</v>
      </c>
      <c r="G1720" s="17">
        <v>0.30036038771186441</v>
      </c>
      <c r="H1720" s="4" t="s">
        <v>124</v>
      </c>
      <c r="I1720" s="14"/>
    </row>
    <row r="1721" spans="1:9" x14ac:dyDescent="0.25">
      <c r="A1721" s="14">
        <v>2013</v>
      </c>
      <c r="B1721" s="14">
        <v>203</v>
      </c>
      <c r="C1721" s="20">
        <v>41477</v>
      </c>
      <c r="D1721" s="16">
        <v>0.66111111111111109</v>
      </c>
      <c r="E1721" s="14">
        <v>210</v>
      </c>
      <c r="F1721" s="23">
        <v>20</v>
      </c>
      <c r="G1721" s="17">
        <v>0.30061487005649717</v>
      </c>
      <c r="H1721" s="4" t="s">
        <v>124</v>
      </c>
      <c r="I1721" s="14"/>
    </row>
    <row r="1722" spans="1:9" x14ac:dyDescent="0.25">
      <c r="A1722" s="14">
        <v>2013</v>
      </c>
      <c r="B1722" s="14">
        <v>203</v>
      </c>
      <c r="C1722" s="20">
        <v>41477</v>
      </c>
      <c r="D1722" s="16">
        <v>0.53055555555555556</v>
      </c>
      <c r="E1722" s="14">
        <v>190</v>
      </c>
      <c r="F1722" s="23">
        <v>1</v>
      </c>
      <c r="G1722" s="17">
        <v>0.28542423163841807</v>
      </c>
      <c r="H1722" s="4" t="s">
        <v>123</v>
      </c>
      <c r="I1722" s="14"/>
    </row>
    <row r="1723" spans="1:9" x14ac:dyDescent="0.25">
      <c r="A1723" s="14">
        <v>2013</v>
      </c>
      <c r="B1723" s="14">
        <v>203</v>
      </c>
      <c r="C1723" s="20">
        <v>41477</v>
      </c>
      <c r="D1723" s="16">
        <v>0.53749999999999998</v>
      </c>
      <c r="E1723" s="14">
        <v>190</v>
      </c>
      <c r="F1723" s="23">
        <v>2</v>
      </c>
      <c r="G1723" s="17">
        <v>0.29583843220338985</v>
      </c>
      <c r="H1723" s="4" t="s">
        <v>123</v>
      </c>
      <c r="I1723" s="14"/>
    </row>
    <row r="1724" spans="1:9" x14ac:dyDescent="0.25">
      <c r="A1724" s="14">
        <v>2013</v>
      </c>
      <c r="B1724" s="14">
        <v>203</v>
      </c>
      <c r="C1724" s="20">
        <v>41477</v>
      </c>
      <c r="D1724" s="16">
        <v>0.54375000000000007</v>
      </c>
      <c r="E1724" s="14">
        <v>190</v>
      </c>
      <c r="F1724" s="23">
        <v>3</v>
      </c>
      <c r="G1724" s="17">
        <v>0.29356766666666667</v>
      </c>
      <c r="H1724" s="4" t="s">
        <v>123</v>
      </c>
      <c r="I1724" s="14"/>
    </row>
    <row r="1725" spans="1:9" x14ac:dyDescent="0.25">
      <c r="A1725" s="14">
        <v>2013</v>
      </c>
      <c r="B1725" s="14">
        <v>203</v>
      </c>
      <c r="C1725" s="20">
        <v>41477</v>
      </c>
      <c r="D1725" s="16">
        <v>0.55069444444444449</v>
      </c>
      <c r="E1725" s="14">
        <v>190</v>
      </c>
      <c r="F1725" s="23">
        <v>4</v>
      </c>
      <c r="G1725" s="17">
        <v>0.29615164124293786</v>
      </c>
      <c r="H1725" s="4" t="s">
        <v>123</v>
      </c>
      <c r="I1725" s="14"/>
    </row>
    <row r="1726" spans="1:9" x14ac:dyDescent="0.25">
      <c r="A1726" s="14">
        <v>2013</v>
      </c>
      <c r="B1726" s="14">
        <v>203</v>
      </c>
      <c r="C1726" s="20">
        <v>41477</v>
      </c>
      <c r="D1726" s="16">
        <v>0.55694444444444446</v>
      </c>
      <c r="E1726" s="14">
        <v>190</v>
      </c>
      <c r="F1726" s="23">
        <v>5</v>
      </c>
      <c r="G1726" s="17">
        <v>0.33677093855932205</v>
      </c>
      <c r="H1726" s="4" t="s">
        <v>0</v>
      </c>
      <c r="I1726" s="14"/>
    </row>
    <row r="1727" spans="1:9" x14ac:dyDescent="0.25">
      <c r="A1727" s="14">
        <v>2013</v>
      </c>
      <c r="B1727" s="14">
        <v>203</v>
      </c>
      <c r="C1727" s="20">
        <v>41477</v>
      </c>
      <c r="D1727" s="16">
        <v>0.56736111111111109</v>
      </c>
      <c r="E1727" s="14">
        <v>190</v>
      </c>
      <c r="F1727" s="23">
        <v>6</v>
      </c>
      <c r="G1727" s="17">
        <v>0.34272191031073451</v>
      </c>
      <c r="H1727" s="4" t="s">
        <v>0</v>
      </c>
      <c r="I1727" s="14"/>
    </row>
    <row r="1728" spans="1:9" x14ac:dyDescent="0.25">
      <c r="A1728" s="14">
        <v>2013</v>
      </c>
      <c r="B1728" s="14">
        <v>203</v>
      </c>
      <c r="C1728" s="20">
        <v>41477</v>
      </c>
      <c r="D1728" s="16">
        <v>0.57291666666666663</v>
      </c>
      <c r="E1728" s="14">
        <v>190</v>
      </c>
      <c r="F1728" s="23">
        <v>7</v>
      </c>
      <c r="G1728" s="17">
        <v>0.2831534661016949</v>
      </c>
      <c r="H1728" s="4" t="s">
        <v>123</v>
      </c>
      <c r="I1728" s="14"/>
    </row>
    <row r="1729" spans="1:9" x14ac:dyDescent="0.25">
      <c r="A1729" s="14">
        <v>2013</v>
      </c>
      <c r="B1729" s="14">
        <v>203</v>
      </c>
      <c r="C1729" s="20">
        <v>41477</v>
      </c>
      <c r="D1729" s="16">
        <v>0.57847222222222217</v>
      </c>
      <c r="E1729" s="14">
        <v>190</v>
      </c>
      <c r="F1729" s="23">
        <v>8</v>
      </c>
      <c r="G1729" s="17">
        <v>0.29384172457627122</v>
      </c>
      <c r="H1729" s="4" t="s">
        <v>123</v>
      </c>
      <c r="I1729" s="14"/>
    </row>
    <row r="1730" spans="1:9" x14ac:dyDescent="0.25">
      <c r="A1730" s="14">
        <v>2013</v>
      </c>
      <c r="B1730" s="14">
        <v>203</v>
      </c>
      <c r="C1730" s="20">
        <v>41477</v>
      </c>
      <c r="D1730" s="16">
        <v>0.58611111111111114</v>
      </c>
      <c r="E1730" s="14">
        <v>190</v>
      </c>
      <c r="F1730" s="23">
        <v>9</v>
      </c>
      <c r="G1730" s="17">
        <v>0.29237355720338987</v>
      </c>
      <c r="H1730" s="4" t="s">
        <v>123</v>
      </c>
      <c r="I1730" s="14"/>
    </row>
    <row r="1731" spans="1:9" x14ac:dyDescent="0.25">
      <c r="A1731" s="14">
        <v>2013</v>
      </c>
      <c r="B1731" s="14">
        <v>203</v>
      </c>
      <c r="C1731" s="20">
        <v>41477</v>
      </c>
      <c r="D1731" s="16">
        <v>0.59166666666666667</v>
      </c>
      <c r="E1731" s="14">
        <v>190</v>
      </c>
      <c r="F1731" s="23">
        <v>10</v>
      </c>
      <c r="G1731" s="17">
        <v>0.29591673446327688</v>
      </c>
      <c r="H1731" s="4" t="s">
        <v>123</v>
      </c>
      <c r="I1731" s="14"/>
    </row>
    <row r="1732" spans="1:9" x14ac:dyDescent="0.25">
      <c r="A1732" s="14">
        <v>2013</v>
      </c>
      <c r="B1732" s="14">
        <v>203</v>
      </c>
      <c r="C1732" s="20">
        <v>41477</v>
      </c>
      <c r="D1732" s="16">
        <v>0.60486111111111118</v>
      </c>
      <c r="E1732" s="14">
        <v>190</v>
      </c>
      <c r="F1732" s="23">
        <v>11</v>
      </c>
      <c r="G1732" s="17">
        <v>0.311577186440678</v>
      </c>
      <c r="H1732" s="4" t="s">
        <v>124</v>
      </c>
      <c r="I1732" s="14"/>
    </row>
    <row r="1733" spans="1:9" x14ac:dyDescent="0.25">
      <c r="A1733" s="14">
        <v>2013</v>
      </c>
      <c r="B1733" s="14">
        <v>203</v>
      </c>
      <c r="C1733" s="20">
        <v>41477</v>
      </c>
      <c r="D1733" s="16">
        <v>0.60486111111111118</v>
      </c>
      <c r="E1733" s="14">
        <v>190</v>
      </c>
      <c r="F1733" s="23">
        <v>12</v>
      </c>
      <c r="G1733" s="17">
        <v>0.31404370762711864</v>
      </c>
      <c r="H1733" s="4" t="s">
        <v>124</v>
      </c>
      <c r="I1733" s="14"/>
    </row>
    <row r="1734" spans="1:9" x14ac:dyDescent="0.25">
      <c r="A1734" s="14">
        <v>2013</v>
      </c>
      <c r="B1734" s="14">
        <v>203</v>
      </c>
      <c r="C1734" s="20">
        <v>41477</v>
      </c>
      <c r="D1734" s="16">
        <v>0.61111111111111105</v>
      </c>
      <c r="E1734" s="14">
        <v>190</v>
      </c>
      <c r="F1734" s="23">
        <v>13</v>
      </c>
      <c r="G1734" s="17">
        <v>0.30566536581920906</v>
      </c>
      <c r="H1734" s="4" t="s">
        <v>124</v>
      </c>
      <c r="I1734" s="14"/>
    </row>
    <row r="1735" spans="1:9" x14ac:dyDescent="0.25">
      <c r="A1735" s="14">
        <v>2013</v>
      </c>
      <c r="B1735" s="14">
        <v>203</v>
      </c>
      <c r="C1735" s="20">
        <v>41477</v>
      </c>
      <c r="D1735" s="16">
        <v>0.61805555555555558</v>
      </c>
      <c r="E1735" s="14">
        <v>190</v>
      </c>
      <c r="F1735" s="23">
        <v>14</v>
      </c>
      <c r="G1735" s="17">
        <v>0.30298351341807911</v>
      </c>
      <c r="H1735" s="4" t="s">
        <v>124</v>
      </c>
      <c r="I1735" s="14"/>
    </row>
    <row r="1736" spans="1:9" x14ac:dyDescent="0.25">
      <c r="A1736" s="14">
        <v>2013</v>
      </c>
      <c r="B1736" s="14">
        <v>203</v>
      </c>
      <c r="C1736" s="20">
        <v>41477</v>
      </c>
      <c r="D1736" s="16">
        <v>0.62916666666666665</v>
      </c>
      <c r="E1736" s="14">
        <v>190</v>
      </c>
      <c r="F1736" s="23">
        <v>15</v>
      </c>
      <c r="G1736" s="17">
        <v>0.3324055875706215</v>
      </c>
      <c r="H1736" s="4" t="s">
        <v>1</v>
      </c>
      <c r="I1736" s="14"/>
    </row>
    <row r="1737" spans="1:9" x14ac:dyDescent="0.25">
      <c r="A1737" s="14">
        <v>2013</v>
      </c>
      <c r="B1737" s="14">
        <v>203</v>
      </c>
      <c r="C1737" s="20">
        <v>41477</v>
      </c>
      <c r="D1737" s="16">
        <v>0.63402777777777775</v>
      </c>
      <c r="E1737" s="14">
        <v>190</v>
      </c>
      <c r="F1737" s="23">
        <v>16</v>
      </c>
      <c r="G1737" s="17">
        <v>0.34017708686440679</v>
      </c>
      <c r="H1737" s="4" t="s">
        <v>1</v>
      </c>
      <c r="I1737" s="14"/>
    </row>
    <row r="1738" spans="1:9" x14ac:dyDescent="0.25">
      <c r="A1738" s="14">
        <v>2013</v>
      </c>
      <c r="B1738" s="14">
        <v>203</v>
      </c>
      <c r="C1738" s="20">
        <v>41477</v>
      </c>
      <c r="D1738" s="16">
        <v>0.64166666666666672</v>
      </c>
      <c r="E1738" s="14">
        <v>190</v>
      </c>
      <c r="F1738" s="23">
        <v>17</v>
      </c>
      <c r="G1738" s="17">
        <v>0.32367488559322033</v>
      </c>
      <c r="H1738" s="4" t="s">
        <v>124</v>
      </c>
      <c r="I1738" s="14"/>
    </row>
    <row r="1739" spans="1:9" x14ac:dyDescent="0.25">
      <c r="A1739" s="14">
        <v>2013</v>
      </c>
      <c r="B1739" s="14">
        <v>203</v>
      </c>
      <c r="C1739" s="20">
        <v>41477</v>
      </c>
      <c r="D1739" s="16">
        <v>0.64861111111111114</v>
      </c>
      <c r="E1739" s="14">
        <v>190</v>
      </c>
      <c r="F1739" s="23">
        <v>18</v>
      </c>
      <c r="G1739" s="17">
        <v>0.31335856285310737</v>
      </c>
      <c r="H1739" s="4" t="s">
        <v>124</v>
      </c>
      <c r="I1739" s="14"/>
    </row>
    <row r="1740" spans="1:9" x14ac:dyDescent="0.25">
      <c r="A1740" s="14">
        <v>2013</v>
      </c>
      <c r="B1740" s="14">
        <v>203</v>
      </c>
      <c r="C1740" s="20">
        <v>41477</v>
      </c>
      <c r="D1740" s="16">
        <v>0.65486111111111112</v>
      </c>
      <c r="E1740" s="14">
        <v>190</v>
      </c>
      <c r="F1740" s="23">
        <v>19</v>
      </c>
      <c r="G1740" s="17">
        <v>0.30691820197740111</v>
      </c>
      <c r="H1740" s="4" t="s">
        <v>124</v>
      </c>
      <c r="I1740" s="14"/>
    </row>
    <row r="1741" spans="1:9" x14ac:dyDescent="0.25">
      <c r="A1741" s="14">
        <v>2013</v>
      </c>
      <c r="B1741" s="14">
        <v>203</v>
      </c>
      <c r="C1741" s="20">
        <v>41477</v>
      </c>
      <c r="D1741" s="16">
        <v>0.66111111111111109</v>
      </c>
      <c r="E1741" s="14">
        <v>190</v>
      </c>
      <c r="F1741" s="23">
        <v>20</v>
      </c>
      <c r="G1741" s="17">
        <v>0.30885618290960454</v>
      </c>
      <c r="H1741" s="4" t="s">
        <v>124</v>
      </c>
      <c r="I1741" s="14"/>
    </row>
    <row r="1742" spans="1:9" x14ac:dyDescent="0.25">
      <c r="A1742" s="14">
        <v>2013</v>
      </c>
      <c r="B1742" s="14">
        <v>203</v>
      </c>
      <c r="C1742" s="20">
        <v>41477</v>
      </c>
      <c r="D1742" s="16">
        <v>0.53055555555555556</v>
      </c>
      <c r="E1742" s="14">
        <v>170</v>
      </c>
      <c r="F1742" s="23">
        <v>1</v>
      </c>
      <c r="G1742" s="17">
        <v>0.27839660381355935</v>
      </c>
      <c r="H1742" s="4" t="s">
        <v>123</v>
      </c>
      <c r="I1742" s="14"/>
    </row>
    <row r="1743" spans="1:9" x14ac:dyDescent="0.25">
      <c r="A1743" s="14">
        <v>2013</v>
      </c>
      <c r="B1743" s="14">
        <v>203</v>
      </c>
      <c r="C1743" s="20">
        <v>41477</v>
      </c>
      <c r="D1743" s="16">
        <v>0.53749999999999998</v>
      </c>
      <c r="E1743" s="14">
        <v>170</v>
      </c>
      <c r="F1743" s="23">
        <v>2</v>
      </c>
      <c r="G1743" s="17">
        <v>0.27164303389830513</v>
      </c>
      <c r="H1743" s="4" t="s">
        <v>123</v>
      </c>
      <c r="I1743" s="14"/>
    </row>
    <row r="1744" spans="1:9" x14ac:dyDescent="0.25">
      <c r="A1744" s="14">
        <v>2013</v>
      </c>
      <c r="B1744" s="14">
        <v>203</v>
      </c>
      <c r="C1744" s="20">
        <v>41477</v>
      </c>
      <c r="D1744" s="16">
        <v>0.54375000000000007</v>
      </c>
      <c r="E1744" s="14">
        <v>170</v>
      </c>
      <c r="F1744" s="23">
        <v>3</v>
      </c>
      <c r="G1744" s="17">
        <v>0.29401790466101696</v>
      </c>
      <c r="H1744" s="4" t="s">
        <v>123</v>
      </c>
      <c r="I1744" s="14"/>
    </row>
    <row r="1745" spans="1:9" x14ac:dyDescent="0.25">
      <c r="A1745" s="14">
        <v>2013</v>
      </c>
      <c r="B1745" s="14">
        <v>203</v>
      </c>
      <c r="C1745" s="20">
        <v>41477</v>
      </c>
      <c r="D1745" s="16">
        <v>0.55069444444444449</v>
      </c>
      <c r="E1745" s="14">
        <v>170</v>
      </c>
      <c r="F1745" s="23">
        <v>4</v>
      </c>
      <c r="G1745" s="17">
        <v>0.2914535056497175</v>
      </c>
      <c r="H1745" s="4" t="s">
        <v>123</v>
      </c>
      <c r="I1745" s="14"/>
    </row>
    <row r="1746" spans="1:9" x14ac:dyDescent="0.25">
      <c r="A1746" s="14">
        <v>2013</v>
      </c>
      <c r="B1746" s="14">
        <v>203</v>
      </c>
      <c r="C1746" s="20">
        <v>41477</v>
      </c>
      <c r="D1746" s="16">
        <v>0.55694444444444446</v>
      </c>
      <c r="E1746" s="14">
        <v>170</v>
      </c>
      <c r="F1746" s="23">
        <v>5</v>
      </c>
      <c r="G1746" s="17">
        <v>0.32715933615819215</v>
      </c>
      <c r="H1746" s="4" t="s">
        <v>0</v>
      </c>
      <c r="I1746" s="14"/>
    </row>
    <row r="1747" spans="1:9" x14ac:dyDescent="0.25">
      <c r="A1747" s="14">
        <v>2013</v>
      </c>
      <c r="B1747" s="14">
        <v>203</v>
      </c>
      <c r="C1747" s="20">
        <v>41477</v>
      </c>
      <c r="D1747" s="16">
        <v>0.56736111111111109</v>
      </c>
      <c r="E1747" s="14">
        <v>170</v>
      </c>
      <c r="F1747" s="23">
        <v>6</v>
      </c>
      <c r="G1747" s="17">
        <v>0.33383460381355934</v>
      </c>
      <c r="H1747" s="4" t="s">
        <v>0</v>
      </c>
      <c r="I1747" s="14"/>
    </row>
    <row r="1748" spans="1:9" x14ac:dyDescent="0.25">
      <c r="A1748" s="14">
        <v>2013</v>
      </c>
      <c r="B1748" s="14">
        <v>203</v>
      </c>
      <c r="C1748" s="20">
        <v>41477</v>
      </c>
      <c r="D1748" s="16">
        <v>0.57291666666666663</v>
      </c>
      <c r="E1748" s="14">
        <v>170</v>
      </c>
      <c r="F1748" s="23">
        <v>7</v>
      </c>
      <c r="G1748" s="17">
        <v>0.29961651624293784</v>
      </c>
      <c r="H1748" s="4" t="s">
        <v>123</v>
      </c>
      <c r="I1748" s="14"/>
    </row>
    <row r="1749" spans="1:9" x14ac:dyDescent="0.25">
      <c r="A1749" s="14">
        <v>2013</v>
      </c>
      <c r="B1749" s="14">
        <v>203</v>
      </c>
      <c r="C1749" s="20">
        <v>41477</v>
      </c>
      <c r="D1749" s="16">
        <v>0.57847222222222217</v>
      </c>
      <c r="E1749" s="14">
        <v>170</v>
      </c>
      <c r="F1749" s="23">
        <v>8</v>
      </c>
      <c r="G1749" s="17">
        <v>0.3121840289548023</v>
      </c>
      <c r="H1749" s="4" t="s">
        <v>123</v>
      </c>
      <c r="I1749" s="14"/>
    </row>
    <row r="1750" spans="1:9" x14ac:dyDescent="0.25">
      <c r="A1750" s="14">
        <v>2013</v>
      </c>
      <c r="B1750" s="14">
        <v>203</v>
      </c>
      <c r="C1750" s="20">
        <v>41477</v>
      </c>
      <c r="D1750" s="16">
        <v>0.58611111111111114</v>
      </c>
      <c r="E1750" s="14">
        <v>170</v>
      </c>
      <c r="F1750" s="23">
        <v>9</v>
      </c>
      <c r="G1750" s="17">
        <v>0.29945991172316383</v>
      </c>
      <c r="H1750" s="4" t="s">
        <v>123</v>
      </c>
      <c r="I1750" s="14"/>
    </row>
    <row r="1751" spans="1:9" x14ac:dyDescent="0.25">
      <c r="A1751" s="14">
        <v>2013</v>
      </c>
      <c r="B1751" s="14">
        <v>203</v>
      </c>
      <c r="C1751" s="20">
        <v>41477</v>
      </c>
      <c r="D1751" s="16">
        <v>0.59166666666666667</v>
      </c>
      <c r="E1751" s="14">
        <v>170</v>
      </c>
      <c r="F1751" s="23">
        <v>10</v>
      </c>
      <c r="G1751" s="17">
        <v>0.30668329519774012</v>
      </c>
      <c r="H1751" s="4" t="s">
        <v>123</v>
      </c>
      <c r="I1751" s="14"/>
    </row>
    <row r="1752" spans="1:9" x14ac:dyDescent="0.25">
      <c r="A1752" s="14">
        <v>2013</v>
      </c>
      <c r="B1752" s="14">
        <v>203</v>
      </c>
      <c r="C1752" s="20">
        <v>41477</v>
      </c>
      <c r="D1752" s="16">
        <v>0.60486111111111118</v>
      </c>
      <c r="E1752" s="14">
        <v>170</v>
      </c>
      <c r="F1752" s="23">
        <v>11</v>
      </c>
      <c r="G1752" s="17">
        <v>0.32770745197740114</v>
      </c>
      <c r="H1752" s="4" t="s">
        <v>124</v>
      </c>
      <c r="I1752" s="14"/>
    </row>
    <row r="1753" spans="1:9" x14ac:dyDescent="0.25">
      <c r="A1753" s="14">
        <v>2013</v>
      </c>
      <c r="B1753" s="14">
        <v>203</v>
      </c>
      <c r="C1753" s="20">
        <v>41477</v>
      </c>
      <c r="D1753" s="16">
        <v>0.60486111111111118</v>
      </c>
      <c r="E1753" s="14">
        <v>170</v>
      </c>
      <c r="F1753" s="23">
        <v>12</v>
      </c>
      <c r="G1753" s="17">
        <v>0.33542022457627119</v>
      </c>
      <c r="H1753" s="4" t="s">
        <v>124</v>
      </c>
      <c r="I1753" s="14"/>
    </row>
    <row r="1754" spans="1:9" x14ac:dyDescent="0.25">
      <c r="A1754" s="14">
        <v>2013</v>
      </c>
      <c r="B1754" s="14">
        <v>203</v>
      </c>
      <c r="C1754" s="20">
        <v>41477</v>
      </c>
      <c r="D1754" s="16">
        <v>0.61111111111111105</v>
      </c>
      <c r="E1754" s="14">
        <v>170</v>
      </c>
      <c r="F1754" s="23">
        <v>13</v>
      </c>
      <c r="G1754" s="17">
        <v>0.31243851129943501</v>
      </c>
      <c r="H1754" s="4" t="s">
        <v>124</v>
      </c>
      <c r="I1754" s="14"/>
    </row>
    <row r="1755" spans="1:9" x14ac:dyDescent="0.25">
      <c r="A1755" s="14">
        <v>2013</v>
      </c>
      <c r="B1755" s="14">
        <v>203</v>
      </c>
      <c r="C1755" s="20">
        <v>41477</v>
      </c>
      <c r="D1755" s="16">
        <v>0.61805555555555558</v>
      </c>
      <c r="E1755" s="14">
        <v>170</v>
      </c>
      <c r="F1755" s="23">
        <v>14</v>
      </c>
      <c r="G1755" s="17">
        <v>0.32455578601694918</v>
      </c>
      <c r="H1755" s="4" t="s">
        <v>124</v>
      </c>
      <c r="I1755" s="14"/>
    </row>
    <row r="1756" spans="1:9" x14ac:dyDescent="0.25">
      <c r="A1756" s="14">
        <v>2013</v>
      </c>
      <c r="B1756" s="14">
        <v>203</v>
      </c>
      <c r="C1756" s="20">
        <v>41477</v>
      </c>
      <c r="D1756" s="16">
        <v>0.62916666666666665</v>
      </c>
      <c r="E1756" s="14">
        <v>170</v>
      </c>
      <c r="F1756" s="23">
        <v>15</v>
      </c>
      <c r="G1756" s="17">
        <v>0.33001736864406778</v>
      </c>
      <c r="H1756" s="4" t="s">
        <v>1</v>
      </c>
      <c r="I1756" s="14"/>
    </row>
    <row r="1757" spans="1:9" x14ac:dyDescent="0.25">
      <c r="A1757" s="14">
        <v>2013</v>
      </c>
      <c r="B1757" s="14">
        <v>203</v>
      </c>
      <c r="C1757" s="20">
        <v>41477</v>
      </c>
      <c r="D1757" s="16">
        <v>0.63402777777777775</v>
      </c>
      <c r="E1757" s="14">
        <v>170</v>
      </c>
      <c r="F1757" s="23">
        <v>16</v>
      </c>
      <c r="G1757" s="17">
        <v>0.3175281581920904</v>
      </c>
      <c r="H1757" s="4" t="s">
        <v>1</v>
      </c>
      <c r="I1757" s="14"/>
    </row>
    <row r="1758" spans="1:9" x14ac:dyDescent="0.25">
      <c r="A1758" s="14">
        <v>2013</v>
      </c>
      <c r="B1758" s="14">
        <v>203</v>
      </c>
      <c r="C1758" s="20">
        <v>41477</v>
      </c>
      <c r="D1758" s="16">
        <v>0.64166666666666672</v>
      </c>
      <c r="E1758" s="14">
        <v>170</v>
      </c>
      <c r="F1758" s="23">
        <v>17</v>
      </c>
      <c r="G1758" s="17">
        <v>0.31564890395480227</v>
      </c>
      <c r="H1758" s="4" t="s">
        <v>124</v>
      </c>
      <c r="I1758" s="14"/>
    </row>
    <row r="1759" spans="1:9" x14ac:dyDescent="0.25">
      <c r="A1759" s="14">
        <v>2013</v>
      </c>
      <c r="B1759" s="14">
        <v>203</v>
      </c>
      <c r="C1759" s="20">
        <v>41477</v>
      </c>
      <c r="D1759" s="16">
        <v>0.64861111111111114</v>
      </c>
      <c r="E1759" s="14">
        <v>170</v>
      </c>
      <c r="F1759" s="23">
        <v>18</v>
      </c>
      <c r="G1759" s="17">
        <v>0.33307115677966104</v>
      </c>
      <c r="H1759" s="4" t="s">
        <v>124</v>
      </c>
      <c r="I1759" s="14"/>
    </row>
    <row r="1760" spans="1:9" x14ac:dyDescent="0.25">
      <c r="A1760" s="14">
        <v>2013</v>
      </c>
      <c r="B1760" s="14">
        <v>203</v>
      </c>
      <c r="C1760" s="20">
        <v>41477</v>
      </c>
      <c r="D1760" s="16">
        <v>0.65486111111111112</v>
      </c>
      <c r="E1760" s="14">
        <v>170</v>
      </c>
      <c r="F1760" s="23">
        <v>19</v>
      </c>
      <c r="G1760" s="17">
        <v>0.31588381073446326</v>
      </c>
      <c r="H1760" s="4" t="s">
        <v>124</v>
      </c>
      <c r="I1760" s="14"/>
    </row>
    <row r="1761" spans="1:9" x14ac:dyDescent="0.25">
      <c r="A1761" s="14">
        <v>2013</v>
      </c>
      <c r="B1761" s="14">
        <v>203</v>
      </c>
      <c r="C1761" s="20">
        <v>41477</v>
      </c>
      <c r="D1761" s="16">
        <v>0.66111111111111109</v>
      </c>
      <c r="E1761" s="14">
        <v>170</v>
      </c>
      <c r="F1761" s="23">
        <v>20</v>
      </c>
      <c r="G1761" s="17">
        <v>0.32302889194915252</v>
      </c>
      <c r="H1761" s="4" t="s">
        <v>124</v>
      </c>
      <c r="I1761" s="14"/>
    </row>
    <row r="1762" spans="1:9" x14ac:dyDescent="0.25">
      <c r="A1762" s="14">
        <v>2013</v>
      </c>
      <c r="B1762" s="14">
        <v>203</v>
      </c>
      <c r="C1762" s="20">
        <v>41477</v>
      </c>
      <c r="D1762" s="16">
        <v>0.53055555555555556</v>
      </c>
      <c r="E1762" s="14">
        <v>150</v>
      </c>
      <c r="F1762" s="23">
        <v>1</v>
      </c>
      <c r="G1762" s="17">
        <v>0.33900255296610171</v>
      </c>
      <c r="H1762" s="4" t="s">
        <v>123</v>
      </c>
      <c r="I1762" s="14"/>
    </row>
    <row r="1763" spans="1:9" x14ac:dyDescent="0.25">
      <c r="A1763" s="14">
        <v>2013</v>
      </c>
      <c r="B1763" s="14">
        <v>203</v>
      </c>
      <c r="C1763" s="20">
        <v>41477</v>
      </c>
      <c r="D1763" s="16">
        <v>0.53749999999999998</v>
      </c>
      <c r="E1763" s="14">
        <v>150</v>
      </c>
      <c r="F1763" s="23">
        <v>2</v>
      </c>
      <c r="G1763" s="17">
        <v>0.33301243008474579</v>
      </c>
      <c r="H1763" s="4" t="s">
        <v>123</v>
      </c>
      <c r="I1763" s="14"/>
    </row>
    <row r="1764" spans="1:9" x14ac:dyDescent="0.25">
      <c r="A1764" s="14">
        <v>2013</v>
      </c>
      <c r="B1764" s="14">
        <v>203</v>
      </c>
      <c r="C1764" s="20">
        <v>41477</v>
      </c>
      <c r="D1764" s="16">
        <v>0.54375000000000007</v>
      </c>
      <c r="E1764" s="14">
        <v>150</v>
      </c>
      <c r="F1764" s="23">
        <v>3</v>
      </c>
      <c r="G1764" s="17">
        <v>0.31306492937853109</v>
      </c>
      <c r="H1764" s="4" t="s">
        <v>123</v>
      </c>
      <c r="I1764" s="14"/>
    </row>
    <row r="1765" spans="1:9" x14ac:dyDescent="0.25">
      <c r="A1765" s="14">
        <v>2013</v>
      </c>
      <c r="B1765" s="14">
        <v>203</v>
      </c>
      <c r="C1765" s="20">
        <v>41477</v>
      </c>
      <c r="D1765" s="16">
        <v>0.55069444444444449</v>
      </c>
      <c r="E1765" s="14">
        <v>150</v>
      </c>
      <c r="F1765" s="23">
        <v>4</v>
      </c>
      <c r="G1765" s="17">
        <v>0.29728702401129942</v>
      </c>
      <c r="H1765" s="4" t="s">
        <v>123</v>
      </c>
      <c r="I1765" s="14"/>
    </row>
    <row r="1766" spans="1:9" x14ac:dyDescent="0.25">
      <c r="A1766" s="14">
        <v>2013</v>
      </c>
      <c r="B1766" s="14">
        <v>203</v>
      </c>
      <c r="C1766" s="20">
        <v>41477</v>
      </c>
      <c r="D1766" s="16">
        <v>0.55694444444444446</v>
      </c>
      <c r="E1766" s="14">
        <v>150</v>
      </c>
      <c r="F1766" s="23">
        <v>5</v>
      </c>
      <c r="G1766" s="17">
        <v>0.35742315960451976</v>
      </c>
      <c r="H1766" s="4" t="s">
        <v>0</v>
      </c>
      <c r="I1766" s="14"/>
    </row>
    <row r="1767" spans="1:9" x14ac:dyDescent="0.25">
      <c r="A1767" s="14">
        <v>2013</v>
      </c>
      <c r="B1767" s="14">
        <v>203</v>
      </c>
      <c r="C1767" s="20">
        <v>41477</v>
      </c>
      <c r="D1767" s="16">
        <v>0.56736111111111109</v>
      </c>
      <c r="E1767" s="14">
        <v>150</v>
      </c>
      <c r="F1767" s="23">
        <v>6</v>
      </c>
      <c r="G1767" s="17">
        <v>0.34853585310734464</v>
      </c>
      <c r="H1767" s="4" t="s">
        <v>0</v>
      </c>
      <c r="I1767" s="14"/>
    </row>
    <row r="1768" spans="1:9" x14ac:dyDescent="0.25">
      <c r="A1768" s="14">
        <v>2013</v>
      </c>
      <c r="B1768" s="14">
        <v>203</v>
      </c>
      <c r="C1768" s="20">
        <v>41477</v>
      </c>
      <c r="D1768" s="16">
        <v>0.57291666666666663</v>
      </c>
      <c r="E1768" s="14">
        <v>150</v>
      </c>
      <c r="F1768" s="23">
        <v>7</v>
      </c>
      <c r="G1768" s="17">
        <v>0.32453621045197739</v>
      </c>
      <c r="H1768" s="4" t="s">
        <v>123</v>
      </c>
      <c r="I1768" s="14"/>
    </row>
    <row r="1769" spans="1:9" x14ac:dyDescent="0.25">
      <c r="A1769" s="14">
        <v>2013</v>
      </c>
      <c r="B1769" s="14">
        <v>203</v>
      </c>
      <c r="C1769" s="20">
        <v>41477</v>
      </c>
      <c r="D1769" s="16">
        <v>0.57847222222222217</v>
      </c>
      <c r="E1769" s="14">
        <v>150</v>
      </c>
      <c r="F1769" s="23">
        <v>8</v>
      </c>
      <c r="G1769" s="17">
        <v>0.3357921603107345</v>
      </c>
      <c r="H1769" s="4" t="s">
        <v>123</v>
      </c>
      <c r="I1769" s="14"/>
    </row>
    <row r="1770" spans="1:9" x14ac:dyDescent="0.25">
      <c r="A1770" s="14">
        <v>2013</v>
      </c>
      <c r="B1770" s="14">
        <v>203</v>
      </c>
      <c r="C1770" s="20">
        <v>41477</v>
      </c>
      <c r="D1770" s="16">
        <v>0.58611111111111114</v>
      </c>
      <c r="E1770" s="14">
        <v>150</v>
      </c>
      <c r="F1770" s="23">
        <v>9</v>
      </c>
      <c r="G1770" s="17">
        <v>0.33363884816384182</v>
      </c>
      <c r="H1770" s="4" t="s">
        <v>123</v>
      </c>
      <c r="I1770" s="14"/>
    </row>
    <row r="1771" spans="1:9" x14ac:dyDescent="0.25">
      <c r="A1771" s="14">
        <v>2013</v>
      </c>
      <c r="B1771" s="14">
        <v>203</v>
      </c>
      <c r="C1771" s="20">
        <v>41477</v>
      </c>
      <c r="D1771" s="16">
        <v>0.59166666666666667</v>
      </c>
      <c r="E1771" s="14">
        <v>150</v>
      </c>
      <c r="F1771" s="23">
        <v>10</v>
      </c>
      <c r="G1771" s="17">
        <v>0.34861415536723162</v>
      </c>
      <c r="H1771" s="4" t="s">
        <v>123</v>
      </c>
      <c r="I1771" s="14"/>
    </row>
    <row r="1772" spans="1:9" x14ac:dyDescent="0.25">
      <c r="A1772" s="14">
        <v>2013</v>
      </c>
      <c r="B1772" s="14">
        <v>203</v>
      </c>
      <c r="C1772" s="20">
        <v>41477</v>
      </c>
      <c r="D1772" s="16">
        <v>0.60486111111111118</v>
      </c>
      <c r="E1772" s="14">
        <v>150</v>
      </c>
      <c r="F1772" s="23">
        <v>11</v>
      </c>
      <c r="G1772" s="17">
        <v>0.34620636087570622</v>
      </c>
      <c r="H1772" s="4" t="s">
        <v>124</v>
      </c>
      <c r="I1772" s="14"/>
    </row>
    <row r="1773" spans="1:9" x14ac:dyDescent="0.25">
      <c r="A1773" s="14">
        <v>2013</v>
      </c>
      <c r="B1773" s="14">
        <v>203</v>
      </c>
      <c r="C1773" s="20">
        <v>41477</v>
      </c>
      <c r="D1773" s="16">
        <v>0.60486111111111118</v>
      </c>
      <c r="E1773" s="14">
        <v>150</v>
      </c>
      <c r="F1773" s="23">
        <v>12</v>
      </c>
      <c r="G1773" s="17">
        <v>0.33929618644067799</v>
      </c>
      <c r="H1773" s="4" t="s">
        <v>124</v>
      </c>
      <c r="I1773" s="14"/>
    </row>
    <row r="1774" spans="1:9" x14ac:dyDescent="0.25">
      <c r="A1774" s="14">
        <v>2013</v>
      </c>
      <c r="B1774" s="14">
        <v>203</v>
      </c>
      <c r="C1774" s="20">
        <v>41477</v>
      </c>
      <c r="D1774" s="16">
        <v>0.61111111111111105</v>
      </c>
      <c r="E1774" s="14">
        <v>150</v>
      </c>
      <c r="F1774" s="23">
        <v>13</v>
      </c>
      <c r="G1774" s="17">
        <v>0.3236553100282486</v>
      </c>
      <c r="H1774" s="4" t="s">
        <v>124</v>
      </c>
      <c r="I1774" s="14"/>
    </row>
    <row r="1775" spans="1:9" x14ac:dyDescent="0.25">
      <c r="A1775" s="14">
        <v>2013</v>
      </c>
      <c r="B1775" s="14">
        <v>203</v>
      </c>
      <c r="C1775" s="20">
        <v>41477</v>
      </c>
      <c r="D1775" s="16">
        <v>0.61805555555555558</v>
      </c>
      <c r="E1775" s="14">
        <v>150</v>
      </c>
      <c r="F1775" s="23">
        <v>14</v>
      </c>
      <c r="G1775" s="17">
        <v>0.30552833686440678</v>
      </c>
      <c r="H1775" s="4" t="s">
        <v>124</v>
      </c>
      <c r="I1775" s="14"/>
    </row>
    <row r="1776" spans="1:9" x14ac:dyDescent="0.25">
      <c r="A1776" s="14">
        <v>2013</v>
      </c>
      <c r="B1776" s="14">
        <v>203</v>
      </c>
      <c r="C1776" s="20">
        <v>41477</v>
      </c>
      <c r="D1776" s="16">
        <v>0.62916666666666665</v>
      </c>
      <c r="E1776" s="14">
        <v>150</v>
      </c>
      <c r="F1776" s="23">
        <v>15</v>
      </c>
      <c r="G1776" s="17">
        <v>0.33847401271186439</v>
      </c>
      <c r="H1776" s="4" t="s">
        <v>1</v>
      </c>
      <c r="I1776" s="14"/>
    </row>
    <row r="1777" spans="1:9" x14ac:dyDescent="0.25">
      <c r="A1777" s="14">
        <v>2013</v>
      </c>
      <c r="B1777" s="14">
        <v>203</v>
      </c>
      <c r="C1777" s="20">
        <v>41477</v>
      </c>
      <c r="D1777" s="16">
        <v>0.63402777777777775</v>
      </c>
      <c r="E1777" s="14">
        <v>150</v>
      </c>
      <c r="F1777" s="23">
        <v>16</v>
      </c>
      <c r="G1777" s="17">
        <v>0.33189662288135596</v>
      </c>
      <c r="H1777" s="4" t="s">
        <v>1</v>
      </c>
      <c r="I1777" s="14"/>
    </row>
    <row r="1778" spans="1:9" x14ac:dyDescent="0.25">
      <c r="A1778" s="14">
        <v>2013</v>
      </c>
      <c r="B1778" s="14">
        <v>203</v>
      </c>
      <c r="C1778" s="20">
        <v>41477</v>
      </c>
      <c r="D1778" s="16">
        <v>0.64166666666666672</v>
      </c>
      <c r="E1778" s="14">
        <v>150</v>
      </c>
      <c r="F1778" s="23">
        <v>17</v>
      </c>
      <c r="G1778" s="17">
        <v>0.32394894350282488</v>
      </c>
      <c r="H1778" s="4" t="s">
        <v>124</v>
      </c>
      <c r="I1778" s="14"/>
    </row>
    <row r="1779" spans="1:9" x14ac:dyDescent="0.25">
      <c r="A1779" s="14">
        <v>2013</v>
      </c>
      <c r="B1779" s="14">
        <v>203</v>
      </c>
      <c r="C1779" s="20">
        <v>41477</v>
      </c>
      <c r="D1779" s="16">
        <v>0.64861111111111114</v>
      </c>
      <c r="E1779" s="14">
        <v>150</v>
      </c>
      <c r="F1779" s="23">
        <v>18</v>
      </c>
      <c r="G1779" s="17">
        <v>0.33260134322033902</v>
      </c>
      <c r="H1779" s="4" t="s">
        <v>124</v>
      </c>
      <c r="I1779" s="14"/>
    </row>
    <row r="1780" spans="1:9" x14ac:dyDescent="0.25">
      <c r="A1780" s="14">
        <v>2013</v>
      </c>
      <c r="B1780" s="14">
        <v>203</v>
      </c>
      <c r="C1780" s="20">
        <v>41477</v>
      </c>
      <c r="D1780" s="16">
        <v>0.65486111111111112</v>
      </c>
      <c r="E1780" s="14">
        <v>150</v>
      </c>
      <c r="F1780" s="23">
        <v>19</v>
      </c>
      <c r="G1780" s="17">
        <v>0.33600749152542375</v>
      </c>
      <c r="H1780" s="4" t="s">
        <v>124</v>
      </c>
      <c r="I1780" s="14"/>
    </row>
    <row r="1781" spans="1:9" x14ac:dyDescent="0.25">
      <c r="A1781" s="14">
        <v>2013</v>
      </c>
      <c r="B1781" s="14">
        <v>203</v>
      </c>
      <c r="C1781" s="20">
        <v>41477</v>
      </c>
      <c r="D1781" s="16">
        <v>0.66111111111111109</v>
      </c>
      <c r="E1781" s="14">
        <v>150</v>
      </c>
      <c r="F1781" s="23">
        <v>20</v>
      </c>
      <c r="G1781" s="17">
        <v>0.34536461158192089</v>
      </c>
      <c r="H1781" s="4" t="s">
        <v>124</v>
      </c>
      <c r="I1781" s="14"/>
    </row>
    <row r="1782" spans="1:9" x14ac:dyDescent="0.25">
      <c r="A1782" s="14">
        <v>2013</v>
      </c>
      <c r="B1782" s="14">
        <v>203</v>
      </c>
      <c r="C1782" s="20">
        <v>41477</v>
      </c>
      <c r="D1782" s="16">
        <v>0.53055555555555556</v>
      </c>
      <c r="E1782" s="14">
        <v>130</v>
      </c>
      <c r="F1782" s="23">
        <v>1</v>
      </c>
      <c r="G1782" s="17">
        <v>0.3160012641242938</v>
      </c>
      <c r="H1782" s="4" t="s">
        <v>123</v>
      </c>
      <c r="I1782" s="14"/>
    </row>
    <row r="1783" spans="1:9" x14ac:dyDescent="0.25">
      <c r="A1783" s="14">
        <v>2013</v>
      </c>
      <c r="B1783" s="14">
        <v>203</v>
      </c>
      <c r="C1783" s="20">
        <v>41477</v>
      </c>
      <c r="D1783" s="16">
        <v>0.53749999999999998</v>
      </c>
      <c r="E1783" s="14">
        <v>130</v>
      </c>
      <c r="F1783" s="23">
        <v>2</v>
      </c>
      <c r="G1783" s="17">
        <v>0.31147930861581918</v>
      </c>
      <c r="H1783" s="4" t="s">
        <v>123</v>
      </c>
      <c r="I1783" s="14"/>
    </row>
    <row r="1784" spans="1:9" x14ac:dyDescent="0.25">
      <c r="A1784" s="14">
        <v>2013</v>
      </c>
      <c r="B1784" s="14">
        <v>203</v>
      </c>
      <c r="C1784" s="20">
        <v>41477</v>
      </c>
      <c r="D1784" s="16">
        <v>0.54375000000000007</v>
      </c>
      <c r="E1784" s="14">
        <v>130</v>
      </c>
      <c r="F1784" s="23">
        <v>3</v>
      </c>
      <c r="G1784" s="17">
        <v>0.30799485805084748</v>
      </c>
      <c r="H1784" s="4" t="s">
        <v>123</v>
      </c>
      <c r="I1784" s="14"/>
    </row>
    <row r="1785" spans="1:9" x14ac:dyDescent="0.25">
      <c r="A1785" s="14">
        <v>2013</v>
      </c>
      <c r="B1785" s="14">
        <v>203</v>
      </c>
      <c r="C1785" s="20">
        <v>41477</v>
      </c>
      <c r="D1785" s="16">
        <v>0.55069444444444449</v>
      </c>
      <c r="E1785" s="14">
        <v>130</v>
      </c>
      <c r="F1785" s="23">
        <v>4</v>
      </c>
      <c r="G1785" s="17">
        <v>0.30846467161016949</v>
      </c>
      <c r="H1785" s="4" t="s">
        <v>123</v>
      </c>
      <c r="I1785" s="14"/>
    </row>
    <row r="1786" spans="1:9" x14ac:dyDescent="0.25">
      <c r="A1786" s="14">
        <v>2013</v>
      </c>
      <c r="B1786" s="14">
        <v>203</v>
      </c>
      <c r="C1786" s="20">
        <v>41477</v>
      </c>
      <c r="D1786" s="16">
        <v>0.55694444444444446</v>
      </c>
      <c r="E1786" s="14">
        <v>130</v>
      </c>
      <c r="F1786" s="23">
        <v>5</v>
      </c>
      <c r="G1786" s="17">
        <v>0.32408597245762716</v>
      </c>
      <c r="H1786" s="4" t="s">
        <v>0</v>
      </c>
      <c r="I1786" s="14"/>
    </row>
    <row r="1787" spans="1:9" x14ac:dyDescent="0.25">
      <c r="A1787" s="14">
        <v>2013</v>
      </c>
      <c r="B1787" s="14">
        <v>203</v>
      </c>
      <c r="C1787" s="20">
        <v>41477</v>
      </c>
      <c r="D1787" s="16">
        <v>0.56736111111111109</v>
      </c>
      <c r="E1787" s="14">
        <v>130</v>
      </c>
      <c r="F1787" s="23">
        <v>6</v>
      </c>
      <c r="G1787" s="17">
        <v>0.30239624646892654</v>
      </c>
      <c r="H1787" s="4" t="s">
        <v>0</v>
      </c>
      <c r="I1787" s="14"/>
    </row>
    <row r="1788" spans="1:9" x14ac:dyDescent="0.25">
      <c r="A1788" s="14">
        <v>2013</v>
      </c>
      <c r="B1788" s="14">
        <v>203</v>
      </c>
      <c r="C1788" s="20">
        <v>41477</v>
      </c>
      <c r="D1788" s="16">
        <v>0.57291666666666663</v>
      </c>
      <c r="E1788" s="14">
        <v>130</v>
      </c>
      <c r="F1788" s="23">
        <v>7</v>
      </c>
      <c r="G1788" s="17">
        <v>0.31895717443502825</v>
      </c>
      <c r="H1788" s="4" t="s">
        <v>123</v>
      </c>
      <c r="I1788" s="14"/>
    </row>
    <row r="1789" spans="1:9" x14ac:dyDescent="0.25">
      <c r="A1789" s="14">
        <v>2013</v>
      </c>
      <c r="B1789" s="14">
        <v>203</v>
      </c>
      <c r="C1789" s="20">
        <v>41477</v>
      </c>
      <c r="D1789" s="16">
        <v>0.57847222222222217</v>
      </c>
      <c r="E1789" s="14">
        <v>130</v>
      </c>
      <c r="F1789" s="23">
        <v>8</v>
      </c>
      <c r="G1789" s="17">
        <v>0.35182454802259888</v>
      </c>
      <c r="H1789" s="4" t="s">
        <v>123</v>
      </c>
      <c r="I1789" s="14"/>
    </row>
    <row r="1790" spans="1:9" x14ac:dyDescent="0.25">
      <c r="A1790" s="14">
        <v>2013</v>
      </c>
      <c r="B1790" s="14">
        <v>203</v>
      </c>
      <c r="C1790" s="20">
        <v>41477</v>
      </c>
      <c r="D1790" s="16">
        <v>0.58611111111111114</v>
      </c>
      <c r="E1790" s="14">
        <v>130</v>
      </c>
      <c r="F1790" s="23">
        <v>9</v>
      </c>
      <c r="G1790" s="17">
        <v>0.30723141101694917</v>
      </c>
      <c r="H1790" s="4" t="s">
        <v>123</v>
      </c>
      <c r="I1790" s="14"/>
    </row>
    <row r="1791" spans="1:9" x14ac:dyDescent="0.25">
      <c r="A1791" s="14">
        <v>2013</v>
      </c>
      <c r="B1791" s="14">
        <v>203</v>
      </c>
      <c r="C1791" s="20">
        <v>41477</v>
      </c>
      <c r="D1791" s="16">
        <v>0.59166666666666667</v>
      </c>
      <c r="E1791" s="14">
        <v>130</v>
      </c>
      <c r="F1791" s="23">
        <v>10</v>
      </c>
      <c r="G1791" s="17">
        <v>0.31451352118644071</v>
      </c>
      <c r="H1791" s="4" t="s">
        <v>123</v>
      </c>
      <c r="I1791" s="14"/>
    </row>
    <row r="1792" spans="1:9" x14ac:dyDescent="0.25">
      <c r="A1792" s="14">
        <v>2013</v>
      </c>
      <c r="B1792" s="14">
        <v>203</v>
      </c>
      <c r="C1792" s="20">
        <v>41477</v>
      </c>
      <c r="D1792" s="16">
        <v>0.60486111111111118</v>
      </c>
      <c r="E1792" s="14">
        <v>130</v>
      </c>
      <c r="F1792" s="23">
        <v>11</v>
      </c>
      <c r="G1792" s="17">
        <v>0.31508121257062144</v>
      </c>
      <c r="H1792" s="4" t="s">
        <v>124</v>
      </c>
      <c r="I1792" s="14"/>
    </row>
    <row r="1793" spans="1:9" x14ac:dyDescent="0.25">
      <c r="A1793" s="14">
        <v>2013</v>
      </c>
      <c r="B1793" s="14">
        <v>203</v>
      </c>
      <c r="C1793" s="20">
        <v>41477</v>
      </c>
      <c r="D1793" s="16">
        <v>0.60486111111111118</v>
      </c>
      <c r="E1793" s="14">
        <v>130</v>
      </c>
      <c r="F1793" s="23">
        <v>12</v>
      </c>
      <c r="G1793" s="17">
        <v>0.29891179590395484</v>
      </c>
      <c r="H1793" s="4" t="s">
        <v>124</v>
      </c>
      <c r="I1793" s="14"/>
    </row>
    <row r="1794" spans="1:9" x14ac:dyDescent="0.25">
      <c r="A1794" s="14">
        <v>2013</v>
      </c>
      <c r="B1794" s="14">
        <v>203</v>
      </c>
      <c r="C1794" s="20">
        <v>41477</v>
      </c>
      <c r="D1794" s="16">
        <v>0.61111111111111105</v>
      </c>
      <c r="E1794" s="14">
        <v>130</v>
      </c>
      <c r="F1794" s="23">
        <v>13</v>
      </c>
      <c r="G1794" s="17">
        <v>0.32095388206214687</v>
      </c>
      <c r="H1794" s="4" t="s">
        <v>124</v>
      </c>
      <c r="I1794" s="14"/>
    </row>
    <row r="1795" spans="1:9" x14ac:dyDescent="0.25">
      <c r="A1795" s="14">
        <v>2013</v>
      </c>
      <c r="B1795" s="14">
        <v>203</v>
      </c>
      <c r="C1795" s="20">
        <v>41477</v>
      </c>
      <c r="D1795" s="16">
        <v>0.61805555555555558</v>
      </c>
      <c r="E1795" s="14">
        <v>130</v>
      </c>
      <c r="F1795" s="23">
        <v>14</v>
      </c>
      <c r="G1795" s="17">
        <v>0.31643192655367236</v>
      </c>
      <c r="H1795" s="4" t="s">
        <v>124</v>
      </c>
      <c r="I1795" s="14"/>
    </row>
    <row r="1796" spans="1:9" x14ac:dyDescent="0.25">
      <c r="A1796" s="14">
        <v>2013</v>
      </c>
      <c r="B1796" s="14">
        <v>203</v>
      </c>
      <c r="C1796" s="20">
        <v>41477</v>
      </c>
      <c r="D1796" s="16">
        <v>0.62916666666666665</v>
      </c>
      <c r="E1796" s="14">
        <v>130</v>
      </c>
      <c r="F1796" s="23">
        <v>15</v>
      </c>
      <c r="G1796" s="17">
        <v>0.30110425918079092</v>
      </c>
      <c r="H1796" s="4" t="s">
        <v>1</v>
      </c>
      <c r="I1796" s="14"/>
    </row>
    <row r="1797" spans="1:9" x14ac:dyDescent="0.25">
      <c r="A1797" s="14">
        <v>2013</v>
      </c>
      <c r="B1797" s="14">
        <v>203</v>
      </c>
      <c r="C1797" s="20">
        <v>41477</v>
      </c>
      <c r="D1797" s="16">
        <v>0.63402777777777775</v>
      </c>
      <c r="E1797" s="14">
        <v>130</v>
      </c>
      <c r="F1797" s="23">
        <v>16</v>
      </c>
      <c r="G1797" s="17">
        <v>0.29558394985875708</v>
      </c>
      <c r="H1797" s="4" t="s">
        <v>1</v>
      </c>
      <c r="I1797" s="14"/>
    </row>
    <row r="1798" spans="1:9" x14ac:dyDescent="0.25">
      <c r="A1798" s="14">
        <v>2013</v>
      </c>
      <c r="B1798" s="14">
        <v>203</v>
      </c>
      <c r="C1798" s="20">
        <v>41477</v>
      </c>
      <c r="D1798" s="16">
        <v>0.64166666666666672</v>
      </c>
      <c r="E1798" s="14">
        <v>130</v>
      </c>
      <c r="F1798" s="23">
        <v>17</v>
      </c>
      <c r="G1798" s="17">
        <v>0.31126397740112993</v>
      </c>
      <c r="H1798" s="4" t="s">
        <v>124</v>
      </c>
      <c r="I1798" s="14"/>
    </row>
    <row r="1799" spans="1:9" x14ac:dyDescent="0.25">
      <c r="A1799" s="14">
        <v>2013</v>
      </c>
      <c r="B1799" s="14">
        <v>203</v>
      </c>
      <c r="C1799" s="20">
        <v>41477</v>
      </c>
      <c r="D1799" s="16">
        <v>0.64861111111111114</v>
      </c>
      <c r="E1799" s="14">
        <v>130</v>
      </c>
      <c r="F1799" s="23">
        <v>18</v>
      </c>
      <c r="G1799" s="17">
        <v>0.31376964971751414</v>
      </c>
      <c r="H1799" s="4" t="s">
        <v>124</v>
      </c>
      <c r="I1799" s="14"/>
    </row>
    <row r="1800" spans="1:9" x14ac:dyDescent="0.25">
      <c r="A1800" s="14">
        <v>2013</v>
      </c>
      <c r="B1800" s="14">
        <v>203</v>
      </c>
      <c r="C1800" s="20">
        <v>41477</v>
      </c>
      <c r="D1800" s="16">
        <v>0.65486111111111112</v>
      </c>
      <c r="E1800" s="14">
        <v>130</v>
      </c>
      <c r="F1800" s="23">
        <v>19</v>
      </c>
      <c r="G1800" s="17">
        <v>0.31095076836158192</v>
      </c>
      <c r="H1800" s="4" t="s">
        <v>124</v>
      </c>
      <c r="I1800" s="14"/>
    </row>
    <row r="1801" spans="1:9" x14ac:dyDescent="0.25">
      <c r="A1801" s="14">
        <v>2013</v>
      </c>
      <c r="B1801" s="14">
        <v>203</v>
      </c>
      <c r="C1801" s="20">
        <v>41477</v>
      </c>
      <c r="D1801" s="16">
        <v>0.66111111111111109</v>
      </c>
      <c r="E1801" s="14">
        <v>130</v>
      </c>
      <c r="F1801" s="23">
        <v>20</v>
      </c>
      <c r="G1801" s="17">
        <v>0.30699650423728814</v>
      </c>
      <c r="H1801" s="4" t="s">
        <v>124</v>
      </c>
      <c r="I1801" s="14"/>
    </row>
    <row r="1802" spans="1:9" x14ac:dyDescent="0.25">
      <c r="A1802" s="14">
        <v>2013</v>
      </c>
      <c r="B1802" s="14">
        <v>203</v>
      </c>
      <c r="C1802" s="20">
        <v>41477</v>
      </c>
      <c r="D1802" s="16">
        <v>0.53055555555555556</v>
      </c>
      <c r="E1802" s="14">
        <v>110</v>
      </c>
      <c r="F1802" s="23">
        <v>1</v>
      </c>
      <c r="G1802" s="17">
        <v>0.34735459604519769</v>
      </c>
      <c r="H1802" s="4" t="s">
        <v>123</v>
      </c>
      <c r="I1802" s="14"/>
    </row>
    <row r="1803" spans="1:9" x14ac:dyDescent="0.25">
      <c r="A1803" s="14">
        <v>2013</v>
      </c>
      <c r="B1803" s="14">
        <v>203</v>
      </c>
      <c r="C1803" s="20">
        <v>41477</v>
      </c>
      <c r="D1803" s="16">
        <v>0.53749999999999998</v>
      </c>
      <c r="E1803" s="14">
        <v>110</v>
      </c>
      <c r="F1803" s="23">
        <v>2</v>
      </c>
      <c r="G1803" s="17">
        <v>0.3405380254237288</v>
      </c>
      <c r="H1803" s="4" t="s">
        <v>123</v>
      </c>
      <c r="I1803" s="14"/>
    </row>
    <row r="1804" spans="1:9" x14ac:dyDescent="0.25">
      <c r="A1804" s="14">
        <v>2013</v>
      </c>
      <c r="B1804" s="14">
        <v>203</v>
      </c>
      <c r="C1804" s="20">
        <v>41477</v>
      </c>
      <c r="D1804" s="16">
        <v>0.54375000000000007</v>
      </c>
      <c r="E1804" s="14">
        <v>110</v>
      </c>
      <c r="F1804" s="23">
        <v>3</v>
      </c>
      <c r="G1804" s="17">
        <v>0.33132644350282481</v>
      </c>
      <c r="H1804" s="4" t="s">
        <v>123</v>
      </c>
      <c r="I1804" s="14"/>
    </row>
    <row r="1805" spans="1:9" x14ac:dyDescent="0.25">
      <c r="A1805" s="14">
        <v>2013</v>
      </c>
      <c r="B1805" s="14">
        <v>203</v>
      </c>
      <c r="C1805" s="20">
        <v>41477</v>
      </c>
      <c r="D1805" s="16">
        <v>0.55069444444444449</v>
      </c>
      <c r="E1805" s="14">
        <v>110</v>
      </c>
      <c r="F1805" s="23">
        <v>4</v>
      </c>
      <c r="G1805" s="17">
        <v>0.33855753531073446</v>
      </c>
      <c r="H1805" s="4" t="s">
        <v>123</v>
      </c>
      <c r="I1805" s="14"/>
    </row>
    <row r="1806" spans="1:9" x14ac:dyDescent="0.25">
      <c r="A1806" s="14">
        <v>2013</v>
      </c>
      <c r="B1806" s="14">
        <v>203</v>
      </c>
      <c r="C1806" s="20">
        <v>41477</v>
      </c>
      <c r="D1806" s="16">
        <v>0.55694444444444446</v>
      </c>
      <c r="E1806" s="14">
        <v>110</v>
      </c>
      <c r="F1806" s="23">
        <v>5</v>
      </c>
      <c r="G1806" s="17">
        <v>0.33556377118644065</v>
      </c>
      <c r="H1806" s="4" t="s">
        <v>0</v>
      </c>
      <c r="I1806" s="14"/>
    </row>
    <row r="1807" spans="1:9" x14ac:dyDescent="0.25">
      <c r="A1807" s="14">
        <v>2013</v>
      </c>
      <c r="B1807" s="14">
        <v>203</v>
      </c>
      <c r="C1807" s="20">
        <v>41477</v>
      </c>
      <c r="D1807" s="16">
        <v>0.56736111111111109</v>
      </c>
      <c r="E1807" s="14">
        <v>110</v>
      </c>
      <c r="F1807" s="23">
        <v>6</v>
      </c>
      <c r="G1807" s="17">
        <v>0.32467107556497177</v>
      </c>
      <c r="H1807" s="4" t="s">
        <v>0</v>
      </c>
      <c r="I1807" s="14"/>
    </row>
    <row r="1808" spans="1:9" x14ac:dyDescent="0.25">
      <c r="A1808" s="14">
        <v>2013</v>
      </c>
      <c r="B1808" s="14">
        <v>203</v>
      </c>
      <c r="C1808" s="20">
        <v>41477</v>
      </c>
      <c r="D1808" s="16">
        <v>0.57291666666666663</v>
      </c>
      <c r="E1808" s="14">
        <v>110</v>
      </c>
      <c r="F1808" s="23">
        <v>7</v>
      </c>
      <c r="G1808" s="17">
        <v>0.3418506758474576</v>
      </c>
      <c r="H1808" s="4" t="s">
        <v>123</v>
      </c>
      <c r="I1808" s="14"/>
    </row>
    <row r="1809" spans="1:9" x14ac:dyDescent="0.25">
      <c r="A1809" s="14">
        <v>2013</v>
      </c>
      <c r="B1809" s="14">
        <v>203</v>
      </c>
      <c r="C1809" s="20">
        <v>41477</v>
      </c>
      <c r="D1809" s="16">
        <v>0.57847222222222217</v>
      </c>
      <c r="E1809" s="14">
        <v>110</v>
      </c>
      <c r="F1809" s="23">
        <v>8</v>
      </c>
      <c r="G1809" s="17">
        <v>0.34309423940677963</v>
      </c>
      <c r="H1809" s="4" t="s">
        <v>123</v>
      </c>
      <c r="I1809" s="14"/>
    </row>
    <row r="1810" spans="1:9" x14ac:dyDescent="0.25">
      <c r="A1810" s="14">
        <v>2013</v>
      </c>
      <c r="B1810" s="14">
        <v>203</v>
      </c>
      <c r="C1810" s="20">
        <v>41477</v>
      </c>
      <c r="D1810" s="16">
        <v>0.58611111111111114</v>
      </c>
      <c r="E1810" s="14">
        <v>110</v>
      </c>
      <c r="F1810" s="23">
        <v>9</v>
      </c>
      <c r="G1810" s="17">
        <v>0.33540256850282485</v>
      </c>
      <c r="H1810" s="4" t="s">
        <v>123</v>
      </c>
      <c r="I1810" s="14"/>
    </row>
    <row r="1811" spans="1:9" x14ac:dyDescent="0.25">
      <c r="A1811" s="14">
        <v>2013</v>
      </c>
      <c r="B1811" s="14">
        <v>203</v>
      </c>
      <c r="C1811" s="20">
        <v>41477</v>
      </c>
      <c r="D1811" s="16">
        <v>0.59166666666666667</v>
      </c>
      <c r="E1811" s="14">
        <v>110</v>
      </c>
      <c r="F1811" s="23">
        <v>10</v>
      </c>
      <c r="G1811" s="17">
        <v>0.33952475141242933</v>
      </c>
      <c r="H1811" s="4" t="s">
        <v>123</v>
      </c>
      <c r="I1811" s="14"/>
    </row>
    <row r="1812" spans="1:9" x14ac:dyDescent="0.25">
      <c r="A1812" s="14">
        <v>2013</v>
      </c>
      <c r="B1812" s="14">
        <v>203</v>
      </c>
      <c r="C1812" s="20">
        <v>41477</v>
      </c>
      <c r="D1812" s="16">
        <v>0.60486111111111118</v>
      </c>
      <c r="E1812" s="14">
        <v>110</v>
      </c>
      <c r="F1812" s="23">
        <v>11</v>
      </c>
      <c r="G1812" s="17">
        <v>0.3395477803672316</v>
      </c>
      <c r="H1812" s="4" t="s">
        <v>124</v>
      </c>
      <c r="I1812" s="14"/>
    </row>
    <row r="1813" spans="1:9" x14ac:dyDescent="0.25">
      <c r="A1813" s="14">
        <v>2013</v>
      </c>
      <c r="B1813" s="14">
        <v>203</v>
      </c>
      <c r="C1813" s="20">
        <v>41477</v>
      </c>
      <c r="D1813" s="16">
        <v>0.60486111111111118</v>
      </c>
      <c r="E1813" s="14">
        <v>110</v>
      </c>
      <c r="F1813" s="23">
        <v>12</v>
      </c>
      <c r="G1813" s="17">
        <v>0.34293303672316383</v>
      </c>
      <c r="H1813" s="4" t="s">
        <v>124</v>
      </c>
      <c r="I1813" s="14"/>
    </row>
    <row r="1814" spans="1:9" x14ac:dyDescent="0.25">
      <c r="A1814" s="14">
        <v>2013</v>
      </c>
      <c r="B1814" s="14">
        <v>203</v>
      </c>
      <c r="C1814" s="20">
        <v>41477</v>
      </c>
      <c r="D1814" s="16">
        <v>0.61111111111111105</v>
      </c>
      <c r="E1814" s="14">
        <v>110</v>
      </c>
      <c r="F1814" s="23">
        <v>13</v>
      </c>
      <c r="G1814" s="17">
        <v>0.35327303742937849</v>
      </c>
      <c r="H1814" s="4" t="s">
        <v>124</v>
      </c>
      <c r="I1814" s="14"/>
    </row>
    <row r="1815" spans="1:9" x14ac:dyDescent="0.25">
      <c r="A1815" s="14">
        <v>2013</v>
      </c>
      <c r="B1815" s="14">
        <v>203</v>
      </c>
      <c r="C1815" s="20">
        <v>41477</v>
      </c>
      <c r="D1815" s="16">
        <v>0.61805555555555558</v>
      </c>
      <c r="E1815" s="14">
        <v>110</v>
      </c>
      <c r="F1815" s="23">
        <v>14</v>
      </c>
      <c r="G1815" s="17">
        <v>0.32833267937853106</v>
      </c>
      <c r="H1815" s="4" t="s">
        <v>124</v>
      </c>
      <c r="I1815" s="14"/>
    </row>
    <row r="1816" spans="1:9" x14ac:dyDescent="0.25">
      <c r="A1816" s="14">
        <v>2013</v>
      </c>
      <c r="B1816" s="14">
        <v>203</v>
      </c>
      <c r="C1816" s="20">
        <v>41477</v>
      </c>
      <c r="D1816" s="16">
        <v>0.62916666666666665</v>
      </c>
      <c r="E1816" s="14">
        <v>110</v>
      </c>
      <c r="F1816" s="23">
        <v>15</v>
      </c>
      <c r="G1816" s="17">
        <v>0.32133187711864403</v>
      </c>
      <c r="H1816" s="4" t="s">
        <v>1</v>
      </c>
      <c r="I1816" s="14"/>
    </row>
    <row r="1817" spans="1:9" x14ac:dyDescent="0.25">
      <c r="A1817" s="14">
        <v>2013</v>
      </c>
      <c r="B1817" s="14">
        <v>203</v>
      </c>
      <c r="C1817" s="20">
        <v>41477</v>
      </c>
      <c r="D1817" s="16">
        <v>0.63402777777777775</v>
      </c>
      <c r="E1817" s="14">
        <v>110</v>
      </c>
      <c r="F1817" s="23">
        <v>16</v>
      </c>
      <c r="G1817" s="17">
        <v>0.32446381497175136</v>
      </c>
      <c r="H1817" s="4" t="s">
        <v>1</v>
      </c>
      <c r="I1817" s="14"/>
    </row>
    <row r="1818" spans="1:9" x14ac:dyDescent="0.25">
      <c r="A1818" s="14">
        <v>2013</v>
      </c>
      <c r="B1818" s="14">
        <v>203</v>
      </c>
      <c r="C1818" s="20">
        <v>41477</v>
      </c>
      <c r="D1818" s="16">
        <v>0.64166666666666672</v>
      </c>
      <c r="E1818" s="14">
        <v>110</v>
      </c>
      <c r="F1818" s="23">
        <v>17</v>
      </c>
      <c r="G1818" s="17">
        <v>0.34284092090395474</v>
      </c>
      <c r="H1818" s="4" t="s">
        <v>124</v>
      </c>
      <c r="I1818" s="14"/>
    </row>
    <row r="1819" spans="1:9" x14ac:dyDescent="0.25">
      <c r="A1819" s="14">
        <v>2013</v>
      </c>
      <c r="B1819" s="14">
        <v>203</v>
      </c>
      <c r="C1819" s="20">
        <v>41477</v>
      </c>
      <c r="D1819" s="16">
        <v>0.64861111111111114</v>
      </c>
      <c r="E1819" s="14">
        <v>110</v>
      </c>
      <c r="F1819" s="23">
        <v>18</v>
      </c>
      <c r="G1819" s="17">
        <v>0.34707824858757064</v>
      </c>
      <c r="H1819" s="4" t="s">
        <v>124</v>
      </c>
      <c r="I1819" s="14"/>
    </row>
    <row r="1820" spans="1:9" x14ac:dyDescent="0.25">
      <c r="A1820" s="14">
        <v>2013</v>
      </c>
      <c r="B1820" s="14">
        <v>203</v>
      </c>
      <c r="C1820" s="20">
        <v>41477</v>
      </c>
      <c r="D1820" s="16">
        <v>0.65486111111111112</v>
      </c>
      <c r="E1820" s="14">
        <v>110</v>
      </c>
      <c r="F1820" s="23">
        <v>19</v>
      </c>
      <c r="G1820" s="17">
        <v>0.34152827048022599</v>
      </c>
      <c r="H1820" s="4" t="s">
        <v>124</v>
      </c>
      <c r="I1820" s="14"/>
    </row>
    <row r="1821" spans="1:9" x14ac:dyDescent="0.25">
      <c r="A1821" s="14">
        <v>2013</v>
      </c>
      <c r="B1821" s="14">
        <v>203</v>
      </c>
      <c r="C1821" s="20">
        <v>41477</v>
      </c>
      <c r="D1821" s="16">
        <v>0.66111111111111109</v>
      </c>
      <c r="E1821" s="14">
        <v>110</v>
      </c>
      <c r="F1821" s="23">
        <v>20</v>
      </c>
      <c r="G1821" s="17">
        <v>0.33653098728813557</v>
      </c>
      <c r="H1821" s="4" t="s">
        <v>124</v>
      </c>
      <c r="I1821" s="14"/>
    </row>
    <row r="1822" spans="1:9" x14ac:dyDescent="0.25">
      <c r="A1822" s="14">
        <v>2013</v>
      </c>
      <c r="B1822" s="14">
        <v>203</v>
      </c>
      <c r="C1822" s="20">
        <v>41477</v>
      </c>
      <c r="D1822" s="16">
        <v>0.53055555555555556</v>
      </c>
      <c r="E1822" s="14">
        <v>90</v>
      </c>
      <c r="F1822" s="23">
        <v>1</v>
      </c>
      <c r="G1822" s="17">
        <v>0.34746974081920906</v>
      </c>
      <c r="H1822" s="4" t="s">
        <v>123</v>
      </c>
      <c r="I1822" s="14"/>
    </row>
    <row r="1823" spans="1:9" x14ac:dyDescent="0.25">
      <c r="A1823" s="14">
        <v>2013</v>
      </c>
      <c r="B1823" s="14">
        <v>203</v>
      </c>
      <c r="C1823" s="20">
        <v>41477</v>
      </c>
      <c r="D1823" s="16">
        <v>0.53749999999999998</v>
      </c>
      <c r="E1823" s="14">
        <v>90</v>
      </c>
      <c r="F1823" s="23">
        <v>2</v>
      </c>
      <c r="G1823" s="17">
        <v>0.35285851624293785</v>
      </c>
      <c r="H1823" s="4" t="s">
        <v>123</v>
      </c>
      <c r="I1823" s="14"/>
    </row>
    <row r="1824" spans="1:9" x14ac:dyDescent="0.25">
      <c r="A1824" s="14">
        <v>2013</v>
      </c>
      <c r="B1824" s="14">
        <v>203</v>
      </c>
      <c r="C1824" s="20">
        <v>41477</v>
      </c>
      <c r="D1824" s="16">
        <v>0.54375000000000007</v>
      </c>
      <c r="E1824" s="14">
        <v>90</v>
      </c>
      <c r="F1824" s="23">
        <v>3</v>
      </c>
      <c r="G1824" s="17">
        <v>0.33802786935028245</v>
      </c>
      <c r="H1824" s="4" t="s">
        <v>123</v>
      </c>
      <c r="I1824" s="14"/>
    </row>
    <row r="1825" spans="1:9" x14ac:dyDescent="0.25">
      <c r="A1825" s="14">
        <v>2013</v>
      </c>
      <c r="B1825" s="14">
        <v>203</v>
      </c>
      <c r="C1825" s="20">
        <v>41477</v>
      </c>
      <c r="D1825" s="16">
        <v>0.55069444444444449</v>
      </c>
      <c r="E1825" s="14">
        <v>90</v>
      </c>
      <c r="F1825" s="23">
        <v>4</v>
      </c>
      <c r="G1825" s="17">
        <v>0.34320938418079094</v>
      </c>
      <c r="H1825" s="4" t="s">
        <v>123</v>
      </c>
      <c r="I1825" s="14"/>
    </row>
    <row r="1826" spans="1:9" x14ac:dyDescent="0.25">
      <c r="A1826" s="14">
        <v>2013</v>
      </c>
      <c r="B1826" s="14">
        <v>203</v>
      </c>
      <c r="C1826" s="20">
        <v>41477</v>
      </c>
      <c r="D1826" s="16">
        <v>0.55694444444444446</v>
      </c>
      <c r="E1826" s="14">
        <v>90</v>
      </c>
      <c r="F1826" s="23">
        <v>5</v>
      </c>
      <c r="G1826" s="17">
        <v>0.33565588700564969</v>
      </c>
      <c r="H1826" s="4" t="s">
        <v>0</v>
      </c>
      <c r="I1826" s="14"/>
    </row>
    <row r="1827" spans="1:9" x14ac:dyDescent="0.25">
      <c r="A1827" s="14">
        <v>2013</v>
      </c>
      <c r="B1827" s="14">
        <v>203</v>
      </c>
      <c r="C1827" s="20">
        <v>41477</v>
      </c>
      <c r="D1827" s="16">
        <v>0.56736111111111109</v>
      </c>
      <c r="E1827" s="14">
        <v>90</v>
      </c>
      <c r="F1827" s="23">
        <v>6</v>
      </c>
      <c r="G1827" s="17">
        <v>0.31898292372881354</v>
      </c>
      <c r="H1827" s="4" t="s">
        <v>0</v>
      </c>
      <c r="I1827" s="14"/>
    </row>
    <row r="1828" spans="1:9" x14ac:dyDescent="0.25">
      <c r="A1828" s="14">
        <v>2013</v>
      </c>
      <c r="B1828" s="14">
        <v>203</v>
      </c>
      <c r="C1828" s="20">
        <v>41477</v>
      </c>
      <c r="D1828" s="16">
        <v>0.57291666666666663</v>
      </c>
      <c r="E1828" s="14">
        <v>90</v>
      </c>
      <c r="F1828" s="23">
        <v>7</v>
      </c>
      <c r="G1828" s="17">
        <v>0.34717036440677962</v>
      </c>
      <c r="H1828" s="4" t="s">
        <v>123</v>
      </c>
      <c r="I1828" s="14"/>
    </row>
    <row r="1829" spans="1:9" x14ac:dyDescent="0.25">
      <c r="A1829" s="14">
        <v>2013</v>
      </c>
      <c r="B1829" s="14">
        <v>203</v>
      </c>
      <c r="C1829" s="20">
        <v>41477</v>
      </c>
      <c r="D1829" s="16">
        <v>0.57847222222222217</v>
      </c>
      <c r="E1829" s="14">
        <v>90</v>
      </c>
      <c r="F1829" s="23">
        <v>8</v>
      </c>
      <c r="G1829" s="17">
        <v>0.34839089901129938</v>
      </c>
      <c r="H1829" s="4" t="s">
        <v>123</v>
      </c>
      <c r="I1829" s="14"/>
    </row>
    <row r="1830" spans="1:9" x14ac:dyDescent="0.25">
      <c r="A1830" s="14">
        <v>2013</v>
      </c>
      <c r="B1830" s="14">
        <v>203</v>
      </c>
      <c r="C1830" s="20">
        <v>41477</v>
      </c>
      <c r="D1830" s="16">
        <v>0.58611111111111114</v>
      </c>
      <c r="E1830" s="14">
        <v>90</v>
      </c>
      <c r="F1830" s="23">
        <v>9</v>
      </c>
      <c r="G1830" s="17">
        <v>0.34339361581920902</v>
      </c>
      <c r="H1830" s="4" t="s">
        <v>123</v>
      </c>
      <c r="I1830" s="14"/>
    </row>
    <row r="1831" spans="1:9" x14ac:dyDescent="0.25">
      <c r="A1831" s="14">
        <v>2013</v>
      </c>
      <c r="B1831" s="14">
        <v>203</v>
      </c>
      <c r="C1831" s="20">
        <v>41477</v>
      </c>
      <c r="D1831" s="16">
        <v>0.59166666666666667</v>
      </c>
      <c r="E1831" s="14">
        <v>90</v>
      </c>
      <c r="F1831" s="23">
        <v>10</v>
      </c>
      <c r="G1831" s="17">
        <v>0.35037138912429378</v>
      </c>
      <c r="H1831" s="4" t="s">
        <v>123</v>
      </c>
      <c r="I1831" s="14"/>
    </row>
    <row r="1832" spans="1:9" x14ac:dyDescent="0.25">
      <c r="A1832" s="14">
        <v>2013</v>
      </c>
      <c r="B1832" s="14">
        <v>203</v>
      </c>
      <c r="C1832" s="20">
        <v>41477</v>
      </c>
      <c r="D1832" s="16">
        <v>0.60486111111111118</v>
      </c>
      <c r="E1832" s="14">
        <v>90</v>
      </c>
      <c r="F1832" s="23">
        <v>11</v>
      </c>
      <c r="G1832" s="17">
        <v>0.34675584322033898</v>
      </c>
      <c r="H1832" s="4" t="s">
        <v>124</v>
      </c>
      <c r="I1832" s="14"/>
    </row>
    <row r="1833" spans="1:9" x14ac:dyDescent="0.25">
      <c r="A1833" s="14">
        <v>2013</v>
      </c>
      <c r="B1833" s="14">
        <v>203</v>
      </c>
      <c r="C1833" s="20">
        <v>41477</v>
      </c>
      <c r="D1833" s="16">
        <v>0.60486111111111118</v>
      </c>
      <c r="E1833" s="14">
        <v>90</v>
      </c>
      <c r="F1833" s="23">
        <v>12</v>
      </c>
      <c r="G1833" s="17">
        <v>0.34380813700564972</v>
      </c>
      <c r="H1833" s="4" t="s">
        <v>124</v>
      </c>
      <c r="I1833" s="14"/>
    </row>
    <row r="1834" spans="1:9" x14ac:dyDescent="0.25">
      <c r="A1834" s="14">
        <v>2013</v>
      </c>
      <c r="B1834" s="14">
        <v>203</v>
      </c>
      <c r="C1834" s="20">
        <v>41477</v>
      </c>
      <c r="D1834" s="16">
        <v>0.61111111111111105</v>
      </c>
      <c r="E1834" s="14">
        <v>90</v>
      </c>
      <c r="F1834" s="23">
        <v>13</v>
      </c>
      <c r="G1834" s="17">
        <v>0.34631829307909606</v>
      </c>
      <c r="H1834" s="4" t="s">
        <v>124</v>
      </c>
      <c r="I1834" s="14"/>
    </row>
    <row r="1835" spans="1:9" x14ac:dyDescent="0.25">
      <c r="A1835" s="14">
        <v>2013</v>
      </c>
      <c r="B1835" s="14">
        <v>203</v>
      </c>
      <c r="C1835" s="20">
        <v>41477</v>
      </c>
      <c r="D1835" s="16">
        <v>0.61805555555555558</v>
      </c>
      <c r="E1835" s="14">
        <v>90</v>
      </c>
      <c r="F1835" s="23">
        <v>14</v>
      </c>
      <c r="G1835" s="17">
        <v>0.33625463983050846</v>
      </c>
      <c r="H1835" s="4" t="s">
        <v>124</v>
      </c>
      <c r="I1835" s="14"/>
    </row>
    <row r="1836" spans="1:9" x14ac:dyDescent="0.25">
      <c r="A1836" s="14">
        <v>2013</v>
      </c>
      <c r="B1836" s="14">
        <v>203</v>
      </c>
      <c r="C1836" s="20">
        <v>41477</v>
      </c>
      <c r="D1836" s="16">
        <v>0.62916666666666665</v>
      </c>
      <c r="E1836" s="14">
        <v>90</v>
      </c>
      <c r="F1836" s="23">
        <v>15</v>
      </c>
      <c r="G1836" s="17">
        <v>0.31271904802259887</v>
      </c>
      <c r="H1836" s="4" t="s">
        <v>1</v>
      </c>
      <c r="I1836" s="14"/>
    </row>
    <row r="1837" spans="1:9" x14ac:dyDescent="0.25">
      <c r="A1837" s="14">
        <v>2013</v>
      </c>
      <c r="B1837" s="14">
        <v>203</v>
      </c>
      <c r="C1837" s="20">
        <v>41477</v>
      </c>
      <c r="D1837" s="16">
        <v>0.63402777777777775</v>
      </c>
      <c r="E1837" s="14">
        <v>90</v>
      </c>
      <c r="F1837" s="23">
        <v>16</v>
      </c>
      <c r="G1837" s="17">
        <v>0.31361717725988697</v>
      </c>
      <c r="H1837" s="4" t="s">
        <v>1</v>
      </c>
      <c r="I1837" s="14"/>
    </row>
    <row r="1838" spans="1:9" x14ac:dyDescent="0.25">
      <c r="A1838" s="14">
        <v>2013</v>
      </c>
      <c r="B1838" s="14">
        <v>203</v>
      </c>
      <c r="C1838" s="20">
        <v>41477</v>
      </c>
      <c r="D1838" s="16">
        <v>0.64166666666666672</v>
      </c>
      <c r="E1838" s="14">
        <v>90</v>
      </c>
      <c r="F1838" s="23">
        <v>17</v>
      </c>
      <c r="G1838" s="17">
        <v>0.34521290324858755</v>
      </c>
      <c r="H1838" s="4" t="s">
        <v>124</v>
      </c>
      <c r="I1838" s="14"/>
    </row>
    <row r="1839" spans="1:9" x14ac:dyDescent="0.25">
      <c r="A1839" s="14">
        <v>2013</v>
      </c>
      <c r="B1839" s="14">
        <v>203</v>
      </c>
      <c r="C1839" s="20">
        <v>41477</v>
      </c>
      <c r="D1839" s="16">
        <v>0.64861111111111114</v>
      </c>
      <c r="E1839" s="14">
        <v>90</v>
      </c>
      <c r="F1839" s="23">
        <v>18</v>
      </c>
      <c r="G1839" s="17">
        <v>0.34274880508474576</v>
      </c>
      <c r="H1839" s="4" t="s">
        <v>124</v>
      </c>
      <c r="I1839" s="14"/>
    </row>
    <row r="1840" spans="1:9" x14ac:dyDescent="0.25">
      <c r="A1840" s="14">
        <v>2013</v>
      </c>
      <c r="B1840" s="14">
        <v>203</v>
      </c>
      <c r="C1840" s="20">
        <v>41477</v>
      </c>
      <c r="D1840" s="16">
        <v>0.65486111111111112</v>
      </c>
      <c r="E1840" s="14">
        <v>90</v>
      </c>
      <c r="F1840" s="23">
        <v>19</v>
      </c>
      <c r="G1840" s="17">
        <v>0.33752123234463277</v>
      </c>
      <c r="H1840" s="4" t="s">
        <v>124</v>
      </c>
      <c r="I1840" s="14"/>
    </row>
    <row r="1841" spans="1:9" x14ac:dyDescent="0.25">
      <c r="A1841" s="14">
        <v>2013</v>
      </c>
      <c r="B1841" s="14">
        <v>203</v>
      </c>
      <c r="C1841" s="20">
        <v>41477</v>
      </c>
      <c r="D1841" s="16">
        <v>0.66111111111111109</v>
      </c>
      <c r="E1841" s="14">
        <v>90</v>
      </c>
      <c r="F1841" s="23">
        <v>20</v>
      </c>
      <c r="G1841" s="17">
        <v>0.33906417231638419</v>
      </c>
      <c r="H1841" s="4" t="s">
        <v>124</v>
      </c>
      <c r="I1841" s="14"/>
    </row>
    <row r="1842" spans="1:9" x14ac:dyDescent="0.25">
      <c r="A1842" s="14">
        <v>2013</v>
      </c>
      <c r="B1842" s="14">
        <v>203</v>
      </c>
      <c r="C1842" s="20">
        <v>41477</v>
      </c>
      <c r="D1842" s="16">
        <v>0.53055555555555556</v>
      </c>
      <c r="E1842" s="14">
        <v>70</v>
      </c>
      <c r="F1842" s="23">
        <v>1</v>
      </c>
      <c r="G1842" s="17">
        <v>0.35108528672316386</v>
      </c>
      <c r="H1842" s="4" t="s">
        <v>123</v>
      </c>
      <c r="I1842" s="14"/>
    </row>
    <row r="1843" spans="1:9" x14ac:dyDescent="0.25">
      <c r="A1843" s="14">
        <v>2013</v>
      </c>
      <c r="B1843" s="14">
        <v>203</v>
      </c>
      <c r="C1843" s="20">
        <v>41477</v>
      </c>
      <c r="D1843" s="16">
        <v>0.53749999999999998</v>
      </c>
      <c r="E1843" s="14">
        <v>70</v>
      </c>
      <c r="F1843" s="23">
        <v>2</v>
      </c>
      <c r="G1843" s="17">
        <v>0.35548381709039545</v>
      </c>
      <c r="H1843" s="4" t="s">
        <v>123</v>
      </c>
      <c r="I1843" s="14"/>
    </row>
    <row r="1844" spans="1:9" x14ac:dyDescent="0.25">
      <c r="A1844" s="14">
        <v>2013</v>
      </c>
      <c r="B1844" s="14">
        <v>203</v>
      </c>
      <c r="C1844" s="20">
        <v>41477</v>
      </c>
      <c r="D1844" s="16">
        <v>0.54375000000000007</v>
      </c>
      <c r="E1844" s="14">
        <v>70</v>
      </c>
      <c r="F1844" s="23">
        <v>3</v>
      </c>
      <c r="G1844" s="17">
        <v>0.35117740254237284</v>
      </c>
      <c r="H1844" s="4" t="s">
        <v>123</v>
      </c>
      <c r="I1844" s="14"/>
    </row>
    <row r="1845" spans="1:9" x14ac:dyDescent="0.25">
      <c r="A1845" s="14">
        <v>2013</v>
      </c>
      <c r="B1845" s="14">
        <v>203</v>
      </c>
      <c r="C1845" s="20">
        <v>41477</v>
      </c>
      <c r="D1845" s="16">
        <v>0.55069444444444449</v>
      </c>
      <c r="E1845" s="14">
        <v>70</v>
      </c>
      <c r="F1845" s="23">
        <v>4</v>
      </c>
      <c r="G1845" s="17">
        <v>0.34166644420903952</v>
      </c>
      <c r="H1845" s="4" t="s">
        <v>123</v>
      </c>
      <c r="I1845" s="14"/>
    </row>
    <row r="1846" spans="1:9" x14ac:dyDescent="0.25">
      <c r="A1846" s="14">
        <v>2013</v>
      </c>
      <c r="B1846" s="14">
        <v>203</v>
      </c>
      <c r="C1846" s="20">
        <v>41477</v>
      </c>
      <c r="D1846" s="16">
        <v>0.55694444444444446</v>
      </c>
      <c r="E1846" s="14">
        <v>70</v>
      </c>
      <c r="F1846" s="23">
        <v>5</v>
      </c>
      <c r="G1846" s="17">
        <v>0.33694550847457627</v>
      </c>
      <c r="H1846" s="4" t="s">
        <v>0</v>
      </c>
      <c r="I1846" s="14"/>
    </row>
    <row r="1847" spans="1:9" x14ac:dyDescent="0.25">
      <c r="A1847" s="14">
        <v>2013</v>
      </c>
      <c r="B1847" s="14">
        <v>203</v>
      </c>
      <c r="C1847" s="20">
        <v>41477</v>
      </c>
      <c r="D1847" s="16">
        <v>0.56736111111111109</v>
      </c>
      <c r="E1847" s="14">
        <v>70</v>
      </c>
      <c r="F1847" s="23">
        <v>6</v>
      </c>
      <c r="G1847" s="17">
        <v>0.31801570762711862</v>
      </c>
      <c r="H1847" s="4" t="s">
        <v>0</v>
      </c>
      <c r="I1847" s="14"/>
    </row>
    <row r="1848" spans="1:9" x14ac:dyDescent="0.25">
      <c r="A1848" s="14">
        <v>2013</v>
      </c>
      <c r="B1848" s="14">
        <v>203</v>
      </c>
      <c r="C1848" s="20">
        <v>41477</v>
      </c>
      <c r="D1848" s="16">
        <v>0.57291666666666663</v>
      </c>
      <c r="E1848" s="14">
        <v>70</v>
      </c>
      <c r="F1848" s="23">
        <v>7</v>
      </c>
      <c r="G1848" s="17">
        <v>0.34910479661016947</v>
      </c>
      <c r="H1848" s="4" t="s">
        <v>123</v>
      </c>
      <c r="I1848" s="14"/>
    </row>
    <row r="1849" spans="1:9" x14ac:dyDescent="0.25">
      <c r="A1849" s="14">
        <v>2013</v>
      </c>
      <c r="B1849" s="14">
        <v>203</v>
      </c>
      <c r="C1849" s="20">
        <v>41477</v>
      </c>
      <c r="D1849" s="16">
        <v>0.57847222222222217</v>
      </c>
      <c r="E1849" s="14">
        <v>70</v>
      </c>
      <c r="F1849" s="23">
        <v>8</v>
      </c>
      <c r="G1849" s="17">
        <v>0.34581165607344633</v>
      </c>
      <c r="H1849" s="4" t="s">
        <v>123</v>
      </c>
      <c r="I1849" s="14"/>
    </row>
    <row r="1850" spans="1:9" x14ac:dyDescent="0.25">
      <c r="A1850" s="14">
        <v>2013</v>
      </c>
      <c r="B1850" s="14">
        <v>203</v>
      </c>
      <c r="C1850" s="20">
        <v>41477</v>
      </c>
      <c r="D1850" s="16">
        <v>0.58611111111111114</v>
      </c>
      <c r="E1850" s="14">
        <v>70</v>
      </c>
      <c r="F1850" s="23">
        <v>9</v>
      </c>
      <c r="G1850" s="17">
        <v>0.34314029731638418</v>
      </c>
      <c r="H1850" s="4" t="s">
        <v>123</v>
      </c>
      <c r="I1850" s="14"/>
    </row>
    <row r="1851" spans="1:9" x14ac:dyDescent="0.25">
      <c r="A1851" s="14">
        <v>2013</v>
      </c>
      <c r="B1851" s="14">
        <v>203</v>
      </c>
      <c r="C1851" s="20">
        <v>41477</v>
      </c>
      <c r="D1851" s="16">
        <v>0.59166666666666667</v>
      </c>
      <c r="E1851" s="14">
        <v>70</v>
      </c>
      <c r="F1851" s="23">
        <v>10</v>
      </c>
      <c r="G1851" s="17">
        <v>0.35272034251412426</v>
      </c>
      <c r="H1851" s="4" t="s">
        <v>123</v>
      </c>
      <c r="I1851" s="14"/>
    </row>
    <row r="1852" spans="1:9" x14ac:dyDescent="0.25">
      <c r="A1852" s="14">
        <v>2013</v>
      </c>
      <c r="B1852" s="14">
        <v>203</v>
      </c>
      <c r="C1852" s="20">
        <v>41477</v>
      </c>
      <c r="D1852" s="16">
        <v>0.60486111111111118</v>
      </c>
      <c r="E1852" s="14">
        <v>70</v>
      </c>
      <c r="F1852" s="23">
        <v>11</v>
      </c>
      <c r="G1852" s="17">
        <v>0.34696310381355933</v>
      </c>
      <c r="H1852" s="4" t="s">
        <v>124</v>
      </c>
      <c r="I1852" s="14"/>
    </row>
    <row r="1853" spans="1:9" x14ac:dyDescent="0.25">
      <c r="A1853" s="14">
        <v>2013</v>
      </c>
      <c r="B1853" s="14">
        <v>203</v>
      </c>
      <c r="C1853" s="20">
        <v>41477</v>
      </c>
      <c r="D1853" s="16">
        <v>0.60486111111111118</v>
      </c>
      <c r="E1853" s="14">
        <v>70</v>
      </c>
      <c r="F1853" s="23">
        <v>12</v>
      </c>
      <c r="G1853" s="17">
        <v>0.34284092090395474</v>
      </c>
      <c r="H1853" s="4" t="s">
        <v>124</v>
      </c>
      <c r="I1853" s="14"/>
    </row>
    <row r="1854" spans="1:9" x14ac:dyDescent="0.25">
      <c r="A1854" s="14">
        <v>2013</v>
      </c>
      <c r="B1854" s="14">
        <v>203</v>
      </c>
      <c r="C1854" s="20">
        <v>41477</v>
      </c>
      <c r="D1854" s="16">
        <v>0.61111111111111105</v>
      </c>
      <c r="E1854" s="14">
        <v>70</v>
      </c>
      <c r="F1854" s="23">
        <v>13</v>
      </c>
      <c r="G1854" s="17">
        <v>0.34251851553672313</v>
      </c>
      <c r="H1854" s="4" t="s">
        <v>124</v>
      </c>
      <c r="I1854" s="14"/>
    </row>
    <row r="1855" spans="1:9" x14ac:dyDescent="0.25">
      <c r="A1855" s="14">
        <v>2013</v>
      </c>
      <c r="B1855" s="14">
        <v>203</v>
      </c>
      <c r="C1855" s="20">
        <v>41477</v>
      </c>
      <c r="D1855" s="16">
        <v>0.61805555555555558</v>
      </c>
      <c r="E1855" s="14">
        <v>70</v>
      </c>
      <c r="F1855" s="23">
        <v>14</v>
      </c>
      <c r="G1855" s="17">
        <v>0.35041744703389827</v>
      </c>
      <c r="H1855" s="4" t="s">
        <v>124</v>
      </c>
      <c r="I1855" s="14"/>
    </row>
    <row r="1856" spans="1:9" x14ac:dyDescent="0.25">
      <c r="A1856" s="14">
        <v>2013</v>
      </c>
      <c r="B1856" s="14">
        <v>203</v>
      </c>
      <c r="C1856" s="20">
        <v>41477</v>
      </c>
      <c r="D1856" s="16">
        <v>0.62916666666666665</v>
      </c>
      <c r="E1856" s="14">
        <v>70</v>
      </c>
      <c r="F1856" s="23">
        <v>15</v>
      </c>
      <c r="G1856" s="17">
        <v>0.30829748870056495</v>
      </c>
      <c r="H1856" s="4" t="s">
        <v>1</v>
      </c>
      <c r="I1856" s="14"/>
    </row>
    <row r="1857" spans="1:9" x14ac:dyDescent="0.25">
      <c r="A1857" s="14">
        <v>2013</v>
      </c>
      <c r="B1857" s="14">
        <v>203</v>
      </c>
      <c r="C1857" s="20">
        <v>41477</v>
      </c>
      <c r="D1857" s="16">
        <v>0.63402777777777775</v>
      </c>
      <c r="E1857" s="14">
        <v>70</v>
      </c>
      <c r="F1857" s="23">
        <v>16</v>
      </c>
      <c r="G1857" s="17">
        <v>0.31073855790960453</v>
      </c>
      <c r="H1857" s="4" t="s">
        <v>1</v>
      </c>
      <c r="I1857" s="14"/>
    </row>
    <row r="1858" spans="1:9" x14ac:dyDescent="0.25">
      <c r="A1858" s="14">
        <v>2013</v>
      </c>
      <c r="B1858" s="14">
        <v>203</v>
      </c>
      <c r="C1858" s="20">
        <v>41477</v>
      </c>
      <c r="D1858" s="16">
        <v>0.64166666666666672</v>
      </c>
      <c r="E1858" s="14">
        <v>70</v>
      </c>
      <c r="F1858" s="23">
        <v>17</v>
      </c>
      <c r="G1858" s="17">
        <v>0.34740065395480224</v>
      </c>
      <c r="H1858" s="4" t="s">
        <v>124</v>
      </c>
      <c r="I1858" s="14"/>
    </row>
    <row r="1859" spans="1:9" x14ac:dyDescent="0.25">
      <c r="A1859" s="14">
        <v>2013</v>
      </c>
      <c r="B1859" s="14">
        <v>203</v>
      </c>
      <c r="C1859" s="20">
        <v>41477</v>
      </c>
      <c r="D1859" s="16">
        <v>0.64861111111111114</v>
      </c>
      <c r="E1859" s="14">
        <v>70</v>
      </c>
      <c r="F1859" s="23">
        <v>18</v>
      </c>
      <c r="G1859" s="17">
        <v>0.33600132132768362</v>
      </c>
      <c r="H1859" s="4" t="s">
        <v>124</v>
      </c>
      <c r="I1859" s="14"/>
    </row>
    <row r="1860" spans="1:9" x14ac:dyDescent="0.25">
      <c r="A1860" s="14">
        <v>2013</v>
      </c>
      <c r="B1860" s="14">
        <v>203</v>
      </c>
      <c r="C1860" s="20">
        <v>41477</v>
      </c>
      <c r="D1860" s="16">
        <v>0.65486111111111112</v>
      </c>
      <c r="E1860" s="14">
        <v>70</v>
      </c>
      <c r="F1860" s="23">
        <v>19</v>
      </c>
      <c r="G1860" s="17">
        <v>0.34007744632768361</v>
      </c>
      <c r="H1860" s="4" t="s">
        <v>124</v>
      </c>
      <c r="I1860" s="14"/>
    </row>
    <row r="1861" spans="1:9" x14ac:dyDescent="0.25">
      <c r="A1861" s="14">
        <v>2013</v>
      </c>
      <c r="B1861" s="14">
        <v>203</v>
      </c>
      <c r="C1861" s="20">
        <v>41477</v>
      </c>
      <c r="D1861" s="16">
        <v>0.66111111111111109</v>
      </c>
      <c r="E1861" s="14">
        <v>70</v>
      </c>
      <c r="F1861" s="23">
        <v>20</v>
      </c>
      <c r="G1861" s="17">
        <v>0.34046893855932203</v>
      </c>
      <c r="H1861" s="4" t="s">
        <v>124</v>
      </c>
      <c r="I1861" s="14"/>
    </row>
    <row r="1862" spans="1:9" x14ac:dyDescent="0.25">
      <c r="A1862" s="14">
        <v>2013</v>
      </c>
      <c r="B1862" s="14">
        <v>203</v>
      </c>
      <c r="C1862" s="20">
        <v>41477</v>
      </c>
      <c r="D1862" s="16">
        <v>0.53055555555555556</v>
      </c>
      <c r="E1862" s="14">
        <v>50</v>
      </c>
      <c r="F1862" s="23">
        <v>1</v>
      </c>
      <c r="G1862" s="17">
        <v>0.34728550918079099</v>
      </c>
      <c r="H1862" s="4" t="s">
        <v>123</v>
      </c>
      <c r="I1862" s="14"/>
    </row>
    <row r="1863" spans="1:9" x14ac:dyDescent="0.25">
      <c r="A1863" s="14">
        <v>2013</v>
      </c>
      <c r="B1863" s="14">
        <v>203</v>
      </c>
      <c r="C1863" s="20">
        <v>41477</v>
      </c>
      <c r="D1863" s="16">
        <v>0.53749999999999998</v>
      </c>
      <c r="E1863" s="14">
        <v>50</v>
      </c>
      <c r="F1863" s="23">
        <v>2</v>
      </c>
      <c r="G1863" s="17">
        <v>0.3558522803672316</v>
      </c>
      <c r="H1863" s="4" t="s">
        <v>123</v>
      </c>
      <c r="I1863" s="14"/>
    </row>
    <row r="1864" spans="1:9" x14ac:dyDescent="0.25">
      <c r="A1864" s="14">
        <v>2013</v>
      </c>
      <c r="B1864" s="14">
        <v>203</v>
      </c>
      <c r="C1864" s="20">
        <v>41477</v>
      </c>
      <c r="D1864" s="16">
        <v>0.54375000000000007</v>
      </c>
      <c r="E1864" s="14">
        <v>50</v>
      </c>
      <c r="F1864" s="23">
        <v>3</v>
      </c>
      <c r="G1864" s="17">
        <v>0.35571410663841807</v>
      </c>
      <c r="H1864" s="4" t="s">
        <v>123</v>
      </c>
      <c r="I1864" s="14"/>
    </row>
    <row r="1865" spans="1:9" x14ac:dyDescent="0.25">
      <c r="A1865" s="14">
        <v>2013</v>
      </c>
      <c r="B1865" s="14">
        <v>203</v>
      </c>
      <c r="C1865" s="20">
        <v>41477</v>
      </c>
      <c r="D1865" s="16">
        <v>0.55069444444444449</v>
      </c>
      <c r="E1865" s="14">
        <v>50</v>
      </c>
      <c r="F1865" s="23">
        <v>4</v>
      </c>
      <c r="G1865" s="17">
        <v>0.33779757980225988</v>
      </c>
      <c r="H1865" s="4" t="s">
        <v>123</v>
      </c>
      <c r="I1865" s="14"/>
    </row>
    <row r="1866" spans="1:9" x14ac:dyDescent="0.25">
      <c r="A1866" s="14">
        <v>2013</v>
      </c>
      <c r="B1866" s="14">
        <v>203</v>
      </c>
      <c r="C1866" s="20">
        <v>41477</v>
      </c>
      <c r="D1866" s="16">
        <v>0.55694444444444446</v>
      </c>
      <c r="E1866" s="14">
        <v>50</v>
      </c>
      <c r="F1866" s="23">
        <v>5</v>
      </c>
      <c r="G1866" s="17">
        <v>0.34401539759887007</v>
      </c>
      <c r="H1866" s="4" t="s">
        <v>0</v>
      </c>
      <c r="I1866" s="14"/>
    </row>
    <row r="1867" spans="1:9" x14ac:dyDescent="0.25">
      <c r="A1867" s="14">
        <v>2013</v>
      </c>
      <c r="B1867" s="14">
        <v>203</v>
      </c>
      <c r="C1867" s="20">
        <v>41477</v>
      </c>
      <c r="D1867" s="16">
        <v>0.56736111111111109</v>
      </c>
      <c r="E1867" s="14">
        <v>50</v>
      </c>
      <c r="F1867" s="23">
        <v>6</v>
      </c>
      <c r="G1867" s="17">
        <v>0.320617979519774</v>
      </c>
      <c r="H1867" s="4" t="s">
        <v>0</v>
      </c>
      <c r="I1867" s="14"/>
    </row>
    <row r="1868" spans="1:9" x14ac:dyDescent="0.25">
      <c r="A1868" s="14">
        <v>2013</v>
      </c>
      <c r="B1868" s="14">
        <v>203</v>
      </c>
      <c r="C1868" s="20">
        <v>41477</v>
      </c>
      <c r="D1868" s="16">
        <v>0.57291666666666663</v>
      </c>
      <c r="E1868" s="14">
        <v>50</v>
      </c>
      <c r="F1868" s="23">
        <v>7</v>
      </c>
      <c r="G1868" s="17">
        <v>0.35384876129943499</v>
      </c>
      <c r="H1868" s="4" t="s">
        <v>123</v>
      </c>
      <c r="I1868" s="14"/>
    </row>
    <row r="1869" spans="1:9" x14ac:dyDescent="0.25">
      <c r="A1869" s="14">
        <v>2013</v>
      </c>
      <c r="B1869" s="14">
        <v>203</v>
      </c>
      <c r="C1869" s="20">
        <v>41477</v>
      </c>
      <c r="D1869" s="16">
        <v>0.57847222222222217</v>
      </c>
      <c r="E1869" s="14">
        <v>50</v>
      </c>
      <c r="F1869" s="23">
        <v>8</v>
      </c>
      <c r="G1869" s="17">
        <v>0.35205250282485878</v>
      </c>
      <c r="H1869" s="4" t="s">
        <v>123</v>
      </c>
      <c r="I1869" s="14"/>
    </row>
    <row r="1870" spans="1:9" x14ac:dyDescent="0.25">
      <c r="A1870" s="14">
        <v>2013</v>
      </c>
      <c r="B1870" s="14">
        <v>203</v>
      </c>
      <c r="C1870" s="20">
        <v>41477</v>
      </c>
      <c r="D1870" s="16">
        <v>0.58611111111111114</v>
      </c>
      <c r="E1870" s="14">
        <v>50</v>
      </c>
      <c r="F1870" s="23">
        <v>9</v>
      </c>
      <c r="G1870" s="17">
        <v>0.34046893855932203</v>
      </c>
      <c r="H1870" s="4" t="s">
        <v>123</v>
      </c>
      <c r="I1870" s="14"/>
    </row>
    <row r="1871" spans="1:9" x14ac:dyDescent="0.25">
      <c r="A1871" s="14">
        <v>2013</v>
      </c>
      <c r="B1871" s="14">
        <v>203</v>
      </c>
      <c r="C1871" s="20">
        <v>41477</v>
      </c>
      <c r="D1871" s="16">
        <v>0.59166666666666667</v>
      </c>
      <c r="E1871" s="14">
        <v>50</v>
      </c>
      <c r="F1871" s="23">
        <v>10</v>
      </c>
      <c r="G1871" s="17">
        <v>0.35394087711864403</v>
      </c>
      <c r="H1871" s="4" t="s">
        <v>123</v>
      </c>
      <c r="I1871" s="14"/>
    </row>
    <row r="1872" spans="1:9" x14ac:dyDescent="0.25">
      <c r="A1872" s="14">
        <v>2013</v>
      </c>
      <c r="B1872" s="14">
        <v>203</v>
      </c>
      <c r="C1872" s="20">
        <v>41477</v>
      </c>
      <c r="D1872" s="16">
        <v>0.60486111111111118</v>
      </c>
      <c r="E1872" s="14">
        <v>50</v>
      </c>
      <c r="F1872" s="23">
        <v>11</v>
      </c>
      <c r="G1872" s="17">
        <v>0.34802243573446329</v>
      </c>
      <c r="H1872" s="4" t="s">
        <v>124</v>
      </c>
      <c r="I1872" s="14"/>
    </row>
    <row r="1873" spans="1:9" x14ac:dyDescent="0.25">
      <c r="A1873" s="14">
        <v>2013</v>
      </c>
      <c r="B1873" s="14">
        <v>203</v>
      </c>
      <c r="C1873" s="20">
        <v>41477</v>
      </c>
      <c r="D1873" s="16">
        <v>0.60486111111111118</v>
      </c>
      <c r="E1873" s="14">
        <v>50</v>
      </c>
      <c r="F1873" s="23">
        <v>12</v>
      </c>
      <c r="G1873" s="17">
        <v>0.34436083192090394</v>
      </c>
      <c r="H1873" s="4" t="s">
        <v>124</v>
      </c>
      <c r="I1873" s="14"/>
    </row>
    <row r="1874" spans="1:9" x14ac:dyDescent="0.25">
      <c r="A1874" s="14">
        <v>2013</v>
      </c>
      <c r="B1874" s="14">
        <v>203</v>
      </c>
      <c r="C1874" s="20">
        <v>41477</v>
      </c>
      <c r="D1874" s="16">
        <v>0.61111111111111105</v>
      </c>
      <c r="E1874" s="14">
        <v>50</v>
      </c>
      <c r="F1874" s="23">
        <v>13</v>
      </c>
      <c r="G1874" s="17">
        <v>0.33841936158192087</v>
      </c>
      <c r="H1874" s="4" t="s">
        <v>124</v>
      </c>
      <c r="I1874" s="14"/>
    </row>
    <row r="1875" spans="1:9" x14ac:dyDescent="0.25">
      <c r="A1875" s="14">
        <v>2013</v>
      </c>
      <c r="B1875" s="14">
        <v>203</v>
      </c>
      <c r="C1875" s="20">
        <v>41477</v>
      </c>
      <c r="D1875" s="16">
        <v>0.61805555555555558</v>
      </c>
      <c r="E1875" s="14">
        <v>50</v>
      </c>
      <c r="F1875" s="23">
        <v>14</v>
      </c>
      <c r="G1875" s="17">
        <v>0.34864421751412428</v>
      </c>
      <c r="H1875" s="4" t="s">
        <v>124</v>
      </c>
      <c r="I1875" s="14"/>
    </row>
    <row r="1876" spans="1:9" x14ac:dyDescent="0.25">
      <c r="A1876" s="14">
        <v>2013</v>
      </c>
      <c r="B1876" s="14">
        <v>203</v>
      </c>
      <c r="C1876" s="20">
        <v>41477</v>
      </c>
      <c r="D1876" s="16">
        <v>0.62916666666666665</v>
      </c>
      <c r="E1876" s="14">
        <v>50</v>
      </c>
      <c r="F1876" s="23">
        <v>15</v>
      </c>
      <c r="G1876" s="17">
        <v>0.32819450564971747</v>
      </c>
      <c r="H1876" s="4" t="s">
        <v>1</v>
      </c>
      <c r="I1876" s="14"/>
    </row>
    <row r="1877" spans="1:9" x14ac:dyDescent="0.25">
      <c r="A1877" s="14">
        <v>2013</v>
      </c>
      <c r="B1877" s="14">
        <v>203</v>
      </c>
      <c r="C1877" s="20">
        <v>41477</v>
      </c>
      <c r="D1877" s="16">
        <v>0.63402777777777775</v>
      </c>
      <c r="E1877" s="14">
        <v>50</v>
      </c>
      <c r="F1877" s="23">
        <v>16</v>
      </c>
      <c r="G1877" s="17">
        <v>0.31165971610169491</v>
      </c>
      <c r="H1877" s="4" t="s">
        <v>1</v>
      </c>
      <c r="I1877" s="14"/>
    </row>
    <row r="1878" spans="1:9" x14ac:dyDescent="0.25">
      <c r="A1878" s="14">
        <v>2013</v>
      </c>
      <c r="B1878" s="14">
        <v>203</v>
      </c>
      <c r="C1878" s="20">
        <v>41477</v>
      </c>
      <c r="D1878" s="16">
        <v>0.64166666666666672</v>
      </c>
      <c r="E1878" s="14">
        <v>50</v>
      </c>
      <c r="F1878" s="23">
        <v>17</v>
      </c>
      <c r="G1878" s="17">
        <v>0.35021018644067797</v>
      </c>
      <c r="H1878" s="4" t="s">
        <v>124</v>
      </c>
      <c r="I1878" s="14"/>
    </row>
    <row r="1879" spans="1:9" x14ac:dyDescent="0.25">
      <c r="A1879" s="14">
        <v>2013</v>
      </c>
      <c r="B1879" s="14">
        <v>203</v>
      </c>
      <c r="C1879" s="20">
        <v>41477</v>
      </c>
      <c r="D1879" s="16">
        <v>0.64861111111111114</v>
      </c>
      <c r="E1879" s="14">
        <v>50</v>
      </c>
      <c r="F1879" s="23">
        <v>18</v>
      </c>
      <c r="G1879" s="17">
        <v>0.34641040889830504</v>
      </c>
      <c r="H1879" s="4" t="s">
        <v>124</v>
      </c>
      <c r="I1879" s="14"/>
    </row>
    <row r="1880" spans="1:9" x14ac:dyDescent="0.25">
      <c r="A1880" s="14">
        <v>2013</v>
      </c>
      <c r="B1880" s="14">
        <v>203</v>
      </c>
      <c r="C1880" s="20">
        <v>41477</v>
      </c>
      <c r="D1880" s="16">
        <v>0.65486111111111112</v>
      </c>
      <c r="E1880" s="14">
        <v>50</v>
      </c>
      <c r="F1880" s="23">
        <v>19</v>
      </c>
      <c r="G1880" s="17">
        <v>0.34588074293785309</v>
      </c>
      <c r="H1880" s="4" t="s">
        <v>124</v>
      </c>
      <c r="I1880" s="14"/>
    </row>
    <row r="1881" spans="1:9" x14ac:dyDescent="0.25">
      <c r="A1881" s="14">
        <v>2013</v>
      </c>
      <c r="B1881" s="14">
        <v>203</v>
      </c>
      <c r="C1881" s="20">
        <v>41477</v>
      </c>
      <c r="D1881" s="16">
        <v>0.66111111111111109</v>
      </c>
      <c r="E1881" s="14">
        <v>50</v>
      </c>
      <c r="F1881" s="23">
        <v>20</v>
      </c>
      <c r="G1881" s="17">
        <v>0.34834484110169489</v>
      </c>
      <c r="H1881" s="4" t="s">
        <v>124</v>
      </c>
      <c r="I1881" s="14"/>
    </row>
    <row r="1882" spans="1:9" x14ac:dyDescent="0.25">
      <c r="A1882" s="14">
        <v>2013</v>
      </c>
      <c r="B1882" s="14">
        <v>203</v>
      </c>
      <c r="C1882" s="20">
        <v>41477</v>
      </c>
      <c r="D1882" s="16">
        <v>0.53055555555555556</v>
      </c>
      <c r="E1882" s="14">
        <v>30</v>
      </c>
      <c r="F1882" s="23">
        <v>1</v>
      </c>
      <c r="G1882" s="17">
        <v>0.32757272387005648</v>
      </c>
      <c r="H1882" s="4" t="s">
        <v>123</v>
      </c>
      <c r="I1882" s="14"/>
    </row>
    <row r="1883" spans="1:9" x14ac:dyDescent="0.25">
      <c r="A1883" s="14">
        <v>2013</v>
      </c>
      <c r="B1883" s="14">
        <v>203</v>
      </c>
      <c r="C1883" s="20">
        <v>41477</v>
      </c>
      <c r="D1883" s="16">
        <v>0.53749999999999998</v>
      </c>
      <c r="E1883" s="14">
        <v>30</v>
      </c>
      <c r="F1883" s="23">
        <v>2</v>
      </c>
      <c r="G1883" s="17">
        <v>0.32939201129943502</v>
      </c>
      <c r="H1883" s="4" t="s">
        <v>123</v>
      </c>
      <c r="I1883" s="14"/>
    </row>
    <row r="1884" spans="1:9" x14ac:dyDescent="0.25">
      <c r="A1884" s="14">
        <v>2013</v>
      </c>
      <c r="B1884" s="14">
        <v>203</v>
      </c>
      <c r="C1884" s="20">
        <v>41477</v>
      </c>
      <c r="D1884" s="16">
        <v>0.54375000000000007</v>
      </c>
      <c r="E1884" s="14">
        <v>30</v>
      </c>
      <c r="F1884" s="23">
        <v>3</v>
      </c>
      <c r="G1884" s="17">
        <v>0.35032533121468928</v>
      </c>
      <c r="H1884" s="4" t="s">
        <v>123</v>
      </c>
      <c r="I1884" s="14"/>
    </row>
    <row r="1885" spans="1:9" x14ac:dyDescent="0.25">
      <c r="A1885" s="14">
        <v>2013</v>
      </c>
      <c r="B1885" s="14">
        <v>203</v>
      </c>
      <c r="C1885" s="20">
        <v>41477</v>
      </c>
      <c r="D1885" s="16">
        <v>0.55069444444444449</v>
      </c>
      <c r="E1885" s="14">
        <v>30</v>
      </c>
      <c r="F1885" s="23">
        <v>4</v>
      </c>
      <c r="G1885" s="17">
        <v>0.3363467556497175</v>
      </c>
      <c r="H1885" s="4" t="s">
        <v>123</v>
      </c>
      <c r="I1885" s="14"/>
    </row>
    <row r="1886" spans="1:9" x14ac:dyDescent="0.25">
      <c r="A1886" s="14">
        <v>2013</v>
      </c>
      <c r="B1886" s="14">
        <v>203</v>
      </c>
      <c r="C1886" s="20">
        <v>41477</v>
      </c>
      <c r="D1886" s="16">
        <v>0.55694444444444446</v>
      </c>
      <c r="E1886" s="14">
        <v>30</v>
      </c>
      <c r="F1886" s="23">
        <v>5</v>
      </c>
      <c r="G1886" s="17">
        <v>0.34717036440677962</v>
      </c>
      <c r="H1886" s="4" t="s">
        <v>0</v>
      </c>
      <c r="I1886" s="14"/>
    </row>
    <row r="1887" spans="1:9" x14ac:dyDescent="0.25">
      <c r="A1887" s="14">
        <v>2013</v>
      </c>
      <c r="B1887" s="14">
        <v>203</v>
      </c>
      <c r="C1887" s="20">
        <v>41477</v>
      </c>
      <c r="D1887" s="16">
        <v>0.56736111111111109</v>
      </c>
      <c r="E1887" s="14">
        <v>30</v>
      </c>
      <c r="F1887" s="23">
        <v>6</v>
      </c>
      <c r="G1887" s="17">
        <v>0.3360934371468926</v>
      </c>
      <c r="H1887" s="4" t="s">
        <v>0</v>
      </c>
      <c r="I1887" s="14"/>
    </row>
    <row r="1888" spans="1:9" x14ac:dyDescent="0.25">
      <c r="A1888" s="14">
        <v>2013</v>
      </c>
      <c r="B1888" s="14">
        <v>203</v>
      </c>
      <c r="C1888" s="20">
        <v>41477</v>
      </c>
      <c r="D1888" s="16">
        <v>0.57291666666666663</v>
      </c>
      <c r="E1888" s="14">
        <v>30</v>
      </c>
      <c r="F1888" s="23">
        <v>7</v>
      </c>
      <c r="G1888" s="17">
        <v>0.33319178884180789</v>
      </c>
      <c r="H1888" s="4" t="s">
        <v>123</v>
      </c>
      <c r="I1888" s="14"/>
    </row>
    <row r="1889" spans="1:9" x14ac:dyDescent="0.25">
      <c r="A1889" s="14">
        <v>2013</v>
      </c>
      <c r="B1889" s="14">
        <v>203</v>
      </c>
      <c r="C1889" s="20">
        <v>41477</v>
      </c>
      <c r="D1889" s="16">
        <v>0.57847222222222217</v>
      </c>
      <c r="E1889" s="14">
        <v>30</v>
      </c>
      <c r="F1889" s="23">
        <v>8</v>
      </c>
      <c r="G1889" s="17">
        <v>0.33936354872881352</v>
      </c>
      <c r="H1889" s="4" t="s">
        <v>123</v>
      </c>
      <c r="I1889" s="14"/>
    </row>
    <row r="1890" spans="1:9" x14ac:dyDescent="0.25">
      <c r="A1890" s="14">
        <v>2013</v>
      </c>
      <c r="B1890" s="14">
        <v>203</v>
      </c>
      <c r="C1890" s="20">
        <v>41477</v>
      </c>
      <c r="D1890" s="16">
        <v>0.58611111111111114</v>
      </c>
      <c r="E1890" s="14">
        <v>30</v>
      </c>
      <c r="F1890" s="23">
        <v>9</v>
      </c>
      <c r="G1890" s="17">
        <v>0.34286394985875707</v>
      </c>
      <c r="H1890" s="4" t="s">
        <v>123</v>
      </c>
      <c r="I1890" s="14"/>
    </row>
    <row r="1891" spans="1:9" x14ac:dyDescent="0.25">
      <c r="A1891" s="14">
        <v>2013</v>
      </c>
      <c r="B1891" s="14">
        <v>203</v>
      </c>
      <c r="C1891" s="20">
        <v>41477</v>
      </c>
      <c r="D1891" s="16">
        <v>0.59166666666666667</v>
      </c>
      <c r="E1891" s="14">
        <v>30</v>
      </c>
      <c r="F1891" s="23">
        <v>10</v>
      </c>
      <c r="G1891" s="17">
        <v>0.35281245833333336</v>
      </c>
      <c r="H1891" s="4" t="s">
        <v>123</v>
      </c>
      <c r="I1891" s="14"/>
    </row>
    <row r="1892" spans="1:9" x14ac:dyDescent="0.25">
      <c r="A1892" s="14">
        <v>2013</v>
      </c>
      <c r="B1892" s="14">
        <v>203</v>
      </c>
      <c r="C1892" s="20">
        <v>41477</v>
      </c>
      <c r="D1892" s="16">
        <v>0.60486111111111118</v>
      </c>
      <c r="E1892" s="14">
        <v>30</v>
      </c>
      <c r="F1892" s="23">
        <v>11</v>
      </c>
      <c r="G1892" s="17">
        <v>0.320617979519774</v>
      </c>
      <c r="H1892" s="4" t="s">
        <v>124</v>
      </c>
      <c r="I1892" s="14"/>
    </row>
    <row r="1893" spans="1:9" x14ac:dyDescent="0.25">
      <c r="A1893" s="14">
        <v>2013</v>
      </c>
      <c r="B1893" s="14">
        <v>203</v>
      </c>
      <c r="C1893" s="20">
        <v>41477</v>
      </c>
      <c r="D1893" s="16">
        <v>0.60486111111111118</v>
      </c>
      <c r="E1893" s="14">
        <v>30</v>
      </c>
      <c r="F1893" s="23">
        <v>12</v>
      </c>
      <c r="G1893" s="17">
        <v>0.3028396264124294</v>
      </c>
      <c r="H1893" s="4" t="s">
        <v>124</v>
      </c>
      <c r="I1893" s="14"/>
    </row>
    <row r="1894" spans="1:9" x14ac:dyDescent="0.25">
      <c r="A1894" s="14">
        <v>2013</v>
      </c>
      <c r="B1894" s="14">
        <v>203</v>
      </c>
      <c r="C1894" s="20">
        <v>41477</v>
      </c>
      <c r="D1894" s="16">
        <v>0.61111111111111105</v>
      </c>
      <c r="E1894" s="14">
        <v>30</v>
      </c>
      <c r="F1894" s="23">
        <v>13</v>
      </c>
      <c r="G1894" s="17">
        <v>0.33342207838983046</v>
      </c>
      <c r="H1894" s="4" t="s">
        <v>124</v>
      </c>
      <c r="I1894" s="14"/>
    </row>
    <row r="1895" spans="1:9" x14ac:dyDescent="0.25">
      <c r="A1895" s="14">
        <v>2013</v>
      </c>
      <c r="B1895" s="14">
        <v>203</v>
      </c>
      <c r="C1895" s="20">
        <v>41477</v>
      </c>
      <c r="D1895" s="16">
        <v>0.61805555555555558</v>
      </c>
      <c r="E1895" s="14">
        <v>30</v>
      </c>
      <c r="F1895" s="23">
        <v>14</v>
      </c>
      <c r="G1895" s="17">
        <v>0.32545406002824856</v>
      </c>
      <c r="H1895" s="4" t="s">
        <v>124</v>
      </c>
      <c r="I1895" s="14"/>
    </row>
    <row r="1896" spans="1:9" x14ac:dyDescent="0.25">
      <c r="A1896" s="14">
        <v>2013</v>
      </c>
      <c r="B1896" s="14">
        <v>203</v>
      </c>
      <c r="C1896" s="20">
        <v>41477</v>
      </c>
      <c r="D1896" s="16">
        <v>0.62916666666666665</v>
      </c>
      <c r="E1896" s="14">
        <v>30</v>
      </c>
      <c r="F1896" s="23">
        <v>15</v>
      </c>
      <c r="G1896" s="17">
        <v>0.33722185593220338</v>
      </c>
      <c r="H1896" s="4" t="s">
        <v>1</v>
      </c>
      <c r="I1896" s="14"/>
    </row>
    <row r="1897" spans="1:9" x14ac:dyDescent="0.25">
      <c r="A1897" s="14">
        <v>2013</v>
      </c>
      <c r="B1897" s="14">
        <v>203</v>
      </c>
      <c r="C1897" s="20">
        <v>41477</v>
      </c>
      <c r="D1897" s="16">
        <v>0.63402777777777775</v>
      </c>
      <c r="E1897" s="14">
        <v>30</v>
      </c>
      <c r="F1897" s="23">
        <v>16</v>
      </c>
      <c r="G1897" s="17">
        <v>0.34843695692090393</v>
      </c>
      <c r="H1897" s="4" t="s">
        <v>1</v>
      </c>
      <c r="I1897" s="14"/>
    </row>
    <row r="1898" spans="1:9" x14ac:dyDescent="0.25">
      <c r="A1898" s="14">
        <v>2013</v>
      </c>
      <c r="B1898" s="14">
        <v>203</v>
      </c>
      <c r="C1898" s="20">
        <v>41477</v>
      </c>
      <c r="D1898" s="16">
        <v>0.64166666666666672</v>
      </c>
      <c r="E1898" s="14">
        <v>30</v>
      </c>
      <c r="F1898" s="23">
        <v>17</v>
      </c>
      <c r="G1898" s="17">
        <v>0.3388108538135593</v>
      </c>
      <c r="H1898" s="4" t="s">
        <v>124</v>
      </c>
      <c r="I1898" s="14"/>
    </row>
    <row r="1899" spans="1:9" x14ac:dyDescent="0.25">
      <c r="A1899" s="14">
        <v>2013</v>
      </c>
      <c r="B1899" s="14">
        <v>203</v>
      </c>
      <c r="C1899" s="20">
        <v>41477</v>
      </c>
      <c r="D1899" s="16">
        <v>0.64861111111111114</v>
      </c>
      <c r="E1899" s="14">
        <v>30</v>
      </c>
      <c r="F1899" s="23">
        <v>18</v>
      </c>
      <c r="G1899" s="17">
        <v>0.3459958877118644</v>
      </c>
      <c r="H1899" s="4" t="s">
        <v>124</v>
      </c>
      <c r="I1899" s="14"/>
    </row>
    <row r="1900" spans="1:9" x14ac:dyDescent="0.25">
      <c r="A1900" s="14">
        <v>2013</v>
      </c>
      <c r="B1900" s="14">
        <v>203</v>
      </c>
      <c r="C1900" s="20">
        <v>41477</v>
      </c>
      <c r="D1900" s="16">
        <v>0.65486111111111112</v>
      </c>
      <c r="E1900" s="14">
        <v>30</v>
      </c>
      <c r="F1900" s="23">
        <v>19</v>
      </c>
      <c r="G1900" s="17">
        <v>0.32319722245762711</v>
      </c>
      <c r="H1900" s="4" t="s">
        <v>124</v>
      </c>
      <c r="I1900" s="14"/>
    </row>
    <row r="1901" spans="1:9" x14ac:dyDescent="0.25">
      <c r="A1901" s="14">
        <v>2013</v>
      </c>
      <c r="B1901" s="14">
        <v>203</v>
      </c>
      <c r="C1901" s="20">
        <v>41477</v>
      </c>
      <c r="D1901" s="16">
        <v>0.66111111111111109</v>
      </c>
      <c r="E1901" s="14">
        <v>30</v>
      </c>
      <c r="F1901" s="23">
        <v>20</v>
      </c>
      <c r="G1901" s="17">
        <v>0.32464804661016944</v>
      </c>
      <c r="H1901" s="4" t="s">
        <v>124</v>
      </c>
      <c r="I1901" s="14"/>
    </row>
    <row r="1902" spans="1:9" x14ac:dyDescent="0.25">
      <c r="A1902" s="14">
        <v>2013</v>
      </c>
      <c r="B1902" s="14">
        <v>203</v>
      </c>
      <c r="C1902" s="20">
        <v>41477</v>
      </c>
      <c r="D1902" s="16">
        <v>0.53055555555555556</v>
      </c>
      <c r="E1902" s="14">
        <v>10</v>
      </c>
      <c r="F1902" s="23">
        <v>1</v>
      </c>
      <c r="G1902" s="17">
        <v>0.29145755145278451</v>
      </c>
      <c r="H1902" s="4" t="s">
        <v>123</v>
      </c>
      <c r="I1902" s="14"/>
    </row>
    <row r="1903" spans="1:9" x14ac:dyDescent="0.25">
      <c r="A1903" s="14">
        <v>2013</v>
      </c>
      <c r="B1903" s="14">
        <v>203</v>
      </c>
      <c r="C1903" s="20">
        <v>41477</v>
      </c>
      <c r="D1903" s="16">
        <v>0.53749999999999998</v>
      </c>
      <c r="E1903" s="14">
        <v>10</v>
      </c>
      <c r="F1903" s="23">
        <v>2</v>
      </c>
      <c r="G1903" s="17">
        <v>0.3082791809927361</v>
      </c>
      <c r="H1903" s="4" t="s">
        <v>123</v>
      </c>
      <c r="I1903" s="14"/>
    </row>
    <row r="1904" spans="1:9" x14ac:dyDescent="0.25">
      <c r="A1904" s="14">
        <v>2013</v>
      </c>
      <c r="B1904" s="14">
        <v>203</v>
      </c>
      <c r="C1904" s="20">
        <v>41477</v>
      </c>
      <c r="D1904" s="16">
        <v>0.54375000000000007</v>
      </c>
      <c r="E1904" s="14">
        <v>10</v>
      </c>
      <c r="F1904" s="23">
        <v>3</v>
      </c>
      <c r="G1904" s="17">
        <v>0.32620038952784508</v>
      </c>
      <c r="H1904" s="4" t="s">
        <v>123</v>
      </c>
      <c r="I1904" s="14"/>
    </row>
    <row r="1905" spans="1:9" x14ac:dyDescent="0.25">
      <c r="A1905" s="14">
        <v>2013</v>
      </c>
      <c r="B1905" s="14">
        <v>203</v>
      </c>
      <c r="C1905" s="20">
        <v>41477</v>
      </c>
      <c r="D1905" s="16">
        <v>0.55069444444444449</v>
      </c>
      <c r="E1905" s="14">
        <v>10</v>
      </c>
      <c r="F1905" s="23">
        <v>4</v>
      </c>
      <c r="G1905" s="17">
        <v>0.29525785078692496</v>
      </c>
      <c r="H1905" s="4" t="s">
        <v>123</v>
      </c>
      <c r="I1905" s="14"/>
    </row>
    <row r="1906" spans="1:9" x14ac:dyDescent="0.25">
      <c r="A1906" s="14">
        <v>2013</v>
      </c>
      <c r="B1906" s="14">
        <v>203</v>
      </c>
      <c r="C1906" s="20">
        <v>41477</v>
      </c>
      <c r="D1906" s="16">
        <v>0.55694444444444446</v>
      </c>
      <c r="E1906" s="14">
        <v>10</v>
      </c>
      <c r="F1906" s="23">
        <v>5</v>
      </c>
      <c r="G1906" s="17">
        <v>0.29759204479418888</v>
      </c>
      <c r="H1906" s="4" t="s">
        <v>0</v>
      </c>
      <c r="I1906" s="14"/>
    </row>
    <row r="1907" spans="1:9" x14ac:dyDescent="0.25">
      <c r="A1907" s="14">
        <v>2013</v>
      </c>
      <c r="B1907" s="14">
        <v>203</v>
      </c>
      <c r="C1907" s="20">
        <v>41477</v>
      </c>
      <c r="D1907" s="16">
        <v>0.56736111111111109</v>
      </c>
      <c r="E1907" s="14">
        <v>10</v>
      </c>
      <c r="F1907" s="23">
        <v>6</v>
      </c>
      <c r="G1907" s="17">
        <v>0.28362546246973364</v>
      </c>
      <c r="H1907" s="4" t="s">
        <v>0</v>
      </c>
      <c r="I1907" s="14"/>
    </row>
    <row r="1908" spans="1:9" x14ac:dyDescent="0.25">
      <c r="A1908" s="14">
        <v>2013</v>
      </c>
      <c r="B1908" s="14">
        <v>203</v>
      </c>
      <c r="C1908" s="20">
        <v>41477</v>
      </c>
      <c r="D1908" s="16">
        <v>0.57291666666666663</v>
      </c>
      <c r="E1908" s="14">
        <v>10</v>
      </c>
      <c r="F1908" s="23">
        <v>7</v>
      </c>
      <c r="G1908" s="17">
        <v>0.30876145248184023</v>
      </c>
      <c r="H1908" s="4" t="s">
        <v>123</v>
      </c>
      <c r="I1908" s="14"/>
    </row>
    <row r="1909" spans="1:9" x14ac:dyDescent="0.25">
      <c r="A1909" s="14">
        <v>2013</v>
      </c>
      <c r="B1909" s="14">
        <v>203</v>
      </c>
      <c r="C1909" s="20">
        <v>41477</v>
      </c>
      <c r="D1909" s="16">
        <v>0.57847222222222217</v>
      </c>
      <c r="E1909" s="14">
        <v>10</v>
      </c>
      <c r="F1909" s="23">
        <v>8</v>
      </c>
      <c r="G1909" s="17">
        <v>0.32074107627118642</v>
      </c>
      <c r="H1909" s="4" t="s">
        <v>123</v>
      </c>
      <c r="I1909" s="14"/>
    </row>
    <row r="1910" spans="1:9" x14ac:dyDescent="0.25">
      <c r="A1910" s="14">
        <v>2013</v>
      </c>
      <c r="B1910" s="14">
        <v>203</v>
      </c>
      <c r="C1910" s="20">
        <v>41477</v>
      </c>
      <c r="D1910" s="16">
        <v>0.58611111111111114</v>
      </c>
      <c r="E1910" s="14">
        <v>10</v>
      </c>
      <c r="F1910" s="23">
        <v>9</v>
      </c>
      <c r="G1910" s="17">
        <v>0.32319101543583534</v>
      </c>
      <c r="H1910" s="4" t="s">
        <v>123</v>
      </c>
      <c r="I1910" s="14"/>
    </row>
    <row r="1911" spans="1:9" x14ac:dyDescent="0.25">
      <c r="A1911" s="14">
        <v>2013</v>
      </c>
      <c r="B1911" s="14">
        <v>203</v>
      </c>
      <c r="C1911" s="20">
        <v>41477</v>
      </c>
      <c r="D1911" s="16">
        <v>0.59166666666666667</v>
      </c>
      <c r="E1911" s="14">
        <v>10</v>
      </c>
      <c r="F1911" s="23">
        <v>10</v>
      </c>
      <c r="G1911" s="17">
        <v>0.30110298123486684</v>
      </c>
      <c r="H1911" s="4" t="s">
        <v>123</v>
      </c>
      <c r="I1911" s="14"/>
    </row>
    <row r="1912" spans="1:9" x14ac:dyDescent="0.25">
      <c r="A1912" s="14">
        <v>2013</v>
      </c>
      <c r="B1912" s="14">
        <v>203</v>
      </c>
      <c r="C1912" s="20">
        <v>41477</v>
      </c>
      <c r="D1912" s="16">
        <v>0.60486111111111118</v>
      </c>
      <c r="E1912" s="14">
        <v>10</v>
      </c>
      <c r="F1912" s="23">
        <v>11</v>
      </c>
      <c r="G1912" s="17">
        <v>0.26362084110169487</v>
      </c>
      <c r="H1912" s="4" t="s">
        <v>124</v>
      </c>
      <c r="I1912" s="14"/>
    </row>
    <row r="1913" spans="1:9" x14ac:dyDescent="0.25">
      <c r="A1913" s="14">
        <v>2013</v>
      </c>
      <c r="B1913" s="14">
        <v>203</v>
      </c>
      <c r="C1913" s="20">
        <v>41477</v>
      </c>
      <c r="D1913" s="16">
        <v>0.60486111111111118</v>
      </c>
      <c r="E1913" s="14">
        <v>10</v>
      </c>
      <c r="F1913" s="23">
        <v>12</v>
      </c>
      <c r="G1913" s="17">
        <v>0.24820744430992736</v>
      </c>
      <c r="H1913" s="4" t="s">
        <v>124</v>
      </c>
      <c r="I1913" s="14"/>
    </row>
    <row r="1914" spans="1:9" x14ac:dyDescent="0.25">
      <c r="A1914" s="14">
        <v>2013</v>
      </c>
      <c r="B1914" s="14">
        <v>203</v>
      </c>
      <c r="C1914" s="20">
        <v>41477</v>
      </c>
      <c r="D1914" s="16">
        <v>0.61111111111111105</v>
      </c>
      <c r="E1914" s="14">
        <v>10</v>
      </c>
      <c r="F1914" s="23">
        <v>13</v>
      </c>
      <c r="G1914" s="17">
        <v>0.30106439951573849</v>
      </c>
      <c r="H1914" s="4" t="s">
        <v>124</v>
      </c>
      <c r="I1914" s="14"/>
    </row>
    <row r="1915" spans="1:9" x14ac:dyDescent="0.25">
      <c r="A1915" s="14">
        <v>2013</v>
      </c>
      <c r="B1915" s="14">
        <v>203</v>
      </c>
      <c r="C1915" s="20">
        <v>41477</v>
      </c>
      <c r="D1915" s="16">
        <v>0.61805555555555558</v>
      </c>
      <c r="E1915" s="14">
        <v>10</v>
      </c>
      <c r="F1915" s="23">
        <v>14</v>
      </c>
      <c r="G1915" s="17">
        <v>0.25376321186440676</v>
      </c>
      <c r="H1915" s="4" t="s">
        <v>124</v>
      </c>
      <c r="I1915" s="14"/>
    </row>
    <row r="1916" spans="1:9" x14ac:dyDescent="0.25">
      <c r="A1916" s="14">
        <v>2013</v>
      </c>
      <c r="B1916" s="14">
        <v>203</v>
      </c>
      <c r="C1916" s="20">
        <v>41477</v>
      </c>
      <c r="D1916" s="16">
        <v>0.62916666666666665</v>
      </c>
      <c r="E1916" s="14">
        <v>10</v>
      </c>
      <c r="F1916" s="23">
        <v>15</v>
      </c>
      <c r="G1916" s="17">
        <v>0.28354829903147699</v>
      </c>
      <c r="H1916" s="4" t="s">
        <v>1</v>
      </c>
      <c r="I1916" s="14"/>
    </row>
    <row r="1917" spans="1:9" x14ac:dyDescent="0.25">
      <c r="A1917" s="14">
        <v>2013</v>
      </c>
      <c r="B1917" s="14">
        <v>203</v>
      </c>
      <c r="C1917" s="20">
        <v>41477</v>
      </c>
      <c r="D1917" s="16">
        <v>0.63402777777777775</v>
      </c>
      <c r="E1917" s="14">
        <v>10</v>
      </c>
      <c r="F1917" s="23">
        <v>16</v>
      </c>
      <c r="G1917" s="17">
        <v>0.2677683759079903</v>
      </c>
      <c r="H1917" s="4" t="s">
        <v>1</v>
      </c>
      <c r="I1917" s="14"/>
    </row>
    <row r="1918" spans="1:9" x14ac:dyDescent="0.25">
      <c r="A1918" s="14">
        <v>2013</v>
      </c>
      <c r="B1918" s="14">
        <v>203</v>
      </c>
      <c r="C1918" s="20">
        <v>41477</v>
      </c>
      <c r="D1918" s="16">
        <v>0.64166666666666672</v>
      </c>
      <c r="E1918" s="14">
        <v>10</v>
      </c>
      <c r="F1918" s="23">
        <v>17</v>
      </c>
      <c r="G1918" s="17">
        <v>0.3010258177966102</v>
      </c>
      <c r="H1918" s="4" t="s">
        <v>124</v>
      </c>
      <c r="I1918" s="14"/>
    </row>
    <row r="1919" spans="1:9" x14ac:dyDescent="0.25">
      <c r="A1919" s="14">
        <v>2013</v>
      </c>
      <c r="B1919" s="14">
        <v>203</v>
      </c>
      <c r="C1919" s="20">
        <v>41477</v>
      </c>
      <c r="D1919" s="16">
        <v>0.64861111111111114</v>
      </c>
      <c r="E1919" s="14">
        <v>10</v>
      </c>
      <c r="F1919" s="23">
        <v>18</v>
      </c>
      <c r="G1919" s="17">
        <v>0.2806353792372881</v>
      </c>
      <c r="H1919" s="4" t="s">
        <v>124</v>
      </c>
      <c r="I1919" s="14"/>
    </row>
    <row r="1920" spans="1:9" x14ac:dyDescent="0.25">
      <c r="A1920" s="14">
        <v>2013</v>
      </c>
      <c r="B1920" s="14">
        <v>203</v>
      </c>
      <c r="C1920" s="20">
        <v>41477</v>
      </c>
      <c r="D1920" s="16">
        <v>0.65486111111111112</v>
      </c>
      <c r="E1920" s="14">
        <v>10</v>
      </c>
      <c r="F1920" s="23">
        <v>19</v>
      </c>
      <c r="G1920" s="17">
        <v>0.24452289013317191</v>
      </c>
      <c r="H1920" s="4" t="s">
        <v>124</v>
      </c>
      <c r="I1920" s="14"/>
    </row>
    <row r="1921" spans="1:9" x14ac:dyDescent="0.25">
      <c r="A1921" s="14">
        <v>2013</v>
      </c>
      <c r="B1921" s="14">
        <v>203</v>
      </c>
      <c r="C1921" s="20">
        <v>41477</v>
      </c>
      <c r="D1921" s="16">
        <v>0.66111111111111109</v>
      </c>
      <c r="E1921" s="14">
        <v>10</v>
      </c>
      <c r="F1921" s="23">
        <v>20</v>
      </c>
      <c r="G1921" s="17">
        <v>0.23063347124697336</v>
      </c>
      <c r="H1921" s="4" t="s">
        <v>124</v>
      </c>
      <c r="I1921" s="14"/>
    </row>
    <row r="1922" spans="1:9" x14ac:dyDescent="0.25">
      <c r="A1922" s="14">
        <v>2013</v>
      </c>
      <c r="B1922" s="14">
        <v>210</v>
      </c>
      <c r="C1922" s="20">
        <v>41484</v>
      </c>
      <c r="D1922" s="16">
        <v>0.52152777777777781</v>
      </c>
      <c r="E1922" s="14">
        <v>230</v>
      </c>
      <c r="F1922" s="23">
        <v>1</v>
      </c>
      <c r="G1922" s="17">
        <v>0.29844198234463276</v>
      </c>
      <c r="H1922" s="4" t="s">
        <v>123</v>
      </c>
      <c r="I1922" s="14"/>
    </row>
    <row r="1923" spans="1:9" x14ac:dyDescent="0.25">
      <c r="A1923" s="14">
        <v>2013</v>
      </c>
      <c r="B1923" s="14">
        <v>210</v>
      </c>
      <c r="C1923" s="20">
        <v>41484</v>
      </c>
      <c r="D1923" s="16">
        <v>0.52152777777777781</v>
      </c>
      <c r="E1923" s="14">
        <v>230</v>
      </c>
      <c r="F1923" s="23">
        <v>2</v>
      </c>
      <c r="G1923" s="17">
        <v>0.29771768644067798</v>
      </c>
      <c r="H1923" s="4" t="s">
        <v>123</v>
      </c>
      <c r="I1923" s="14"/>
    </row>
    <row r="1924" spans="1:9" x14ac:dyDescent="0.25">
      <c r="A1924" s="14">
        <v>2013</v>
      </c>
      <c r="B1924" s="14">
        <v>210</v>
      </c>
      <c r="C1924" s="20">
        <v>41484</v>
      </c>
      <c r="D1924" s="16">
        <v>0.52847222222222223</v>
      </c>
      <c r="E1924" s="14">
        <v>230</v>
      </c>
      <c r="F1924" s="23">
        <v>3</v>
      </c>
      <c r="G1924" s="17">
        <v>0.28544380720338985</v>
      </c>
      <c r="H1924" s="4" t="s">
        <v>123</v>
      </c>
      <c r="I1924" s="14"/>
    </row>
    <row r="1925" spans="1:9" x14ac:dyDescent="0.25">
      <c r="A1925" s="14">
        <v>2013</v>
      </c>
      <c r="B1925" s="14">
        <v>210</v>
      </c>
      <c r="C1925" s="20">
        <v>41484</v>
      </c>
      <c r="D1925" s="16">
        <v>0.53472222222222221</v>
      </c>
      <c r="E1925" s="14">
        <v>230</v>
      </c>
      <c r="F1925" s="23">
        <v>4</v>
      </c>
      <c r="G1925" s="17">
        <v>0.28154826977401132</v>
      </c>
      <c r="H1925" s="4" t="s">
        <v>123</v>
      </c>
      <c r="I1925" s="14"/>
    </row>
    <row r="1926" spans="1:9" x14ac:dyDescent="0.25">
      <c r="A1926" s="14">
        <v>2013</v>
      </c>
      <c r="B1926" s="14">
        <v>210</v>
      </c>
      <c r="C1926" s="20">
        <v>41484</v>
      </c>
      <c r="D1926" s="16">
        <v>0.54166666666666663</v>
      </c>
      <c r="E1926" s="14">
        <v>230</v>
      </c>
      <c r="F1926" s="23">
        <v>5</v>
      </c>
      <c r="G1926" s="17" t="e">
        <v>#N/A</v>
      </c>
      <c r="H1926" s="4" t="s">
        <v>0</v>
      </c>
      <c r="I1926" s="14"/>
    </row>
    <row r="1927" spans="1:9" x14ac:dyDescent="0.25">
      <c r="A1927" s="14">
        <v>2013</v>
      </c>
      <c r="B1927" s="14">
        <v>210</v>
      </c>
      <c r="C1927" s="20">
        <v>41484</v>
      </c>
      <c r="D1927" s="16">
        <v>0.55208333333333337</v>
      </c>
      <c r="E1927" s="14">
        <v>230</v>
      </c>
      <c r="F1927" s="23">
        <v>6</v>
      </c>
      <c r="G1927" s="17" t="e">
        <v>#N/A</v>
      </c>
      <c r="H1927" s="4" t="s">
        <v>0</v>
      </c>
      <c r="I1927" s="14"/>
    </row>
    <row r="1928" spans="1:9" x14ac:dyDescent="0.25">
      <c r="A1928" s="14">
        <v>2013</v>
      </c>
      <c r="B1928" s="14">
        <v>210</v>
      </c>
      <c r="C1928" s="20">
        <v>41484</v>
      </c>
      <c r="D1928" s="16">
        <v>0.55763888888888891</v>
      </c>
      <c r="E1928" s="14">
        <v>230</v>
      </c>
      <c r="F1928" s="23">
        <v>7</v>
      </c>
      <c r="G1928" s="17">
        <v>0.27990392231638417</v>
      </c>
      <c r="H1928" s="4" t="s">
        <v>123</v>
      </c>
      <c r="I1928" s="14"/>
    </row>
    <row r="1929" spans="1:9" x14ac:dyDescent="0.25">
      <c r="A1929" s="14">
        <v>2013</v>
      </c>
      <c r="B1929" s="14">
        <v>210</v>
      </c>
      <c r="C1929" s="20">
        <v>41484</v>
      </c>
      <c r="D1929" s="16">
        <v>0.56388888888888888</v>
      </c>
      <c r="E1929" s="14">
        <v>230</v>
      </c>
      <c r="F1929" s="23">
        <v>8</v>
      </c>
      <c r="G1929" s="17">
        <v>0.31281044703389832</v>
      </c>
      <c r="H1929" s="4" t="s">
        <v>123</v>
      </c>
      <c r="I1929" s="14"/>
    </row>
    <row r="1930" spans="1:9" x14ac:dyDescent="0.25">
      <c r="A1930" s="14">
        <v>2013</v>
      </c>
      <c r="B1930" s="14">
        <v>210</v>
      </c>
      <c r="C1930" s="20">
        <v>41484</v>
      </c>
      <c r="D1930" s="16">
        <v>0.57013888888888886</v>
      </c>
      <c r="E1930" s="14">
        <v>230</v>
      </c>
      <c r="F1930" s="23">
        <v>9</v>
      </c>
      <c r="G1930" s="17">
        <v>0.3060568771186441</v>
      </c>
      <c r="H1930" s="4" t="s">
        <v>123</v>
      </c>
      <c r="I1930" s="14"/>
    </row>
    <row r="1931" spans="1:9" x14ac:dyDescent="0.25">
      <c r="A1931" s="14">
        <v>2013</v>
      </c>
      <c r="B1931" s="14">
        <v>210</v>
      </c>
      <c r="C1931" s="20">
        <v>41484</v>
      </c>
      <c r="D1931" s="16">
        <v>0.57638888888888895</v>
      </c>
      <c r="E1931" s="14">
        <v>230</v>
      </c>
      <c r="F1931" s="23">
        <v>10</v>
      </c>
      <c r="G1931" s="17">
        <v>0.25878188771186439</v>
      </c>
      <c r="H1931" s="4" t="s">
        <v>123</v>
      </c>
      <c r="I1931" s="14"/>
    </row>
    <row r="1932" spans="1:9" x14ac:dyDescent="0.25">
      <c r="A1932" s="14">
        <v>2013</v>
      </c>
      <c r="B1932" s="14">
        <v>210</v>
      </c>
      <c r="C1932" s="20">
        <v>41484</v>
      </c>
      <c r="D1932" s="16">
        <v>0.58819444444444446</v>
      </c>
      <c r="E1932" s="14">
        <v>230</v>
      </c>
      <c r="F1932" s="23">
        <v>11</v>
      </c>
      <c r="G1932" s="17">
        <v>0.29812877330508475</v>
      </c>
      <c r="H1932" s="4" t="s">
        <v>124</v>
      </c>
      <c r="I1932" s="14"/>
    </row>
    <row r="1933" spans="1:9" x14ac:dyDescent="0.25">
      <c r="A1933" s="14">
        <v>2013</v>
      </c>
      <c r="B1933" s="14">
        <v>210</v>
      </c>
      <c r="C1933" s="20">
        <v>41484</v>
      </c>
      <c r="D1933" s="16">
        <v>0.59444444444444444</v>
      </c>
      <c r="E1933" s="14">
        <v>230</v>
      </c>
      <c r="F1933" s="23">
        <v>12</v>
      </c>
      <c r="G1933" s="17">
        <v>0.3005365677966102</v>
      </c>
      <c r="H1933" s="4" t="s">
        <v>124</v>
      </c>
      <c r="I1933" s="14"/>
    </row>
    <row r="1934" spans="1:9" x14ac:dyDescent="0.25">
      <c r="A1934" s="14">
        <v>2013</v>
      </c>
      <c r="B1934" s="14">
        <v>210</v>
      </c>
      <c r="C1934" s="20">
        <v>41484</v>
      </c>
      <c r="D1934" s="16">
        <v>0.60069444444444442</v>
      </c>
      <c r="E1934" s="14">
        <v>230</v>
      </c>
      <c r="F1934" s="23">
        <v>13</v>
      </c>
      <c r="G1934" s="17">
        <v>0.29679763488700567</v>
      </c>
      <c r="H1934" s="4" t="s">
        <v>124</v>
      </c>
      <c r="I1934" s="14"/>
    </row>
    <row r="1935" spans="1:9" x14ac:dyDescent="0.25">
      <c r="A1935" s="14">
        <v>2013</v>
      </c>
      <c r="B1935" s="14">
        <v>210</v>
      </c>
      <c r="C1935" s="20">
        <v>41484</v>
      </c>
      <c r="D1935" s="16">
        <v>0.60902777777777783</v>
      </c>
      <c r="E1935" s="14">
        <v>230</v>
      </c>
      <c r="F1935" s="23">
        <v>14</v>
      </c>
      <c r="G1935" s="17">
        <v>0.2935872422316384</v>
      </c>
      <c r="H1935" s="4" t="s">
        <v>124</v>
      </c>
      <c r="I1935" s="14"/>
    </row>
    <row r="1936" spans="1:9" x14ac:dyDescent="0.25">
      <c r="A1936" s="14">
        <v>2013</v>
      </c>
      <c r="B1936" s="14">
        <v>210</v>
      </c>
      <c r="C1936" s="20">
        <v>41484</v>
      </c>
      <c r="D1936" s="16">
        <v>0.61597222222222225</v>
      </c>
      <c r="E1936" s="14">
        <v>230</v>
      </c>
      <c r="F1936" s="23">
        <v>15</v>
      </c>
      <c r="G1936" s="17" t="e">
        <v>#N/A</v>
      </c>
      <c r="H1936" s="4" t="s">
        <v>1</v>
      </c>
      <c r="I1936" s="14"/>
    </row>
    <row r="1937" spans="1:9" x14ac:dyDescent="0.25">
      <c r="A1937" s="14">
        <v>2013</v>
      </c>
      <c r="B1937" s="14">
        <v>210</v>
      </c>
      <c r="C1937" s="20">
        <v>41484</v>
      </c>
      <c r="D1937" s="16">
        <v>0.62083333333333335</v>
      </c>
      <c r="E1937" s="14">
        <v>230</v>
      </c>
      <c r="F1937" s="23">
        <v>16</v>
      </c>
      <c r="G1937" s="17" t="e">
        <v>#N/A</v>
      </c>
      <c r="H1937" s="4" t="s">
        <v>1</v>
      </c>
      <c r="I1937" s="14"/>
    </row>
    <row r="1938" spans="1:9" x14ac:dyDescent="0.25">
      <c r="A1938" s="14">
        <v>2013</v>
      </c>
      <c r="B1938" s="14">
        <v>210</v>
      </c>
      <c r="C1938" s="20">
        <v>41484</v>
      </c>
      <c r="D1938" s="16">
        <v>0.62777777777777777</v>
      </c>
      <c r="E1938" s="14">
        <v>230</v>
      </c>
      <c r="F1938" s="23">
        <v>17</v>
      </c>
      <c r="G1938" s="17">
        <v>0.29904882485875706</v>
      </c>
      <c r="H1938" s="4" t="s">
        <v>124</v>
      </c>
      <c r="I1938" s="14"/>
    </row>
    <row r="1939" spans="1:9" x14ac:dyDescent="0.25">
      <c r="A1939" s="14">
        <v>2013</v>
      </c>
      <c r="B1939" s="14">
        <v>210</v>
      </c>
      <c r="C1939" s="20">
        <v>41484</v>
      </c>
      <c r="D1939" s="16">
        <v>0.63402777777777775</v>
      </c>
      <c r="E1939" s="14">
        <v>230</v>
      </c>
      <c r="F1939" s="23">
        <v>18</v>
      </c>
      <c r="G1939" s="17">
        <v>0.30165237500000003</v>
      </c>
      <c r="H1939" s="4" t="s">
        <v>124</v>
      </c>
      <c r="I1939" s="14"/>
    </row>
    <row r="1940" spans="1:9" x14ac:dyDescent="0.25">
      <c r="A1940" s="14">
        <v>2013</v>
      </c>
      <c r="B1940" s="14">
        <v>210</v>
      </c>
      <c r="C1940" s="20">
        <v>41484</v>
      </c>
      <c r="D1940" s="16">
        <v>0.64027777777777783</v>
      </c>
      <c r="E1940" s="14">
        <v>230</v>
      </c>
      <c r="F1940" s="23">
        <v>19</v>
      </c>
      <c r="G1940" s="17">
        <v>0.29249101059322036</v>
      </c>
      <c r="H1940" s="4" t="s">
        <v>124</v>
      </c>
      <c r="I1940" s="14"/>
    </row>
    <row r="1941" spans="1:9" x14ac:dyDescent="0.25">
      <c r="A1941" s="14">
        <v>2013</v>
      </c>
      <c r="B1941" s="14">
        <v>210</v>
      </c>
      <c r="C1941" s="20">
        <v>41484</v>
      </c>
      <c r="D1941" s="16">
        <v>0.64652777777777781</v>
      </c>
      <c r="E1941" s="14">
        <v>230</v>
      </c>
      <c r="F1941" s="23">
        <v>20</v>
      </c>
      <c r="G1941" s="17">
        <v>0.30355120480225994</v>
      </c>
      <c r="H1941" s="4" t="s">
        <v>124</v>
      </c>
      <c r="I1941" s="14"/>
    </row>
    <row r="1942" spans="1:9" x14ac:dyDescent="0.25">
      <c r="A1942" s="14">
        <v>2013</v>
      </c>
      <c r="B1942" s="14">
        <v>210</v>
      </c>
      <c r="C1942" s="20">
        <v>41484</v>
      </c>
      <c r="D1942" s="16">
        <v>0.52152777777777781</v>
      </c>
      <c r="E1942" s="14">
        <v>210</v>
      </c>
      <c r="F1942" s="23">
        <v>1</v>
      </c>
      <c r="G1942" s="17">
        <v>0.30145661935028251</v>
      </c>
      <c r="H1942" s="4" t="s">
        <v>123</v>
      </c>
      <c r="I1942" s="14"/>
    </row>
    <row r="1943" spans="1:9" x14ac:dyDescent="0.25">
      <c r="A1943" s="14">
        <v>2013</v>
      </c>
      <c r="B1943" s="14">
        <v>210</v>
      </c>
      <c r="C1943" s="20">
        <v>41484</v>
      </c>
      <c r="D1943" s="16">
        <v>0.52152777777777781</v>
      </c>
      <c r="E1943" s="14">
        <v>210</v>
      </c>
      <c r="F1943" s="23">
        <v>2</v>
      </c>
      <c r="G1943" s="17">
        <v>0.30216133968926556</v>
      </c>
      <c r="H1943" s="4" t="s">
        <v>123</v>
      </c>
      <c r="I1943" s="14"/>
    </row>
    <row r="1944" spans="1:9" x14ac:dyDescent="0.25">
      <c r="A1944" s="14">
        <v>2013</v>
      </c>
      <c r="B1944" s="14">
        <v>210</v>
      </c>
      <c r="C1944" s="20">
        <v>41484</v>
      </c>
      <c r="D1944" s="16">
        <v>0.52847222222222223</v>
      </c>
      <c r="E1944" s="14">
        <v>210</v>
      </c>
      <c r="F1944" s="23">
        <v>3</v>
      </c>
      <c r="G1944" s="17">
        <v>0.27426615960451978</v>
      </c>
      <c r="H1944" s="4" t="s">
        <v>123</v>
      </c>
      <c r="I1944" s="14"/>
    </row>
    <row r="1945" spans="1:9" x14ac:dyDescent="0.25">
      <c r="A1945" s="14">
        <v>2013</v>
      </c>
      <c r="B1945" s="14">
        <v>210</v>
      </c>
      <c r="C1945" s="20">
        <v>41484</v>
      </c>
      <c r="D1945" s="16">
        <v>0.53472222222222221</v>
      </c>
      <c r="E1945" s="14">
        <v>210</v>
      </c>
      <c r="F1945" s="23">
        <v>4</v>
      </c>
      <c r="G1945" s="17">
        <v>0.29270634180790961</v>
      </c>
      <c r="H1945" s="4" t="s">
        <v>123</v>
      </c>
      <c r="I1945" s="14"/>
    </row>
    <row r="1946" spans="1:9" x14ac:dyDescent="0.25">
      <c r="A1946" s="14">
        <v>2013</v>
      </c>
      <c r="B1946" s="14">
        <v>210</v>
      </c>
      <c r="C1946" s="20">
        <v>41484</v>
      </c>
      <c r="D1946" s="16">
        <v>0.54166666666666663</v>
      </c>
      <c r="E1946" s="14">
        <v>210</v>
      </c>
      <c r="F1946" s="23">
        <v>5</v>
      </c>
      <c r="G1946" s="17" t="e">
        <v>#N/A</v>
      </c>
      <c r="H1946" s="4" t="s">
        <v>0</v>
      </c>
      <c r="I1946" s="14"/>
    </row>
    <row r="1947" spans="1:9" x14ac:dyDescent="0.25">
      <c r="A1947" s="14">
        <v>2013</v>
      </c>
      <c r="B1947" s="14">
        <v>210</v>
      </c>
      <c r="C1947" s="20">
        <v>41484</v>
      </c>
      <c r="D1947" s="16">
        <v>0.55208333333333337</v>
      </c>
      <c r="E1947" s="14">
        <v>210</v>
      </c>
      <c r="F1947" s="23">
        <v>6</v>
      </c>
      <c r="G1947" s="17" t="e">
        <v>#N/A</v>
      </c>
      <c r="H1947" s="4" t="s">
        <v>0</v>
      </c>
      <c r="I1947" s="14"/>
    </row>
    <row r="1948" spans="1:9" x14ac:dyDescent="0.25">
      <c r="A1948" s="14">
        <v>2013</v>
      </c>
      <c r="B1948" s="14">
        <v>210</v>
      </c>
      <c r="C1948" s="20">
        <v>41484</v>
      </c>
      <c r="D1948" s="16">
        <v>0.55763888888888891</v>
      </c>
      <c r="E1948" s="14">
        <v>210</v>
      </c>
      <c r="F1948" s="23">
        <v>7</v>
      </c>
      <c r="G1948" s="17">
        <v>0.2782791504237288</v>
      </c>
      <c r="H1948" s="4" t="s">
        <v>123</v>
      </c>
      <c r="I1948" s="14"/>
    </row>
    <row r="1949" spans="1:9" x14ac:dyDescent="0.25">
      <c r="A1949" s="14">
        <v>2013</v>
      </c>
      <c r="B1949" s="14">
        <v>210</v>
      </c>
      <c r="C1949" s="20">
        <v>41484</v>
      </c>
      <c r="D1949" s="16">
        <v>0.56388888888888888</v>
      </c>
      <c r="E1949" s="14">
        <v>210</v>
      </c>
      <c r="F1949" s="23">
        <v>8</v>
      </c>
      <c r="G1949" s="17">
        <v>0.30411889618644067</v>
      </c>
      <c r="H1949" s="4" t="s">
        <v>123</v>
      </c>
      <c r="I1949" s="14"/>
    </row>
    <row r="1950" spans="1:9" x14ac:dyDescent="0.25">
      <c r="A1950" s="14">
        <v>2013</v>
      </c>
      <c r="B1950" s="14">
        <v>210</v>
      </c>
      <c r="C1950" s="20">
        <v>41484</v>
      </c>
      <c r="D1950" s="16">
        <v>0.57013888888888886</v>
      </c>
      <c r="E1950" s="14">
        <v>210</v>
      </c>
      <c r="F1950" s="23">
        <v>9</v>
      </c>
      <c r="G1950" s="17">
        <v>0.29527074081920907</v>
      </c>
      <c r="H1950" s="4" t="s">
        <v>123</v>
      </c>
      <c r="I1950" s="14"/>
    </row>
    <row r="1951" spans="1:9" x14ac:dyDescent="0.25">
      <c r="A1951" s="14">
        <v>2013</v>
      </c>
      <c r="B1951" s="14">
        <v>210</v>
      </c>
      <c r="C1951" s="20">
        <v>41484</v>
      </c>
      <c r="D1951" s="16">
        <v>0.57638888888888895</v>
      </c>
      <c r="E1951" s="14">
        <v>210</v>
      </c>
      <c r="F1951" s="23">
        <v>10</v>
      </c>
      <c r="G1951" s="17">
        <v>0.26845221680790959</v>
      </c>
      <c r="H1951" s="4" t="s">
        <v>123</v>
      </c>
      <c r="I1951" s="14"/>
    </row>
    <row r="1952" spans="1:9" x14ac:dyDescent="0.25">
      <c r="A1952" s="14">
        <v>2013</v>
      </c>
      <c r="B1952" s="14">
        <v>210</v>
      </c>
      <c r="C1952" s="20">
        <v>41484</v>
      </c>
      <c r="D1952" s="16">
        <v>0.58819444444444446</v>
      </c>
      <c r="E1952" s="14">
        <v>210</v>
      </c>
      <c r="F1952" s="23">
        <v>11</v>
      </c>
      <c r="G1952" s="17">
        <v>0.30546961016949153</v>
      </c>
      <c r="H1952" s="4" t="s">
        <v>124</v>
      </c>
      <c r="I1952" s="14"/>
    </row>
    <row r="1953" spans="1:9" x14ac:dyDescent="0.25">
      <c r="A1953" s="14">
        <v>2013</v>
      </c>
      <c r="B1953" s="14">
        <v>210</v>
      </c>
      <c r="C1953" s="20">
        <v>41484</v>
      </c>
      <c r="D1953" s="16">
        <v>0.59444444444444444</v>
      </c>
      <c r="E1953" s="14">
        <v>210</v>
      </c>
      <c r="F1953" s="23">
        <v>12</v>
      </c>
      <c r="G1953" s="17">
        <v>0.30948260098870056</v>
      </c>
      <c r="H1953" s="4" t="s">
        <v>124</v>
      </c>
      <c r="I1953" s="14"/>
    </row>
    <row r="1954" spans="1:9" x14ac:dyDescent="0.25">
      <c r="A1954" s="14">
        <v>2013</v>
      </c>
      <c r="B1954" s="14">
        <v>210</v>
      </c>
      <c r="C1954" s="20">
        <v>41484</v>
      </c>
      <c r="D1954" s="16">
        <v>0.60069444444444442</v>
      </c>
      <c r="E1954" s="14">
        <v>210</v>
      </c>
      <c r="F1954" s="23">
        <v>13</v>
      </c>
      <c r="G1954" s="17">
        <v>0.30586112146892658</v>
      </c>
      <c r="H1954" s="4" t="s">
        <v>124</v>
      </c>
      <c r="I1954" s="14"/>
    </row>
    <row r="1955" spans="1:9" x14ac:dyDescent="0.25">
      <c r="A1955" s="14">
        <v>2013</v>
      </c>
      <c r="B1955" s="14">
        <v>210</v>
      </c>
      <c r="C1955" s="20">
        <v>41484</v>
      </c>
      <c r="D1955" s="16">
        <v>0.60902777777777783</v>
      </c>
      <c r="E1955" s="14">
        <v>210</v>
      </c>
      <c r="F1955" s="23">
        <v>14</v>
      </c>
      <c r="G1955" s="17">
        <v>0.2747946998587571</v>
      </c>
      <c r="H1955" s="4" t="s">
        <v>124</v>
      </c>
      <c r="I1955" s="14"/>
    </row>
    <row r="1956" spans="1:9" x14ac:dyDescent="0.25">
      <c r="A1956" s="14">
        <v>2013</v>
      </c>
      <c r="B1956" s="14">
        <v>210</v>
      </c>
      <c r="C1956" s="20">
        <v>41484</v>
      </c>
      <c r="D1956" s="16">
        <v>0.61597222222222225</v>
      </c>
      <c r="E1956" s="14">
        <v>210</v>
      </c>
      <c r="F1956" s="23">
        <v>15</v>
      </c>
      <c r="G1956" s="17" t="e">
        <v>#N/A</v>
      </c>
      <c r="H1956" s="4" t="s">
        <v>1</v>
      </c>
      <c r="I1956" s="14"/>
    </row>
    <row r="1957" spans="1:9" x14ac:dyDescent="0.25">
      <c r="A1957" s="14">
        <v>2013</v>
      </c>
      <c r="B1957" s="14">
        <v>210</v>
      </c>
      <c r="C1957" s="20">
        <v>41484</v>
      </c>
      <c r="D1957" s="16">
        <v>0.62083333333333335</v>
      </c>
      <c r="E1957" s="14">
        <v>210</v>
      </c>
      <c r="F1957" s="23">
        <v>16</v>
      </c>
      <c r="G1957" s="17" t="e">
        <v>#N/A</v>
      </c>
      <c r="H1957" s="4" t="s">
        <v>1</v>
      </c>
      <c r="I1957" s="14"/>
    </row>
    <row r="1958" spans="1:9" x14ac:dyDescent="0.25">
      <c r="A1958" s="14">
        <v>2013</v>
      </c>
      <c r="B1958" s="14">
        <v>210</v>
      </c>
      <c r="C1958" s="20">
        <v>41484</v>
      </c>
      <c r="D1958" s="16">
        <v>0.62777777777777777</v>
      </c>
      <c r="E1958" s="14">
        <v>210</v>
      </c>
      <c r="F1958" s="23">
        <v>17</v>
      </c>
      <c r="G1958" s="17">
        <v>0.30533258121468926</v>
      </c>
      <c r="H1958" s="4" t="s">
        <v>124</v>
      </c>
      <c r="I1958" s="14"/>
    </row>
    <row r="1959" spans="1:9" x14ac:dyDescent="0.25">
      <c r="A1959" s="14">
        <v>2013</v>
      </c>
      <c r="B1959" s="14">
        <v>210</v>
      </c>
      <c r="C1959" s="20">
        <v>41484</v>
      </c>
      <c r="D1959" s="16">
        <v>0.63402777777777775</v>
      </c>
      <c r="E1959" s="14">
        <v>210</v>
      </c>
      <c r="F1959" s="23">
        <v>18</v>
      </c>
      <c r="G1959" s="17">
        <v>0.30809273587570618</v>
      </c>
      <c r="H1959" s="4" t="s">
        <v>124</v>
      </c>
      <c r="I1959" s="14"/>
    </row>
    <row r="1960" spans="1:9" x14ac:dyDescent="0.25">
      <c r="A1960" s="14">
        <v>2013</v>
      </c>
      <c r="B1960" s="14">
        <v>210</v>
      </c>
      <c r="C1960" s="20">
        <v>41484</v>
      </c>
      <c r="D1960" s="16">
        <v>0.64027777777777783</v>
      </c>
      <c r="E1960" s="14">
        <v>210</v>
      </c>
      <c r="F1960" s="23">
        <v>19</v>
      </c>
      <c r="G1960" s="17">
        <v>0.30008632980225991</v>
      </c>
      <c r="H1960" s="4" t="s">
        <v>124</v>
      </c>
      <c r="I1960" s="14"/>
    </row>
    <row r="1961" spans="1:9" x14ac:dyDescent="0.25">
      <c r="A1961" s="14">
        <v>2013</v>
      </c>
      <c r="B1961" s="14">
        <v>210</v>
      </c>
      <c r="C1961" s="20">
        <v>41484</v>
      </c>
      <c r="D1961" s="16">
        <v>0.64652777777777781</v>
      </c>
      <c r="E1961" s="14">
        <v>210</v>
      </c>
      <c r="F1961" s="23">
        <v>20</v>
      </c>
      <c r="G1961" s="17">
        <v>0.30200473516949156</v>
      </c>
      <c r="H1961" s="4" t="s">
        <v>124</v>
      </c>
      <c r="I1961" s="14"/>
    </row>
    <row r="1962" spans="1:9" x14ac:dyDescent="0.25">
      <c r="A1962" s="14">
        <v>2013</v>
      </c>
      <c r="B1962" s="14">
        <v>210</v>
      </c>
      <c r="C1962" s="20">
        <v>41484</v>
      </c>
      <c r="D1962" s="16">
        <v>0.52152777777777781</v>
      </c>
      <c r="E1962" s="14">
        <v>190</v>
      </c>
      <c r="F1962" s="23">
        <v>1</v>
      </c>
      <c r="G1962" s="17">
        <v>0.28327091949152544</v>
      </c>
      <c r="H1962" s="4" t="s">
        <v>123</v>
      </c>
      <c r="I1962" s="14"/>
    </row>
    <row r="1963" spans="1:9" x14ac:dyDescent="0.25">
      <c r="A1963" s="14">
        <v>2013</v>
      </c>
      <c r="B1963" s="14">
        <v>210</v>
      </c>
      <c r="C1963" s="20">
        <v>41484</v>
      </c>
      <c r="D1963" s="16">
        <v>0.52152777777777781</v>
      </c>
      <c r="E1963" s="14">
        <v>190</v>
      </c>
      <c r="F1963" s="23">
        <v>2</v>
      </c>
      <c r="G1963" s="17">
        <v>0.28845844420903954</v>
      </c>
      <c r="H1963" s="4" t="s">
        <v>123</v>
      </c>
      <c r="I1963" s="14"/>
    </row>
    <row r="1964" spans="1:9" x14ac:dyDescent="0.25">
      <c r="A1964" s="14">
        <v>2013</v>
      </c>
      <c r="B1964" s="14">
        <v>210</v>
      </c>
      <c r="C1964" s="20">
        <v>41484</v>
      </c>
      <c r="D1964" s="16">
        <v>0.52847222222222223</v>
      </c>
      <c r="E1964" s="14">
        <v>190</v>
      </c>
      <c r="F1964" s="23">
        <v>3</v>
      </c>
      <c r="G1964" s="17">
        <v>0.29229525494350284</v>
      </c>
      <c r="H1964" s="4" t="s">
        <v>123</v>
      </c>
      <c r="I1964" s="14"/>
    </row>
    <row r="1965" spans="1:9" x14ac:dyDescent="0.25">
      <c r="A1965" s="14">
        <v>2013</v>
      </c>
      <c r="B1965" s="14">
        <v>210</v>
      </c>
      <c r="C1965" s="20">
        <v>41484</v>
      </c>
      <c r="D1965" s="16">
        <v>0.53472222222222221</v>
      </c>
      <c r="E1965" s="14">
        <v>190</v>
      </c>
      <c r="F1965" s="23">
        <v>4</v>
      </c>
      <c r="G1965" s="17">
        <v>0.2960537634180791</v>
      </c>
      <c r="H1965" s="4" t="s">
        <v>123</v>
      </c>
      <c r="I1965" s="14"/>
    </row>
    <row r="1966" spans="1:9" x14ac:dyDescent="0.25">
      <c r="A1966" s="14">
        <v>2013</v>
      </c>
      <c r="B1966" s="14">
        <v>210</v>
      </c>
      <c r="C1966" s="20">
        <v>41484</v>
      </c>
      <c r="D1966" s="16">
        <v>0.54166666666666663</v>
      </c>
      <c r="E1966" s="14">
        <v>190</v>
      </c>
      <c r="F1966" s="23">
        <v>5</v>
      </c>
      <c r="G1966" s="17">
        <v>0.33242516313559323</v>
      </c>
      <c r="H1966" s="4" t="s">
        <v>0</v>
      </c>
      <c r="I1966" s="14"/>
    </row>
    <row r="1967" spans="1:9" x14ac:dyDescent="0.25">
      <c r="A1967" s="14">
        <v>2013</v>
      </c>
      <c r="B1967" s="14">
        <v>210</v>
      </c>
      <c r="C1967" s="20">
        <v>41484</v>
      </c>
      <c r="D1967" s="16">
        <v>0.55208333333333337</v>
      </c>
      <c r="E1967" s="14">
        <v>190</v>
      </c>
      <c r="F1967" s="23">
        <v>6</v>
      </c>
      <c r="G1967" s="17">
        <v>0.34058817372881361</v>
      </c>
      <c r="H1967" s="4" t="s">
        <v>0</v>
      </c>
      <c r="I1967" s="14"/>
    </row>
    <row r="1968" spans="1:9" x14ac:dyDescent="0.25">
      <c r="A1968" s="14">
        <v>2013</v>
      </c>
      <c r="B1968" s="14">
        <v>210</v>
      </c>
      <c r="C1968" s="20">
        <v>41484</v>
      </c>
      <c r="D1968" s="16">
        <v>0.55763888888888891</v>
      </c>
      <c r="E1968" s="14">
        <v>190</v>
      </c>
      <c r="F1968" s="23">
        <v>7</v>
      </c>
      <c r="G1968" s="17">
        <v>0.28266407697740115</v>
      </c>
      <c r="H1968" s="4" t="s">
        <v>123</v>
      </c>
      <c r="I1968" s="14"/>
    </row>
    <row r="1969" spans="1:9" x14ac:dyDescent="0.25">
      <c r="A1969" s="14">
        <v>2013</v>
      </c>
      <c r="B1969" s="14">
        <v>210</v>
      </c>
      <c r="C1969" s="20">
        <v>41484</v>
      </c>
      <c r="D1969" s="16">
        <v>0.56388888888888888</v>
      </c>
      <c r="E1969" s="14">
        <v>190</v>
      </c>
      <c r="F1969" s="23">
        <v>8</v>
      </c>
      <c r="G1969" s="17">
        <v>0.29656272810734469</v>
      </c>
      <c r="H1969" s="4" t="s">
        <v>123</v>
      </c>
      <c r="I1969" s="14"/>
    </row>
    <row r="1970" spans="1:9" x14ac:dyDescent="0.25">
      <c r="A1970" s="14">
        <v>2013</v>
      </c>
      <c r="B1970" s="14">
        <v>210</v>
      </c>
      <c r="C1970" s="20">
        <v>41484</v>
      </c>
      <c r="D1970" s="16">
        <v>0.57013888888888886</v>
      </c>
      <c r="E1970" s="14">
        <v>190</v>
      </c>
      <c r="F1970" s="23">
        <v>9</v>
      </c>
      <c r="G1970" s="17">
        <v>0.2899266115819209</v>
      </c>
      <c r="H1970" s="4" t="s">
        <v>123</v>
      </c>
      <c r="I1970" s="14"/>
    </row>
    <row r="1971" spans="1:9" x14ac:dyDescent="0.25">
      <c r="A1971" s="14">
        <v>2013</v>
      </c>
      <c r="B1971" s="14">
        <v>210</v>
      </c>
      <c r="C1971" s="20">
        <v>41484</v>
      </c>
      <c r="D1971" s="16">
        <v>0.57638888888888895</v>
      </c>
      <c r="E1971" s="14">
        <v>190</v>
      </c>
      <c r="F1971" s="23">
        <v>10</v>
      </c>
      <c r="G1971" s="17">
        <v>0.29386130014124295</v>
      </c>
      <c r="H1971" s="4" t="s">
        <v>123</v>
      </c>
      <c r="I1971" s="14"/>
    </row>
    <row r="1972" spans="1:9" x14ac:dyDescent="0.25">
      <c r="A1972" s="14">
        <v>2013</v>
      </c>
      <c r="B1972" s="14">
        <v>210</v>
      </c>
      <c r="C1972" s="20">
        <v>41484</v>
      </c>
      <c r="D1972" s="16">
        <v>0.58819444444444446</v>
      </c>
      <c r="E1972" s="14">
        <v>190</v>
      </c>
      <c r="F1972" s="23">
        <v>11</v>
      </c>
      <c r="G1972" s="17">
        <v>0.3097175077683616</v>
      </c>
      <c r="H1972" s="4" t="s">
        <v>124</v>
      </c>
      <c r="I1972" s="14"/>
    </row>
    <row r="1973" spans="1:9" x14ac:dyDescent="0.25">
      <c r="A1973" s="14">
        <v>2013</v>
      </c>
      <c r="B1973" s="14">
        <v>210</v>
      </c>
      <c r="C1973" s="20">
        <v>41484</v>
      </c>
      <c r="D1973" s="16">
        <v>0.59444444444444444</v>
      </c>
      <c r="E1973" s="14">
        <v>190</v>
      </c>
      <c r="F1973" s="23">
        <v>12</v>
      </c>
      <c r="G1973" s="17">
        <v>0.31181209322033898</v>
      </c>
      <c r="H1973" s="4" t="s">
        <v>124</v>
      </c>
      <c r="I1973" s="14"/>
    </row>
    <row r="1974" spans="1:9" x14ac:dyDescent="0.25">
      <c r="A1974" s="14">
        <v>2013</v>
      </c>
      <c r="B1974" s="14">
        <v>210</v>
      </c>
      <c r="C1974" s="20">
        <v>41484</v>
      </c>
      <c r="D1974" s="16">
        <v>0.60069444444444442</v>
      </c>
      <c r="E1974" s="14">
        <v>190</v>
      </c>
      <c r="F1974" s="23">
        <v>13</v>
      </c>
      <c r="G1974" s="17">
        <v>0.30417762288135591</v>
      </c>
      <c r="H1974" s="4" t="s">
        <v>124</v>
      </c>
      <c r="I1974" s="14"/>
    </row>
    <row r="1975" spans="1:9" x14ac:dyDescent="0.25">
      <c r="A1975" s="14">
        <v>2013</v>
      </c>
      <c r="B1975" s="14">
        <v>210</v>
      </c>
      <c r="C1975" s="20">
        <v>41484</v>
      </c>
      <c r="D1975" s="16">
        <v>0.60902777777777783</v>
      </c>
      <c r="E1975" s="14">
        <v>190</v>
      </c>
      <c r="F1975" s="23">
        <v>14</v>
      </c>
      <c r="G1975" s="17">
        <v>0.30102595692090395</v>
      </c>
      <c r="H1975" s="4" t="s">
        <v>124</v>
      </c>
      <c r="I1975" s="14"/>
    </row>
    <row r="1976" spans="1:9" x14ac:dyDescent="0.25">
      <c r="A1976" s="14">
        <v>2013</v>
      </c>
      <c r="B1976" s="14">
        <v>210</v>
      </c>
      <c r="C1976" s="20">
        <v>41484</v>
      </c>
      <c r="D1976" s="16">
        <v>0.61597222222222225</v>
      </c>
      <c r="E1976" s="14">
        <v>190</v>
      </c>
      <c r="F1976" s="23">
        <v>15</v>
      </c>
      <c r="G1976" s="17">
        <v>0.3307025134180791</v>
      </c>
      <c r="H1976" s="4" t="s">
        <v>1</v>
      </c>
      <c r="I1976" s="14"/>
    </row>
    <row r="1977" spans="1:9" x14ac:dyDescent="0.25">
      <c r="A1977" s="14">
        <v>2013</v>
      </c>
      <c r="B1977" s="14">
        <v>210</v>
      </c>
      <c r="C1977" s="20">
        <v>41484</v>
      </c>
      <c r="D1977" s="16">
        <v>0.62083333333333335</v>
      </c>
      <c r="E1977" s="14">
        <v>190</v>
      </c>
      <c r="F1977" s="23">
        <v>16</v>
      </c>
      <c r="G1977" s="17">
        <v>0.32819684110169495</v>
      </c>
      <c r="H1977" s="4" t="s">
        <v>1</v>
      </c>
      <c r="I1977" s="14"/>
    </row>
    <row r="1978" spans="1:9" x14ac:dyDescent="0.25">
      <c r="A1978" s="14">
        <v>2013</v>
      </c>
      <c r="B1978" s="14">
        <v>210</v>
      </c>
      <c r="C1978" s="20">
        <v>41484</v>
      </c>
      <c r="D1978" s="16">
        <v>0.62777777777777777</v>
      </c>
      <c r="E1978" s="14">
        <v>190</v>
      </c>
      <c r="F1978" s="23">
        <v>17</v>
      </c>
      <c r="G1978" s="17">
        <v>0.31770433827683614</v>
      </c>
      <c r="H1978" s="4" t="s">
        <v>124</v>
      </c>
      <c r="I1978" s="14"/>
    </row>
    <row r="1979" spans="1:9" x14ac:dyDescent="0.25">
      <c r="A1979" s="14">
        <v>2013</v>
      </c>
      <c r="B1979" s="14">
        <v>210</v>
      </c>
      <c r="C1979" s="20">
        <v>41484</v>
      </c>
      <c r="D1979" s="16">
        <v>0.63402777777777775</v>
      </c>
      <c r="E1979" s="14">
        <v>190</v>
      </c>
      <c r="F1979" s="23">
        <v>18</v>
      </c>
      <c r="G1979" s="17">
        <v>0.31140100635593221</v>
      </c>
      <c r="H1979" s="4" t="s">
        <v>124</v>
      </c>
      <c r="I1979" s="14"/>
    </row>
    <row r="1980" spans="1:9" x14ac:dyDescent="0.25">
      <c r="A1980" s="14">
        <v>2013</v>
      </c>
      <c r="B1980" s="14">
        <v>210</v>
      </c>
      <c r="C1980" s="20">
        <v>41484</v>
      </c>
      <c r="D1980" s="16">
        <v>0.64027777777777783</v>
      </c>
      <c r="E1980" s="14">
        <v>190</v>
      </c>
      <c r="F1980" s="23">
        <v>19</v>
      </c>
      <c r="G1980" s="17">
        <v>0.30288563559322035</v>
      </c>
      <c r="H1980" s="4" t="s">
        <v>124</v>
      </c>
      <c r="I1980" s="14"/>
    </row>
    <row r="1981" spans="1:9" x14ac:dyDescent="0.25">
      <c r="A1981" s="14">
        <v>2013</v>
      </c>
      <c r="B1981" s="14">
        <v>210</v>
      </c>
      <c r="C1981" s="20">
        <v>41484</v>
      </c>
      <c r="D1981" s="16">
        <v>0.64652777777777781</v>
      </c>
      <c r="E1981" s="14">
        <v>190</v>
      </c>
      <c r="F1981" s="23">
        <v>20</v>
      </c>
      <c r="G1981" s="17">
        <v>0.30732928884180793</v>
      </c>
      <c r="H1981" s="4" t="s">
        <v>124</v>
      </c>
      <c r="I1981" s="14"/>
    </row>
    <row r="1982" spans="1:9" x14ac:dyDescent="0.25">
      <c r="A1982" s="14">
        <v>2013</v>
      </c>
      <c r="B1982" s="14">
        <v>210</v>
      </c>
      <c r="C1982" s="20">
        <v>41484</v>
      </c>
      <c r="D1982" s="16">
        <v>0.52152777777777781</v>
      </c>
      <c r="E1982" s="14">
        <v>170</v>
      </c>
      <c r="F1982" s="23">
        <v>1</v>
      </c>
      <c r="G1982" s="17">
        <v>0.27362016596045202</v>
      </c>
      <c r="H1982" s="4" t="s">
        <v>123</v>
      </c>
      <c r="I1982" s="14"/>
    </row>
    <row r="1983" spans="1:9" x14ac:dyDescent="0.25">
      <c r="A1983" s="14">
        <v>2013</v>
      </c>
      <c r="B1983" s="14">
        <v>210</v>
      </c>
      <c r="C1983" s="20">
        <v>41484</v>
      </c>
      <c r="D1983" s="16">
        <v>0.52152777777777781</v>
      </c>
      <c r="E1983" s="14">
        <v>170</v>
      </c>
      <c r="F1983" s="23">
        <v>2</v>
      </c>
      <c r="G1983" s="17">
        <v>0.27348313700564975</v>
      </c>
      <c r="H1983" s="4" t="s">
        <v>123</v>
      </c>
      <c r="I1983" s="14"/>
    </row>
    <row r="1984" spans="1:9" x14ac:dyDescent="0.25">
      <c r="A1984" s="14">
        <v>2013</v>
      </c>
      <c r="B1984" s="14">
        <v>210</v>
      </c>
      <c r="C1984" s="20">
        <v>41484</v>
      </c>
      <c r="D1984" s="16">
        <v>0.52847222222222223</v>
      </c>
      <c r="E1984" s="14">
        <v>170</v>
      </c>
      <c r="F1984" s="23">
        <v>3</v>
      </c>
      <c r="G1984" s="17">
        <v>0.28883037994350286</v>
      </c>
      <c r="H1984" s="4" t="s">
        <v>123</v>
      </c>
      <c r="I1984" s="14"/>
    </row>
    <row r="1985" spans="1:9" x14ac:dyDescent="0.25">
      <c r="A1985" s="14">
        <v>2013</v>
      </c>
      <c r="B1985" s="14">
        <v>210</v>
      </c>
      <c r="C1985" s="20">
        <v>41484</v>
      </c>
      <c r="D1985" s="16">
        <v>0.53472222222222221</v>
      </c>
      <c r="E1985" s="14">
        <v>170</v>
      </c>
      <c r="F1985" s="23">
        <v>4</v>
      </c>
      <c r="G1985" s="17">
        <v>0.29182544138418076</v>
      </c>
      <c r="H1985" s="4" t="s">
        <v>123</v>
      </c>
      <c r="I1985" s="14"/>
    </row>
    <row r="1986" spans="1:9" x14ac:dyDescent="0.25">
      <c r="A1986" s="14">
        <v>2013</v>
      </c>
      <c r="B1986" s="14">
        <v>210</v>
      </c>
      <c r="C1986" s="20">
        <v>41484</v>
      </c>
      <c r="D1986" s="16">
        <v>0.54166666666666663</v>
      </c>
      <c r="E1986" s="14">
        <v>170</v>
      </c>
      <c r="F1986" s="23">
        <v>5</v>
      </c>
      <c r="G1986" s="17">
        <v>0.32479069279661016</v>
      </c>
      <c r="H1986" s="4" t="s">
        <v>0</v>
      </c>
      <c r="I1986" s="14"/>
    </row>
    <row r="1987" spans="1:9" x14ac:dyDescent="0.25">
      <c r="A1987" s="14">
        <v>2013</v>
      </c>
      <c r="B1987" s="14">
        <v>210</v>
      </c>
      <c r="C1987" s="20">
        <v>41484</v>
      </c>
      <c r="D1987" s="16">
        <v>0.55208333333333337</v>
      </c>
      <c r="E1987" s="14">
        <v>170</v>
      </c>
      <c r="F1987" s="23">
        <v>6</v>
      </c>
      <c r="G1987" s="17">
        <v>0.33064378672316386</v>
      </c>
      <c r="H1987" s="4" t="s">
        <v>0</v>
      </c>
      <c r="I1987" s="14"/>
    </row>
    <row r="1988" spans="1:9" x14ac:dyDescent="0.25">
      <c r="A1988" s="14">
        <v>2013</v>
      </c>
      <c r="B1988" s="14">
        <v>210</v>
      </c>
      <c r="C1988" s="20">
        <v>41484</v>
      </c>
      <c r="D1988" s="16">
        <v>0.55763888888888891</v>
      </c>
      <c r="E1988" s="14">
        <v>170</v>
      </c>
      <c r="F1988" s="23">
        <v>7</v>
      </c>
      <c r="G1988" s="17">
        <v>0.29644527471751414</v>
      </c>
      <c r="H1988" s="4" t="s">
        <v>123</v>
      </c>
      <c r="I1988" s="14"/>
    </row>
    <row r="1989" spans="1:9" x14ac:dyDescent="0.25">
      <c r="A1989" s="14">
        <v>2013</v>
      </c>
      <c r="B1989" s="14">
        <v>210</v>
      </c>
      <c r="C1989" s="20">
        <v>41484</v>
      </c>
      <c r="D1989" s="16">
        <v>0.56388888888888888</v>
      </c>
      <c r="E1989" s="14">
        <v>170</v>
      </c>
      <c r="F1989" s="23">
        <v>8</v>
      </c>
      <c r="G1989" s="17">
        <v>0.30754462005649719</v>
      </c>
      <c r="H1989" s="4" t="s">
        <v>123</v>
      </c>
      <c r="I1989" s="14"/>
    </row>
    <row r="1990" spans="1:9" x14ac:dyDescent="0.25">
      <c r="A1990" s="14">
        <v>2013</v>
      </c>
      <c r="B1990" s="14">
        <v>210</v>
      </c>
      <c r="C1990" s="20">
        <v>41484</v>
      </c>
      <c r="D1990" s="16">
        <v>0.57013888888888886</v>
      </c>
      <c r="E1990" s="14">
        <v>170</v>
      </c>
      <c r="F1990" s="23">
        <v>9</v>
      </c>
      <c r="G1990" s="17">
        <v>0.29934245833333334</v>
      </c>
      <c r="H1990" s="4" t="s">
        <v>123</v>
      </c>
      <c r="I1990" s="14"/>
    </row>
    <row r="1991" spans="1:9" x14ac:dyDescent="0.25">
      <c r="A1991" s="14">
        <v>2013</v>
      </c>
      <c r="B1991" s="14">
        <v>210</v>
      </c>
      <c r="C1991" s="20">
        <v>41484</v>
      </c>
      <c r="D1991" s="16">
        <v>0.57638888888888895</v>
      </c>
      <c r="E1991" s="14">
        <v>170</v>
      </c>
      <c r="F1991" s="23">
        <v>10</v>
      </c>
      <c r="G1991" s="17">
        <v>0.30654626624293785</v>
      </c>
      <c r="H1991" s="4" t="s">
        <v>123</v>
      </c>
      <c r="I1991" s="14"/>
    </row>
    <row r="1992" spans="1:9" x14ac:dyDescent="0.25">
      <c r="A1992" s="14">
        <v>2013</v>
      </c>
      <c r="B1992" s="14">
        <v>210</v>
      </c>
      <c r="C1992" s="20">
        <v>41484</v>
      </c>
      <c r="D1992" s="16">
        <v>0.58819444444444446</v>
      </c>
      <c r="E1992" s="14">
        <v>170</v>
      </c>
      <c r="F1992" s="23">
        <v>11</v>
      </c>
      <c r="G1992" s="17">
        <v>0.33005651977401129</v>
      </c>
      <c r="H1992" s="4" t="s">
        <v>124</v>
      </c>
      <c r="I1992" s="14"/>
    </row>
    <row r="1993" spans="1:9" x14ac:dyDescent="0.25">
      <c r="A1993" s="14">
        <v>2013</v>
      </c>
      <c r="B1993" s="14">
        <v>210</v>
      </c>
      <c r="C1993" s="20">
        <v>41484</v>
      </c>
      <c r="D1993" s="16">
        <v>0.59444444444444444</v>
      </c>
      <c r="E1993" s="14">
        <v>170</v>
      </c>
      <c r="F1993" s="23">
        <v>12</v>
      </c>
      <c r="G1993" s="17">
        <v>0.33592918926553672</v>
      </c>
      <c r="H1993" s="4" t="s">
        <v>124</v>
      </c>
      <c r="I1993" s="14"/>
    </row>
    <row r="1994" spans="1:9" x14ac:dyDescent="0.25">
      <c r="A1994" s="14">
        <v>2013</v>
      </c>
      <c r="B1994" s="14">
        <v>210</v>
      </c>
      <c r="C1994" s="20">
        <v>41484</v>
      </c>
      <c r="D1994" s="16">
        <v>0.60069444444444442</v>
      </c>
      <c r="E1994" s="14">
        <v>170</v>
      </c>
      <c r="F1994" s="23">
        <v>13</v>
      </c>
      <c r="G1994" s="17">
        <v>0.31320195833333336</v>
      </c>
      <c r="H1994" s="4" t="s">
        <v>124</v>
      </c>
      <c r="I1994" s="14"/>
    </row>
    <row r="1995" spans="1:9" x14ac:dyDescent="0.25">
      <c r="A1995" s="14">
        <v>2013</v>
      </c>
      <c r="B1995" s="14">
        <v>210</v>
      </c>
      <c r="C1995" s="20">
        <v>41484</v>
      </c>
      <c r="D1995" s="16">
        <v>0.60902777777777783</v>
      </c>
      <c r="E1995" s="14">
        <v>170</v>
      </c>
      <c r="F1995" s="23">
        <v>14</v>
      </c>
      <c r="G1995" s="17">
        <v>0.3195052902542373</v>
      </c>
      <c r="H1995" s="4" t="s">
        <v>124</v>
      </c>
      <c r="I1995" s="14"/>
    </row>
    <row r="1996" spans="1:9" x14ac:dyDescent="0.25">
      <c r="A1996" s="14">
        <v>2013</v>
      </c>
      <c r="B1996" s="14">
        <v>210</v>
      </c>
      <c r="C1996" s="20">
        <v>41484</v>
      </c>
      <c r="D1996" s="16">
        <v>0.61597222222222225</v>
      </c>
      <c r="E1996" s="14">
        <v>170</v>
      </c>
      <c r="F1996" s="23">
        <v>15</v>
      </c>
      <c r="G1996" s="17">
        <v>0.32937137500000002</v>
      </c>
      <c r="H1996" s="4" t="s">
        <v>1</v>
      </c>
      <c r="I1996" s="14"/>
    </row>
    <row r="1997" spans="1:9" x14ac:dyDescent="0.25">
      <c r="A1997" s="14">
        <v>2013</v>
      </c>
      <c r="B1997" s="14">
        <v>210</v>
      </c>
      <c r="C1997" s="20">
        <v>41484</v>
      </c>
      <c r="D1997" s="16">
        <v>0.62083333333333335</v>
      </c>
      <c r="E1997" s="14">
        <v>170</v>
      </c>
      <c r="F1997" s="23">
        <v>16</v>
      </c>
      <c r="G1997" s="17">
        <v>0.31948571468926551</v>
      </c>
      <c r="H1997" s="4" t="s">
        <v>1</v>
      </c>
      <c r="I1997" s="14"/>
    </row>
    <row r="1998" spans="1:9" x14ac:dyDescent="0.25">
      <c r="A1998" s="14">
        <v>2013</v>
      </c>
      <c r="B1998" s="14">
        <v>210</v>
      </c>
      <c r="C1998" s="20">
        <v>41484</v>
      </c>
      <c r="D1998" s="16">
        <v>0.62777777777777777</v>
      </c>
      <c r="E1998" s="14">
        <v>170</v>
      </c>
      <c r="F1998" s="23">
        <v>17</v>
      </c>
      <c r="G1998" s="17">
        <v>0.31958359251412433</v>
      </c>
      <c r="H1998" s="4" t="s">
        <v>124</v>
      </c>
      <c r="I1998" s="14"/>
    </row>
    <row r="1999" spans="1:9" x14ac:dyDescent="0.25">
      <c r="A1999" s="14">
        <v>2013</v>
      </c>
      <c r="B1999" s="14">
        <v>210</v>
      </c>
      <c r="C1999" s="20">
        <v>41484</v>
      </c>
      <c r="D1999" s="16">
        <v>0.63402777777777775</v>
      </c>
      <c r="E1999" s="14">
        <v>170</v>
      </c>
      <c r="F1999" s="23">
        <v>18</v>
      </c>
      <c r="G1999" s="17">
        <v>0.33152468714689265</v>
      </c>
      <c r="H1999" s="4" t="s">
        <v>124</v>
      </c>
      <c r="I1999" s="14"/>
    </row>
    <row r="2000" spans="1:9" x14ac:dyDescent="0.25">
      <c r="A2000" s="14">
        <v>2013</v>
      </c>
      <c r="B2000" s="14">
        <v>210</v>
      </c>
      <c r="C2000" s="20">
        <v>41484</v>
      </c>
      <c r="D2000" s="16">
        <v>0.64027777777777783</v>
      </c>
      <c r="E2000" s="14">
        <v>170</v>
      </c>
      <c r="F2000" s="23">
        <v>19</v>
      </c>
      <c r="G2000" s="17">
        <v>0.31298662711864406</v>
      </c>
      <c r="H2000" s="4" t="s">
        <v>124</v>
      </c>
      <c r="I2000" s="14"/>
    </row>
    <row r="2001" spans="1:9" x14ac:dyDescent="0.25">
      <c r="A2001" s="14">
        <v>2013</v>
      </c>
      <c r="B2001" s="14">
        <v>210</v>
      </c>
      <c r="C2001" s="20">
        <v>41484</v>
      </c>
      <c r="D2001" s="16">
        <v>0.64652777777777781</v>
      </c>
      <c r="E2001" s="14">
        <v>170</v>
      </c>
      <c r="F2001" s="23">
        <v>20</v>
      </c>
      <c r="G2001" s="17">
        <v>0.32451663488700566</v>
      </c>
      <c r="H2001" s="4" t="s">
        <v>124</v>
      </c>
      <c r="I2001" s="14"/>
    </row>
    <row r="2002" spans="1:9" x14ac:dyDescent="0.25">
      <c r="A2002" s="14">
        <v>2013</v>
      </c>
      <c r="B2002" s="14">
        <v>210</v>
      </c>
      <c r="C2002" s="20">
        <v>41484</v>
      </c>
      <c r="D2002" s="16">
        <v>0.52152777777777781</v>
      </c>
      <c r="E2002" s="14">
        <v>150</v>
      </c>
      <c r="F2002" s="23">
        <v>1</v>
      </c>
      <c r="G2002" s="17">
        <v>0.33612494491525424</v>
      </c>
      <c r="H2002" s="4" t="s">
        <v>123</v>
      </c>
      <c r="I2002" s="14"/>
    </row>
    <row r="2003" spans="1:9" x14ac:dyDescent="0.25">
      <c r="A2003" s="14">
        <v>2013</v>
      </c>
      <c r="B2003" s="14">
        <v>210</v>
      </c>
      <c r="C2003" s="20">
        <v>41484</v>
      </c>
      <c r="D2003" s="16">
        <v>0.52152777777777781</v>
      </c>
      <c r="E2003" s="14">
        <v>150</v>
      </c>
      <c r="F2003" s="23">
        <v>2</v>
      </c>
      <c r="G2003" s="17">
        <v>0.32915604378531077</v>
      </c>
      <c r="H2003" s="4" t="s">
        <v>123</v>
      </c>
      <c r="I2003" s="14"/>
    </row>
    <row r="2004" spans="1:9" x14ac:dyDescent="0.25">
      <c r="A2004" s="14">
        <v>2013</v>
      </c>
      <c r="B2004" s="14">
        <v>210</v>
      </c>
      <c r="C2004" s="20">
        <v>41484</v>
      </c>
      <c r="D2004" s="16">
        <v>0.52847222222222223</v>
      </c>
      <c r="E2004" s="14">
        <v>150</v>
      </c>
      <c r="F2004" s="23">
        <v>3</v>
      </c>
      <c r="G2004" s="17">
        <v>0.30821018926553673</v>
      </c>
      <c r="H2004" s="4" t="s">
        <v>123</v>
      </c>
      <c r="I2004" s="14"/>
    </row>
    <row r="2005" spans="1:9" x14ac:dyDescent="0.25">
      <c r="A2005" s="14">
        <v>2013</v>
      </c>
      <c r="B2005" s="14">
        <v>210</v>
      </c>
      <c r="C2005" s="20">
        <v>41484</v>
      </c>
      <c r="D2005" s="16">
        <v>0.53472222222222221</v>
      </c>
      <c r="E2005" s="14">
        <v>150</v>
      </c>
      <c r="F2005" s="23">
        <v>4</v>
      </c>
      <c r="G2005" s="17">
        <v>0.2968759371468927</v>
      </c>
      <c r="H2005" s="4" t="s">
        <v>123</v>
      </c>
      <c r="I2005" s="14"/>
    </row>
    <row r="2006" spans="1:9" x14ac:dyDescent="0.25">
      <c r="A2006" s="14">
        <v>2013</v>
      </c>
      <c r="B2006" s="14">
        <v>210</v>
      </c>
      <c r="C2006" s="20">
        <v>41484</v>
      </c>
      <c r="D2006" s="16">
        <v>0.54166666666666663</v>
      </c>
      <c r="E2006" s="14">
        <v>150</v>
      </c>
      <c r="F2006" s="23">
        <v>5</v>
      </c>
      <c r="G2006" s="17">
        <v>0.36135784816384181</v>
      </c>
      <c r="H2006" s="4" t="s">
        <v>0</v>
      </c>
      <c r="I2006" s="14"/>
    </row>
    <row r="2007" spans="1:9" x14ac:dyDescent="0.25">
      <c r="A2007" s="14">
        <v>2013</v>
      </c>
      <c r="B2007" s="14">
        <v>210</v>
      </c>
      <c r="C2007" s="20">
        <v>41484</v>
      </c>
      <c r="D2007" s="16">
        <v>0.55208333333333337</v>
      </c>
      <c r="E2007" s="14">
        <v>150</v>
      </c>
      <c r="F2007" s="23">
        <v>6</v>
      </c>
      <c r="G2007" s="17">
        <v>0.34597145409604524</v>
      </c>
      <c r="H2007" s="4" t="s">
        <v>0</v>
      </c>
      <c r="I2007" s="14"/>
    </row>
    <row r="2008" spans="1:9" x14ac:dyDescent="0.25">
      <c r="A2008" s="14">
        <v>2013</v>
      </c>
      <c r="B2008" s="14">
        <v>210</v>
      </c>
      <c r="C2008" s="20">
        <v>41484</v>
      </c>
      <c r="D2008" s="16">
        <v>0.55763888888888891</v>
      </c>
      <c r="E2008" s="14">
        <v>150</v>
      </c>
      <c r="F2008" s="23">
        <v>7</v>
      </c>
      <c r="G2008" s="17">
        <v>0.3233225254237288</v>
      </c>
      <c r="H2008" s="4" t="s">
        <v>123</v>
      </c>
      <c r="I2008" s="14"/>
    </row>
    <row r="2009" spans="1:9" x14ac:dyDescent="0.25">
      <c r="A2009" s="14">
        <v>2013</v>
      </c>
      <c r="B2009" s="14">
        <v>210</v>
      </c>
      <c r="C2009" s="20">
        <v>41484</v>
      </c>
      <c r="D2009" s="16">
        <v>0.56388888888888888</v>
      </c>
      <c r="E2009" s="14">
        <v>150</v>
      </c>
      <c r="F2009" s="23">
        <v>8</v>
      </c>
      <c r="G2009" s="17">
        <v>0.33753438559322035</v>
      </c>
      <c r="H2009" s="4" t="s">
        <v>123</v>
      </c>
      <c r="I2009" s="14"/>
    </row>
    <row r="2010" spans="1:9" x14ac:dyDescent="0.25">
      <c r="A2010" s="14">
        <v>2013</v>
      </c>
      <c r="B2010" s="14">
        <v>210</v>
      </c>
      <c r="C2010" s="20">
        <v>41484</v>
      </c>
      <c r="D2010" s="16">
        <v>0.57013888888888886</v>
      </c>
      <c r="E2010" s="14">
        <v>150</v>
      </c>
      <c r="F2010" s="23">
        <v>9</v>
      </c>
      <c r="G2010" s="17">
        <v>0.32980203742937853</v>
      </c>
      <c r="H2010" s="4" t="s">
        <v>123</v>
      </c>
      <c r="I2010" s="14"/>
    </row>
    <row r="2011" spans="1:9" x14ac:dyDescent="0.25">
      <c r="A2011" s="14">
        <v>2013</v>
      </c>
      <c r="B2011" s="14">
        <v>210</v>
      </c>
      <c r="C2011" s="20">
        <v>41484</v>
      </c>
      <c r="D2011" s="16">
        <v>0.57638888888888895</v>
      </c>
      <c r="E2011" s="14">
        <v>150</v>
      </c>
      <c r="F2011" s="23">
        <v>10</v>
      </c>
      <c r="G2011" s="17">
        <v>0.34818349293785311</v>
      </c>
      <c r="H2011" s="4" t="s">
        <v>123</v>
      </c>
      <c r="I2011" s="14"/>
    </row>
    <row r="2012" spans="1:9" x14ac:dyDescent="0.25">
      <c r="A2012" s="14">
        <v>2013</v>
      </c>
      <c r="B2012" s="14">
        <v>210</v>
      </c>
      <c r="C2012" s="20">
        <v>41484</v>
      </c>
      <c r="D2012" s="16">
        <v>0.58819444444444446</v>
      </c>
      <c r="E2012" s="14">
        <v>150</v>
      </c>
      <c r="F2012" s="23">
        <v>11</v>
      </c>
      <c r="G2012" s="17">
        <v>0.33555725353107346</v>
      </c>
      <c r="H2012" s="4" t="s">
        <v>124</v>
      </c>
      <c r="I2012" s="14"/>
    </row>
    <row r="2013" spans="1:9" x14ac:dyDescent="0.25">
      <c r="A2013" s="14">
        <v>2013</v>
      </c>
      <c r="B2013" s="14">
        <v>210</v>
      </c>
      <c r="C2013" s="20">
        <v>41484</v>
      </c>
      <c r="D2013" s="16">
        <v>0.59444444444444444</v>
      </c>
      <c r="E2013" s="14">
        <v>150</v>
      </c>
      <c r="F2013" s="23">
        <v>12</v>
      </c>
      <c r="G2013" s="17">
        <v>0.33338436581920905</v>
      </c>
      <c r="H2013" s="4" t="s">
        <v>124</v>
      </c>
      <c r="I2013" s="14"/>
    </row>
    <row r="2014" spans="1:9" x14ac:dyDescent="0.25">
      <c r="A2014" s="14">
        <v>2013</v>
      </c>
      <c r="B2014" s="14">
        <v>210</v>
      </c>
      <c r="C2014" s="20">
        <v>41484</v>
      </c>
      <c r="D2014" s="16">
        <v>0.60069444444444442</v>
      </c>
      <c r="E2014" s="14">
        <v>150</v>
      </c>
      <c r="F2014" s="23">
        <v>13</v>
      </c>
      <c r="G2014" s="17">
        <v>0.31488545692090397</v>
      </c>
      <c r="H2014" s="4" t="s">
        <v>124</v>
      </c>
      <c r="I2014" s="14"/>
    </row>
    <row r="2015" spans="1:9" x14ac:dyDescent="0.25">
      <c r="A2015" s="14">
        <v>2013</v>
      </c>
      <c r="B2015" s="14">
        <v>210</v>
      </c>
      <c r="C2015" s="20">
        <v>41484</v>
      </c>
      <c r="D2015" s="16">
        <v>0.60902777777777783</v>
      </c>
      <c r="E2015" s="14">
        <v>150</v>
      </c>
      <c r="F2015" s="23">
        <v>14</v>
      </c>
      <c r="G2015" s="17">
        <v>0.30261157768361585</v>
      </c>
      <c r="H2015" s="4" t="s">
        <v>124</v>
      </c>
      <c r="I2015" s="14"/>
    </row>
    <row r="2016" spans="1:9" x14ac:dyDescent="0.25">
      <c r="A2016" s="14">
        <v>2013</v>
      </c>
      <c r="B2016" s="14">
        <v>210</v>
      </c>
      <c r="C2016" s="20">
        <v>41484</v>
      </c>
      <c r="D2016" s="16">
        <v>0.61597222222222225</v>
      </c>
      <c r="E2016" s="14">
        <v>150</v>
      </c>
      <c r="F2016" s="23">
        <v>15</v>
      </c>
      <c r="G2016" s="17">
        <v>0.33782801906779664</v>
      </c>
      <c r="H2016" s="4" t="s">
        <v>1</v>
      </c>
      <c r="I2016" s="14"/>
    </row>
    <row r="2017" spans="1:9" x14ac:dyDescent="0.25">
      <c r="A2017" s="14">
        <v>2013</v>
      </c>
      <c r="B2017" s="14">
        <v>210</v>
      </c>
      <c r="C2017" s="20">
        <v>41484</v>
      </c>
      <c r="D2017" s="16">
        <v>0.62083333333333335</v>
      </c>
      <c r="E2017" s="14">
        <v>150</v>
      </c>
      <c r="F2017" s="23">
        <v>16</v>
      </c>
      <c r="G2017" s="17">
        <v>0.32986076412429377</v>
      </c>
      <c r="H2017" s="4" t="s">
        <v>1</v>
      </c>
      <c r="I2017" s="14"/>
    </row>
    <row r="2018" spans="1:9" x14ac:dyDescent="0.25">
      <c r="A2018" s="14">
        <v>2013</v>
      </c>
      <c r="B2018" s="14">
        <v>210</v>
      </c>
      <c r="C2018" s="20">
        <v>41484</v>
      </c>
      <c r="D2018" s="16">
        <v>0.62777777777777777</v>
      </c>
      <c r="E2018" s="14">
        <v>150</v>
      </c>
      <c r="F2018" s="23">
        <v>17</v>
      </c>
      <c r="G2018" s="17">
        <v>0.31987722598870061</v>
      </c>
      <c r="H2018" s="4" t="s">
        <v>124</v>
      </c>
      <c r="I2018" s="14"/>
    </row>
    <row r="2019" spans="1:9" x14ac:dyDescent="0.25">
      <c r="A2019" s="14">
        <v>2013</v>
      </c>
      <c r="B2019" s="14">
        <v>210</v>
      </c>
      <c r="C2019" s="20">
        <v>41484</v>
      </c>
      <c r="D2019" s="16">
        <v>0.63402777777777775</v>
      </c>
      <c r="E2019" s="14">
        <v>150</v>
      </c>
      <c r="F2019" s="23">
        <v>18</v>
      </c>
      <c r="G2019" s="17">
        <v>0.33219025635593219</v>
      </c>
      <c r="H2019" s="4" t="s">
        <v>124</v>
      </c>
      <c r="I2019" s="14"/>
    </row>
    <row r="2020" spans="1:9" x14ac:dyDescent="0.25">
      <c r="A2020" s="14">
        <v>2013</v>
      </c>
      <c r="B2020" s="14">
        <v>210</v>
      </c>
      <c r="C2020" s="20">
        <v>41484</v>
      </c>
      <c r="D2020" s="16">
        <v>0.64027777777777783</v>
      </c>
      <c r="E2020" s="14">
        <v>150</v>
      </c>
      <c r="F2020" s="23">
        <v>19</v>
      </c>
      <c r="G2020" s="17">
        <v>0.33150511158192092</v>
      </c>
      <c r="H2020" s="4" t="s">
        <v>124</v>
      </c>
      <c r="I2020" s="14"/>
    </row>
    <row r="2021" spans="1:9" x14ac:dyDescent="0.25">
      <c r="A2021" s="14">
        <v>2013</v>
      </c>
      <c r="B2021" s="14">
        <v>210</v>
      </c>
      <c r="C2021" s="20">
        <v>41484</v>
      </c>
      <c r="D2021" s="16">
        <v>0.64652777777777781</v>
      </c>
      <c r="E2021" s="14">
        <v>150</v>
      </c>
      <c r="F2021" s="23">
        <v>20</v>
      </c>
      <c r="G2021" s="17">
        <v>0.34597145409604524</v>
      </c>
      <c r="H2021" s="4" t="s">
        <v>124</v>
      </c>
      <c r="I2021" s="14"/>
    </row>
    <row r="2022" spans="1:9" x14ac:dyDescent="0.25">
      <c r="A2022" s="14">
        <v>2013</v>
      </c>
      <c r="B2022" s="14">
        <v>210</v>
      </c>
      <c r="C2022" s="20">
        <v>41484</v>
      </c>
      <c r="D2022" s="16">
        <v>0.52152777777777781</v>
      </c>
      <c r="E2022" s="14">
        <v>130</v>
      </c>
      <c r="F2022" s="23">
        <v>1</v>
      </c>
      <c r="G2022" s="17">
        <v>0.31836990748587574</v>
      </c>
      <c r="H2022" s="4" t="s">
        <v>123</v>
      </c>
      <c r="I2022" s="14"/>
    </row>
    <row r="2023" spans="1:9" x14ac:dyDescent="0.25">
      <c r="A2023" s="14">
        <v>2013</v>
      </c>
      <c r="B2023" s="14">
        <v>210</v>
      </c>
      <c r="C2023" s="20">
        <v>41484</v>
      </c>
      <c r="D2023" s="16">
        <v>0.52152777777777781</v>
      </c>
      <c r="E2023" s="14">
        <v>130</v>
      </c>
      <c r="F2023" s="23">
        <v>2</v>
      </c>
      <c r="G2023" s="17">
        <v>0.30742716666666664</v>
      </c>
      <c r="H2023" s="4" t="s">
        <v>123</v>
      </c>
      <c r="I2023" s="14"/>
    </row>
    <row r="2024" spans="1:9" x14ac:dyDescent="0.25">
      <c r="A2024" s="14">
        <v>2013</v>
      </c>
      <c r="B2024" s="14">
        <v>210</v>
      </c>
      <c r="C2024" s="20">
        <v>41484</v>
      </c>
      <c r="D2024" s="16">
        <v>0.52847222222222223</v>
      </c>
      <c r="E2024" s="14">
        <v>130</v>
      </c>
      <c r="F2024" s="23">
        <v>3</v>
      </c>
      <c r="G2024" s="17">
        <v>0.30570451694915257</v>
      </c>
      <c r="H2024" s="4" t="s">
        <v>123</v>
      </c>
      <c r="I2024" s="14"/>
    </row>
    <row r="2025" spans="1:9" x14ac:dyDescent="0.25">
      <c r="A2025" s="14">
        <v>2013</v>
      </c>
      <c r="B2025" s="14">
        <v>210</v>
      </c>
      <c r="C2025" s="20">
        <v>41484</v>
      </c>
      <c r="D2025" s="16">
        <v>0.53472222222222221</v>
      </c>
      <c r="E2025" s="14">
        <v>130</v>
      </c>
      <c r="F2025" s="23">
        <v>4</v>
      </c>
      <c r="G2025" s="17">
        <v>0.31118567514124296</v>
      </c>
      <c r="H2025" s="4" t="s">
        <v>123</v>
      </c>
      <c r="I2025" s="14"/>
    </row>
    <row r="2026" spans="1:9" x14ac:dyDescent="0.25">
      <c r="A2026" s="14">
        <v>2013</v>
      </c>
      <c r="B2026" s="14">
        <v>210</v>
      </c>
      <c r="C2026" s="20">
        <v>41484</v>
      </c>
      <c r="D2026" s="16">
        <v>0.54166666666666663</v>
      </c>
      <c r="E2026" s="14">
        <v>130</v>
      </c>
      <c r="F2026" s="23">
        <v>5</v>
      </c>
      <c r="G2026" s="17">
        <v>0.31296705155367233</v>
      </c>
      <c r="H2026" s="4" t="s">
        <v>0</v>
      </c>
      <c r="I2026" s="14"/>
    </row>
    <row r="2027" spans="1:9" x14ac:dyDescent="0.25">
      <c r="A2027" s="14">
        <v>2013</v>
      </c>
      <c r="B2027" s="14">
        <v>210</v>
      </c>
      <c r="C2027" s="20">
        <v>41484</v>
      </c>
      <c r="D2027" s="16">
        <v>0.55208333333333337</v>
      </c>
      <c r="E2027" s="14">
        <v>130</v>
      </c>
      <c r="F2027" s="23">
        <v>6</v>
      </c>
      <c r="G2027" s="17">
        <v>0.30108468361581919</v>
      </c>
      <c r="H2027" s="4" t="s">
        <v>0</v>
      </c>
      <c r="I2027" s="14"/>
    </row>
    <row r="2028" spans="1:9" x14ac:dyDescent="0.25">
      <c r="A2028" s="14">
        <v>2013</v>
      </c>
      <c r="B2028" s="14">
        <v>210</v>
      </c>
      <c r="C2028" s="20">
        <v>41484</v>
      </c>
      <c r="D2028" s="16">
        <v>0.55763888888888891</v>
      </c>
      <c r="E2028" s="14">
        <v>130</v>
      </c>
      <c r="F2028" s="23">
        <v>7</v>
      </c>
      <c r="G2028" s="17">
        <v>0.30948260098870056</v>
      </c>
      <c r="H2028" s="4" t="s">
        <v>123</v>
      </c>
      <c r="I2028" s="14"/>
    </row>
    <row r="2029" spans="1:9" x14ac:dyDescent="0.25">
      <c r="A2029" s="14">
        <v>2013</v>
      </c>
      <c r="B2029" s="14">
        <v>210</v>
      </c>
      <c r="C2029" s="20">
        <v>41484</v>
      </c>
      <c r="D2029" s="16">
        <v>0.56388888888888888</v>
      </c>
      <c r="E2029" s="14">
        <v>130</v>
      </c>
      <c r="F2029" s="23">
        <v>8</v>
      </c>
      <c r="G2029" s="17">
        <v>0.34219337005649714</v>
      </c>
      <c r="H2029" s="4" t="s">
        <v>123</v>
      </c>
      <c r="I2029" s="14"/>
    </row>
    <row r="2030" spans="1:9" x14ac:dyDescent="0.25">
      <c r="A2030" s="14">
        <v>2013</v>
      </c>
      <c r="B2030" s="14">
        <v>210</v>
      </c>
      <c r="C2030" s="20">
        <v>41484</v>
      </c>
      <c r="D2030" s="16">
        <v>0.57013888888888886</v>
      </c>
      <c r="E2030" s="14">
        <v>130</v>
      </c>
      <c r="F2030" s="23">
        <v>9</v>
      </c>
      <c r="G2030" s="17">
        <v>0.30300308898305084</v>
      </c>
      <c r="H2030" s="4" t="s">
        <v>123</v>
      </c>
      <c r="I2030" s="14"/>
    </row>
    <row r="2031" spans="1:9" x14ac:dyDescent="0.25">
      <c r="A2031" s="14">
        <v>2013</v>
      </c>
      <c r="B2031" s="14">
        <v>210</v>
      </c>
      <c r="C2031" s="20">
        <v>41484</v>
      </c>
      <c r="D2031" s="16">
        <v>0.57638888888888895</v>
      </c>
      <c r="E2031" s="14">
        <v>130</v>
      </c>
      <c r="F2031" s="23">
        <v>10</v>
      </c>
      <c r="G2031" s="17">
        <v>0.3091106652542373</v>
      </c>
      <c r="H2031" s="4" t="s">
        <v>123</v>
      </c>
      <c r="I2031" s="14"/>
    </row>
    <row r="2032" spans="1:9" x14ac:dyDescent="0.25">
      <c r="A2032" s="14">
        <v>2013</v>
      </c>
      <c r="B2032" s="14">
        <v>210</v>
      </c>
      <c r="C2032" s="20">
        <v>41484</v>
      </c>
      <c r="D2032" s="16">
        <v>0.58819444444444446</v>
      </c>
      <c r="E2032" s="14">
        <v>130</v>
      </c>
      <c r="F2032" s="23">
        <v>11</v>
      </c>
      <c r="G2032" s="17">
        <v>0.30909108968926557</v>
      </c>
      <c r="H2032" s="4" t="s">
        <v>124</v>
      </c>
      <c r="I2032" s="14"/>
    </row>
    <row r="2033" spans="1:9" x14ac:dyDescent="0.25">
      <c r="A2033" s="14">
        <v>2013</v>
      </c>
      <c r="B2033" s="14">
        <v>210</v>
      </c>
      <c r="C2033" s="20">
        <v>41484</v>
      </c>
      <c r="D2033" s="16">
        <v>0.59444444444444444</v>
      </c>
      <c r="E2033" s="14">
        <v>130</v>
      </c>
      <c r="F2033" s="23">
        <v>12</v>
      </c>
      <c r="G2033" s="17">
        <v>0.29564267655367232</v>
      </c>
      <c r="H2033" s="4" t="s">
        <v>124</v>
      </c>
      <c r="I2033" s="14"/>
    </row>
    <row r="2034" spans="1:9" x14ac:dyDescent="0.25">
      <c r="A2034" s="14">
        <v>2013</v>
      </c>
      <c r="B2034" s="14">
        <v>210</v>
      </c>
      <c r="C2034" s="20">
        <v>41484</v>
      </c>
      <c r="D2034" s="16">
        <v>0.60069444444444442</v>
      </c>
      <c r="E2034" s="14">
        <v>130</v>
      </c>
      <c r="F2034" s="23">
        <v>13</v>
      </c>
      <c r="G2034" s="17">
        <v>0.32692442937853106</v>
      </c>
      <c r="H2034" s="4" t="s">
        <v>124</v>
      </c>
      <c r="I2034" s="14"/>
    </row>
    <row r="2035" spans="1:9" x14ac:dyDescent="0.25">
      <c r="A2035" s="14">
        <v>2013</v>
      </c>
      <c r="B2035" s="14">
        <v>210</v>
      </c>
      <c r="C2035" s="20">
        <v>41484</v>
      </c>
      <c r="D2035" s="16">
        <v>0.60902777777777783</v>
      </c>
      <c r="E2035" s="14">
        <v>130</v>
      </c>
      <c r="F2035" s="23">
        <v>14</v>
      </c>
      <c r="G2035" s="17">
        <v>0.31290832485875708</v>
      </c>
      <c r="H2035" s="4" t="s">
        <v>124</v>
      </c>
      <c r="I2035" s="14"/>
    </row>
    <row r="2036" spans="1:9" x14ac:dyDescent="0.25">
      <c r="A2036" s="14">
        <v>2013</v>
      </c>
      <c r="B2036" s="14">
        <v>210</v>
      </c>
      <c r="C2036" s="20">
        <v>41484</v>
      </c>
      <c r="D2036" s="16">
        <v>0.61597222222222225</v>
      </c>
      <c r="E2036" s="14">
        <v>130</v>
      </c>
      <c r="F2036" s="23">
        <v>15</v>
      </c>
      <c r="G2036" s="17">
        <v>0.29579928107344633</v>
      </c>
      <c r="H2036" s="4" t="s">
        <v>1</v>
      </c>
      <c r="I2036" s="14"/>
    </row>
    <row r="2037" spans="1:9" x14ac:dyDescent="0.25">
      <c r="A2037" s="14">
        <v>2013</v>
      </c>
      <c r="B2037" s="14">
        <v>210</v>
      </c>
      <c r="C2037" s="20">
        <v>41484</v>
      </c>
      <c r="D2037" s="16">
        <v>0.62083333333333335</v>
      </c>
      <c r="E2037" s="14">
        <v>130</v>
      </c>
      <c r="F2037" s="23">
        <v>16</v>
      </c>
      <c r="G2037" s="17">
        <v>0.29213865042372883</v>
      </c>
      <c r="H2037" s="4" t="s">
        <v>1</v>
      </c>
      <c r="I2037" s="14"/>
    </row>
    <row r="2038" spans="1:9" x14ac:dyDescent="0.25">
      <c r="A2038" s="14">
        <v>2013</v>
      </c>
      <c r="B2038" s="14">
        <v>210</v>
      </c>
      <c r="C2038" s="20">
        <v>41484</v>
      </c>
      <c r="D2038" s="16">
        <v>0.62777777777777777</v>
      </c>
      <c r="E2038" s="14">
        <v>130</v>
      </c>
      <c r="F2038" s="23">
        <v>17</v>
      </c>
      <c r="G2038" s="17">
        <v>0.30932599646892656</v>
      </c>
      <c r="H2038" s="4" t="s">
        <v>124</v>
      </c>
      <c r="I2038" s="14"/>
    </row>
    <row r="2039" spans="1:9" x14ac:dyDescent="0.25">
      <c r="A2039" s="14">
        <v>2013</v>
      </c>
      <c r="B2039" s="14">
        <v>210</v>
      </c>
      <c r="C2039" s="20">
        <v>41484</v>
      </c>
      <c r="D2039" s="16">
        <v>0.63402777777777775</v>
      </c>
      <c r="E2039" s="14">
        <v>130</v>
      </c>
      <c r="F2039" s="23">
        <v>18</v>
      </c>
      <c r="G2039" s="17">
        <v>0.3093847231638418</v>
      </c>
      <c r="H2039" s="4" t="s">
        <v>124</v>
      </c>
      <c r="I2039" s="14"/>
    </row>
    <row r="2040" spans="1:9" x14ac:dyDescent="0.25">
      <c r="A2040" s="14">
        <v>2013</v>
      </c>
      <c r="B2040" s="14">
        <v>210</v>
      </c>
      <c r="C2040" s="20">
        <v>41484</v>
      </c>
      <c r="D2040" s="16">
        <v>0.64027777777777783</v>
      </c>
      <c r="E2040" s="14">
        <v>130</v>
      </c>
      <c r="F2040" s="23">
        <v>19</v>
      </c>
      <c r="G2040" s="17">
        <v>0.30764249788135595</v>
      </c>
      <c r="H2040" s="4" t="s">
        <v>124</v>
      </c>
      <c r="I2040" s="14"/>
    </row>
    <row r="2041" spans="1:9" x14ac:dyDescent="0.25">
      <c r="A2041" s="14">
        <v>2013</v>
      </c>
      <c r="B2041" s="14">
        <v>210</v>
      </c>
      <c r="C2041" s="20">
        <v>41484</v>
      </c>
      <c r="D2041" s="16">
        <v>0.64652777777777781</v>
      </c>
      <c r="E2041" s="14">
        <v>130</v>
      </c>
      <c r="F2041" s="23">
        <v>20</v>
      </c>
      <c r="G2041" s="17">
        <v>0.29763938418079094</v>
      </c>
      <c r="H2041" s="4" t="s">
        <v>124</v>
      </c>
      <c r="I2041" s="14"/>
    </row>
    <row r="2042" spans="1:9" x14ac:dyDescent="0.25">
      <c r="A2042" s="14">
        <v>2013</v>
      </c>
      <c r="B2042" s="14">
        <v>210</v>
      </c>
      <c r="C2042" s="20">
        <v>41484</v>
      </c>
      <c r="D2042" s="16">
        <v>0.52152777777777781</v>
      </c>
      <c r="E2042" s="14">
        <v>110</v>
      </c>
      <c r="F2042" s="23">
        <v>1</v>
      </c>
      <c r="G2042" s="17">
        <v>0.34523593220338983</v>
      </c>
      <c r="H2042" s="4" t="s">
        <v>123</v>
      </c>
      <c r="I2042" s="14"/>
    </row>
    <row r="2043" spans="1:9" x14ac:dyDescent="0.25">
      <c r="A2043" s="14">
        <v>2013</v>
      </c>
      <c r="B2043" s="14">
        <v>210</v>
      </c>
      <c r="C2043" s="20">
        <v>41484</v>
      </c>
      <c r="D2043" s="16">
        <v>0.52152777777777781</v>
      </c>
      <c r="E2043" s="14">
        <v>110</v>
      </c>
      <c r="F2043" s="23">
        <v>2</v>
      </c>
      <c r="G2043" s="17">
        <v>0.33779757980225988</v>
      </c>
      <c r="H2043" s="4" t="s">
        <v>123</v>
      </c>
      <c r="I2043" s="14"/>
    </row>
    <row r="2044" spans="1:9" x14ac:dyDescent="0.25">
      <c r="A2044" s="14">
        <v>2013</v>
      </c>
      <c r="B2044" s="14">
        <v>210</v>
      </c>
      <c r="C2044" s="20">
        <v>41484</v>
      </c>
      <c r="D2044" s="16">
        <v>0.52847222222222223</v>
      </c>
      <c r="E2044" s="14">
        <v>110</v>
      </c>
      <c r="F2044" s="23">
        <v>3</v>
      </c>
      <c r="G2044" s="17">
        <v>0.3243947281073446</v>
      </c>
      <c r="H2044" s="4" t="s">
        <v>123</v>
      </c>
      <c r="I2044" s="14"/>
    </row>
    <row r="2045" spans="1:9" x14ac:dyDescent="0.25">
      <c r="A2045" s="14">
        <v>2013</v>
      </c>
      <c r="B2045" s="14">
        <v>210</v>
      </c>
      <c r="C2045" s="20">
        <v>41484</v>
      </c>
      <c r="D2045" s="16">
        <v>0.53472222222222221</v>
      </c>
      <c r="E2045" s="14">
        <v>110</v>
      </c>
      <c r="F2045" s="23">
        <v>4</v>
      </c>
      <c r="G2045" s="17">
        <v>0.33851147740112991</v>
      </c>
      <c r="H2045" s="4" t="s">
        <v>123</v>
      </c>
      <c r="I2045" s="14"/>
    </row>
    <row r="2046" spans="1:9" x14ac:dyDescent="0.25">
      <c r="A2046" s="14">
        <v>2013</v>
      </c>
      <c r="B2046" s="14">
        <v>210</v>
      </c>
      <c r="C2046" s="20">
        <v>41484</v>
      </c>
      <c r="D2046" s="16">
        <v>0.54166666666666663</v>
      </c>
      <c r="E2046" s="14">
        <v>110</v>
      </c>
      <c r="F2046" s="23">
        <v>5</v>
      </c>
      <c r="G2046" s="17">
        <v>0.32153913771186438</v>
      </c>
      <c r="H2046" s="4" t="s">
        <v>0</v>
      </c>
      <c r="I2046" s="14"/>
    </row>
    <row r="2047" spans="1:9" x14ac:dyDescent="0.25">
      <c r="A2047" s="14">
        <v>2013</v>
      </c>
      <c r="B2047" s="14">
        <v>210</v>
      </c>
      <c r="C2047" s="20">
        <v>41484</v>
      </c>
      <c r="D2047" s="16">
        <v>0.55208333333333337</v>
      </c>
      <c r="E2047" s="14">
        <v>110</v>
      </c>
      <c r="F2047" s="23">
        <v>6</v>
      </c>
      <c r="G2047" s="17">
        <v>0.31246572951977403</v>
      </c>
      <c r="H2047" s="4" t="s">
        <v>0</v>
      </c>
      <c r="I2047" s="14"/>
    </row>
    <row r="2048" spans="1:9" x14ac:dyDescent="0.25">
      <c r="A2048" s="14">
        <v>2013</v>
      </c>
      <c r="B2048" s="14">
        <v>210</v>
      </c>
      <c r="C2048" s="20">
        <v>41484</v>
      </c>
      <c r="D2048" s="16">
        <v>0.55763888888888891</v>
      </c>
      <c r="E2048" s="14">
        <v>110</v>
      </c>
      <c r="F2048" s="23">
        <v>7</v>
      </c>
      <c r="G2048" s="17">
        <v>0.33920234604519772</v>
      </c>
      <c r="H2048" s="4" t="s">
        <v>123</v>
      </c>
      <c r="I2048" s="14"/>
    </row>
    <row r="2049" spans="1:9" x14ac:dyDescent="0.25">
      <c r="A2049" s="14">
        <v>2013</v>
      </c>
      <c r="B2049" s="14">
        <v>210</v>
      </c>
      <c r="C2049" s="20">
        <v>41484</v>
      </c>
      <c r="D2049" s="16">
        <v>0.56388888888888888</v>
      </c>
      <c r="E2049" s="14">
        <v>110</v>
      </c>
      <c r="F2049" s="23">
        <v>8</v>
      </c>
      <c r="G2049" s="17">
        <v>0.34320938418079094</v>
      </c>
      <c r="H2049" s="4" t="s">
        <v>123</v>
      </c>
      <c r="I2049" s="14"/>
    </row>
    <row r="2050" spans="1:9" x14ac:dyDescent="0.25">
      <c r="A2050" s="14">
        <v>2013</v>
      </c>
      <c r="B2050" s="14">
        <v>210</v>
      </c>
      <c r="C2050" s="20">
        <v>41484</v>
      </c>
      <c r="D2050" s="16">
        <v>0.57013888888888886</v>
      </c>
      <c r="E2050" s="14">
        <v>110</v>
      </c>
      <c r="F2050" s="23">
        <v>9</v>
      </c>
      <c r="G2050" s="17">
        <v>0.33563285805084747</v>
      </c>
      <c r="H2050" s="4" t="s">
        <v>123</v>
      </c>
      <c r="I2050" s="14"/>
    </row>
    <row r="2051" spans="1:9" x14ac:dyDescent="0.25">
      <c r="A2051" s="14">
        <v>2013</v>
      </c>
      <c r="B2051" s="14">
        <v>210</v>
      </c>
      <c r="C2051" s="20">
        <v>41484</v>
      </c>
      <c r="D2051" s="16">
        <v>0.57638888888888895</v>
      </c>
      <c r="E2051" s="14">
        <v>110</v>
      </c>
      <c r="F2051" s="23">
        <v>10</v>
      </c>
      <c r="G2051" s="17">
        <v>0.3353565105932203</v>
      </c>
      <c r="H2051" s="4" t="s">
        <v>123</v>
      </c>
      <c r="I2051" s="14"/>
    </row>
    <row r="2052" spans="1:9" x14ac:dyDescent="0.25">
      <c r="A2052" s="14">
        <v>2013</v>
      </c>
      <c r="B2052" s="14">
        <v>210</v>
      </c>
      <c r="C2052" s="20">
        <v>41484</v>
      </c>
      <c r="D2052" s="16">
        <v>0.58819444444444446</v>
      </c>
      <c r="E2052" s="14">
        <v>110</v>
      </c>
      <c r="F2052" s="23">
        <v>11</v>
      </c>
      <c r="G2052" s="17">
        <v>0.32939201129943502</v>
      </c>
      <c r="H2052" s="4" t="s">
        <v>124</v>
      </c>
      <c r="I2052" s="14"/>
    </row>
    <row r="2053" spans="1:9" x14ac:dyDescent="0.25">
      <c r="A2053" s="14">
        <v>2013</v>
      </c>
      <c r="B2053" s="14">
        <v>210</v>
      </c>
      <c r="C2053" s="20">
        <v>41484</v>
      </c>
      <c r="D2053" s="16">
        <v>0.59444444444444444</v>
      </c>
      <c r="E2053" s="14">
        <v>110</v>
      </c>
      <c r="F2053" s="23">
        <v>12</v>
      </c>
      <c r="G2053" s="17">
        <v>0.34005441737288133</v>
      </c>
      <c r="H2053" s="4" t="s">
        <v>124</v>
      </c>
      <c r="I2053" s="14"/>
    </row>
    <row r="2054" spans="1:9" x14ac:dyDescent="0.25">
      <c r="A2054" s="14">
        <v>2013</v>
      </c>
      <c r="B2054" s="14">
        <v>210</v>
      </c>
      <c r="C2054" s="20">
        <v>41484</v>
      </c>
      <c r="D2054" s="16">
        <v>0.60069444444444442</v>
      </c>
      <c r="E2054" s="14">
        <v>110</v>
      </c>
      <c r="F2054" s="23">
        <v>13</v>
      </c>
      <c r="G2054" s="17">
        <v>0.3430021235875706</v>
      </c>
      <c r="H2054" s="4" t="s">
        <v>124</v>
      </c>
      <c r="I2054" s="14"/>
    </row>
    <row r="2055" spans="1:9" x14ac:dyDescent="0.25">
      <c r="A2055" s="14">
        <v>2013</v>
      </c>
      <c r="B2055" s="14">
        <v>210</v>
      </c>
      <c r="C2055" s="20">
        <v>41484</v>
      </c>
      <c r="D2055" s="16">
        <v>0.60902777777777783</v>
      </c>
      <c r="E2055" s="14">
        <v>110</v>
      </c>
      <c r="F2055" s="23">
        <v>14</v>
      </c>
      <c r="G2055" s="17">
        <v>0.32179245621468927</v>
      </c>
      <c r="H2055" s="4" t="s">
        <v>124</v>
      </c>
      <c r="I2055" s="14"/>
    </row>
    <row r="2056" spans="1:9" x14ac:dyDescent="0.25">
      <c r="A2056" s="14">
        <v>2013</v>
      </c>
      <c r="B2056" s="14">
        <v>210</v>
      </c>
      <c r="C2056" s="20">
        <v>41484</v>
      </c>
      <c r="D2056" s="16">
        <v>0.61597222222222225</v>
      </c>
      <c r="E2056" s="14">
        <v>110</v>
      </c>
      <c r="F2056" s="23">
        <v>15</v>
      </c>
      <c r="G2056" s="17">
        <v>0.30184938135593214</v>
      </c>
      <c r="H2056" s="4" t="s">
        <v>1</v>
      </c>
      <c r="I2056" s="14"/>
    </row>
    <row r="2057" spans="1:9" x14ac:dyDescent="0.25">
      <c r="A2057" s="14">
        <v>2013</v>
      </c>
      <c r="B2057" s="14">
        <v>210</v>
      </c>
      <c r="C2057" s="20">
        <v>41484</v>
      </c>
      <c r="D2057" s="16">
        <v>0.62083333333333335</v>
      </c>
      <c r="E2057" s="14">
        <v>110</v>
      </c>
      <c r="F2057" s="23">
        <v>16</v>
      </c>
      <c r="G2057" s="17">
        <v>0.30988648658192086</v>
      </c>
      <c r="H2057" s="4" t="s">
        <v>1</v>
      </c>
      <c r="I2057" s="14"/>
    </row>
    <row r="2058" spans="1:9" x14ac:dyDescent="0.25">
      <c r="A2058" s="14">
        <v>2013</v>
      </c>
      <c r="B2058" s="14">
        <v>210</v>
      </c>
      <c r="C2058" s="20">
        <v>41484</v>
      </c>
      <c r="D2058" s="16">
        <v>0.62777777777777777</v>
      </c>
      <c r="E2058" s="14">
        <v>110</v>
      </c>
      <c r="F2058" s="23">
        <v>17</v>
      </c>
      <c r="G2058" s="17">
        <v>0.33920234604519772</v>
      </c>
      <c r="H2058" s="4" t="s">
        <v>124</v>
      </c>
      <c r="I2058" s="14"/>
    </row>
    <row r="2059" spans="1:9" x14ac:dyDescent="0.25">
      <c r="A2059" s="14">
        <v>2013</v>
      </c>
      <c r="B2059" s="14">
        <v>210</v>
      </c>
      <c r="C2059" s="20">
        <v>41484</v>
      </c>
      <c r="D2059" s="16">
        <v>0.63402777777777775</v>
      </c>
      <c r="E2059" s="14">
        <v>110</v>
      </c>
      <c r="F2059" s="23">
        <v>18</v>
      </c>
      <c r="G2059" s="17">
        <v>0.34019259110169492</v>
      </c>
      <c r="H2059" s="4" t="s">
        <v>124</v>
      </c>
      <c r="I2059" s="14"/>
    </row>
    <row r="2060" spans="1:9" x14ac:dyDescent="0.25">
      <c r="A2060" s="14">
        <v>2013</v>
      </c>
      <c r="B2060" s="14">
        <v>210</v>
      </c>
      <c r="C2060" s="20">
        <v>41484</v>
      </c>
      <c r="D2060" s="16">
        <v>0.64027777777777783</v>
      </c>
      <c r="E2060" s="14">
        <v>110</v>
      </c>
      <c r="F2060" s="23">
        <v>19</v>
      </c>
      <c r="G2060" s="17">
        <v>0.3331457309322034</v>
      </c>
      <c r="H2060" s="4" t="s">
        <v>124</v>
      </c>
      <c r="I2060" s="14"/>
    </row>
    <row r="2061" spans="1:9" x14ac:dyDescent="0.25">
      <c r="A2061" s="14">
        <v>2013</v>
      </c>
      <c r="B2061" s="14">
        <v>210</v>
      </c>
      <c r="C2061" s="20">
        <v>41484</v>
      </c>
      <c r="D2061" s="16">
        <v>0.64652777777777781</v>
      </c>
      <c r="E2061" s="14">
        <v>110</v>
      </c>
      <c r="F2061" s="23">
        <v>20</v>
      </c>
      <c r="G2061" s="17">
        <v>0.33390568644067797</v>
      </c>
      <c r="H2061" s="4" t="s">
        <v>124</v>
      </c>
      <c r="I2061" s="14"/>
    </row>
    <row r="2062" spans="1:9" x14ac:dyDescent="0.25">
      <c r="A2062" s="14">
        <v>2013</v>
      </c>
      <c r="B2062" s="14">
        <v>210</v>
      </c>
      <c r="C2062" s="20">
        <v>41484</v>
      </c>
      <c r="D2062" s="16">
        <v>0.52152777777777781</v>
      </c>
      <c r="E2062" s="14">
        <v>90</v>
      </c>
      <c r="F2062" s="23">
        <v>1</v>
      </c>
      <c r="G2062" s="17">
        <v>0.33802786935028245</v>
      </c>
      <c r="H2062" s="4" t="s">
        <v>123</v>
      </c>
      <c r="I2062" s="14"/>
    </row>
    <row r="2063" spans="1:9" x14ac:dyDescent="0.25">
      <c r="A2063" s="14">
        <v>2013</v>
      </c>
      <c r="B2063" s="14">
        <v>210</v>
      </c>
      <c r="C2063" s="20">
        <v>41484</v>
      </c>
      <c r="D2063" s="16">
        <v>0.52152777777777781</v>
      </c>
      <c r="E2063" s="14">
        <v>90</v>
      </c>
      <c r="F2063" s="23">
        <v>2</v>
      </c>
      <c r="G2063" s="17">
        <v>0.3359322344632768</v>
      </c>
      <c r="H2063" s="4" t="s">
        <v>123</v>
      </c>
      <c r="I2063" s="14"/>
    </row>
    <row r="2064" spans="1:9" x14ac:dyDescent="0.25">
      <c r="A2064" s="14">
        <v>2013</v>
      </c>
      <c r="B2064" s="14">
        <v>210</v>
      </c>
      <c r="C2064" s="20">
        <v>41484</v>
      </c>
      <c r="D2064" s="16">
        <v>0.52847222222222223</v>
      </c>
      <c r="E2064" s="14">
        <v>90</v>
      </c>
      <c r="F2064" s="23">
        <v>3</v>
      </c>
      <c r="G2064" s="17">
        <v>0.3272272895480226</v>
      </c>
      <c r="H2064" s="4" t="s">
        <v>123</v>
      </c>
      <c r="I2064" s="14"/>
    </row>
    <row r="2065" spans="1:9" x14ac:dyDescent="0.25">
      <c r="A2065" s="14">
        <v>2013</v>
      </c>
      <c r="B2065" s="14">
        <v>210</v>
      </c>
      <c r="C2065" s="20">
        <v>41484</v>
      </c>
      <c r="D2065" s="16">
        <v>0.53472222222222221</v>
      </c>
      <c r="E2065" s="14">
        <v>90</v>
      </c>
      <c r="F2065" s="23">
        <v>4</v>
      </c>
      <c r="G2065" s="17">
        <v>0.32879325847457624</v>
      </c>
      <c r="H2065" s="4" t="s">
        <v>123</v>
      </c>
      <c r="I2065" s="14"/>
    </row>
    <row r="2066" spans="1:9" x14ac:dyDescent="0.25">
      <c r="A2066" s="14">
        <v>2013</v>
      </c>
      <c r="B2066" s="14">
        <v>210</v>
      </c>
      <c r="C2066" s="20">
        <v>41484</v>
      </c>
      <c r="D2066" s="16">
        <v>0.54166666666666663</v>
      </c>
      <c r="E2066" s="14">
        <v>90</v>
      </c>
      <c r="F2066" s="23">
        <v>5</v>
      </c>
      <c r="G2066" s="17">
        <v>0.30138880225988701</v>
      </c>
      <c r="H2066" s="4" t="s">
        <v>0</v>
      </c>
      <c r="I2066" s="14"/>
    </row>
    <row r="2067" spans="1:9" x14ac:dyDescent="0.25">
      <c r="A2067" s="14">
        <v>2013</v>
      </c>
      <c r="B2067" s="14">
        <v>210</v>
      </c>
      <c r="C2067" s="20">
        <v>41484</v>
      </c>
      <c r="D2067" s="16">
        <v>0.55208333333333337</v>
      </c>
      <c r="E2067" s="14">
        <v>90</v>
      </c>
      <c r="F2067" s="23">
        <v>6</v>
      </c>
      <c r="G2067" s="17">
        <v>0.28823926906779657</v>
      </c>
      <c r="H2067" s="4" t="s">
        <v>0</v>
      </c>
      <c r="I2067" s="14"/>
    </row>
    <row r="2068" spans="1:9" x14ac:dyDescent="0.25">
      <c r="A2068" s="14">
        <v>2013</v>
      </c>
      <c r="B2068" s="14">
        <v>210</v>
      </c>
      <c r="C2068" s="20">
        <v>41484</v>
      </c>
      <c r="D2068" s="16">
        <v>0.55763888888888891</v>
      </c>
      <c r="E2068" s="14">
        <v>90</v>
      </c>
      <c r="F2068" s="23">
        <v>7</v>
      </c>
      <c r="G2068" s="17">
        <v>0.33332996257062147</v>
      </c>
      <c r="H2068" s="4" t="s">
        <v>123</v>
      </c>
      <c r="I2068" s="14"/>
    </row>
    <row r="2069" spans="1:9" x14ac:dyDescent="0.25">
      <c r="A2069" s="14">
        <v>2013</v>
      </c>
      <c r="B2069" s="14">
        <v>210</v>
      </c>
      <c r="C2069" s="20">
        <v>41484</v>
      </c>
      <c r="D2069" s="16">
        <v>0.56388888888888888</v>
      </c>
      <c r="E2069" s="14">
        <v>90</v>
      </c>
      <c r="F2069" s="23">
        <v>8</v>
      </c>
      <c r="G2069" s="17">
        <v>0.33556377118644065</v>
      </c>
      <c r="H2069" s="4" t="s">
        <v>123</v>
      </c>
      <c r="I2069" s="14"/>
    </row>
    <row r="2070" spans="1:9" x14ac:dyDescent="0.25">
      <c r="A2070" s="14">
        <v>2013</v>
      </c>
      <c r="B2070" s="14">
        <v>210</v>
      </c>
      <c r="C2070" s="20">
        <v>41484</v>
      </c>
      <c r="D2070" s="16">
        <v>0.57013888888888886</v>
      </c>
      <c r="E2070" s="14">
        <v>90</v>
      </c>
      <c r="F2070" s="23">
        <v>9</v>
      </c>
      <c r="G2070" s="17">
        <v>0.32540800211864401</v>
      </c>
      <c r="H2070" s="4" t="s">
        <v>123</v>
      </c>
      <c r="I2070" s="14"/>
    </row>
    <row r="2071" spans="1:9" x14ac:dyDescent="0.25">
      <c r="A2071" s="14">
        <v>2013</v>
      </c>
      <c r="B2071" s="14">
        <v>210</v>
      </c>
      <c r="C2071" s="20">
        <v>41484</v>
      </c>
      <c r="D2071" s="16">
        <v>0.57638888888888895</v>
      </c>
      <c r="E2071" s="14">
        <v>90</v>
      </c>
      <c r="F2071" s="23">
        <v>10</v>
      </c>
      <c r="G2071" s="17">
        <v>0.3321554858757062</v>
      </c>
      <c r="H2071" s="4" t="s">
        <v>123</v>
      </c>
      <c r="I2071" s="14"/>
    </row>
    <row r="2072" spans="1:9" x14ac:dyDescent="0.25">
      <c r="A2072" s="14">
        <v>2013</v>
      </c>
      <c r="B2072" s="14">
        <v>210</v>
      </c>
      <c r="C2072" s="20">
        <v>41484</v>
      </c>
      <c r="D2072" s="16">
        <v>0.58819444444444446</v>
      </c>
      <c r="E2072" s="14">
        <v>90</v>
      </c>
      <c r="F2072" s="23">
        <v>11</v>
      </c>
      <c r="G2072" s="17">
        <v>0.32916172175141239</v>
      </c>
      <c r="H2072" s="4" t="s">
        <v>124</v>
      </c>
      <c r="I2072" s="14"/>
    </row>
    <row r="2073" spans="1:9" x14ac:dyDescent="0.25">
      <c r="A2073" s="14">
        <v>2013</v>
      </c>
      <c r="B2073" s="14">
        <v>210</v>
      </c>
      <c r="C2073" s="20">
        <v>41484</v>
      </c>
      <c r="D2073" s="16">
        <v>0.59444444444444444</v>
      </c>
      <c r="E2073" s="14">
        <v>90</v>
      </c>
      <c r="F2073" s="23">
        <v>12</v>
      </c>
      <c r="G2073" s="17">
        <v>0.32748060805084744</v>
      </c>
      <c r="H2073" s="4" t="s">
        <v>124</v>
      </c>
      <c r="I2073" s="14"/>
    </row>
    <row r="2074" spans="1:9" x14ac:dyDescent="0.25">
      <c r="A2074" s="14">
        <v>2013</v>
      </c>
      <c r="B2074" s="14">
        <v>210</v>
      </c>
      <c r="C2074" s="20">
        <v>41484</v>
      </c>
      <c r="D2074" s="16">
        <v>0.60069444444444442</v>
      </c>
      <c r="E2074" s="14">
        <v>90</v>
      </c>
      <c r="F2074" s="23">
        <v>13</v>
      </c>
      <c r="G2074" s="17">
        <v>0.33012893785310732</v>
      </c>
      <c r="H2074" s="4" t="s">
        <v>124</v>
      </c>
      <c r="I2074" s="14"/>
    </row>
    <row r="2075" spans="1:9" x14ac:dyDescent="0.25">
      <c r="A2075" s="14">
        <v>2013</v>
      </c>
      <c r="B2075" s="14">
        <v>210</v>
      </c>
      <c r="C2075" s="20">
        <v>41484</v>
      </c>
      <c r="D2075" s="16">
        <v>0.60902777777777783</v>
      </c>
      <c r="E2075" s="14">
        <v>90</v>
      </c>
      <c r="F2075" s="23">
        <v>14</v>
      </c>
      <c r="G2075" s="17">
        <v>0.3203646610169491</v>
      </c>
      <c r="H2075" s="4" t="s">
        <v>124</v>
      </c>
      <c r="I2075" s="14"/>
    </row>
    <row r="2076" spans="1:9" x14ac:dyDescent="0.25">
      <c r="A2076" s="14">
        <v>2013</v>
      </c>
      <c r="B2076" s="14">
        <v>210</v>
      </c>
      <c r="C2076" s="20">
        <v>41484</v>
      </c>
      <c r="D2076" s="16">
        <v>0.61597222222222225</v>
      </c>
      <c r="E2076" s="14">
        <v>90</v>
      </c>
      <c r="F2076" s="23">
        <v>15</v>
      </c>
      <c r="G2076" s="17">
        <v>0.27013851059322036</v>
      </c>
      <c r="H2076" s="4" t="s">
        <v>1</v>
      </c>
      <c r="I2076" s="14"/>
    </row>
    <row r="2077" spans="1:9" x14ac:dyDescent="0.25">
      <c r="A2077" s="14">
        <v>2013</v>
      </c>
      <c r="B2077" s="14">
        <v>210</v>
      </c>
      <c r="C2077" s="20">
        <v>41484</v>
      </c>
      <c r="D2077" s="16">
        <v>0.62083333333333335</v>
      </c>
      <c r="E2077" s="14">
        <v>90</v>
      </c>
      <c r="F2077" s="23">
        <v>16</v>
      </c>
      <c r="G2077" s="17">
        <v>0.27548122810734466</v>
      </c>
      <c r="H2077" s="4" t="s">
        <v>1</v>
      </c>
      <c r="I2077" s="14"/>
    </row>
    <row r="2078" spans="1:9" x14ac:dyDescent="0.25">
      <c r="A2078" s="14">
        <v>2013</v>
      </c>
      <c r="B2078" s="14">
        <v>210</v>
      </c>
      <c r="C2078" s="20">
        <v>41484</v>
      </c>
      <c r="D2078" s="16">
        <v>0.62777777777777777</v>
      </c>
      <c r="E2078" s="14">
        <v>90</v>
      </c>
      <c r="F2078" s="23">
        <v>17</v>
      </c>
      <c r="G2078" s="17">
        <v>0.32421049646892652</v>
      </c>
      <c r="H2078" s="4" t="s">
        <v>124</v>
      </c>
      <c r="I2078" s="14"/>
    </row>
    <row r="2079" spans="1:9" x14ac:dyDescent="0.25">
      <c r="A2079" s="14">
        <v>2013</v>
      </c>
      <c r="B2079" s="14">
        <v>210</v>
      </c>
      <c r="C2079" s="20">
        <v>41484</v>
      </c>
      <c r="D2079" s="16">
        <v>0.63402777777777775</v>
      </c>
      <c r="E2079" s="14">
        <v>90</v>
      </c>
      <c r="F2079" s="23">
        <v>18</v>
      </c>
      <c r="G2079" s="17">
        <v>0.33052043008474574</v>
      </c>
      <c r="H2079" s="4" t="s">
        <v>124</v>
      </c>
      <c r="I2079" s="14"/>
    </row>
    <row r="2080" spans="1:9" x14ac:dyDescent="0.25">
      <c r="A2080" s="14">
        <v>2013</v>
      </c>
      <c r="B2080" s="14">
        <v>210</v>
      </c>
      <c r="C2080" s="20">
        <v>41484</v>
      </c>
      <c r="D2080" s="16">
        <v>0.64027777777777783</v>
      </c>
      <c r="E2080" s="14">
        <v>90</v>
      </c>
      <c r="F2080" s="23">
        <v>19</v>
      </c>
      <c r="G2080" s="17">
        <v>0.32071009533898304</v>
      </c>
      <c r="H2080" s="4" t="s">
        <v>124</v>
      </c>
      <c r="I2080" s="14"/>
    </row>
    <row r="2081" spans="1:9" x14ac:dyDescent="0.25">
      <c r="A2081" s="14">
        <v>2013</v>
      </c>
      <c r="B2081" s="14">
        <v>210</v>
      </c>
      <c r="C2081" s="20">
        <v>41484</v>
      </c>
      <c r="D2081" s="16">
        <v>0.64652777777777781</v>
      </c>
      <c r="E2081" s="14">
        <v>90</v>
      </c>
      <c r="F2081" s="23">
        <v>20</v>
      </c>
      <c r="G2081" s="17">
        <v>0.32646733403954803</v>
      </c>
      <c r="H2081" s="4" t="s">
        <v>124</v>
      </c>
      <c r="I2081" s="14"/>
    </row>
    <row r="2082" spans="1:9" x14ac:dyDescent="0.25">
      <c r="A2082" s="14">
        <v>2013</v>
      </c>
      <c r="B2082" s="14">
        <v>210</v>
      </c>
      <c r="C2082" s="20">
        <v>41484</v>
      </c>
      <c r="D2082" s="16">
        <v>0.52152777777777781</v>
      </c>
      <c r="E2082" s="14">
        <v>70</v>
      </c>
      <c r="F2082" s="23">
        <v>1</v>
      </c>
      <c r="G2082" s="17">
        <v>0.33286938347457623</v>
      </c>
      <c r="H2082" s="4" t="s">
        <v>123</v>
      </c>
      <c r="I2082" s="14"/>
    </row>
    <row r="2083" spans="1:9" x14ac:dyDescent="0.25">
      <c r="A2083" s="14">
        <v>2013</v>
      </c>
      <c r="B2083" s="14">
        <v>210</v>
      </c>
      <c r="C2083" s="20">
        <v>41484</v>
      </c>
      <c r="D2083" s="16">
        <v>0.52152777777777781</v>
      </c>
      <c r="E2083" s="14">
        <v>70</v>
      </c>
      <c r="F2083" s="23">
        <v>2</v>
      </c>
      <c r="G2083" s="17">
        <v>0.32957624293785309</v>
      </c>
      <c r="H2083" s="4" t="s">
        <v>123</v>
      </c>
      <c r="I2083" s="14"/>
    </row>
    <row r="2084" spans="1:9" x14ac:dyDescent="0.25">
      <c r="A2084" s="14">
        <v>2013</v>
      </c>
      <c r="B2084" s="14">
        <v>210</v>
      </c>
      <c r="C2084" s="20">
        <v>41484</v>
      </c>
      <c r="D2084" s="16">
        <v>0.52847222222222223</v>
      </c>
      <c r="E2084" s="14">
        <v>70</v>
      </c>
      <c r="F2084" s="23">
        <v>3</v>
      </c>
      <c r="G2084" s="17">
        <v>0.32176942725988694</v>
      </c>
      <c r="H2084" s="4" t="s">
        <v>123</v>
      </c>
      <c r="I2084" s="14"/>
    </row>
    <row r="2085" spans="1:9" x14ac:dyDescent="0.25">
      <c r="A2085" s="14">
        <v>2013</v>
      </c>
      <c r="B2085" s="14">
        <v>210</v>
      </c>
      <c r="C2085" s="20">
        <v>41484</v>
      </c>
      <c r="D2085" s="16">
        <v>0.53472222222222221</v>
      </c>
      <c r="E2085" s="14">
        <v>70</v>
      </c>
      <c r="F2085" s="23">
        <v>4</v>
      </c>
      <c r="G2085" s="17">
        <v>0.31849931567796608</v>
      </c>
      <c r="H2085" s="4" t="s">
        <v>123</v>
      </c>
      <c r="I2085" s="14"/>
    </row>
    <row r="2086" spans="1:9" x14ac:dyDescent="0.25">
      <c r="A2086" s="14">
        <v>2013</v>
      </c>
      <c r="B2086" s="14">
        <v>210</v>
      </c>
      <c r="C2086" s="20">
        <v>41484</v>
      </c>
      <c r="D2086" s="16">
        <v>0.54166666666666663</v>
      </c>
      <c r="E2086" s="14">
        <v>70</v>
      </c>
      <c r="F2086" s="23">
        <v>5</v>
      </c>
      <c r="G2086" s="17">
        <v>0.30795205437853107</v>
      </c>
      <c r="H2086" s="4" t="s">
        <v>0</v>
      </c>
      <c r="I2086" s="14"/>
    </row>
    <row r="2087" spans="1:9" x14ac:dyDescent="0.25">
      <c r="A2087" s="14">
        <v>2013</v>
      </c>
      <c r="B2087" s="14">
        <v>210</v>
      </c>
      <c r="C2087" s="20">
        <v>41484</v>
      </c>
      <c r="D2087" s="16">
        <v>0.55208333333333337</v>
      </c>
      <c r="E2087" s="14">
        <v>70</v>
      </c>
      <c r="F2087" s="23">
        <v>6</v>
      </c>
      <c r="G2087" s="17">
        <v>0.29215419138418081</v>
      </c>
      <c r="H2087" s="4" t="s">
        <v>0</v>
      </c>
      <c r="I2087" s="14"/>
    </row>
    <row r="2088" spans="1:9" x14ac:dyDescent="0.25">
      <c r="A2088" s="14">
        <v>2013</v>
      </c>
      <c r="B2088" s="14">
        <v>210</v>
      </c>
      <c r="C2088" s="20">
        <v>41484</v>
      </c>
      <c r="D2088" s="16">
        <v>0.55763888888888891</v>
      </c>
      <c r="E2088" s="14">
        <v>70</v>
      </c>
      <c r="F2088" s="23">
        <v>7</v>
      </c>
      <c r="G2088" s="17">
        <v>0.32971441666666668</v>
      </c>
      <c r="H2088" s="4" t="s">
        <v>123</v>
      </c>
      <c r="I2088" s="14"/>
    </row>
    <row r="2089" spans="1:9" x14ac:dyDescent="0.25">
      <c r="A2089" s="14">
        <v>2013</v>
      </c>
      <c r="B2089" s="14">
        <v>210</v>
      </c>
      <c r="C2089" s="20">
        <v>41484</v>
      </c>
      <c r="D2089" s="16">
        <v>0.56388888888888888</v>
      </c>
      <c r="E2089" s="14">
        <v>70</v>
      </c>
      <c r="F2089" s="23">
        <v>8</v>
      </c>
      <c r="G2089" s="17">
        <v>0.32602978389830506</v>
      </c>
      <c r="H2089" s="4" t="s">
        <v>123</v>
      </c>
      <c r="I2089" s="14"/>
    </row>
    <row r="2090" spans="1:9" x14ac:dyDescent="0.25">
      <c r="A2090" s="14">
        <v>2013</v>
      </c>
      <c r="B2090" s="14">
        <v>210</v>
      </c>
      <c r="C2090" s="20">
        <v>41484</v>
      </c>
      <c r="D2090" s="16">
        <v>0.57013888888888886</v>
      </c>
      <c r="E2090" s="14">
        <v>70</v>
      </c>
      <c r="F2090" s="23">
        <v>9</v>
      </c>
      <c r="G2090" s="17">
        <v>0.31260390324858756</v>
      </c>
      <c r="H2090" s="4" t="s">
        <v>123</v>
      </c>
      <c r="I2090" s="14"/>
    </row>
    <row r="2091" spans="1:9" x14ac:dyDescent="0.25">
      <c r="A2091" s="14">
        <v>2013</v>
      </c>
      <c r="B2091" s="14">
        <v>210</v>
      </c>
      <c r="C2091" s="20">
        <v>41484</v>
      </c>
      <c r="D2091" s="16">
        <v>0.57638888888888895</v>
      </c>
      <c r="E2091" s="14">
        <v>70</v>
      </c>
      <c r="F2091" s="23">
        <v>10</v>
      </c>
      <c r="G2091" s="17">
        <v>0.33201731214689262</v>
      </c>
      <c r="H2091" s="4" t="s">
        <v>123</v>
      </c>
      <c r="I2091" s="14"/>
    </row>
    <row r="2092" spans="1:9" x14ac:dyDescent="0.25">
      <c r="A2092" s="14">
        <v>2013</v>
      </c>
      <c r="B2092" s="14">
        <v>210</v>
      </c>
      <c r="C2092" s="20">
        <v>41484</v>
      </c>
      <c r="D2092" s="16">
        <v>0.58819444444444446</v>
      </c>
      <c r="E2092" s="14">
        <v>70</v>
      </c>
      <c r="F2092" s="23">
        <v>11</v>
      </c>
      <c r="G2092" s="17">
        <v>0.32427958333333334</v>
      </c>
      <c r="H2092" s="4" t="s">
        <v>124</v>
      </c>
      <c r="I2092" s="14"/>
    </row>
    <row r="2093" spans="1:9" x14ac:dyDescent="0.25">
      <c r="A2093" s="14">
        <v>2013</v>
      </c>
      <c r="B2093" s="14">
        <v>210</v>
      </c>
      <c r="C2093" s="20">
        <v>41484</v>
      </c>
      <c r="D2093" s="16">
        <v>0.59444444444444444</v>
      </c>
      <c r="E2093" s="14">
        <v>70</v>
      </c>
      <c r="F2093" s="23">
        <v>12</v>
      </c>
      <c r="G2093" s="17">
        <v>0.32133187711864403</v>
      </c>
      <c r="H2093" s="4" t="s">
        <v>124</v>
      </c>
      <c r="I2093" s="14"/>
    </row>
    <row r="2094" spans="1:9" x14ac:dyDescent="0.25">
      <c r="A2094" s="14">
        <v>2013</v>
      </c>
      <c r="B2094" s="14">
        <v>210</v>
      </c>
      <c r="C2094" s="20">
        <v>41484</v>
      </c>
      <c r="D2094" s="16">
        <v>0.60069444444444442</v>
      </c>
      <c r="E2094" s="14">
        <v>70</v>
      </c>
      <c r="F2094" s="23">
        <v>13</v>
      </c>
      <c r="G2094" s="17">
        <v>0.31564372528248585</v>
      </c>
      <c r="H2094" s="4" t="s">
        <v>124</v>
      </c>
      <c r="I2094" s="14"/>
    </row>
    <row r="2095" spans="1:9" x14ac:dyDescent="0.25">
      <c r="A2095" s="14">
        <v>2013</v>
      </c>
      <c r="B2095" s="14">
        <v>210</v>
      </c>
      <c r="C2095" s="20">
        <v>41484</v>
      </c>
      <c r="D2095" s="16">
        <v>0.60902777777777783</v>
      </c>
      <c r="E2095" s="14">
        <v>70</v>
      </c>
      <c r="F2095" s="23">
        <v>14</v>
      </c>
      <c r="G2095" s="17">
        <v>0.3210325007062147</v>
      </c>
      <c r="H2095" s="4" t="s">
        <v>124</v>
      </c>
      <c r="I2095" s="14"/>
    </row>
    <row r="2096" spans="1:9" x14ac:dyDescent="0.25">
      <c r="A2096" s="14">
        <v>2013</v>
      </c>
      <c r="B2096" s="14">
        <v>210</v>
      </c>
      <c r="C2096" s="20">
        <v>41484</v>
      </c>
      <c r="D2096" s="16">
        <v>0.61597222222222225</v>
      </c>
      <c r="E2096" s="14">
        <v>70</v>
      </c>
      <c r="F2096" s="23">
        <v>15</v>
      </c>
      <c r="G2096" s="17">
        <v>0.27119784251412427</v>
      </c>
      <c r="H2096" s="4" t="s">
        <v>1</v>
      </c>
      <c r="I2096" s="14"/>
    </row>
    <row r="2097" spans="1:9" x14ac:dyDescent="0.25">
      <c r="A2097" s="14">
        <v>2013</v>
      </c>
      <c r="B2097" s="14">
        <v>210</v>
      </c>
      <c r="C2097" s="20">
        <v>41484</v>
      </c>
      <c r="D2097" s="16">
        <v>0.62083333333333335</v>
      </c>
      <c r="E2097" s="14">
        <v>70</v>
      </c>
      <c r="F2097" s="23">
        <v>16</v>
      </c>
      <c r="G2097" s="17">
        <v>0.27315530367231639</v>
      </c>
      <c r="H2097" s="4" t="s">
        <v>1</v>
      </c>
      <c r="I2097" s="14"/>
    </row>
    <row r="2098" spans="1:9" x14ac:dyDescent="0.25">
      <c r="A2098" s="14">
        <v>2013</v>
      </c>
      <c r="B2098" s="14">
        <v>210</v>
      </c>
      <c r="C2098" s="20">
        <v>41484</v>
      </c>
      <c r="D2098" s="16">
        <v>0.62777777777777777</v>
      </c>
      <c r="E2098" s="14">
        <v>70</v>
      </c>
      <c r="F2098" s="23">
        <v>17</v>
      </c>
      <c r="G2098" s="17">
        <v>0.31142942655367228</v>
      </c>
      <c r="H2098" s="4" t="s">
        <v>124</v>
      </c>
      <c r="I2098" s="14"/>
    </row>
    <row r="2099" spans="1:9" x14ac:dyDescent="0.25">
      <c r="A2099" s="14">
        <v>2013</v>
      </c>
      <c r="B2099" s="14">
        <v>210</v>
      </c>
      <c r="C2099" s="20">
        <v>41484</v>
      </c>
      <c r="D2099" s="16">
        <v>0.63402777777777775</v>
      </c>
      <c r="E2099" s="14">
        <v>70</v>
      </c>
      <c r="F2099" s="23">
        <v>18</v>
      </c>
      <c r="G2099" s="17">
        <v>0.32929989548022598</v>
      </c>
      <c r="H2099" s="4" t="s">
        <v>124</v>
      </c>
      <c r="I2099" s="14"/>
    </row>
    <row r="2100" spans="1:9" x14ac:dyDescent="0.25">
      <c r="A2100" s="14">
        <v>2013</v>
      </c>
      <c r="B2100" s="14">
        <v>210</v>
      </c>
      <c r="C2100" s="20">
        <v>41484</v>
      </c>
      <c r="D2100" s="16">
        <v>0.64027777777777783</v>
      </c>
      <c r="E2100" s="14">
        <v>70</v>
      </c>
      <c r="F2100" s="23">
        <v>19</v>
      </c>
      <c r="G2100" s="17">
        <v>0.31050826836158191</v>
      </c>
      <c r="H2100" s="4" t="s">
        <v>124</v>
      </c>
      <c r="I2100" s="14"/>
    </row>
    <row r="2101" spans="1:9" x14ac:dyDescent="0.25">
      <c r="A2101" s="14">
        <v>2013</v>
      </c>
      <c r="B2101" s="14">
        <v>210</v>
      </c>
      <c r="C2101" s="20">
        <v>41484</v>
      </c>
      <c r="D2101" s="16">
        <v>0.64652777777777781</v>
      </c>
      <c r="E2101" s="14">
        <v>70</v>
      </c>
      <c r="F2101" s="23">
        <v>20</v>
      </c>
      <c r="G2101" s="17">
        <v>0.32377294632768361</v>
      </c>
      <c r="H2101" s="4" t="s">
        <v>124</v>
      </c>
      <c r="I2101" s="14"/>
    </row>
    <row r="2102" spans="1:9" x14ac:dyDescent="0.25">
      <c r="A2102" s="14">
        <v>2013</v>
      </c>
      <c r="B2102" s="14">
        <v>210</v>
      </c>
      <c r="C2102" s="20">
        <v>41484</v>
      </c>
      <c r="D2102" s="16">
        <v>0.52152777777777781</v>
      </c>
      <c r="E2102" s="14">
        <v>50</v>
      </c>
      <c r="F2102" s="23">
        <v>1</v>
      </c>
      <c r="G2102" s="17">
        <v>0.31610430437853104</v>
      </c>
      <c r="H2102" s="4" t="s">
        <v>123</v>
      </c>
      <c r="I2102" s="14"/>
    </row>
    <row r="2103" spans="1:9" x14ac:dyDescent="0.25">
      <c r="A2103" s="14">
        <v>2013</v>
      </c>
      <c r="B2103" s="14">
        <v>210</v>
      </c>
      <c r="C2103" s="20">
        <v>41484</v>
      </c>
      <c r="D2103" s="16">
        <v>0.52152777777777781</v>
      </c>
      <c r="E2103" s="14">
        <v>50</v>
      </c>
      <c r="F2103" s="23">
        <v>2</v>
      </c>
      <c r="G2103" s="17">
        <v>0.3181538813559322</v>
      </c>
      <c r="H2103" s="4" t="s">
        <v>123</v>
      </c>
      <c r="I2103" s="14"/>
    </row>
    <row r="2104" spans="1:9" x14ac:dyDescent="0.25">
      <c r="A2104" s="14">
        <v>2013</v>
      </c>
      <c r="B2104" s="14">
        <v>210</v>
      </c>
      <c r="C2104" s="20">
        <v>41484</v>
      </c>
      <c r="D2104" s="16">
        <v>0.52847222222222223</v>
      </c>
      <c r="E2104" s="14">
        <v>50</v>
      </c>
      <c r="F2104" s="23">
        <v>3</v>
      </c>
      <c r="G2104" s="17">
        <v>0.32835570833333333</v>
      </c>
      <c r="H2104" s="4" t="s">
        <v>123</v>
      </c>
      <c r="I2104" s="14"/>
    </row>
    <row r="2105" spans="1:9" x14ac:dyDescent="0.25">
      <c r="A2105" s="14">
        <v>2013</v>
      </c>
      <c r="B2105" s="14">
        <v>210</v>
      </c>
      <c r="C2105" s="20">
        <v>41484</v>
      </c>
      <c r="D2105" s="16">
        <v>0.53472222222222221</v>
      </c>
      <c r="E2105" s="14">
        <v>50</v>
      </c>
      <c r="F2105" s="23">
        <v>4</v>
      </c>
      <c r="G2105" s="17">
        <v>0.31534434887005647</v>
      </c>
      <c r="H2105" s="4" t="s">
        <v>123</v>
      </c>
      <c r="I2105" s="14"/>
    </row>
    <row r="2106" spans="1:9" x14ac:dyDescent="0.25">
      <c r="A2106" s="14">
        <v>2013</v>
      </c>
      <c r="B2106" s="14">
        <v>210</v>
      </c>
      <c r="C2106" s="20">
        <v>41484</v>
      </c>
      <c r="D2106" s="16">
        <v>0.54166666666666663</v>
      </c>
      <c r="E2106" s="14">
        <v>50</v>
      </c>
      <c r="F2106" s="23">
        <v>5</v>
      </c>
      <c r="G2106" s="17">
        <v>0.31083067372881351</v>
      </c>
      <c r="H2106" s="4" t="s">
        <v>0</v>
      </c>
      <c r="I2106" s="14"/>
    </row>
    <row r="2107" spans="1:9" x14ac:dyDescent="0.25">
      <c r="A2107" s="14">
        <v>2013</v>
      </c>
      <c r="B2107" s="14">
        <v>210</v>
      </c>
      <c r="C2107" s="20">
        <v>41484</v>
      </c>
      <c r="D2107" s="16">
        <v>0.55208333333333337</v>
      </c>
      <c r="E2107" s="14">
        <v>50</v>
      </c>
      <c r="F2107" s="23">
        <v>6</v>
      </c>
      <c r="G2107" s="17">
        <v>0.30581036158192088</v>
      </c>
      <c r="H2107" s="4" t="s">
        <v>0</v>
      </c>
      <c r="I2107" s="14"/>
    </row>
    <row r="2108" spans="1:9" x14ac:dyDescent="0.25">
      <c r="A2108" s="14">
        <v>2013</v>
      </c>
      <c r="B2108" s="14">
        <v>210</v>
      </c>
      <c r="C2108" s="20">
        <v>41484</v>
      </c>
      <c r="D2108" s="16">
        <v>0.55763888888888891</v>
      </c>
      <c r="E2108" s="14">
        <v>50</v>
      </c>
      <c r="F2108" s="23">
        <v>7</v>
      </c>
      <c r="G2108" s="17">
        <v>0.32450987288135591</v>
      </c>
      <c r="H2108" s="4" t="s">
        <v>123</v>
      </c>
      <c r="I2108" s="14"/>
    </row>
    <row r="2109" spans="1:9" x14ac:dyDescent="0.25">
      <c r="A2109" s="14">
        <v>2013</v>
      </c>
      <c r="B2109" s="14">
        <v>210</v>
      </c>
      <c r="C2109" s="20">
        <v>41484</v>
      </c>
      <c r="D2109" s="16">
        <v>0.56388888888888888</v>
      </c>
      <c r="E2109" s="14">
        <v>50</v>
      </c>
      <c r="F2109" s="23">
        <v>8</v>
      </c>
      <c r="G2109" s="17">
        <v>0.31925927118644065</v>
      </c>
      <c r="H2109" s="4" t="s">
        <v>123</v>
      </c>
      <c r="I2109" s="14"/>
    </row>
    <row r="2110" spans="1:9" x14ac:dyDescent="0.25">
      <c r="A2110" s="14">
        <v>2013</v>
      </c>
      <c r="B2110" s="14">
        <v>210</v>
      </c>
      <c r="C2110" s="20">
        <v>41484</v>
      </c>
      <c r="D2110" s="16">
        <v>0.57013888888888886</v>
      </c>
      <c r="E2110" s="14">
        <v>50</v>
      </c>
      <c r="F2110" s="23">
        <v>9</v>
      </c>
      <c r="G2110" s="17">
        <v>0.31909806850282479</v>
      </c>
      <c r="H2110" s="4" t="s">
        <v>123</v>
      </c>
      <c r="I2110" s="14"/>
    </row>
    <row r="2111" spans="1:9" x14ac:dyDescent="0.25">
      <c r="A2111" s="14">
        <v>2013</v>
      </c>
      <c r="B2111" s="14">
        <v>210</v>
      </c>
      <c r="C2111" s="20">
        <v>41484</v>
      </c>
      <c r="D2111" s="16">
        <v>0.57638888888888895</v>
      </c>
      <c r="E2111" s="14">
        <v>50</v>
      </c>
      <c r="F2111" s="23">
        <v>10</v>
      </c>
      <c r="G2111" s="17">
        <v>0.33275423870056497</v>
      </c>
      <c r="H2111" s="4" t="s">
        <v>123</v>
      </c>
      <c r="I2111" s="14"/>
    </row>
    <row r="2112" spans="1:9" x14ac:dyDescent="0.25">
      <c r="A2112" s="14">
        <v>2013</v>
      </c>
      <c r="B2112" s="14">
        <v>210</v>
      </c>
      <c r="C2112" s="20">
        <v>41484</v>
      </c>
      <c r="D2112" s="16">
        <v>0.58819444444444446</v>
      </c>
      <c r="E2112" s="14">
        <v>50</v>
      </c>
      <c r="F2112" s="23">
        <v>11</v>
      </c>
      <c r="G2112" s="17">
        <v>0.31110702118644068</v>
      </c>
      <c r="H2112" s="4" t="s">
        <v>124</v>
      </c>
      <c r="I2112" s="14"/>
    </row>
    <row r="2113" spans="1:9" x14ac:dyDescent="0.25">
      <c r="A2113" s="14">
        <v>2013</v>
      </c>
      <c r="B2113" s="14">
        <v>210</v>
      </c>
      <c r="C2113" s="20">
        <v>41484</v>
      </c>
      <c r="D2113" s="16">
        <v>0.59444444444444444</v>
      </c>
      <c r="E2113" s="14">
        <v>50</v>
      </c>
      <c r="F2113" s="23">
        <v>12</v>
      </c>
      <c r="G2113" s="17">
        <v>0.30659334604519772</v>
      </c>
      <c r="H2113" s="4" t="s">
        <v>124</v>
      </c>
      <c r="I2113" s="14"/>
    </row>
    <row r="2114" spans="1:9" x14ac:dyDescent="0.25">
      <c r="A2114" s="14">
        <v>2013</v>
      </c>
      <c r="B2114" s="14">
        <v>210</v>
      </c>
      <c r="C2114" s="20">
        <v>41484</v>
      </c>
      <c r="D2114" s="16">
        <v>0.60069444444444442</v>
      </c>
      <c r="E2114" s="14">
        <v>50</v>
      </c>
      <c r="F2114" s="23">
        <v>13</v>
      </c>
      <c r="G2114" s="17">
        <v>0.30567218785310729</v>
      </c>
      <c r="H2114" s="4" t="s">
        <v>124</v>
      </c>
      <c r="I2114" s="14"/>
    </row>
    <row r="2115" spans="1:9" x14ac:dyDescent="0.25">
      <c r="A2115" s="14">
        <v>2013</v>
      </c>
      <c r="B2115" s="14">
        <v>210</v>
      </c>
      <c r="C2115" s="20">
        <v>41484</v>
      </c>
      <c r="D2115" s="16">
        <v>0.60902777777777783</v>
      </c>
      <c r="E2115" s="14">
        <v>50</v>
      </c>
      <c r="F2115" s="23">
        <v>14</v>
      </c>
      <c r="G2115" s="17">
        <v>0.3196277344632768</v>
      </c>
      <c r="H2115" s="4" t="s">
        <v>124</v>
      </c>
      <c r="I2115" s="14"/>
    </row>
    <row r="2116" spans="1:9" x14ac:dyDescent="0.25">
      <c r="A2116" s="14">
        <v>2013</v>
      </c>
      <c r="B2116" s="14">
        <v>210</v>
      </c>
      <c r="C2116" s="20">
        <v>41484</v>
      </c>
      <c r="D2116" s="16">
        <v>0.61597222222222225</v>
      </c>
      <c r="E2116" s="14">
        <v>50</v>
      </c>
      <c r="F2116" s="23">
        <v>15</v>
      </c>
      <c r="G2116" s="17">
        <v>0.28404799929378527</v>
      </c>
      <c r="H2116" s="4" t="s">
        <v>1</v>
      </c>
      <c r="I2116" s="14"/>
    </row>
    <row r="2117" spans="1:9" x14ac:dyDescent="0.25">
      <c r="A2117" s="14">
        <v>2013</v>
      </c>
      <c r="B2117" s="14">
        <v>210</v>
      </c>
      <c r="C2117" s="20">
        <v>41484</v>
      </c>
      <c r="D2117" s="16">
        <v>0.62083333333333335</v>
      </c>
      <c r="E2117" s="14">
        <v>50</v>
      </c>
      <c r="F2117" s="23">
        <v>16</v>
      </c>
      <c r="G2117" s="17">
        <v>0.29431891313559322</v>
      </c>
      <c r="H2117" s="4" t="s">
        <v>1</v>
      </c>
      <c r="I2117" s="14"/>
    </row>
    <row r="2118" spans="1:9" x14ac:dyDescent="0.25">
      <c r="A2118" s="14">
        <v>2013</v>
      </c>
      <c r="B2118" s="14">
        <v>210</v>
      </c>
      <c r="C2118" s="20">
        <v>41484</v>
      </c>
      <c r="D2118" s="16">
        <v>0.62777777777777777</v>
      </c>
      <c r="E2118" s="14">
        <v>50</v>
      </c>
      <c r="F2118" s="23">
        <v>17</v>
      </c>
      <c r="G2118" s="17">
        <v>0.32764181073446325</v>
      </c>
      <c r="H2118" s="4" t="s">
        <v>124</v>
      </c>
      <c r="I2118" s="14"/>
    </row>
    <row r="2119" spans="1:9" x14ac:dyDescent="0.25">
      <c r="A2119" s="14">
        <v>2013</v>
      </c>
      <c r="B2119" s="14">
        <v>210</v>
      </c>
      <c r="C2119" s="20">
        <v>41484</v>
      </c>
      <c r="D2119" s="16">
        <v>0.63402777777777775</v>
      </c>
      <c r="E2119" s="14">
        <v>50</v>
      </c>
      <c r="F2119" s="23">
        <v>18</v>
      </c>
      <c r="G2119" s="17">
        <v>0.32345054096045195</v>
      </c>
      <c r="H2119" s="4" t="s">
        <v>124</v>
      </c>
      <c r="I2119" s="14"/>
    </row>
    <row r="2120" spans="1:9" x14ac:dyDescent="0.25">
      <c r="A2120" s="14">
        <v>2013</v>
      </c>
      <c r="B2120" s="14">
        <v>210</v>
      </c>
      <c r="C2120" s="20">
        <v>41484</v>
      </c>
      <c r="D2120" s="16">
        <v>0.64027777777777783</v>
      </c>
      <c r="E2120" s="14">
        <v>50</v>
      </c>
      <c r="F2120" s="23">
        <v>19</v>
      </c>
      <c r="G2120" s="17">
        <v>0.32123976129943504</v>
      </c>
      <c r="H2120" s="4" t="s">
        <v>124</v>
      </c>
      <c r="I2120" s="14"/>
    </row>
    <row r="2121" spans="1:9" x14ac:dyDescent="0.25">
      <c r="A2121" s="14">
        <v>2013</v>
      </c>
      <c r="B2121" s="14">
        <v>210</v>
      </c>
      <c r="C2121" s="20">
        <v>41484</v>
      </c>
      <c r="D2121" s="16">
        <v>0.64652777777777781</v>
      </c>
      <c r="E2121" s="14">
        <v>50</v>
      </c>
      <c r="F2121" s="23">
        <v>20</v>
      </c>
      <c r="G2121" s="17">
        <v>0.32600675494350284</v>
      </c>
      <c r="H2121" s="4" t="s">
        <v>124</v>
      </c>
      <c r="I2121" s="14"/>
    </row>
    <row r="2122" spans="1:9" x14ac:dyDescent="0.25">
      <c r="A2122" s="14">
        <v>2013</v>
      </c>
      <c r="B2122" s="14">
        <v>210</v>
      </c>
      <c r="C2122" s="20">
        <v>41484</v>
      </c>
      <c r="D2122" s="16">
        <v>0.52152777777777781</v>
      </c>
      <c r="E2122" s="14">
        <v>30</v>
      </c>
      <c r="F2122" s="23">
        <v>1</v>
      </c>
      <c r="G2122" s="17">
        <v>0.29249962570621468</v>
      </c>
      <c r="H2122" s="4" t="s">
        <v>123</v>
      </c>
      <c r="I2122" s="14"/>
    </row>
    <row r="2123" spans="1:9" x14ac:dyDescent="0.25">
      <c r="A2123" s="14">
        <v>2013</v>
      </c>
      <c r="B2123" s="14">
        <v>210</v>
      </c>
      <c r="C2123" s="20">
        <v>41484</v>
      </c>
      <c r="D2123" s="16">
        <v>0.52152777777777781</v>
      </c>
      <c r="E2123" s="14">
        <v>30</v>
      </c>
      <c r="F2123" s="23">
        <v>2</v>
      </c>
      <c r="G2123" s="17">
        <v>0.27978764265536721</v>
      </c>
      <c r="H2123" s="4" t="s">
        <v>123</v>
      </c>
      <c r="I2123" s="14"/>
    </row>
    <row r="2124" spans="1:9" x14ac:dyDescent="0.25">
      <c r="A2124" s="14">
        <v>2013</v>
      </c>
      <c r="B2124" s="14">
        <v>210</v>
      </c>
      <c r="C2124" s="20">
        <v>41484</v>
      </c>
      <c r="D2124" s="16">
        <v>0.52847222222222223</v>
      </c>
      <c r="E2124" s="14">
        <v>30</v>
      </c>
      <c r="F2124" s="23">
        <v>3</v>
      </c>
      <c r="G2124" s="17">
        <v>0.31115307909604517</v>
      </c>
      <c r="H2124" s="4" t="s">
        <v>123</v>
      </c>
      <c r="I2124" s="14"/>
    </row>
    <row r="2125" spans="1:9" x14ac:dyDescent="0.25">
      <c r="A2125" s="14">
        <v>2013</v>
      </c>
      <c r="B2125" s="14">
        <v>210</v>
      </c>
      <c r="C2125" s="20">
        <v>41484</v>
      </c>
      <c r="D2125" s="16">
        <v>0.53472222222222221</v>
      </c>
      <c r="E2125" s="14">
        <v>30</v>
      </c>
      <c r="F2125" s="23">
        <v>4</v>
      </c>
      <c r="G2125" s="17">
        <v>0.2881701822033898</v>
      </c>
      <c r="H2125" s="4" t="s">
        <v>123</v>
      </c>
      <c r="I2125" s="14"/>
    </row>
    <row r="2126" spans="1:9" x14ac:dyDescent="0.25">
      <c r="A2126" s="14">
        <v>2013</v>
      </c>
      <c r="B2126" s="14">
        <v>210</v>
      </c>
      <c r="C2126" s="20">
        <v>41484</v>
      </c>
      <c r="D2126" s="16">
        <v>0.54166666666666663</v>
      </c>
      <c r="E2126" s="14">
        <v>30</v>
      </c>
      <c r="F2126" s="23">
        <v>5</v>
      </c>
      <c r="G2126" s="17">
        <v>0.29966163064971751</v>
      </c>
      <c r="H2126" s="4" t="s">
        <v>0</v>
      </c>
      <c r="I2126" s="14"/>
    </row>
    <row r="2127" spans="1:9" x14ac:dyDescent="0.25">
      <c r="A2127" s="14">
        <v>2013</v>
      </c>
      <c r="B2127" s="14">
        <v>210</v>
      </c>
      <c r="C2127" s="20">
        <v>41484</v>
      </c>
      <c r="D2127" s="16">
        <v>0.55208333333333337</v>
      </c>
      <c r="E2127" s="14">
        <v>30</v>
      </c>
      <c r="F2127" s="23">
        <v>6</v>
      </c>
      <c r="G2127" s="17">
        <v>0.29012764336158192</v>
      </c>
      <c r="H2127" s="4" t="s">
        <v>0</v>
      </c>
      <c r="I2127" s="14"/>
    </row>
    <row r="2128" spans="1:9" x14ac:dyDescent="0.25">
      <c r="A2128" s="14">
        <v>2013</v>
      </c>
      <c r="B2128" s="14">
        <v>210</v>
      </c>
      <c r="C2128" s="20">
        <v>41484</v>
      </c>
      <c r="D2128" s="16">
        <v>0.55763888888888891</v>
      </c>
      <c r="E2128" s="14">
        <v>30</v>
      </c>
      <c r="F2128" s="23">
        <v>7</v>
      </c>
      <c r="G2128" s="17">
        <v>0.29477949223163835</v>
      </c>
      <c r="H2128" s="4" t="s">
        <v>123</v>
      </c>
      <c r="I2128" s="14"/>
    </row>
    <row r="2129" spans="1:9" x14ac:dyDescent="0.25">
      <c r="A2129" s="14">
        <v>2013</v>
      </c>
      <c r="B2129" s="14">
        <v>210</v>
      </c>
      <c r="C2129" s="20">
        <v>41484</v>
      </c>
      <c r="D2129" s="16">
        <v>0.56388888888888888</v>
      </c>
      <c r="E2129" s="14">
        <v>30</v>
      </c>
      <c r="F2129" s="23">
        <v>8</v>
      </c>
      <c r="G2129" s="17">
        <v>0.31205120833333333</v>
      </c>
      <c r="H2129" s="4" t="s">
        <v>123</v>
      </c>
      <c r="I2129" s="14"/>
    </row>
    <row r="2130" spans="1:9" x14ac:dyDescent="0.25">
      <c r="A2130" s="14">
        <v>2013</v>
      </c>
      <c r="B2130" s="14">
        <v>210</v>
      </c>
      <c r="C2130" s="20">
        <v>41484</v>
      </c>
      <c r="D2130" s="16">
        <v>0.57013888888888886</v>
      </c>
      <c r="E2130" s="14">
        <v>30</v>
      </c>
      <c r="F2130" s="23">
        <v>9</v>
      </c>
      <c r="G2130" s="17">
        <v>0.31877566313559319</v>
      </c>
      <c r="H2130" s="4" t="s">
        <v>123</v>
      </c>
      <c r="I2130" s="14"/>
    </row>
    <row r="2131" spans="1:9" x14ac:dyDescent="0.25">
      <c r="A2131" s="14">
        <v>2013</v>
      </c>
      <c r="B2131" s="14">
        <v>210</v>
      </c>
      <c r="C2131" s="20">
        <v>41484</v>
      </c>
      <c r="D2131" s="16">
        <v>0.57638888888888895</v>
      </c>
      <c r="E2131" s="14">
        <v>30</v>
      </c>
      <c r="F2131" s="23">
        <v>10</v>
      </c>
      <c r="G2131" s="17">
        <v>0.30691575141242938</v>
      </c>
      <c r="H2131" s="4" t="s">
        <v>123</v>
      </c>
      <c r="I2131" s="14"/>
    </row>
    <row r="2132" spans="1:9" x14ac:dyDescent="0.25">
      <c r="A2132" s="14">
        <v>2013</v>
      </c>
      <c r="B2132" s="14">
        <v>210</v>
      </c>
      <c r="C2132" s="20">
        <v>41484</v>
      </c>
      <c r="D2132" s="16">
        <v>0.58819444444444446</v>
      </c>
      <c r="E2132" s="14">
        <v>30</v>
      </c>
      <c r="F2132" s="23">
        <v>11</v>
      </c>
      <c r="G2132" s="17">
        <v>0.27882042655367228</v>
      </c>
      <c r="H2132" s="4" t="s">
        <v>124</v>
      </c>
      <c r="I2132" s="14"/>
    </row>
    <row r="2133" spans="1:9" x14ac:dyDescent="0.25">
      <c r="A2133" s="14">
        <v>2013</v>
      </c>
      <c r="B2133" s="14">
        <v>210</v>
      </c>
      <c r="C2133" s="20">
        <v>41484</v>
      </c>
      <c r="D2133" s="16">
        <v>0.59444444444444444</v>
      </c>
      <c r="E2133" s="14">
        <v>30</v>
      </c>
      <c r="F2133" s="23">
        <v>12</v>
      </c>
      <c r="G2133" s="17">
        <v>0.25302799717514118</v>
      </c>
      <c r="H2133" s="4" t="s">
        <v>124</v>
      </c>
      <c r="I2133" s="14"/>
    </row>
    <row r="2134" spans="1:9" x14ac:dyDescent="0.25">
      <c r="A2134" s="14">
        <v>2013</v>
      </c>
      <c r="B2134" s="14">
        <v>210</v>
      </c>
      <c r="C2134" s="20">
        <v>41484</v>
      </c>
      <c r="D2134" s="16">
        <v>0.60069444444444442</v>
      </c>
      <c r="E2134" s="14">
        <v>30</v>
      </c>
      <c r="F2134" s="23">
        <v>13</v>
      </c>
      <c r="G2134" s="17">
        <v>0.28441646257062142</v>
      </c>
      <c r="H2134" s="4" t="s">
        <v>124</v>
      </c>
      <c r="I2134" s="14"/>
    </row>
    <row r="2135" spans="1:9" x14ac:dyDescent="0.25">
      <c r="A2135" s="14">
        <v>2013</v>
      </c>
      <c r="B2135" s="14">
        <v>210</v>
      </c>
      <c r="C2135" s="20">
        <v>41484</v>
      </c>
      <c r="D2135" s="16">
        <v>0.60902777777777783</v>
      </c>
      <c r="E2135" s="14">
        <v>30</v>
      </c>
      <c r="F2135" s="23">
        <v>14</v>
      </c>
      <c r="G2135" s="17">
        <v>0.27812955790960453</v>
      </c>
      <c r="H2135" s="4" t="s">
        <v>124</v>
      </c>
      <c r="I2135" s="14"/>
    </row>
    <row r="2136" spans="1:9" x14ac:dyDescent="0.25">
      <c r="A2136" s="14">
        <v>2013</v>
      </c>
      <c r="B2136" s="14">
        <v>210</v>
      </c>
      <c r="C2136" s="20">
        <v>41484</v>
      </c>
      <c r="D2136" s="16">
        <v>0.61597222222222225</v>
      </c>
      <c r="E2136" s="14">
        <v>30</v>
      </c>
      <c r="F2136" s="23">
        <v>15</v>
      </c>
      <c r="G2136" s="17">
        <v>0.29072639618644064</v>
      </c>
      <c r="H2136" s="4" t="s">
        <v>1</v>
      </c>
      <c r="I2136" s="14"/>
    </row>
    <row r="2137" spans="1:9" x14ac:dyDescent="0.25">
      <c r="A2137" s="14">
        <v>2013</v>
      </c>
      <c r="B2137" s="14">
        <v>210</v>
      </c>
      <c r="C2137" s="20">
        <v>41484</v>
      </c>
      <c r="D2137" s="16">
        <v>0.62083333333333335</v>
      </c>
      <c r="E2137" s="14">
        <v>30</v>
      </c>
      <c r="F2137" s="23">
        <v>16</v>
      </c>
      <c r="G2137" s="17">
        <v>0.29438799999999998</v>
      </c>
      <c r="H2137" s="4" t="s">
        <v>1</v>
      </c>
      <c r="I2137" s="14"/>
    </row>
    <row r="2138" spans="1:9" x14ac:dyDescent="0.25">
      <c r="A2138" s="14">
        <v>2013</v>
      </c>
      <c r="B2138" s="14">
        <v>210</v>
      </c>
      <c r="C2138" s="20">
        <v>41484</v>
      </c>
      <c r="D2138" s="16">
        <v>0.62777777777777777</v>
      </c>
      <c r="E2138" s="14">
        <v>30</v>
      </c>
      <c r="F2138" s="23">
        <v>17</v>
      </c>
      <c r="G2138" s="17">
        <v>0.298026574858757</v>
      </c>
      <c r="H2138" s="4" t="s">
        <v>124</v>
      </c>
      <c r="I2138" s="14"/>
    </row>
    <row r="2139" spans="1:9" x14ac:dyDescent="0.25">
      <c r="A2139" s="14">
        <v>2013</v>
      </c>
      <c r="B2139" s="14">
        <v>210</v>
      </c>
      <c r="C2139" s="20">
        <v>41484</v>
      </c>
      <c r="D2139" s="16">
        <v>0.63402777777777775</v>
      </c>
      <c r="E2139" s="14">
        <v>30</v>
      </c>
      <c r="F2139" s="23">
        <v>18</v>
      </c>
      <c r="G2139" s="17">
        <v>0.30470497175141242</v>
      </c>
      <c r="H2139" s="4" t="s">
        <v>124</v>
      </c>
      <c r="I2139" s="14"/>
    </row>
    <row r="2140" spans="1:9" x14ac:dyDescent="0.25">
      <c r="A2140" s="14">
        <v>2013</v>
      </c>
      <c r="B2140" s="14">
        <v>210</v>
      </c>
      <c r="C2140" s="20">
        <v>41484</v>
      </c>
      <c r="D2140" s="16">
        <v>0.64027777777777783</v>
      </c>
      <c r="E2140" s="14">
        <v>30</v>
      </c>
      <c r="F2140" s="23">
        <v>19</v>
      </c>
      <c r="G2140" s="17">
        <v>0.27223414548022601</v>
      </c>
      <c r="H2140" s="4" t="s">
        <v>124</v>
      </c>
      <c r="I2140" s="14"/>
    </row>
    <row r="2141" spans="1:9" x14ac:dyDescent="0.25">
      <c r="A2141" s="14">
        <v>2013</v>
      </c>
      <c r="B2141" s="14">
        <v>210</v>
      </c>
      <c r="C2141" s="20">
        <v>41484</v>
      </c>
      <c r="D2141" s="16">
        <v>0.64652777777777781</v>
      </c>
      <c r="E2141" s="14">
        <v>30</v>
      </c>
      <c r="F2141" s="23">
        <v>20</v>
      </c>
      <c r="G2141" s="17">
        <v>0.28211356709039542</v>
      </c>
      <c r="H2141" s="4" t="s">
        <v>124</v>
      </c>
      <c r="I2141" s="14"/>
    </row>
    <row r="2142" spans="1:9" x14ac:dyDescent="0.25">
      <c r="A2142" s="14">
        <v>2013</v>
      </c>
      <c r="B2142" s="14">
        <v>210</v>
      </c>
      <c r="C2142" s="20">
        <v>41484</v>
      </c>
      <c r="D2142" s="16">
        <v>0.52152777777777781</v>
      </c>
      <c r="E2142" s="14">
        <v>10</v>
      </c>
      <c r="F2142" s="23">
        <v>1</v>
      </c>
      <c r="G2142" s="17">
        <v>0.19531190738498788</v>
      </c>
      <c r="H2142" s="4" t="s">
        <v>123</v>
      </c>
      <c r="I2142" s="14"/>
    </row>
    <row r="2143" spans="1:9" x14ac:dyDescent="0.25">
      <c r="A2143" s="14">
        <v>2013</v>
      </c>
      <c r="B2143" s="14">
        <v>210</v>
      </c>
      <c r="C2143" s="20">
        <v>41484</v>
      </c>
      <c r="D2143" s="16">
        <v>0.52152777777777781</v>
      </c>
      <c r="E2143" s="14">
        <v>10</v>
      </c>
      <c r="F2143" s="23">
        <v>2</v>
      </c>
      <c r="G2143" s="17">
        <v>0.21626178087167069</v>
      </c>
      <c r="H2143" s="4" t="s">
        <v>123</v>
      </c>
      <c r="I2143" s="14"/>
    </row>
    <row r="2144" spans="1:9" x14ac:dyDescent="0.25">
      <c r="A2144" s="14">
        <v>2013</v>
      </c>
      <c r="B2144" s="14">
        <v>210</v>
      </c>
      <c r="C2144" s="20">
        <v>41484</v>
      </c>
      <c r="D2144" s="16">
        <v>0.52847222222222223</v>
      </c>
      <c r="E2144" s="14">
        <v>10</v>
      </c>
      <c r="F2144" s="23">
        <v>3</v>
      </c>
      <c r="G2144" s="17">
        <v>0.23036339921307503</v>
      </c>
      <c r="H2144" s="4" t="s">
        <v>123</v>
      </c>
      <c r="I2144" s="14"/>
    </row>
    <row r="2145" spans="1:9" x14ac:dyDescent="0.25">
      <c r="A2145" s="14">
        <v>2013</v>
      </c>
      <c r="B2145" s="14">
        <v>210</v>
      </c>
      <c r="C2145" s="20">
        <v>41484</v>
      </c>
      <c r="D2145" s="16">
        <v>0.53472222222222221</v>
      </c>
      <c r="E2145" s="14">
        <v>10</v>
      </c>
      <c r="F2145" s="23">
        <v>4</v>
      </c>
      <c r="G2145" s="17">
        <v>0.21568305508474578</v>
      </c>
      <c r="H2145" s="4" t="s">
        <v>123</v>
      </c>
      <c r="I2145" s="14"/>
    </row>
    <row r="2146" spans="1:9" x14ac:dyDescent="0.25">
      <c r="A2146" s="14">
        <v>2013</v>
      </c>
      <c r="B2146" s="14">
        <v>210</v>
      </c>
      <c r="C2146" s="20">
        <v>41484</v>
      </c>
      <c r="D2146" s="16">
        <v>0.54166666666666663</v>
      </c>
      <c r="E2146" s="14">
        <v>10</v>
      </c>
      <c r="F2146" s="23">
        <v>5</v>
      </c>
      <c r="G2146" s="17">
        <v>0.21446773093220339</v>
      </c>
      <c r="H2146" s="4" t="s">
        <v>0</v>
      </c>
      <c r="I2146" s="14"/>
    </row>
    <row r="2147" spans="1:9" x14ac:dyDescent="0.25">
      <c r="A2147" s="14">
        <v>2013</v>
      </c>
      <c r="B2147" s="14">
        <v>210</v>
      </c>
      <c r="C2147" s="20">
        <v>41484</v>
      </c>
      <c r="D2147" s="16">
        <v>0.55208333333333337</v>
      </c>
      <c r="E2147" s="14">
        <v>10</v>
      </c>
      <c r="F2147" s="23">
        <v>6</v>
      </c>
      <c r="G2147" s="17">
        <v>0.20744585805084742</v>
      </c>
      <c r="H2147" s="4" t="s">
        <v>0</v>
      </c>
      <c r="I2147" s="14"/>
    </row>
    <row r="2148" spans="1:9" x14ac:dyDescent="0.25">
      <c r="A2148" s="14">
        <v>2013</v>
      </c>
      <c r="B2148" s="14">
        <v>210</v>
      </c>
      <c r="C2148" s="20">
        <v>41484</v>
      </c>
      <c r="D2148" s="16">
        <v>0.55763888888888891</v>
      </c>
      <c r="E2148" s="14">
        <v>10</v>
      </c>
      <c r="F2148" s="23">
        <v>7</v>
      </c>
      <c r="G2148" s="17">
        <v>0.23231177602905567</v>
      </c>
      <c r="H2148" s="4" t="s">
        <v>123</v>
      </c>
      <c r="I2148" s="14"/>
    </row>
    <row r="2149" spans="1:9" x14ac:dyDescent="0.25">
      <c r="A2149" s="14">
        <v>2013</v>
      </c>
      <c r="B2149" s="14">
        <v>210</v>
      </c>
      <c r="C2149" s="20">
        <v>41484</v>
      </c>
      <c r="D2149" s="16">
        <v>0.56388888888888888</v>
      </c>
      <c r="E2149" s="14">
        <v>10</v>
      </c>
      <c r="F2149" s="23">
        <v>8</v>
      </c>
      <c r="G2149" s="17">
        <v>0.23885137742130752</v>
      </c>
      <c r="H2149" s="4" t="s">
        <v>123</v>
      </c>
      <c r="I2149" s="14"/>
    </row>
    <row r="2150" spans="1:9" x14ac:dyDescent="0.25">
      <c r="A2150" s="14">
        <v>2013</v>
      </c>
      <c r="B2150" s="14">
        <v>210</v>
      </c>
      <c r="C2150" s="20">
        <v>41484</v>
      </c>
      <c r="D2150" s="16">
        <v>0.57013888888888886</v>
      </c>
      <c r="E2150" s="14">
        <v>10</v>
      </c>
      <c r="F2150" s="23">
        <v>9</v>
      </c>
      <c r="G2150" s="17">
        <v>0.22428677845036316</v>
      </c>
      <c r="H2150" s="4" t="s">
        <v>123</v>
      </c>
      <c r="I2150" s="14"/>
    </row>
    <row r="2151" spans="1:9" x14ac:dyDescent="0.25">
      <c r="A2151" s="14">
        <v>2013</v>
      </c>
      <c r="B2151" s="14">
        <v>210</v>
      </c>
      <c r="C2151" s="20">
        <v>41484</v>
      </c>
      <c r="D2151" s="16">
        <v>0.57638888888888895</v>
      </c>
      <c r="E2151" s="14">
        <v>10</v>
      </c>
      <c r="F2151" s="23">
        <v>10</v>
      </c>
      <c r="G2151" s="17">
        <v>0.21842235714285713</v>
      </c>
      <c r="H2151" s="4" t="s">
        <v>123</v>
      </c>
      <c r="I2151" s="14"/>
    </row>
    <row r="2152" spans="1:9" x14ac:dyDescent="0.25">
      <c r="A2152" s="14">
        <v>2013</v>
      </c>
      <c r="B2152" s="14">
        <v>210</v>
      </c>
      <c r="C2152" s="20">
        <v>41484</v>
      </c>
      <c r="D2152" s="16">
        <v>0.58819444444444446</v>
      </c>
      <c r="E2152" s="14">
        <v>10</v>
      </c>
      <c r="F2152" s="23">
        <v>11</v>
      </c>
      <c r="G2152" s="17">
        <v>0.18564718674334141</v>
      </c>
      <c r="H2152" s="4" t="s">
        <v>124</v>
      </c>
      <c r="I2152" s="14"/>
    </row>
    <row r="2153" spans="1:9" x14ac:dyDescent="0.25">
      <c r="A2153" s="14">
        <v>2013</v>
      </c>
      <c r="B2153" s="14">
        <v>210</v>
      </c>
      <c r="C2153" s="20">
        <v>41484</v>
      </c>
      <c r="D2153" s="16">
        <v>0.59444444444444444</v>
      </c>
      <c r="E2153" s="14">
        <v>10</v>
      </c>
      <c r="F2153" s="23">
        <v>12</v>
      </c>
      <c r="G2153" s="17">
        <v>0.15626720762711865</v>
      </c>
      <c r="H2153" s="4" t="s">
        <v>124</v>
      </c>
      <c r="I2153" s="14"/>
    </row>
    <row r="2154" spans="1:9" x14ac:dyDescent="0.25">
      <c r="A2154" s="14">
        <v>2013</v>
      </c>
      <c r="B2154" s="14">
        <v>210</v>
      </c>
      <c r="C2154" s="20">
        <v>41484</v>
      </c>
      <c r="D2154" s="16">
        <v>0.60069444444444442</v>
      </c>
      <c r="E2154" s="14">
        <v>10</v>
      </c>
      <c r="F2154" s="23">
        <v>13</v>
      </c>
      <c r="G2154" s="17">
        <v>0.17023378995157384</v>
      </c>
      <c r="H2154" s="4" t="s">
        <v>124</v>
      </c>
      <c r="I2154" s="14"/>
    </row>
    <row r="2155" spans="1:9" x14ac:dyDescent="0.25">
      <c r="A2155" s="14">
        <v>2013</v>
      </c>
      <c r="B2155" s="14">
        <v>210</v>
      </c>
      <c r="C2155" s="20">
        <v>41484</v>
      </c>
      <c r="D2155" s="16">
        <v>0.60902777777777783</v>
      </c>
      <c r="E2155" s="14">
        <v>10</v>
      </c>
      <c r="F2155" s="23">
        <v>14</v>
      </c>
      <c r="G2155" s="17">
        <v>0.18385313680387411</v>
      </c>
      <c r="H2155" s="4" t="s">
        <v>124</v>
      </c>
      <c r="I2155" s="14"/>
    </row>
    <row r="2156" spans="1:9" x14ac:dyDescent="0.25">
      <c r="A2156" s="14">
        <v>2013</v>
      </c>
      <c r="B2156" s="14">
        <v>210</v>
      </c>
      <c r="C2156" s="20">
        <v>41484</v>
      </c>
      <c r="D2156" s="16">
        <v>0.61597222222222225</v>
      </c>
      <c r="E2156" s="14">
        <v>10</v>
      </c>
      <c r="F2156" s="23">
        <v>15</v>
      </c>
      <c r="G2156" s="17">
        <v>0.1995558964891041</v>
      </c>
      <c r="H2156" s="4" t="s">
        <v>1</v>
      </c>
      <c r="I2156" s="14"/>
    </row>
    <row r="2157" spans="1:9" x14ac:dyDescent="0.25">
      <c r="A2157" s="14">
        <v>2013</v>
      </c>
      <c r="B2157" s="14">
        <v>210</v>
      </c>
      <c r="C2157" s="20">
        <v>41484</v>
      </c>
      <c r="D2157" s="16">
        <v>0.62083333333333335</v>
      </c>
      <c r="E2157" s="14">
        <v>10</v>
      </c>
      <c r="F2157" s="23">
        <v>16</v>
      </c>
      <c r="G2157" s="17">
        <v>0.19687446700968525</v>
      </c>
      <c r="H2157" s="4" t="s">
        <v>1</v>
      </c>
      <c r="I2157" s="14"/>
    </row>
    <row r="2158" spans="1:9" x14ac:dyDescent="0.25">
      <c r="A2158" s="14">
        <v>2013</v>
      </c>
      <c r="B2158" s="14">
        <v>210</v>
      </c>
      <c r="C2158" s="20">
        <v>41484</v>
      </c>
      <c r="D2158" s="16">
        <v>0.62777777777777777</v>
      </c>
      <c r="E2158" s="14">
        <v>10</v>
      </c>
      <c r="F2158" s="23">
        <v>17</v>
      </c>
      <c r="G2158" s="17">
        <v>0.21186346489104113</v>
      </c>
      <c r="H2158" s="4" t="s">
        <v>124</v>
      </c>
      <c r="I2158" s="14"/>
    </row>
    <row r="2159" spans="1:9" x14ac:dyDescent="0.25">
      <c r="A2159" s="14">
        <v>2013</v>
      </c>
      <c r="B2159" s="14">
        <v>210</v>
      </c>
      <c r="C2159" s="20">
        <v>41484</v>
      </c>
      <c r="D2159" s="16">
        <v>0.63402777777777775</v>
      </c>
      <c r="E2159" s="14">
        <v>10</v>
      </c>
      <c r="F2159" s="23">
        <v>18</v>
      </c>
      <c r="G2159" s="17">
        <v>0.19392296549636806</v>
      </c>
      <c r="H2159" s="4" t="s">
        <v>124</v>
      </c>
      <c r="I2159" s="14"/>
    </row>
    <row r="2160" spans="1:9" x14ac:dyDescent="0.25">
      <c r="A2160" s="14">
        <v>2013</v>
      </c>
      <c r="B2160" s="14">
        <v>210</v>
      </c>
      <c r="C2160" s="20">
        <v>41484</v>
      </c>
      <c r="D2160" s="16">
        <v>0.64027777777777783</v>
      </c>
      <c r="E2160" s="14">
        <v>10</v>
      </c>
      <c r="F2160" s="23">
        <v>19</v>
      </c>
      <c r="G2160" s="17">
        <v>0.17326245490314768</v>
      </c>
      <c r="H2160" s="4" t="s">
        <v>124</v>
      </c>
      <c r="I2160" s="14"/>
    </row>
    <row r="2161" spans="1:9" x14ac:dyDescent="0.25">
      <c r="A2161" s="14">
        <v>2013</v>
      </c>
      <c r="B2161" s="14">
        <v>210</v>
      </c>
      <c r="C2161" s="20">
        <v>41484</v>
      </c>
      <c r="D2161" s="16">
        <v>0.64652777777777781</v>
      </c>
      <c r="E2161" s="14">
        <v>10</v>
      </c>
      <c r="F2161" s="23">
        <v>20</v>
      </c>
      <c r="G2161" s="17">
        <v>0.1728766377118644</v>
      </c>
      <c r="H2161" s="4" t="s">
        <v>124</v>
      </c>
      <c r="I2161" s="14"/>
    </row>
    <row r="2162" spans="1:9" x14ac:dyDescent="0.25">
      <c r="A2162" s="14">
        <v>2013</v>
      </c>
      <c r="B2162" s="14">
        <v>218</v>
      </c>
      <c r="C2162" s="20">
        <v>41492</v>
      </c>
      <c r="D2162" s="16">
        <v>0.3576388888888889</v>
      </c>
      <c r="E2162" s="14">
        <v>230</v>
      </c>
      <c r="F2162" s="23">
        <v>1</v>
      </c>
      <c r="G2162" s="17">
        <v>0.29509456073446333</v>
      </c>
      <c r="H2162" s="4" t="s">
        <v>123</v>
      </c>
      <c r="I2162" s="14"/>
    </row>
    <row r="2163" spans="1:9" x14ac:dyDescent="0.25">
      <c r="A2163" s="14">
        <v>2013</v>
      </c>
      <c r="B2163" s="14">
        <v>218</v>
      </c>
      <c r="C2163" s="20">
        <v>41492</v>
      </c>
      <c r="D2163" s="16">
        <v>0.36805555555555558</v>
      </c>
      <c r="E2163" s="14">
        <v>230</v>
      </c>
      <c r="F2163" s="23">
        <v>2</v>
      </c>
      <c r="G2163" s="17">
        <v>0.29636697245762711</v>
      </c>
      <c r="H2163" s="4" t="s">
        <v>123</v>
      </c>
      <c r="I2163" s="14"/>
    </row>
    <row r="2164" spans="1:9" x14ac:dyDescent="0.25">
      <c r="A2164" s="14">
        <v>2013</v>
      </c>
      <c r="B2164" s="14">
        <v>218</v>
      </c>
      <c r="C2164" s="20">
        <v>41492</v>
      </c>
      <c r="D2164" s="16">
        <v>0.375</v>
      </c>
      <c r="E2164" s="14">
        <v>230</v>
      </c>
      <c r="F2164" s="23">
        <v>3</v>
      </c>
      <c r="G2164" s="17">
        <v>0.2841322443502825</v>
      </c>
      <c r="H2164" s="4" t="s">
        <v>123</v>
      </c>
      <c r="I2164" s="14"/>
    </row>
    <row r="2165" spans="1:9" x14ac:dyDescent="0.25">
      <c r="A2165" s="14">
        <v>2013</v>
      </c>
      <c r="B2165" s="14">
        <v>218</v>
      </c>
      <c r="C2165" s="20">
        <v>41492</v>
      </c>
      <c r="D2165" s="16">
        <v>0.3756944444444445</v>
      </c>
      <c r="E2165" s="14">
        <v>230</v>
      </c>
      <c r="F2165" s="23">
        <v>4</v>
      </c>
      <c r="G2165" s="17">
        <v>0.28313389053672317</v>
      </c>
      <c r="H2165" s="4" t="s">
        <v>123</v>
      </c>
      <c r="I2165" s="14"/>
    </row>
    <row r="2166" spans="1:9" x14ac:dyDescent="0.25">
      <c r="A2166" s="14">
        <v>2013</v>
      </c>
      <c r="B2166" s="14">
        <v>218</v>
      </c>
      <c r="C2166" s="20">
        <v>41492</v>
      </c>
      <c r="D2166" s="16">
        <v>0.3888888888888889</v>
      </c>
      <c r="E2166" s="14">
        <v>230</v>
      </c>
      <c r="F2166" s="23">
        <v>5</v>
      </c>
      <c r="G2166" s="17" t="e">
        <v>#N/A</v>
      </c>
      <c r="H2166" s="4" t="s">
        <v>0</v>
      </c>
      <c r="I2166" s="14"/>
    </row>
    <row r="2167" spans="1:9" x14ac:dyDescent="0.25">
      <c r="A2167" s="14">
        <v>2013</v>
      </c>
      <c r="B2167" s="14">
        <v>218</v>
      </c>
      <c r="C2167" s="20">
        <v>41492</v>
      </c>
      <c r="D2167" s="16">
        <v>0.39374999999999999</v>
      </c>
      <c r="E2167" s="14">
        <v>230</v>
      </c>
      <c r="F2167" s="23">
        <v>6</v>
      </c>
      <c r="G2167" s="17" t="e">
        <v>#N/A</v>
      </c>
      <c r="H2167" s="4" t="s">
        <v>0</v>
      </c>
      <c r="I2167" s="14"/>
    </row>
    <row r="2168" spans="1:9" x14ac:dyDescent="0.25">
      <c r="A2168" s="14">
        <v>2013</v>
      </c>
      <c r="B2168" s="14">
        <v>218</v>
      </c>
      <c r="C2168" s="20">
        <v>41492</v>
      </c>
      <c r="D2168" s="16">
        <v>0.39930555555555558</v>
      </c>
      <c r="E2168" s="14">
        <v>230</v>
      </c>
      <c r="F2168" s="23">
        <v>7</v>
      </c>
      <c r="G2168" s="17">
        <v>0.27683055861581918</v>
      </c>
      <c r="H2168" s="4" t="s">
        <v>123</v>
      </c>
      <c r="I2168" s="14"/>
    </row>
    <row r="2169" spans="1:9" x14ac:dyDescent="0.25">
      <c r="A2169" s="14">
        <v>2013</v>
      </c>
      <c r="B2169" s="14">
        <v>218</v>
      </c>
      <c r="C2169" s="20">
        <v>41492</v>
      </c>
      <c r="D2169" s="16">
        <v>0.40763888888888888</v>
      </c>
      <c r="E2169" s="14">
        <v>230</v>
      </c>
      <c r="F2169" s="23">
        <v>8</v>
      </c>
      <c r="G2169" s="17">
        <v>0.31112694844632771</v>
      </c>
      <c r="H2169" s="4" t="s">
        <v>123</v>
      </c>
      <c r="I2169" s="14"/>
    </row>
    <row r="2170" spans="1:9" x14ac:dyDescent="0.25">
      <c r="A2170" s="14">
        <v>2013</v>
      </c>
      <c r="B2170" s="14">
        <v>218</v>
      </c>
      <c r="C2170" s="20">
        <v>41492</v>
      </c>
      <c r="D2170" s="16">
        <v>0.41319444444444442</v>
      </c>
      <c r="E2170" s="14">
        <v>230</v>
      </c>
      <c r="F2170" s="23">
        <v>9</v>
      </c>
      <c r="G2170" s="17">
        <v>0.30568494138418084</v>
      </c>
      <c r="H2170" s="4" t="s">
        <v>123</v>
      </c>
      <c r="I2170" s="14"/>
    </row>
    <row r="2171" spans="1:9" x14ac:dyDescent="0.25">
      <c r="A2171" s="14">
        <v>2013</v>
      </c>
      <c r="B2171" s="14">
        <v>218</v>
      </c>
      <c r="C2171" s="20">
        <v>41492</v>
      </c>
      <c r="D2171" s="16">
        <v>0.41944444444444445</v>
      </c>
      <c r="E2171" s="14">
        <v>230</v>
      </c>
      <c r="F2171" s="23">
        <v>10</v>
      </c>
      <c r="G2171" s="17">
        <v>0.25788141172316387</v>
      </c>
      <c r="H2171" s="4" t="s">
        <v>123</v>
      </c>
      <c r="I2171" s="14"/>
    </row>
    <row r="2172" spans="1:9" x14ac:dyDescent="0.25">
      <c r="A2172" s="14">
        <v>2013</v>
      </c>
      <c r="B2172" s="14">
        <v>218</v>
      </c>
      <c r="C2172" s="20">
        <v>41492</v>
      </c>
      <c r="D2172" s="16">
        <v>0.43263888888888885</v>
      </c>
      <c r="E2172" s="14">
        <v>230</v>
      </c>
      <c r="F2172" s="23">
        <v>11</v>
      </c>
      <c r="G2172" s="17">
        <v>0.2973065995762712</v>
      </c>
      <c r="H2172" s="4" t="s">
        <v>124</v>
      </c>
      <c r="I2172" s="14"/>
    </row>
    <row r="2173" spans="1:9" x14ac:dyDescent="0.25">
      <c r="A2173" s="14">
        <v>2013</v>
      </c>
      <c r="B2173" s="14">
        <v>218</v>
      </c>
      <c r="C2173" s="20">
        <v>41492</v>
      </c>
      <c r="D2173" s="16">
        <v>0.43958333333333338</v>
      </c>
      <c r="E2173" s="14">
        <v>230</v>
      </c>
      <c r="F2173" s="23">
        <v>12</v>
      </c>
      <c r="G2173" s="17">
        <v>0.30202431073446329</v>
      </c>
      <c r="H2173" s="4" t="s">
        <v>124</v>
      </c>
      <c r="I2173" s="14"/>
    </row>
    <row r="2174" spans="1:9" x14ac:dyDescent="0.25">
      <c r="A2174" s="14">
        <v>2013</v>
      </c>
      <c r="B2174" s="14">
        <v>218</v>
      </c>
      <c r="C2174" s="20">
        <v>41492</v>
      </c>
      <c r="D2174" s="16">
        <v>0.44791666666666669</v>
      </c>
      <c r="E2174" s="14">
        <v>230</v>
      </c>
      <c r="F2174" s="23">
        <v>13</v>
      </c>
      <c r="G2174" s="17">
        <v>0.29217780155367234</v>
      </c>
      <c r="H2174" s="4" t="s">
        <v>124</v>
      </c>
      <c r="I2174" s="14"/>
    </row>
    <row r="2175" spans="1:9" x14ac:dyDescent="0.25">
      <c r="A2175" s="14">
        <v>2013</v>
      </c>
      <c r="B2175" s="14">
        <v>218</v>
      </c>
      <c r="C2175" s="20">
        <v>41492</v>
      </c>
      <c r="D2175" s="16">
        <v>0.45416666666666666</v>
      </c>
      <c r="E2175" s="14">
        <v>230</v>
      </c>
      <c r="F2175" s="23">
        <v>14</v>
      </c>
      <c r="G2175" s="17">
        <v>0.29525116525423734</v>
      </c>
      <c r="H2175" s="4" t="s">
        <v>124</v>
      </c>
      <c r="I2175" s="14"/>
    </row>
    <row r="2176" spans="1:9" x14ac:dyDescent="0.25">
      <c r="A2176" s="14">
        <v>2013</v>
      </c>
      <c r="B2176" s="14">
        <v>218</v>
      </c>
      <c r="C2176" s="20">
        <v>41492</v>
      </c>
      <c r="D2176" s="16">
        <v>0.46111111111111108</v>
      </c>
      <c r="E2176" s="14">
        <v>230</v>
      </c>
      <c r="F2176" s="23">
        <v>15</v>
      </c>
      <c r="G2176" s="17" t="e">
        <v>#N/A</v>
      </c>
      <c r="H2176" s="4" t="s">
        <v>1</v>
      </c>
      <c r="I2176" s="14"/>
    </row>
    <row r="2177" spans="1:9" x14ac:dyDescent="0.25">
      <c r="A2177" s="14">
        <v>2013</v>
      </c>
      <c r="B2177" s="14">
        <v>218</v>
      </c>
      <c r="C2177" s="20">
        <v>41492</v>
      </c>
      <c r="D2177" s="16">
        <v>0.46597222222222223</v>
      </c>
      <c r="E2177" s="14">
        <v>230</v>
      </c>
      <c r="F2177" s="23">
        <v>16</v>
      </c>
      <c r="G2177" s="17" t="e">
        <v>#N/A</v>
      </c>
      <c r="H2177" s="4" t="s">
        <v>1</v>
      </c>
      <c r="I2177" s="14"/>
    </row>
    <row r="2178" spans="1:9" x14ac:dyDescent="0.25">
      <c r="A2178" s="14">
        <v>2013</v>
      </c>
      <c r="B2178" s="14">
        <v>218</v>
      </c>
      <c r="C2178" s="20">
        <v>41492</v>
      </c>
      <c r="D2178" s="16">
        <v>0.47430555555555554</v>
      </c>
      <c r="E2178" s="14">
        <v>230</v>
      </c>
      <c r="F2178" s="23">
        <v>17</v>
      </c>
      <c r="G2178" s="17">
        <v>0.29830495338983049</v>
      </c>
      <c r="H2178" s="4" t="s">
        <v>124</v>
      </c>
      <c r="I2178" s="14"/>
    </row>
    <row r="2179" spans="1:9" x14ac:dyDescent="0.25">
      <c r="A2179" s="14">
        <v>2013</v>
      </c>
      <c r="B2179" s="14">
        <v>218</v>
      </c>
      <c r="C2179" s="20">
        <v>41492</v>
      </c>
      <c r="D2179" s="16">
        <v>0.48055555555555557</v>
      </c>
      <c r="E2179" s="14">
        <v>230</v>
      </c>
      <c r="F2179" s="23">
        <v>18</v>
      </c>
      <c r="G2179" s="17">
        <v>0.30051699223163841</v>
      </c>
      <c r="H2179" s="4" t="s">
        <v>124</v>
      </c>
      <c r="I2179" s="14"/>
    </row>
    <row r="2180" spans="1:9" x14ac:dyDescent="0.25">
      <c r="A2180" s="14">
        <v>2013</v>
      </c>
      <c r="B2180" s="14">
        <v>218</v>
      </c>
      <c r="C2180" s="20">
        <v>41492</v>
      </c>
      <c r="D2180" s="16">
        <v>0.48680555555555555</v>
      </c>
      <c r="E2180" s="14">
        <v>230</v>
      </c>
      <c r="F2180" s="23">
        <v>19</v>
      </c>
      <c r="G2180" s="17">
        <v>0.28947637358757061</v>
      </c>
      <c r="H2180" s="4" t="s">
        <v>124</v>
      </c>
      <c r="I2180" s="14"/>
    </row>
    <row r="2181" spans="1:9" x14ac:dyDescent="0.25">
      <c r="A2181" s="14">
        <v>2013</v>
      </c>
      <c r="B2181" s="14">
        <v>218</v>
      </c>
      <c r="C2181" s="20">
        <v>41492</v>
      </c>
      <c r="D2181" s="16">
        <v>0.49374999999999997</v>
      </c>
      <c r="E2181" s="14">
        <v>230</v>
      </c>
      <c r="F2181" s="23">
        <v>20</v>
      </c>
      <c r="G2181" s="17">
        <v>0.30049741666666668</v>
      </c>
      <c r="H2181" s="4" t="s">
        <v>124</v>
      </c>
      <c r="I2181" s="14"/>
    </row>
    <row r="2182" spans="1:9" x14ac:dyDescent="0.25">
      <c r="A2182" s="14">
        <v>2013</v>
      </c>
      <c r="B2182" s="14">
        <v>218</v>
      </c>
      <c r="C2182" s="20">
        <v>41492</v>
      </c>
      <c r="D2182" s="16">
        <v>0.3576388888888889</v>
      </c>
      <c r="E2182" s="14">
        <v>210</v>
      </c>
      <c r="F2182" s="23">
        <v>1</v>
      </c>
      <c r="G2182" s="17">
        <v>0.29965566737288141</v>
      </c>
      <c r="H2182" s="4" t="s">
        <v>123</v>
      </c>
      <c r="I2182" s="14"/>
    </row>
    <row r="2183" spans="1:9" x14ac:dyDescent="0.25">
      <c r="A2183" s="14">
        <v>2013</v>
      </c>
      <c r="B2183" s="14">
        <v>218</v>
      </c>
      <c r="C2183" s="20">
        <v>41492</v>
      </c>
      <c r="D2183" s="16">
        <v>0.36805555555555558</v>
      </c>
      <c r="E2183" s="14">
        <v>210</v>
      </c>
      <c r="F2183" s="23">
        <v>2</v>
      </c>
      <c r="G2183" s="17">
        <v>0.29374384675141241</v>
      </c>
      <c r="H2183" s="4" t="s">
        <v>123</v>
      </c>
      <c r="I2183" s="14"/>
    </row>
    <row r="2184" spans="1:9" x14ac:dyDescent="0.25">
      <c r="A2184" s="14">
        <v>2013</v>
      </c>
      <c r="B2184" s="14">
        <v>218</v>
      </c>
      <c r="C2184" s="20">
        <v>41492</v>
      </c>
      <c r="D2184" s="16">
        <v>0.375</v>
      </c>
      <c r="E2184" s="14">
        <v>210</v>
      </c>
      <c r="F2184" s="23">
        <v>3</v>
      </c>
      <c r="G2184" s="17">
        <v>0.27082086016949153</v>
      </c>
      <c r="H2184" s="4" t="s">
        <v>123</v>
      </c>
      <c r="I2184" s="14"/>
    </row>
    <row r="2185" spans="1:9" x14ac:dyDescent="0.25">
      <c r="A2185" s="14">
        <v>2013</v>
      </c>
      <c r="B2185" s="14">
        <v>218</v>
      </c>
      <c r="C2185" s="20">
        <v>41492</v>
      </c>
      <c r="D2185" s="16">
        <v>0.3756944444444445</v>
      </c>
      <c r="E2185" s="14">
        <v>210</v>
      </c>
      <c r="F2185" s="23">
        <v>4</v>
      </c>
      <c r="G2185" s="17">
        <v>0.28814523516949153</v>
      </c>
      <c r="H2185" s="4" t="s">
        <v>123</v>
      </c>
      <c r="I2185" s="14"/>
    </row>
    <row r="2186" spans="1:9" x14ac:dyDescent="0.25">
      <c r="A2186" s="14">
        <v>2013</v>
      </c>
      <c r="B2186" s="14">
        <v>218</v>
      </c>
      <c r="C2186" s="20">
        <v>41492</v>
      </c>
      <c r="D2186" s="16">
        <v>0.3888888888888889</v>
      </c>
      <c r="E2186" s="14">
        <v>210</v>
      </c>
      <c r="F2186" s="23">
        <v>5</v>
      </c>
      <c r="G2186" s="17" t="e">
        <v>#N/A</v>
      </c>
      <c r="H2186" s="4" t="s">
        <v>0</v>
      </c>
      <c r="I2186" s="14"/>
    </row>
    <row r="2187" spans="1:9" x14ac:dyDescent="0.25">
      <c r="A2187" s="14">
        <v>2013</v>
      </c>
      <c r="B2187" s="14">
        <v>218</v>
      </c>
      <c r="C2187" s="20">
        <v>41492</v>
      </c>
      <c r="D2187" s="16">
        <v>0.39374999999999999</v>
      </c>
      <c r="E2187" s="14">
        <v>210</v>
      </c>
      <c r="F2187" s="23">
        <v>6</v>
      </c>
      <c r="G2187" s="17" t="e">
        <v>#N/A</v>
      </c>
      <c r="H2187" s="4" t="s">
        <v>0</v>
      </c>
      <c r="I2187" s="14"/>
    </row>
    <row r="2188" spans="1:9" x14ac:dyDescent="0.25">
      <c r="A2188" s="14">
        <v>2013</v>
      </c>
      <c r="B2188" s="14">
        <v>218</v>
      </c>
      <c r="C2188" s="20">
        <v>41492</v>
      </c>
      <c r="D2188" s="16">
        <v>0.39930555555555558</v>
      </c>
      <c r="E2188" s="14">
        <v>210</v>
      </c>
      <c r="F2188" s="23">
        <v>7</v>
      </c>
      <c r="G2188" s="17">
        <v>0.26958759957627121</v>
      </c>
      <c r="H2188" s="4" t="s">
        <v>123</v>
      </c>
      <c r="I2188" s="14"/>
    </row>
    <row r="2189" spans="1:9" x14ac:dyDescent="0.25">
      <c r="A2189" s="14">
        <v>2013</v>
      </c>
      <c r="B2189" s="14">
        <v>218</v>
      </c>
      <c r="C2189" s="20">
        <v>41492</v>
      </c>
      <c r="D2189" s="16">
        <v>0.40763888888888888</v>
      </c>
      <c r="E2189" s="14">
        <v>210</v>
      </c>
      <c r="F2189" s="23">
        <v>8</v>
      </c>
      <c r="G2189" s="17">
        <v>0.30347290254237291</v>
      </c>
      <c r="H2189" s="4" t="s">
        <v>123</v>
      </c>
      <c r="I2189" s="14"/>
    </row>
    <row r="2190" spans="1:9" x14ac:dyDescent="0.25">
      <c r="A2190" s="14">
        <v>2013</v>
      </c>
      <c r="B2190" s="14">
        <v>218</v>
      </c>
      <c r="C2190" s="20">
        <v>41492</v>
      </c>
      <c r="D2190" s="16">
        <v>0.41319444444444442</v>
      </c>
      <c r="E2190" s="14">
        <v>210</v>
      </c>
      <c r="F2190" s="23">
        <v>9</v>
      </c>
      <c r="G2190" s="17">
        <v>0.28941764689265537</v>
      </c>
      <c r="H2190" s="4" t="s">
        <v>123</v>
      </c>
      <c r="I2190" s="14"/>
    </row>
    <row r="2191" spans="1:9" x14ac:dyDescent="0.25">
      <c r="A2191" s="14">
        <v>2013</v>
      </c>
      <c r="B2191" s="14">
        <v>218</v>
      </c>
      <c r="C2191" s="20">
        <v>41492</v>
      </c>
      <c r="D2191" s="16">
        <v>0.41944444444444445</v>
      </c>
      <c r="E2191" s="14">
        <v>210</v>
      </c>
      <c r="F2191" s="23">
        <v>10</v>
      </c>
      <c r="G2191" s="17">
        <v>0.26514394632768362</v>
      </c>
      <c r="H2191" s="4" t="s">
        <v>123</v>
      </c>
      <c r="I2191" s="14"/>
    </row>
    <row r="2192" spans="1:9" x14ac:dyDescent="0.25">
      <c r="A2192" s="14">
        <v>2013</v>
      </c>
      <c r="B2192" s="14">
        <v>218</v>
      </c>
      <c r="C2192" s="20">
        <v>41492</v>
      </c>
      <c r="D2192" s="16">
        <v>0.43263888888888885</v>
      </c>
      <c r="E2192" s="14">
        <v>210</v>
      </c>
      <c r="F2192" s="23">
        <v>11</v>
      </c>
      <c r="G2192" s="17">
        <v>0.30652669067796612</v>
      </c>
      <c r="H2192" s="4" t="s">
        <v>124</v>
      </c>
      <c r="I2192" s="14"/>
    </row>
    <row r="2193" spans="1:9" x14ac:dyDescent="0.25">
      <c r="A2193" s="14">
        <v>2013</v>
      </c>
      <c r="B2193" s="14">
        <v>218</v>
      </c>
      <c r="C2193" s="20">
        <v>41492</v>
      </c>
      <c r="D2193" s="16">
        <v>0.43958333333333338</v>
      </c>
      <c r="E2193" s="14">
        <v>210</v>
      </c>
      <c r="F2193" s="23">
        <v>12</v>
      </c>
      <c r="G2193" s="17">
        <v>0.31008944350282486</v>
      </c>
      <c r="H2193" s="4" t="s">
        <v>124</v>
      </c>
      <c r="I2193" s="14"/>
    </row>
    <row r="2194" spans="1:9" x14ac:dyDescent="0.25">
      <c r="A2194" s="14">
        <v>2013</v>
      </c>
      <c r="B2194" s="14">
        <v>218</v>
      </c>
      <c r="C2194" s="20">
        <v>41492</v>
      </c>
      <c r="D2194" s="16">
        <v>0.44791666666666669</v>
      </c>
      <c r="E2194" s="14">
        <v>210</v>
      </c>
      <c r="F2194" s="23">
        <v>13</v>
      </c>
      <c r="G2194" s="17">
        <v>0.30396229166666666</v>
      </c>
      <c r="H2194" s="4" t="s">
        <v>124</v>
      </c>
      <c r="I2194" s="14"/>
    </row>
    <row r="2195" spans="1:9" x14ac:dyDescent="0.25">
      <c r="A2195" s="14">
        <v>2013</v>
      </c>
      <c r="B2195" s="14">
        <v>218</v>
      </c>
      <c r="C2195" s="20">
        <v>41492</v>
      </c>
      <c r="D2195" s="16">
        <v>0.45416666666666666</v>
      </c>
      <c r="E2195" s="14">
        <v>210</v>
      </c>
      <c r="F2195" s="23">
        <v>14</v>
      </c>
      <c r="G2195" s="17">
        <v>0.27197581850282487</v>
      </c>
      <c r="H2195" s="4" t="s">
        <v>124</v>
      </c>
      <c r="I2195" s="14"/>
    </row>
    <row r="2196" spans="1:9" x14ac:dyDescent="0.25">
      <c r="A2196" s="14">
        <v>2013</v>
      </c>
      <c r="B2196" s="14">
        <v>218</v>
      </c>
      <c r="C2196" s="20">
        <v>41492</v>
      </c>
      <c r="D2196" s="16">
        <v>0.46111111111111108</v>
      </c>
      <c r="E2196" s="14">
        <v>210</v>
      </c>
      <c r="F2196" s="23">
        <v>15</v>
      </c>
      <c r="G2196" s="17" t="e">
        <v>#N/A</v>
      </c>
      <c r="H2196" s="4" t="s">
        <v>1</v>
      </c>
      <c r="I2196" s="14"/>
    </row>
    <row r="2197" spans="1:9" x14ac:dyDescent="0.25">
      <c r="A2197" s="14">
        <v>2013</v>
      </c>
      <c r="B2197" s="14">
        <v>218</v>
      </c>
      <c r="C2197" s="20">
        <v>41492</v>
      </c>
      <c r="D2197" s="16">
        <v>0.46597222222222223</v>
      </c>
      <c r="E2197" s="14">
        <v>210</v>
      </c>
      <c r="F2197" s="23">
        <v>16</v>
      </c>
      <c r="G2197" s="17" t="e">
        <v>#N/A</v>
      </c>
      <c r="H2197" s="4" t="s">
        <v>1</v>
      </c>
      <c r="I2197" s="14"/>
    </row>
    <row r="2198" spans="1:9" x14ac:dyDescent="0.25">
      <c r="A2198" s="14">
        <v>2013</v>
      </c>
      <c r="B2198" s="14">
        <v>218</v>
      </c>
      <c r="C2198" s="20">
        <v>41492</v>
      </c>
      <c r="D2198" s="16">
        <v>0.47430555555555554</v>
      </c>
      <c r="E2198" s="14">
        <v>210</v>
      </c>
      <c r="F2198" s="23">
        <v>17</v>
      </c>
      <c r="G2198" s="17">
        <v>0.30578281920903955</v>
      </c>
      <c r="H2198" s="4" t="s">
        <v>124</v>
      </c>
      <c r="I2198" s="14"/>
    </row>
    <row r="2199" spans="1:9" x14ac:dyDescent="0.25">
      <c r="A2199" s="14">
        <v>2013</v>
      </c>
      <c r="B2199" s="14">
        <v>218</v>
      </c>
      <c r="C2199" s="20">
        <v>41492</v>
      </c>
      <c r="D2199" s="16">
        <v>0.48055555555555557</v>
      </c>
      <c r="E2199" s="14">
        <v>210</v>
      </c>
      <c r="F2199" s="23">
        <v>18</v>
      </c>
      <c r="G2199" s="17">
        <v>0.30298351341807911</v>
      </c>
      <c r="H2199" s="4" t="s">
        <v>124</v>
      </c>
      <c r="I2199" s="14"/>
    </row>
    <row r="2200" spans="1:9" x14ac:dyDescent="0.25">
      <c r="A2200" s="14">
        <v>2013</v>
      </c>
      <c r="B2200" s="14">
        <v>218</v>
      </c>
      <c r="C2200" s="20">
        <v>41492</v>
      </c>
      <c r="D2200" s="16">
        <v>0.48680555555555555</v>
      </c>
      <c r="E2200" s="14">
        <v>210</v>
      </c>
      <c r="F2200" s="23">
        <v>19</v>
      </c>
      <c r="G2200" s="17">
        <v>0.29576012994350287</v>
      </c>
      <c r="H2200" s="4" t="s">
        <v>124</v>
      </c>
      <c r="I2200" s="14"/>
    </row>
    <row r="2201" spans="1:9" x14ac:dyDescent="0.25">
      <c r="A2201" s="14">
        <v>2013</v>
      </c>
      <c r="B2201" s="14">
        <v>218</v>
      </c>
      <c r="C2201" s="20">
        <v>41492</v>
      </c>
      <c r="D2201" s="16">
        <v>0.49374999999999997</v>
      </c>
      <c r="E2201" s="14">
        <v>210</v>
      </c>
      <c r="F2201" s="23">
        <v>20</v>
      </c>
      <c r="G2201" s="17">
        <v>0.3028269088983051</v>
      </c>
      <c r="H2201" s="4" t="s">
        <v>124</v>
      </c>
      <c r="I2201" s="14"/>
    </row>
    <row r="2202" spans="1:9" x14ac:dyDescent="0.25">
      <c r="A2202" s="14">
        <v>2013</v>
      </c>
      <c r="B2202" s="14">
        <v>218</v>
      </c>
      <c r="C2202" s="20">
        <v>41492</v>
      </c>
      <c r="D2202" s="16">
        <v>0.3576388888888889</v>
      </c>
      <c r="E2202" s="14">
        <v>190</v>
      </c>
      <c r="F2202" s="23">
        <v>1</v>
      </c>
      <c r="G2202" s="17">
        <v>0.28317304166666668</v>
      </c>
      <c r="H2202" s="4" t="s">
        <v>123</v>
      </c>
      <c r="I2202" s="14"/>
    </row>
    <row r="2203" spans="1:9" x14ac:dyDescent="0.25">
      <c r="A2203" s="14">
        <v>2013</v>
      </c>
      <c r="B2203" s="14">
        <v>218</v>
      </c>
      <c r="C2203" s="20">
        <v>41492</v>
      </c>
      <c r="D2203" s="16">
        <v>0.36805555555555558</v>
      </c>
      <c r="E2203" s="14">
        <v>190</v>
      </c>
      <c r="F2203" s="23">
        <v>2</v>
      </c>
      <c r="G2203" s="17">
        <v>0.28501314477401135</v>
      </c>
      <c r="H2203" s="4" t="s">
        <v>123</v>
      </c>
      <c r="I2203" s="14"/>
    </row>
    <row r="2204" spans="1:9" x14ac:dyDescent="0.25">
      <c r="A2204" s="14">
        <v>2013</v>
      </c>
      <c r="B2204" s="14">
        <v>218</v>
      </c>
      <c r="C2204" s="20">
        <v>41492</v>
      </c>
      <c r="D2204" s="16">
        <v>0.375</v>
      </c>
      <c r="E2204" s="14">
        <v>190</v>
      </c>
      <c r="F2204" s="23">
        <v>3</v>
      </c>
      <c r="G2204" s="17">
        <v>0.29217780155367234</v>
      </c>
      <c r="H2204" s="4" t="s">
        <v>123</v>
      </c>
      <c r="I2204" s="14"/>
    </row>
    <row r="2205" spans="1:9" x14ac:dyDescent="0.25">
      <c r="A2205" s="14">
        <v>2013</v>
      </c>
      <c r="B2205" s="14">
        <v>218</v>
      </c>
      <c r="C2205" s="20">
        <v>41492</v>
      </c>
      <c r="D2205" s="16">
        <v>0.3756944444444445</v>
      </c>
      <c r="E2205" s="14">
        <v>190</v>
      </c>
      <c r="F2205" s="23">
        <v>4</v>
      </c>
      <c r="G2205" s="17">
        <v>0.29366554449152543</v>
      </c>
      <c r="H2205" s="4" t="s">
        <v>123</v>
      </c>
      <c r="I2205" s="14"/>
    </row>
    <row r="2206" spans="1:9" x14ac:dyDescent="0.25">
      <c r="A2206" s="14">
        <v>2013</v>
      </c>
      <c r="B2206" s="14">
        <v>218</v>
      </c>
      <c r="C2206" s="20">
        <v>41492</v>
      </c>
      <c r="D2206" s="16">
        <v>0.3888888888888889</v>
      </c>
      <c r="E2206" s="14">
        <v>190</v>
      </c>
      <c r="F2206" s="23">
        <v>5</v>
      </c>
      <c r="G2206" s="17">
        <v>0.32878410805084751</v>
      </c>
      <c r="H2206" s="4" t="s">
        <v>0</v>
      </c>
      <c r="I2206" s="14"/>
    </row>
    <row r="2207" spans="1:9" x14ac:dyDescent="0.25">
      <c r="A2207" s="14">
        <v>2013</v>
      </c>
      <c r="B2207" s="14">
        <v>218</v>
      </c>
      <c r="C2207" s="20">
        <v>41492</v>
      </c>
      <c r="D2207" s="16">
        <v>0.39374999999999999</v>
      </c>
      <c r="E2207" s="14">
        <v>190</v>
      </c>
      <c r="F2207" s="23">
        <v>6</v>
      </c>
      <c r="G2207" s="17">
        <v>0.34013793573446333</v>
      </c>
      <c r="H2207" s="4" t="s">
        <v>0</v>
      </c>
      <c r="I2207" s="14"/>
    </row>
    <row r="2208" spans="1:9" x14ac:dyDescent="0.25">
      <c r="A2208" s="14">
        <v>2013</v>
      </c>
      <c r="B2208" s="14">
        <v>218</v>
      </c>
      <c r="C2208" s="20">
        <v>41492</v>
      </c>
      <c r="D2208" s="16">
        <v>0.39930555555555558</v>
      </c>
      <c r="E2208" s="14">
        <v>190</v>
      </c>
      <c r="F2208" s="23">
        <v>7</v>
      </c>
      <c r="G2208" s="17">
        <v>0.27606711158192093</v>
      </c>
      <c r="H2208" s="4" t="s">
        <v>123</v>
      </c>
      <c r="I2208" s="14"/>
    </row>
    <row r="2209" spans="1:9" x14ac:dyDescent="0.25">
      <c r="A2209" s="14">
        <v>2013</v>
      </c>
      <c r="B2209" s="14">
        <v>218</v>
      </c>
      <c r="C2209" s="20">
        <v>41492</v>
      </c>
      <c r="D2209" s="16">
        <v>0.40763888888888888</v>
      </c>
      <c r="E2209" s="14">
        <v>190</v>
      </c>
      <c r="F2209" s="23">
        <v>8</v>
      </c>
      <c r="G2209" s="17">
        <v>0.29356766666666667</v>
      </c>
      <c r="H2209" s="4" t="s">
        <v>123</v>
      </c>
      <c r="I2209" s="14"/>
    </row>
    <row r="2210" spans="1:9" x14ac:dyDescent="0.25">
      <c r="A2210" s="14">
        <v>2013</v>
      </c>
      <c r="B2210" s="14">
        <v>218</v>
      </c>
      <c r="C2210" s="20">
        <v>41492</v>
      </c>
      <c r="D2210" s="16">
        <v>0.41319444444444442</v>
      </c>
      <c r="E2210" s="14">
        <v>190</v>
      </c>
      <c r="F2210" s="23">
        <v>9</v>
      </c>
      <c r="G2210" s="17">
        <v>0.28556126059322035</v>
      </c>
      <c r="H2210" s="4" t="s">
        <v>123</v>
      </c>
      <c r="I2210" s="14"/>
    </row>
    <row r="2211" spans="1:9" x14ac:dyDescent="0.25">
      <c r="A2211" s="14">
        <v>2013</v>
      </c>
      <c r="B2211" s="14">
        <v>218</v>
      </c>
      <c r="C2211" s="20">
        <v>41492</v>
      </c>
      <c r="D2211" s="16">
        <v>0.41944444444444445</v>
      </c>
      <c r="E2211" s="14">
        <v>190</v>
      </c>
      <c r="F2211" s="23">
        <v>10</v>
      </c>
      <c r="G2211" s="17">
        <v>0.29505540960451976</v>
      </c>
      <c r="H2211" s="4" t="s">
        <v>123</v>
      </c>
      <c r="I2211" s="14"/>
    </row>
    <row r="2212" spans="1:9" x14ac:dyDescent="0.25">
      <c r="A2212" s="14">
        <v>2013</v>
      </c>
      <c r="B2212" s="14">
        <v>218</v>
      </c>
      <c r="C2212" s="20">
        <v>41492</v>
      </c>
      <c r="D2212" s="16">
        <v>0.43263888888888885</v>
      </c>
      <c r="E2212" s="14">
        <v>190</v>
      </c>
      <c r="F2212" s="23">
        <v>11</v>
      </c>
      <c r="G2212" s="17">
        <v>0.30891490960451978</v>
      </c>
      <c r="H2212" s="4" t="s">
        <v>124</v>
      </c>
      <c r="I2212" s="14"/>
    </row>
    <row r="2213" spans="1:9" x14ac:dyDescent="0.25">
      <c r="A2213" s="14">
        <v>2013</v>
      </c>
      <c r="B2213" s="14">
        <v>218</v>
      </c>
      <c r="C2213" s="20">
        <v>41492</v>
      </c>
      <c r="D2213" s="16">
        <v>0.43958333333333338</v>
      </c>
      <c r="E2213" s="14">
        <v>190</v>
      </c>
      <c r="F2213" s="23">
        <v>12</v>
      </c>
      <c r="G2213" s="17">
        <v>0.31651022881355934</v>
      </c>
      <c r="H2213" s="4" t="s">
        <v>124</v>
      </c>
      <c r="I2213" s="14"/>
    </row>
    <row r="2214" spans="1:9" x14ac:dyDescent="0.25">
      <c r="A2214" s="14">
        <v>2013</v>
      </c>
      <c r="B2214" s="14">
        <v>218</v>
      </c>
      <c r="C2214" s="20">
        <v>41492</v>
      </c>
      <c r="D2214" s="16">
        <v>0.44791666666666669</v>
      </c>
      <c r="E2214" s="14">
        <v>190</v>
      </c>
      <c r="F2214" s="23">
        <v>13</v>
      </c>
      <c r="G2214" s="17">
        <v>0.30204388629943502</v>
      </c>
      <c r="H2214" s="4" t="s">
        <v>124</v>
      </c>
      <c r="I2214" s="14"/>
    </row>
    <row r="2215" spans="1:9" x14ac:dyDescent="0.25">
      <c r="A2215" s="14">
        <v>2013</v>
      </c>
      <c r="B2215" s="14">
        <v>218</v>
      </c>
      <c r="C2215" s="20">
        <v>41492</v>
      </c>
      <c r="D2215" s="16">
        <v>0.45416666666666666</v>
      </c>
      <c r="E2215" s="14">
        <v>190</v>
      </c>
      <c r="F2215" s="23">
        <v>14</v>
      </c>
      <c r="G2215" s="17">
        <v>0.30090850353107346</v>
      </c>
      <c r="H2215" s="4" t="s">
        <v>124</v>
      </c>
      <c r="I2215" s="14"/>
    </row>
    <row r="2216" spans="1:9" x14ac:dyDescent="0.25">
      <c r="A2216" s="14">
        <v>2013</v>
      </c>
      <c r="B2216" s="14">
        <v>218</v>
      </c>
      <c r="C2216" s="20">
        <v>41492</v>
      </c>
      <c r="D2216" s="16">
        <v>0.46111111111111108</v>
      </c>
      <c r="E2216" s="14">
        <v>190</v>
      </c>
      <c r="F2216" s="23">
        <v>15</v>
      </c>
      <c r="G2216" s="17">
        <v>0.32672867372881359</v>
      </c>
      <c r="H2216" s="4" t="s">
        <v>1</v>
      </c>
      <c r="I2216" s="14"/>
    </row>
    <row r="2217" spans="1:9" x14ac:dyDescent="0.25">
      <c r="A2217" s="14">
        <v>2013</v>
      </c>
      <c r="B2217" s="14">
        <v>218</v>
      </c>
      <c r="C2217" s="20">
        <v>41492</v>
      </c>
      <c r="D2217" s="16">
        <v>0.46597222222222223</v>
      </c>
      <c r="E2217" s="14">
        <v>190</v>
      </c>
      <c r="F2217" s="23">
        <v>16</v>
      </c>
      <c r="G2217" s="17">
        <v>0.32389021680790958</v>
      </c>
      <c r="H2217" s="4" t="s">
        <v>1</v>
      </c>
      <c r="I2217" s="14"/>
    </row>
    <row r="2218" spans="1:9" x14ac:dyDescent="0.25">
      <c r="A2218" s="14">
        <v>2013</v>
      </c>
      <c r="B2218" s="14">
        <v>218</v>
      </c>
      <c r="C2218" s="20">
        <v>41492</v>
      </c>
      <c r="D2218" s="16">
        <v>0.47430555555555554</v>
      </c>
      <c r="E2218" s="14">
        <v>190</v>
      </c>
      <c r="F2218" s="23">
        <v>17</v>
      </c>
      <c r="G2218" s="17">
        <v>0.32197181144067799</v>
      </c>
      <c r="H2218" s="4" t="s">
        <v>124</v>
      </c>
      <c r="I2218" s="14"/>
    </row>
    <row r="2219" spans="1:9" x14ac:dyDescent="0.25">
      <c r="A2219" s="14">
        <v>2013</v>
      </c>
      <c r="B2219" s="14">
        <v>218</v>
      </c>
      <c r="C2219" s="20">
        <v>41492</v>
      </c>
      <c r="D2219" s="16">
        <v>0.48055555555555557</v>
      </c>
      <c r="E2219" s="14">
        <v>190</v>
      </c>
      <c r="F2219" s="23">
        <v>18</v>
      </c>
      <c r="G2219" s="17">
        <v>0.3115184597457627</v>
      </c>
      <c r="H2219" s="4" t="s">
        <v>124</v>
      </c>
      <c r="I2219" s="14"/>
    </row>
    <row r="2220" spans="1:9" x14ac:dyDescent="0.25">
      <c r="A2220" s="14">
        <v>2013</v>
      </c>
      <c r="B2220" s="14">
        <v>218</v>
      </c>
      <c r="C2220" s="20">
        <v>41492</v>
      </c>
      <c r="D2220" s="16">
        <v>0.48680555555555555</v>
      </c>
      <c r="E2220" s="14">
        <v>190</v>
      </c>
      <c r="F2220" s="23">
        <v>19</v>
      </c>
      <c r="G2220" s="17">
        <v>0.30674202189265537</v>
      </c>
      <c r="H2220" s="4" t="s">
        <v>124</v>
      </c>
      <c r="I2220" s="14"/>
    </row>
    <row r="2221" spans="1:9" x14ac:dyDescent="0.25">
      <c r="A2221" s="14">
        <v>2013</v>
      </c>
      <c r="B2221" s="14">
        <v>218</v>
      </c>
      <c r="C2221" s="20">
        <v>41492</v>
      </c>
      <c r="D2221" s="16">
        <v>0.49374999999999997</v>
      </c>
      <c r="E2221" s="14">
        <v>190</v>
      </c>
      <c r="F2221" s="23">
        <v>20</v>
      </c>
      <c r="G2221" s="17">
        <v>0.30519555225988704</v>
      </c>
      <c r="H2221" s="4" t="s">
        <v>124</v>
      </c>
      <c r="I2221" s="14"/>
    </row>
    <row r="2222" spans="1:9" x14ac:dyDescent="0.25">
      <c r="A2222" s="14">
        <v>2013</v>
      </c>
      <c r="B2222" s="14">
        <v>218</v>
      </c>
      <c r="C2222" s="20">
        <v>41492</v>
      </c>
      <c r="D2222" s="16">
        <v>0.3576388888888889</v>
      </c>
      <c r="E2222" s="14">
        <v>170</v>
      </c>
      <c r="F2222" s="23">
        <v>1</v>
      </c>
      <c r="G2222" s="17">
        <v>0.26995953531073447</v>
      </c>
      <c r="H2222" s="4" t="s">
        <v>123</v>
      </c>
      <c r="I2222" s="14"/>
    </row>
    <row r="2223" spans="1:9" x14ac:dyDescent="0.25">
      <c r="A2223" s="14">
        <v>2013</v>
      </c>
      <c r="B2223" s="14">
        <v>218</v>
      </c>
      <c r="C2223" s="20">
        <v>41492</v>
      </c>
      <c r="D2223" s="16">
        <v>0.36805555555555558</v>
      </c>
      <c r="E2223" s="14">
        <v>170</v>
      </c>
      <c r="F2223" s="23">
        <v>2</v>
      </c>
      <c r="G2223" s="17">
        <v>0.26661211370056498</v>
      </c>
      <c r="H2223" s="4" t="s">
        <v>123</v>
      </c>
      <c r="I2223" s="14"/>
    </row>
    <row r="2224" spans="1:9" x14ac:dyDescent="0.25">
      <c r="A2224" s="14">
        <v>2013</v>
      </c>
      <c r="B2224" s="14">
        <v>218</v>
      </c>
      <c r="C2224" s="20">
        <v>41492</v>
      </c>
      <c r="D2224" s="16">
        <v>0.375</v>
      </c>
      <c r="E2224" s="14">
        <v>170</v>
      </c>
      <c r="F2224" s="23">
        <v>3</v>
      </c>
      <c r="G2224" s="17">
        <v>0.28430842443502824</v>
      </c>
      <c r="H2224" s="4" t="s">
        <v>123</v>
      </c>
      <c r="I2224" s="14"/>
    </row>
    <row r="2225" spans="1:9" x14ac:dyDescent="0.25">
      <c r="A2225" s="14">
        <v>2013</v>
      </c>
      <c r="B2225" s="14">
        <v>218</v>
      </c>
      <c r="C2225" s="20">
        <v>41492</v>
      </c>
      <c r="D2225" s="16">
        <v>0.3756944444444445</v>
      </c>
      <c r="E2225" s="14">
        <v>170</v>
      </c>
      <c r="F2225" s="23">
        <v>4</v>
      </c>
      <c r="G2225" s="17">
        <v>0.28836056638418078</v>
      </c>
      <c r="H2225" s="4" t="s">
        <v>123</v>
      </c>
      <c r="I2225" s="14"/>
    </row>
    <row r="2226" spans="1:9" x14ac:dyDescent="0.25">
      <c r="A2226" s="14">
        <v>2013</v>
      </c>
      <c r="B2226" s="14">
        <v>218</v>
      </c>
      <c r="C2226" s="20">
        <v>41492</v>
      </c>
      <c r="D2226" s="16">
        <v>0.3888888888888889</v>
      </c>
      <c r="E2226" s="14">
        <v>170</v>
      </c>
      <c r="F2226" s="23">
        <v>5</v>
      </c>
      <c r="G2226" s="17">
        <v>0.32050364406779663</v>
      </c>
      <c r="H2226" s="4" t="s">
        <v>0</v>
      </c>
      <c r="I2226" s="14"/>
    </row>
    <row r="2227" spans="1:9" x14ac:dyDescent="0.25">
      <c r="A2227" s="14">
        <v>2013</v>
      </c>
      <c r="B2227" s="14">
        <v>218</v>
      </c>
      <c r="C2227" s="20">
        <v>41492</v>
      </c>
      <c r="D2227" s="16">
        <v>0.39374999999999999</v>
      </c>
      <c r="E2227" s="14">
        <v>170</v>
      </c>
      <c r="F2227" s="23">
        <v>6</v>
      </c>
      <c r="G2227" s="17">
        <v>0.32621970903954806</v>
      </c>
      <c r="H2227" s="4" t="s">
        <v>0</v>
      </c>
      <c r="I2227" s="14"/>
    </row>
    <row r="2228" spans="1:9" x14ac:dyDescent="0.25">
      <c r="A2228" s="14">
        <v>2013</v>
      </c>
      <c r="B2228" s="14">
        <v>218</v>
      </c>
      <c r="C2228" s="20">
        <v>41492</v>
      </c>
      <c r="D2228" s="16">
        <v>0.39930555555555558</v>
      </c>
      <c r="E2228" s="14">
        <v>170</v>
      </c>
      <c r="F2228" s="23">
        <v>7</v>
      </c>
      <c r="G2228" s="17">
        <v>0.2928825218926554</v>
      </c>
      <c r="H2228" s="4" t="s">
        <v>123</v>
      </c>
      <c r="I2228" s="14"/>
    </row>
    <row r="2229" spans="1:9" x14ac:dyDescent="0.25">
      <c r="A2229" s="14">
        <v>2013</v>
      </c>
      <c r="B2229" s="14">
        <v>218</v>
      </c>
      <c r="C2229" s="20">
        <v>41492</v>
      </c>
      <c r="D2229" s="16">
        <v>0.40763888888888888</v>
      </c>
      <c r="E2229" s="14">
        <v>170</v>
      </c>
      <c r="F2229" s="23">
        <v>8</v>
      </c>
      <c r="G2229" s="17">
        <v>0.30826891596045203</v>
      </c>
      <c r="H2229" s="4" t="s">
        <v>123</v>
      </c>
      <c r="I2229" s="14"/>
    </row>
    <row r="2230" spans="1:9" x14ac:dyDescent="0.25">
      <c r="A2230" s="14">
        <v>2013</v>
      </c>
      <c r="B2230" s="14">
        <v>218</v>
      </c>
      <c r="C2230" s="20">
        <v>41492</v>
      </c>
      <c r="D2230" s="16">
        <v>0.41319444444444442</v>
      </c>
      <c r="E2230" s="14">
        <v>170</v>
      </c>
      <c r="F2230" s="23">
        <v>9</v>
      </c>
      <c r="G2230" s="17">
        <v>0.29781556426553674</v>
      </c>
      <c r="H2230" s="4" t="s">
        <v>123</v>
      </c>
      <c r="I2230" s="14"/>
    </row>
    <row r="2231" spans="1:9" x14ac:dyDescent="0.25">
      <c r="A2231" s="14">
        <v>2013</v>
      </c>
      <c r="B2231" s="14">
        <v>218</v>
      </c>
      <c r="C2231" s="20">
        <v>41492</v>
      </c>
      <c r="D2231" s="16">
        <v>0.41944444444444445</v>
      </c>
      <c r="E2231" s="14">
        <v>170</v>
      </c>
      <c r="F2231" s="23">
        <v>10</v>
      </c>
      <c r="G2231" s="17">
        <v>0.30713353319209041</v>
      </c>
      <c r="H2231" s="4" t="s">
        <v>123</v>
      </c>
      <c r="I2231" s="14"/>
    </row>
    <row r="2232" spans="1:9" x14ac:dyDescent="0.25">
      <c r="A2232" s="14">
        <v>2013</v>
      </c>
      <c r="B2232" s="14">
        <v>218</v>
      </c>
      <c r="C2232" s="20">
        <v>41492</v>
      </c>
      <c r="D2232" s="16">
        <v>0.43263888888888885</v>
      </c>
      <c r="E2232" s="14">
        <v>170</v>
      </c>
      <c r="F2232" s="23">
        <v>11</v>
      </c>
      <c r="G2232" s="17">
        <v>0.32265695621468926</v>
      </c>
      <c r="H2232" s="4" t="s">
        <v>124</v>
      </c>
      <c r="I2232" s="14"/>
    </row>
    <row r="2233" spans="1:9" x14ac:dyDescent="0.25">
      <c r="A2233" s="14">
        <v>2013</v>
      </c>
      <c r="B2233" s="14">
        <v>218</v>
      </c>
      <c r="C2233" s="20">
        <v>41492</v>
      </c>
      <c r="D2233" s="16">
        <v>0.43958333333333338</v>
      </c>
      <c r="E2233" s="14">
        <v>170</v>
      </c>
      <c r="F2233" s="23">
        <v>12</v>
      </c>
      <c r="G2233" s="17">
        <v>0.33577258474576271</v>
      </c>
      <c r="H2233" s="4" t="s">
        <v>124</v>
      </c>
      <c r="I2233" s="14"/>
    </row>
    <row r="2234" spans="1:9" x14ac:dyDescent="0.25">
      <c r="A2234" s="14">
        <v>2013</v>
      </c>
      <c r="B2234" s="14">
        <v>218</v>
      </c>
      <c r="C2234" s="20">
        <v>41492</v>
      </c>
      <c r="D2234" s="16">
        <v>0.44791666666666669</v>
      </c>
      <c r="E2234" s="14">
        <v>170</v>
      </c>
      <c r="F2234" s="23">
        <v>13</v>
      </c>
      <c r="G2234" s="17">
        <v>0.30864085169491529</v>
      </c>
      <c r="H2234" s="4" t="s">
        <v>124</v>
      </c>
      <c r="I2234" s="14"/>
    </row>
    <row r="2235" spans="1:9" x14ac:dyDescent="0.25">
      <c r="A2235" s="14">
        <v>2013</v>
      </c>
      <c r="B2235" s="14">
        <v>218</v>
      </c>
      <c r="C2235" s="20">
        <v>41492</v>
      </c>
      <c r="D2235" s="16">
        <v>0.45416666666666666</v>
      </c>
      <c r="E2235" s="14">
        <v>170</v>
      </c>
      <c r="F2235" s="23">
        <v>14</v>
      </c>
      <c r="G2235" s="17">
        <v>0.32181520692090398</v>
      </c>
      <c r="H2235" s="4" t="s">
        <v>124</v>
      </c>
      <c r="I2235" s="14"/>
    </row>
    <row r="2236" spans="1:9" x14ac:dyDescent="0.25">
      <c r="A2236" s="14">
        <v>2013</v>
      </c>
      <c r="B2236" s="14">
        <v>218</v>
      </c>
      <c r="C2236" s="20">
        <v>41492</v>
      </c>
      <c r="D2236" s="16">
        <v>0.46111111111111108</v>
      </c>
      <c r="E2236" s="14">
        <v>170</v>
      </c>
      <c r="F2236" s="23">
        <v>15</v>
      </c>
      <c r="G2236" s="17">
        <v>0.32874495692090394</v>
      </c>
      <c r="H2236" s="4" t="s">
        <v>1</v>
      </c>
      <c r="I2236" s="14"/>
    </row>
    <row r="2237" spans="1:9" x14ac:dyDescent="0.25">
      <c r="A2237" s="14">
        <v>2013</v>
      </c>
      <c r="B2237" s="14">
        <v>218</v>
      </c>
      <c r="C2237" s="20">
        <v>41492</v>
      </c>
      <c r="D2237" s="16">
        <v>0.46597222222222223</v>
      </c>
      <c r="E2237" s="14">
        <v>170</v>
      </c>
      <c r="F2237" s="23">
        <v>16</v>
      </c>
      <c r="G2237" s="17">
        <v>0.31494418361581922</v>
      </c>
      <c r="H2237" s="4" t="s">
        <v>1</v>
      </c>
      <c r="I2237" s="14"/>
    </row>
    <row r="2238" spans="1:9" x14ac:dyDescent="0.25">
      <c r="A2238" s="14">
        <v>2013</v>
      </c>
      <c r="B2238" s="14">
        <v>218</v>
      </c>
      <c r="C2238" s="20">
        <v>41492</v>
      </c>
      <c r="D2238" s="16">
        <v>0.47430555555555554</v>
      </c>
      <c r="E2238" s="14">
        <v>170</v>
      </c>
      <c r="F2238" s="23">
        <v>17</v>
      </c>
      <c r="G2238" s="17">
        <v>0.31488545692090397</v>
      </c>
      <c r="H2238" s="4" t="s">
        <v>124</v>
      </c>
      <c r="I2238" s="14"/>
    </row>
    <row r="2239" spans="1:9" x14ac:dyDescent="0.25">
      <c r="A2239" s="14">
        <v>2013</v>
      </c>
      <c r="B2239" s="14">
        <v>218</v>
      </c>
      <c r="C2239" s="20">
        <v>41492</v>
      </c>
      <c r="D2239" s="16">
        <v>0.48055555555555557</v>
      </c>
      <c r="E2239" s="14">
        <v>170</v>
      </c>
      <c r="F2239" s="23">
        <v>18</v>
      </c>
      <c r="G2239" s="17">
        <v>0.32565201765536722</v>
      </c>
      <c r="H2239" s="4" t="s">
        <v>124</v>
      </c>
      <c r="I2239" s="14"/>
    </row>
    <row r="2240" spans="1:9" x14ac:dyDescent="0.25">
      <c r="A2240" s="14">
        <v>2013</v>
      </c>
      <c r="B2240" s="14">
        <v>218</v>
      </c>
      <c r="C2240" s="20">
        <v>41492</v>
      </c>
      <c r="D2240" s="16">
        <v>0.48680555555555555</v>
      </c>
      <c r="E2240" s="14">
        <v>170</v>
      </c>
      <c r="F2240" s="23">
        <v>19</v>
      </c>
      <c r="G2240" s="17">
        <v>0.31455267231638417</v>
      </c>
      <c r="H2240" s="4" t="s">
        <v>124</v>
      </c>
      <c r="I2240" s="14"/>
    </row>
    <row r="2241" spans="1:9" x14ac:dyDescent="0.25">
      <c r="A2241" s="14">
        <v>2013</v>
      </c>
      <c r="B2241" s="14">
        <v>218</v>
      </c>
      <c r="C2241" s="20">
        <v>41492</v>
      </c>
      <c r="D2241" s="16">
        <v>0.49374999999999997</v>
      </c>
      <c r="E2241" s="14">
        <v>170</v>
      </c>
      <c r="F2241" s="23">
        <v>20</v>
      </c>
      <c r="G2241" s="17">
        <v>0.31604041525423726</v>
      </c>
      <c r="H2241" s="4" t="s">
        <v>124</v>
      </c>
      <c r="I2241" s="14"/>
    </row>
    <row r="2242" spans="1:9" x14ac:dyDescent="0.25">
      <c r="A2242" s="14">
        <v>2013</v>
      </c>
      <c r="B2242" s="14">
        <v>218</v>
      </c>
      <c r="C2242" s="20">
        <v>41492</v>
      </c>
      <c r="D2242" s="16">
        <v>0.3576388888888889</v>
      </c>
      <c r="E2242" s="14">
        <v>150</v>
      </c>
      <c r="F2242" s="23">
        <v>1</v>
      </c>
      <c r="G2242" s="17">
        <v>0.33189662288135596</v>
      </c>
      <c r="H2242" s="4" t="s">
        <v>123</v>
      </c>
      <c r="I2242" s="14"/>
    </row>
    <row r="2243" spans="1:9" x14ac:dyDescent="0.25">
      <c r="A2243" s="14">
        <v>2013</v>
      </c>
      <c r="B2243" s="14">
        <v>218</v>
      </c>
      <c r="C2243" s="20">
        <v>41492</v>
      </c>
      <c r="D2243" s="16">
        <v>0.36805555555555558</v>
      </c>
      <c r="E2243" s="14">
        <v>150</v>
      </c>
      <c r="F2243" s="23">
        <v>2</v>
      </c>
      <c r="G2243" s="17">
        <v>0.32882325918079097</v>
      </c>
      <c r="H2243" s="4" t="s">
        <v>123</v>
      </c>
      <c r="I2243" s="14"/>
    </row>
    <row r="2244" spans="1:9" x14ac:dyDescent="0.25">
      <c r="A2244" s="14">
        <v>2013</v>
      </c>
      <c r="B2244" s="14">
        <v>218</v>
      </c>
      <c r="C2244" s="20">
        <v>41492</v>
      </c>
      <c r="D2244" s="16">
        <v>0.375</v>
      </c>
      <c r="E2244" s="14">
        <v>150</v>
      </c>
      <c r="F2244" s="23">
        <v>3</v>
      </c>
      <c r="G2244" s="17">
        <v>0.30212218855932205</v>
      </c>
      <c r="H2244" s="4" t="s">
        <v>123</v>
      </c>
      <c r="I2244" s="14"/>
    </row>
    <row r="2245" spans="1:9" x14ac:dyDescent="0.25">
      <c r="A2245" s="14">
        <v>2013</v>
      </c>
      <c r="B2245" s="14">
        <v>218</v>
      </c>
      <c r="C2245" s="20">
        <v>41492</v>
      </c>
      <c r="D2245" s="16">
        <v>0.3756944444444445</v>
      </c>
      <c r="E2245" s="14">
        <v>150</v>
      </c>
      <c r="F2245" s="23">
        <v>4</v>
      </c>
      <c r="G2245" s="17">
        <v>0.29294124858757059</v>
      </c>
      <c r="H2245" s="4" t="s">
        <v>123</v>
      </c>
      <c r="I2245" s="14"/>
    </row>
    <row r="2246" spans="1:9" x14ac:dyDescent="0.25">
      <c r="A2246" s="14">
        <v>2013</v>
      </c>
      <c r="B2246" s="14">
        <v>218</v>
      </c>
      <c r="C2246" s="20">
        <v>41492</v>
      </c>
      <c r="D2246" s="16">
        <v>0.3888888888888889</v>
      </c>
      <c r="E2246" s="14">
        <v>150</v>
      </c>
      <c r="F2246" s="23">
        <v>5</v>
      </c>
      <c r="G2246" s="17">
        <v>0.35172667019774012</v>
      </c>
      <c r="H2246" s="4" t="s">
        <v>0</v>
      </c>
      <c r="I2246" s="14"/>
    </row>
    <row r="2247" spans="1:9" x14ac:dyDescent="0.25">
      <c r="A2247" s="14">
        <v>2013</v>
      </c>
      <c r="B2247" s="14">
        <v>218</v>
      </c>
      <c r="C2247" s="20">
        <v>41492</v>
      </c>
      <c r="D2247" s="16">
        <v>0.39374999999999999</v>
      </c>
      <c r="E2247" s="14">
        <v>150</v>
      </c>
      <c r="F2247" s="23">
        <v>6</v>
      </c>
      <c r="G2247" s="17">
        <v>0.3397855755649718</v>
      </c>
      <c r="H2247" s="4" t="s">
        <v>0</v>
      </c>
      <c r="I2247" s="14"/>
    </row>
    <row r="2248" spans="1:9" x14ac:dyDescent="0.25">
      <c r="A2248" s="14">
        <v>2013</v>
      </c>
      <c r="B2248" s="14">
        <v>218</v>
      </c>
      <c r="C2248" s="20">
        <v>41492</v>
      </c>
      <c r="D2248" s="16">
        <v>0.39930555555555558</v>
      </c>
      <c r="E2248" s="14">
        <v>150</v>
      </c>
      <c r="F2248" s="23">
        <v>7</v>
      </c>
      <c r="G2248" s="17">
        <v>0.32338125211864405</v>
      </c>
      <c r="H2248" s="4" t="s">
        <v>123</v>
      </c>
      <c r="I2248" s="14"/>
    </row>
    <row r="2249" spans="1:9" x14ac:dyDescent="0.25">
      <c r="A2249" s="14">
        <v>2013</v>
      </c>
      <c r="B2249" s="14">
        <v>218</v>
      </c>
      <c r="C2249" s="20">
        <v>41492</v>
      </c>
      <c r="D2249" s="16">
        <v>0.40763888888888888</v>
      </c>
      <c r="E2249" s="14">
        <v>150</v>
      </c>
      <c r="F2249" s="23">
        <v>8</v>
      </c>
      <c r="G2249" s="17">
        <v>0.3391200063559322</v>
      </c>
      <c r="H2249" s="4" t="s">
        <v>123</v>
      </c>
      <c r="I2249" s="14"/>
    </row>
    <row r="2250" spans="1:9" x14ac:dyDescent="0.25">
      <c r="A2250" s="14">
        <v>2013</v>
      </c>
      <c r="B2250" s="14">
        <v>218</v>
      </c>
      <c r="C2250" s="20">
        <v>41492</v>
      </c>
      <c r="D2250" s="16">
        <v>0.41319444444444442</v>
      </c>
      <c r="E2250" s="14">
        <v>150</v>
      </c>
      <c r="F2250" s="23">
        <v>9</v>
      </c>
      <c r="G2250" s="17">
        <v>0.32653291807909607</v>
      </c>
      <c r="H2250" s="4" t="s">
        <v>123</v>
      </c>
      <c r="I2250" s="14"/>
    </row>
    <row r="2251" spans="1:9" x14ac:dyDescent="0.25">
      <c r="A2251" s="14">
        <v>2013</v>
      </c>
      <c r="B2251" s="14">
        <v>218</v>
      </c>
      <c r="C2251" s="20">
        <v>41492</v>
      </c>
      <c r="D2251" s="16">
        <v>0.41944444444444445</v>
      </c>
      <c r="E2251" s="14">
        <v>150</v>
      </c>
      <c r="F2251" s="23">
        <v>10</v>
      </c>
      <c r="G2251" s="17">
        <v>0.33982472669491531</v>
      </c>
      <c r="H2251" s="4" t="s">
        <v>123</v>
      </c>
      <c r="I2251" s="14"/>
    </row>
    <row r="2252" spans="1:9" x14ac:dyDescent="0.25">
      <c r="A2252" s="14">
        <v>2013</v>
      </c>
      <c r="B2252" s="14">
        <v>218</v>
      </c>
      <c r="C2252" s="20">
        <v>41492</v>
      </c>
      <c r="D2252" s="16">
        <v>0.43263888888888885</v>
      </c>
      <c r="E2252" s="14">
        <v>150</v>
      </c>
      <c r="F2252" s="23">
        <v>11</v>
      </c>
      <c r="G2252" s="17">
        <v>0.33244473870056496</v>
      </c>
      <c r="H2252" s="4" t="s">
        <v>124</v>
      </c>
      <c r="I2252" s="14"/>
    </row>
    <row r="2253" spans="1:9" x14ac:dyDescent="0.25">
      <c r="A2253" s="14">
        <v>2013</v>
      </c>
      <c r="B2253" s="14">
        <v>218</v>
      </c>
      <c r="C2253" s="20">
        <v>41492</v>
      </c>
      <c r="D2253" s="16">
        <v>0.43958333333333338</v>
      </c>
      <c r="E2253" s="14">
        <v>150</v>
      </c>
      <c r="F2253" s="23">
        <v>12</v>
      </c>
      <c r="G2253" s="17">
        <v>0.33473507980225992</v>
      </c>
      <c r="H2253" s="4" t="s">
        <v>124</v>
      </c>
      <c r="I2253" s="14"/>
    </row>
    <row r="2254" spans="1:9" x14ac:dyDescent="0.25">
      <c r="A2254" s="14">
        <v>2013</v>
      </c>
      <c r="B2254" s="14">
        <v>218</v>
      </c>
      <c r="C2254" s="20">
        <v>41492</v>
      </c>
      <c r="D2254" s="16">
        <v>0.44791666666666669</v>
      </c>
      <c r="E2254" s="14">
        <v>150</v>
      </c>
      <c r="F2254" s="23">
        <v>13</v>
      </c>
      <c r="G2254" s="17">
        <v>0.31513993926553674</v>
      </c>
      <c r="H2254" s="4" t="s">
        <v>124</v>
      </c>
      <c r="I2254" s="14"/>
    </row>
    <row r="2255" spans="1:9" x14ac:dyDescent="0.25">
      <c r="A2255" s="14">
        <v>2013</v>
      </c>
      <c r="B2255" s="14">
        <v>218</v>
      </c>
      <c r="C2255" s="20">
        <v>41492</v>
      </c>
      <c r="D2255" s="16">
        <v>0.45416666666666666</v>
      </c>
      <c r="E2255" s="14">
        <v>150</v>
      </c>
      <c r="F2255" s="23">
        <v>14</v>
      </c>
      <c r="G2255" s="17">
        <v>0.30225921751412432</v>
      </c>
      <c r="H2255" s="4" t="s">
        <v>124</v>
      </c>
      <c r="I2255" s="14"/>
    </row>
    <row r="2256" spans="1:9" x14ac:dyDescent="0.25">
      <c r="A2256" s="14">
        <v>2013</v>
      </c>
      <c r="B2256" s="14">
        <v>218</v>
      </c>
      <c r="C2256" s="20">
        <v>41492</v>
      </c>
      <c r="D2256" s="16">
        <v>0.46111111111111108</v>
      </c>
      <c r="E2256" s="14">
        <v>150</v>
      </c>
      <c r="F2256" s="23">
        <v>15</v>
      </c>
      <c r="G2256" s="17">
        <v>0.33594876483050851</v>
      </c>
      <c r="H2256" s="4" t="s">
        <v>1</v>
      </c>
      <c r="I2256" s="14"/>
    </row>
    <row r="2257" spans="1:9" x14ac:dyDescent="0.25">
      <c r="A2257" s="14">
        <v>2013</v>
      </c>
      <c r="B2257" s="14">
        <v>218</v>
      </c>
      <c r="C2257" s="20">
        <v>41492</v>
      </c>
      <c r="D2257" s="16">
        <v>0.46597222222222223</v>
      </c>
      <c r="E2257" s="14">
        <v>150</v>
      </c>
      <c r="F2257" s="23">
        <v>16</v>
      </c>
      <c r="G2257" s="17">
        <v>0.32831429449152544</v>
      </c>
      <c r="H2257" s="4" t="s">
        <v>1</v>
      </c>
      <c r="I2257" s="14"/>
    </row>
    <row r="2258" spans="1:9" x14ac:dyDescent="0.25">
      <c r="A2258" s="14">
        <v>2013</v>
      </c>
      <c r="B2258" s="14">
        <v>218</v>
      </c>
      <c r="C2258" s="20">
        <v>41492</v>
      </c>
      <c r="D2258" s="16">
        <v>0.47430555555555554</v>
      </c>
      <c r="E2258" s="14">
        <v>150</v>
      </c>
      <c r="F2258" s="23">
        <v>17</v>
      </c>
      <c r="G2258" s="17">
        <v>0.31308450494350282</v>
      </c>
      <c r="H2258" s="4" t="s">
        <v>124</v>
      </c>
      <c r="I2258" s="14"/>
    </row>
    <row r="2259" spans="1:9" x14ac:dyDescent="0.25">
      <c r="A2259" s="14">
        <v>2013</v>
      </c>
      <c r="B2259" s="14">
        <v>218</v>
      </c>
      <c r="C2259" s="20">
        <v>41492</v>
      </c>
      <c r="D2259" s="16">
        <v>0.48055555555555557</v>
      </c>
      <c r="E2259" s="14">
        <v>150</v>
      </c>
      <c r="F2259" s="23">
        <v>18</v>
      </c>
      <c r="G2259" s="17">
        <v>0.3244187570621469</v>
      </c>
      <c r="H2259" s="4" t="s">
        <v>124</v>
      </c>
      <c r="I2259" s="14"/>
    </row>
    <row r="2260" spans="1:9" x14ac:dyDescent="0.25">
      <c r="A2260" s="14">
        <v>2013</v>
      </c>
      <c r="B2260" s="14">
        <v>218</v>
      </c>
      <c r="C2260" s="20">
        <v>41492</v>
      </c>
      <c r="D2260" s="16">
        <v>0.48680555555555555</v>
      </c>
      <c r="E2260" s="14">
        <v>150</v>
      </c>
      <c r="F2260" s="23">
        <v>19</v>
      </c>
      <c r="G2260" s="17">
        <v>0.32896028813559325</v>
      </c>
      <c r="H2260" s="4" t="s">
        <v>124</v>
      </c>
      <c r="I2260" s="14"/>
    </row>
    <row r="2261" spans="1:9" x14ac:dyDescent="0.25">
      <c r="A2261" s="14">
        <v>2013</v>
      </c>
      <c r="B2261" s="14">
        <v>218</v>
      </c>
      <c r="C2261" s="20">
        <v>41492</v>
      </c>
      <c r="D2261" s="16">
        <v>0.49374999999999997</v>
      </c>
      <c r="E2261" s="14">
        <v>150</v>
      </c>
      <c r="F2261" s="23">
        <v>20</v>
      </c>
      <c r="G2261" s="17">
        <v>0.3389634018361582</v>
      </c>
      <c r="H2261" s="4" t="s">
        <v>124</v>
      </c>
      <c r="I2261" s="14"/>
    </row>
    <row r="2262" spans="1:9" x14ac:dyDescent="0.25">
      <c r="A2262" s="14">
        <v>2013</v>
      </c>
      <c r="B2262" s="14">
        <v>218</v>
      </c>
      <c r="C2262" s="20">
        <v>41492</v>
      </c>
      <c r="D2262" s="16">
        <v>0.3576388888888889</v>
      </c>
      <c r="E2262" s="14">
        <v>130</v>
      </c>
      <c r="F2262" s="23">
        <v>1</v>
      </c>
      <c r="G2262" s="17">
        <v>0.31443521892655368</v>
      </c>
      <c r="H2262" s="4" t="s">
        <v>123</v>
      </c>
      <c r="I2262" s="14"/>
    </row>
    <row r="2263" spans="1:9" x14ac:dyDescent="0.25">
      <c r="A2263" s="14">
        <v>2013</v>
      </c>
      <c r="B2263" s="14">
        <v>218</v>
      </c>
      <c r="C2263" s="20">
        <v>41492</v>
      </c>
      <c r="D2263" s="16">
        <v>0.36805555555555558</v>
      </c>
      <c r="E2263" s="14">
        <v>130</v>
      </c>
      <c r="F2263" s="23">
        <v>2</v>
      </c>
      <c r="G2263" s="17">
        <v>0.30599815042372885</v>
      </c>
      <c r="H2263" s="4" t="s">
        <v>123</v>
      </c>
      <c r="I2263" s="14"/>
    </row>
    <row r="2264" spans="1:9" x14ac:dyDescent="0.25">
      <c r="A2264" s="14">
        <v>2013</v>
      </c>
      <c r="B2264" s="14">
        <v>218</v>
      </c>
      <c r="C2264" s="20">
        <v>41492</v>
      </c>
      <c r="D2264" s="16">
        <v>0.375</v>
      </c>
      <c r="E2264" s="14">
        <v>130</v>
      </c>
      <c r="F2264" s="23">
        <v>3</v>
      </c>
      <c r="G2264" s="17">
        <v>0.301730677259887</v>
      </c>
      <c r="H2264" s="4" t="s">
        <v>123</v>
      </c>
      <c r="I2264" s="14"/>
    </row>
    <row r="2265" spans="1:9" x14ac:dyDescent="0.25">
      <c r="A2265" s="14">
        <v>2013</v>
      </c>
      <c r="B2265" s="14">
        <v>218</v>
      </c>
      <c r="C2265" s="20">
        <v>41492</v>
      </c>
      <c r="D2265" s="16">
        <v>0.3756944444444445</v>
      </c>
      <c r="E2265" s="14">
        <v>130</v>
      </c>
      <c r="F2265" s="23">
        <v>4</v>
      </c>
      <c r="G2265" s="17">
        <v>0.30936514759887007</v>
      </c>
      <c r="H2265" s="4" t="s">
        <v>123</v>
      </c>
      <c r="I2265" s="14"/>
    </row>
    <row r="2266" spans="1:9" x14ac:dyDescent="0.25">
      <c r="A2266" s="14">
        <v>2013</v>
      </c>
      <c r="B2266" s="14">
        <v>218</v>
      </c>
      <c r="C2266" s="20">
        <v>41492</v>
      </c>
      <c r="D2266" s="16">
        <v>0.3888888888888889</v>
      </c>
      <c r="E2266" s="14">
        <v>130</v>
      </c>
      <c r="F2266" s="23">
        <v>5</v>
      </c>
      <c r="G2266" s="17">
        <v>0.31357389406779662</v>
      </c>
      <c r="H2266" s="4" t="s">
        <v>0</v>
      </c>
      <c r="I2266" s="14"/>
    </row>
    <row r="2267" spans="1:9" x14ac:dyDescent="0.25">
      <c r="A2267" s="14">
        <v>2013</v>
      </c>
      <c r="B2267" s="14">
        <v>218</v>
      </c>
      <c r="C2267" s="20">
        <v>41492</v>
      </c>
      <c r="D2267" s="16">
        <v>0.39374999999999999</v>
      </c>
      <c r="E2267" s="14">
        <v>130</v>
      </c>
      <c r="F2267" s="23">
        <v>6</v>
      </c>
      <c r="G2267" s="17">
        <v>0.29664103036723166</v>
      </c>
      <c r="H2267" s="4" t="s">
        <v>0</v>
      </c>
      <c r="I2267" s="14"/>
    </row>
    <row r="2268" spans="1:9" x14ac:dyDescent="0.25">
      <c r="A2268" s="14">
        <v>2013</v>
      </c>
      <c r="B2268" s="14">
        <v>218</v>
      </c>
      <c r="C2268" s="20">
        <v>41492</v>
      </c>
      <c r="D2268" s="16">
        <v>0.39930555555555558</v>
      </c>
      <c r="E2268" s="14">
        <v>130</v>
      </c>
      <c r="F2268" s="23">
        <v>7</v>
      </c>
      <c r="G2268" s="17">
        <v>0.30654626624293785</v>
      </c>
      <c r="H2268" s="4" t="s">
        <v>123</v>
      </c>
      <c r="I2268" s="14"/>
    </row>
    <row r="2269" spans="1:9" x14ac:dyDescent="0.25">
      <c r="A2269" s="14">
        <v>2013</v>
      </c>
      <c r="B2269" s="14">
        <v>218</v>
      </c>
      <c r="C2269" s="20">
        <v>41492</v>
      </c>
      <c r="D2269" s="16">
        <v>0.40763888888888888</v>
      </c>
      <c r="E2269" s="14">
        <v>130</v>
      </c>
      <c r="F2269" s="23">
        <v>8</v>
      </c>
      <c r="G2269" s="17">
        <v>0.34049029590395485</v>
      </c>
      <c r="H2269" s="4" t="s">
        <v>123</v>
      </c>
      <c r="I2269" s="14"/>
    </row>
    <row r="2270" spans="1:9" x14ac:dyDescent="0.25">
      <c r="A2270" s="14">
        <v>2013</v>
      </c>
      <c r="B2270" s="14">
        <v>218</v>
      </c>
      <c r="C2270" s="20">
        <v>41492</v>
      </c>
      <c r="D2270" s="16">
        <v>0.41319444444444442</v>
      </c>
      <c r="E2270" s="14">
        <v>130</v>
      </c>
      <c r="F2270" s="23">
        <v>9</v>
      </c>
      <c r="G2270" s="17">
        <v>0.29540776977401129</v>
      </c>
      <c r="H2270" s="4" t="s">
        <v>123</v>
      </c>
      <c r="I2270" s="14"/>
    </row>
    <row r="2271" spans="1:9" x14ac:dyDescent="0.25">
      <c r="A2271" s="14">
        <v>2013</v>
      </c>
      <c r="B2271" s="14">
        <v>218</v>
      </c>
      <c r="C2271" s="20">
        <v>41492</v>
      </c>
      <c r="D2271" s="16">
        <v>0.41944444444444445</v>
      </c>
      <c r="E2271" s="14">
        <v>130</v>
      </c>
      <c r="F2271" s="23">
        <v>10</v>
      </c>
      <c r="G2271" s="17">
        <v>0.31149888418079097</v>
      </c>
      <c r="H2271" s="4" t="s">
        <v>123</v>
      </c>
      <c r="I2271" s="14"/>
    </row>
    <row r="2272" spans="1:9" x14ac:dyDescent="0.25">
      <c r="A2272" s="14">
        <v>2013</v>
      </c>
      <c r="B2272" s="14">
        <v>218</v>
      </c>
      <c r="C2272" s="20">
        <v>41492</v>
      </c>
      <c r="D2272" s="16">
        <v>0.43263888888888885</v>
      </c>
      <c r="E2272" s="14">
        <v>130</v>
      </c>
      <c r="F2272" s="23">
        <v>11</v>
      </c>
      <c r="G2272" s="17">
        <v>0.30801443361581921</v>
      </c>
      <c r="H2272" s="4" t="s">
        <v>124</v>
      </c>
      <c r="I2272" s="14"/>
    </row>
    <row r="2273" spans="1:9" x14ac:dyDescent="0.25">
      <c r="A2273" s="14">
        <v>2013</v>
      </c>
      <c r="B2273" s="14">
        <v>218</v>
      </c>
      <c r="C2273" s="20">
        <v>41492</v>
      </c>
      <c r="D2273" s="16">
        <v>0.43958333333333338</v>
      </c>
      <c r="E2273" s="14">
        <v>130</v>
      </c>
      <c r="F2273" s="23">
        <v>12</v>
      </c>
      <c r="G2273" s="17">
        <v>0.29192331920903958</v>
      </c>
      <c r="H2273" s="4" t="s">
        <v>124</v>
      </c>
      <c r="I2273" s="14"/>
    </row>
    <row r="2274" spans="1:9" x14ac:dyDescent="0.25">
      <c r="A2274" s="14">
        <v>2013</v>
      </c>
      <c r="B2274" s="14">
        <v>218</v>
      </c>
      <c r="C2274" s="20">
        <v>41492</v>
      </c>
      <c r="D2274" s="16">
        <v>0.44791666666666669</v>
      </c>
      <c r="E2274" s="14">
        <v>130</v>
      </c>
      <c r="F2274" s="23">
        <v>13</v>
      </c>
      <c r="G2274" s="17">
        <v>0.32686570268361587</v>
      </c>
      <c r="H2274" s="4" t="s">
        <v>124</v>
      </c>
      <c r="I2274" s="14"/>
    </row>
    <row r="2275" spans="1:9" x14ac:dyDescent="0.25">
      <c r="A2275" s="14">
        <v>2013</v>
      </c>
      <c r="B2275" s="14">
        <v>218</v>
      </c>
      <c r="C2275" s="20">
        <v>41492</v>
      </c>
      <c r="D2275" s="16">
        <v>0.45416666666666666</v>
      </c>
      <c r="E2275" s="14">
        <v>130</v>
      </c>
      <c r="F2275" s="23">
        <v>14</v>
      </c>
      <c r="G2275" s="17">
        <v>0.312281906779661</v>
      </c>
      <c r="H2275" s="4" t="s">
        <v>124</v>
      </c>
      <c r="I2275" s="14"/>
    </row>
    <row r="2276" spans="1:9" x14ac:dyDescent="0.25">
      <c r="A2276" s="14">
        <v>2013</v>
      </c>
      <c r="B2276" s="14">
        <v>218</v>
      </c>
      <c r="C2276" s="20">
        <v>41492</v>
      </c>
      <c r="D2276" s="16">
        <v>0.46111111111111108</v>
      </c>
      <c r="E2276" s="14">
        <v>130</v>
      </c>
      <c r="F2276" s="23">
        <v>15</v>
      </c>
      <c r="G2276" s="17">
        <v>0.30084977683615821</v>
      </c>
      <c r="H2276" s="4" t="s">
        <v>1</v>
      </c>
      <c r="I2276" s="14"/>
    </row>
    <row r="2277" spans="1:9" x14ac:dyDescent="0.25">
      <c r="A2277" s="14">
        <v>2013</v>
      </c>
      <c r="B2277" s="14">
        <v>218</v>
      </c>
      <c r="C2277" s="20">
        <v>41492</v>
      </c>
      <c r="D2277" s="16">
        <v>0.46597222222222223</v>
      </c>
      <c r="E2277" s="14">
        <v>130</v>
      </c>
      <c r="F2277" s="23">
        <v>16</v>
      </c>
      <c r="G2277" s="17">
        <v>0.32786405649717515</v>
      </c>
      <c r="H2277" s="4" t="s">
        <v>1</v>
      </c>
      <c r="I2277" s="14"/>
    </row>
    <row r="2278" spans="1:9" x14ac:dyDescent="0.25">
      <c r="A2278" s="14">
        <v>2013</v>
      </c>
      <c r="B2278" s="14">
        <v>218</v>
      </c>
      <c r="C2278" s="20">
        <v>41492</v>
      </c>
      <c r="D2278" s="16">
        <v>0.47430555555555554</v>
      </c>
      <c r="E2278" s="14">
        <v>130</v>
      </c>
      <c r="F2278" s="23">
        <v>17</v>
      </c>
      <c r="G2278" s="17">
        <v>0.31281044703389832</v>
      </c>
      <c r="H2278" s="4" t="s">
        <v>124</v>
      </c>
      <c r="I2278" s="14"/>
    </row>
    <row r="2279" spans="1:9" x14ac:dyDescent="0.25">
      <c r="A2279" s="14">
        <v>2013</v>
      </c>
      <c r="B2279" s="14">
        <v>218</v>
      </c>
      <c r="C2279" s="20">
        <v>41492</v>
      </c>
      <c r="D2279" s="16">
        <v>0.48055555555555557</v>
      </c>
      <c r="E2279" s="14">
        <v>130</v>
      </c>
      <c r="F2279" s="23">
        <v>18</v>
      </c>
      <c r="G2279" s="17">
        <v>0.30803400918079099</v>
      </c>
      <c r="H2279" s="4" t="s">
        <v>124</v>
      </c>
      <c r="I2279" s="14"/>
    </row>
    <row r="2280" spans="1:9" x14ac:dyDescent="0.25">
      <c r="A2280" s="14">
        <v>2013</v>
      </c>
      <c r="B2280" s="14">
        <v>218</v>
      </c>
      <c r="C2280" s="20">
        <v>41492</v>
      </c>
      <c r="D2280" s="16">
        <v>0.48680555555555555</v>
      </c>
      <c r="E2280" s="14">
        <v>130</v>
      </c>
      <c r="F2280" s="23">
        <v>19</v>
      </c>
      <c r="G2280" s="17">
        <v>0.30024293432203392</v>
      </c>
      <c r="H2280" s="4" t="s">
        <v>124</v>
      </c>
      <c r="I2280" s="14"/>
    </row>
    <row r="2281" spans="1:9" x14ac:dyDescent="0.25">
      <c r="A2281" s="14">
        <v>2013</v>
      </c>
      <c r="B2281" s="14">
        <v>218</v>
      </c>
      <c r="C2281" s="20">
        <v>41492</v>
      </c>
      <c r="D2281" s="16">
        <v>0.49374999999999997</v>
      </c>
      <c r="E2281" s="14">
        <v>130</v>
      </c>
      <c r="F2281" s="23">
        <v>20</v>
      </c>
      <c r="G2281" s="17">
        <v>0.29583843220338985</v>
      </c>
      <c r="H2281" s="4" t="s">
        <v>124</v>
      </c>
      <c r="I2281" s="14"/>
    </row>
    <row r="2282" spans="1:9" x14ac:dyDescent="0.25">
      <c r="A2282" s="14">
        <v>2013</v>
      </c>
      <c r="B2282" s="14">
        <v>218</v>
      </c>
      <c r="C2282" s="20">
        <v>41492</v>
      </c>
      <c r="D2282" s="16">
        <v>0.3576388888888889</v>
      </c>
      <c r="E2282" s="14">
        <v>110</v>
      </c>
      <c r="F2282" s="23">
        <v>1</v>
      </c>
      <c r="G2282" s="17">
        <v>0.33968595409604518</v>
      </c>
      <c r="H2282" s="4" t="s">
        <v>123</v>
      </c>
      <c r="I2282" s="14"/>
    </row>
    <row r="2283" spans="1:9" x14ac:dyDescent="0.25">
      <c r="A2283" s="14">
        <v>2013</v>
      </c>
      <c r="B2283" s="14">
        <v>218</v>
      </c>
      <c r="C2283" s="20">
        <v>41492</v>
      </c>
      <c r="D2283" s="16">
        <v>0.36805555555555558</v>
      </c>
      <c r="E2283" s="14">
        <v>110</v>
      </c>
      <c r="F2283" s="23">
        <v>2</v>
      </c>
      <c r="G2283" s="17">
        <v>0.33597829237288135</v>
      </c>
      <c r="H2283" s="4" t="s">
        <v>123</v>
      </c>
      <c r="I2283" s="14"/>
    </row>
    <row r="2284" spans="1:9" x14ac:dyDescent="0.25">
      <c r="A2284" s="14">
        <v>2013</v>
      </c>
      <c r="B2284" s="14">
        <v>218</v>
      </c>
      <c r="C2284" s="20">
        <v>41492</v>
      </c>
      <c r="D2284" s="16">
        <v>0.375</v>
      </c>
      <c r="E2284" s="14">
        <v>110</v>
      </c>
      <c r="F2284" s="23">
        <v>3</v>
      </c>
      <c r="G2284" s="17">
        <v>0.3216082245762712</v>
      </c>
      <c r="H2284" s="4" t="s">
        <v>123</v>
      </c>
      <c r="I2284" s="14"/>
    </row>
    <row r="2285" spans="1:9" x14ac:dyDescent="0.25">
      <c r="A2285" s="14">
        <v>2013</v>
      </c>
      <c r="B2285" s="14">
        <v>218</v>
      </c>
      <c r="C2285" s="20">
        <v>41492</v>
      </c>
      <c r="D2285" s="16">
        <v>0.3756944444444445</v>
      </c>
      <c r="E2285" s="14">
        <v>110</v>
      </c>
      <c r="F2285" s="23">
        <v>4</v>
      </c>
      <c r="G2285" s="17">
        <v>0.33729094279661015</v>
      </c>
      <c r="H2285" s="4" t="s">
        <v>123</v>
      </c>
      <c r="I2285" s="14"/>
    </row>
    <row r="2286" spans="1:9" x14ac:dyDescent="0.25">
      <c r="A2286" s="14">
        <v>2013</v>
      </c>
      <c r="B2286" s="14">
        <v>218</v>
      </c>
      <c r="C2286" s="20">
        <v>41492</v>
      </c>
      <c r="D2286" s="16">
        <v>0.3888888888888889</v>
      </c>
      <c r="E2286" s="14">
        <v>110</v>
      </c>
      <c r="F2286" s="23">
        <v>5</v>
      </c>
      <c r="G2286" s="17">
        <v>0.31686425988700562</v>
      </c>
      <c r="H2286" s="4" t="s">
        <v>0</v>
      </c>
      <c r="I2286" s="14"/>
    </row>
    <row r="2287" spans="1:9" x14ac:dyDescent="0.25">
      <c r="A2287" s="14">
        <v>2013</v>
      </c>
      <c r="B2287" s="14">
        <v>218</v>
      </c>
      <c r="C2287" s="20">
        <v>41492</v>
      </c>
      <c r="D2287" s="16">
        <v>0.39374999999999999</v>
      </c>
      <c r="E2287" s="14">
        <v>110</v>
      </c>
      <c r="F2287" s="23">
        <v>6</v>
      </c>
      <c r="G2287" s="17">
        <v>0.31133731073446325</v>
      </c>
      <c r="H2287" s="4" t="s">
        <v>0</v>
      </c>
      <c r="I2287" s="14"/>
    </row>
    <row r="2288" spans="1:9" x14ac:dyDescent="0.25">
      <c r="A2288" s="14">
        <v>2013</v>
      </c>
      <c r="B2288" s="14">
        <v>218</v>
      </c>
      <c r="C2288" s="20">
        <v>41492</v>
      </c>
      <c r="D2288" s="16">
        <v>0.39930555555555558</v>
      </c>
      <c r="E2288" s="14">
        <v>110</v>
      </c>
      <c r="F2288" s="23">
        <v>7</v>
      </c>
      <c r="G2288" s="17">
        <v>0.33247789124293781</v>
      </c>
      <c r="H2288" s="4" t="s">
        <v>123</v>
      </c>
      <c r="I2288" s="14"/>
    </row>
    <row r="2289" spans="1:9" x14ac:dyDescent="0.25">
      <c r="A2289" s="14">
        <v>2013</v>
      </c>
      <c r="B2289" s="14">
        <v>218</v>
      </c>
      <c r="C2289" s="20">
        <v>41492</v>
      </c>
      <c r="D2289" s="16">
        <v>0.40763888888888888</v>
      </c>
      <c r="E2289" s="14">
        <v>110</v>
      </c>
      <c r="F2289" s="23">
        <v>8</v>
      </c>
      <c r="G2289" s="17">
        <v>0.33860359322033895</v>
      </c>
      <c r="H2289" s="4" t="s">
        <v>123</v>
      </c>
      <c r="I2289" s="14"/>
    </row>
    <row r="2290" spans="1:9" x14ac:dyDescent="0.25">
      <c r="A2290" s="14">
        <v>2013</v>
      </c>
      <c r="B2290" s="14">
        <v>218</v>
      </c>
      <c r="C2290" s="20">
        <v>41492</v>
      </c>
      <c r="D2290" s="16">
        <v>0.41319444444444442</v>
      </c>
      <c r="E2290" s="14">
        <v>110</v>
      </c>
      <c r="F2290" s="23">
        <v>9</v>
      </c>
      <c r="G2290" s="17">
        <v>0.32531588629943503</v>
      </c>
      <c r="H2290" s="4" t="s">
        <v>123</v>
      </c>
      <c r="I2290" s="14"/>
    </row>
    <row r="2291" spans="1:9" x14ac:dyDescent="0.25">
      <c r="A2291" s="14">
        <v>2013</v>
      </c>
      <c r="B2291" s="14">
        <v>218</v>
      </c>
      <c r="C2291" s="20">
        <v>41492</v>
      </c>
      <c r="D2291" s="16">
        <v>0.41944444444444445</v>
      </c>
      <c r="E2291" s="14">
        <v>110</v>
      </c>
      <c r="F2291" s="23">
        <v>10</v>
      </c>
      <c r="G2291" s="17">
        <v>0.33077374858757058</v>
      </c>
      <c r="H2291" s="4" t="s">
        <v>123</v>
      </c>
      <c r="I2291" s="14"/>
    </row>
    <row r="2292" spans="1:9" x14ac:dyDescent="0.25">
      <c r="A2292" s="14">
        <v>2013</v>
      </c>
      <c r="B2292" s="14">
        <v>218</v>
      </c>
      <c r="C2292" s="20">
        <v>41492</v>
      </c>
      <c r="D2292" s="16">
        <v>0.43263888888888885</v>
      </c>
      <c r="E2292" s="14">
        <v>110</v>
      </c>
      <c r="F2292" s="23">
        <v>11</v>
      </c>
      <c r="G2292" s="17">
        <v>0.32582252330508477</v>
      </c>
      <c r="H2292" s="4" t="s">
        <v>124</v>
      </c>
      <c r="I2292" s="14"/>
    </row>
    <row r="2293" spans="1:9" x14ac:dyDescent="0.25">
      <c r="A2293" s="14">
        <v>2013</v>
      </c>
      <c r="B2293" s="14">
        <v>218</v>
      </c>
      <c r="C2293" s="20">
        <v>41492</v>
      </c>
      <c r="D2293" s="16">
        <v>0.43958333333333338</v>
      </c>
      <c r="E2293" s="14">
        <v>110</v>
      </c>
      <c r="F2293" s="23">
        <v>12</v>
      </c>
      <c r="G2293" s="17">
        <v>0.33745214548022595</v>
      </c>
      <c r="H2293" s="4" t="s">
        <v>124</v>
      </c>
      <c r="I2293" s="14"/>
    </row>
    <row r="2294" spans="1:9" x14ac:dyDescent="0.25">
      <c r="A2294" s="14">
        <v>2013</v>
      </c>
      <c r="B2294" s="14">
        <v>218</v>
      </c>
      <c r="C2294" s="20">
        <v>41492</v>
      </c>
      <c r="D2294" s="16">
        <v>0.44791666666666669</v>
      </c>
      <c r="E2294" s="14">
        <v>110</v>
      </c>
      <c r="F2294" s="23">
        <v>13</v>
      </c>
      <c r="G2294" s="17">
        <v>0.34231125494350284</v>
      </c>
      <c r="H2294" s="4" t="s">
        <v>124</v>
      </c>
      <c r="I2294" s="14"/>
    </row>
    <row r="2295" spans="1:9" x14ac:dyDescent="0.25">
      <c r="A2295" s="14">
        <v>2013</v>
      </c>
      <c r="B2295" s="14">
        <v>218</v>
      </c>
      <c r="C2295" s="20">
        <v>41492</v>
      </c>
      <c r="D2295" s="16">
        <v>0.45416666666666666</v>
      </c>
      <c r="E2295" s="14">
        <v>110</v>
      </c>
      <c r="F2295" s="23">
        <v>14</v>
      </c>
      <c r="G2295" s="17">
        <v>0.32704305790960453</v>
      </c>
      <c r="H2295" s="4" t="s">
        <v>124</v>
      </c>
      <c r="I2295" s="14"/>
    </row>
    <row r="2296" spans="1:9" x14ac:dyDescent="0.25">
      <c r="A2296" s="14">
        <v>2013</v>
      </c>
      <c r="B2296" s="14">
        <v>218</v>
      </c>
      <c r="C2296" s="20">
        <v>41492</v>
      </c>
      <c r="D2296" s="16">
        <v>0.46111111111111108</v>
      </c>
      <c r="E2296" s="14">
        <v>110</v>
      </c>
      <c r="F2296" s="23">
        <v>15</v>
      </c>
      <c r="G2296" s="17">
        <v>0.29540127401129945</v>
      </c>
      <c r="H2296" s="4" t="s">
        <v>1</v>
      </c>
      <c r="I2296" s="14"/>
    </row>
    <row r="2297" spans="1:9" x14ac:dyDescent="0.25">
      <c r="A2297" s="14">
        <v>2013</v>
      </c>
      <c r="B2297" s="14">
        <v>218</v>
      </c>
      <c r="C2297" s="20">
        <v>41492</v>
      </c>
      <c r="D2297" s="16">
        <v>0.46597222222222223</v>
      </c>
      <c r="E2297" s="14">
        <v>110</v>
      </c>
      <c r="F2297" s="23">
        <v>16</v>
      </c>
      <c r="G2297" s="17">
        <v>0.30148091807909599</v>
      </c>
      <c r="H2297" s="4" t="s">
        <v>1</v>
      </c>
      <c r="I2297" s="14"/>
    </row>
    <row r="2298" spans="1:9" x14ac:dyDescent="0.25">
      <c r="A2298" s="14">
        <v>2013</v>
      </c>
      <c r="B2298" s="14">
        <v>218</v>
      </c>
      <c r="C2298" s="20">
        <v>41492</v>
      </c>
      <c r="D2298" s="16">
        <v>0.47430555555555554</v>
      </c>
      <c r="E2298" s="14">
        <v>110</v>
      </c>
      <c r="F2298" s="23">
        <v>17</v>
      </c>
      <c r="G2298" s="17">
        <v>0.3331457309322034</v>
      </c>
      <c r="H2298" s="4" t="s">
        <v>124</v>
      </c>
      <c r="I2298" s="14"/>
    </row>
    <row r="2299" spans="1:9" x14ac:dyDescent="0.25">
      <c r="A2299" s="14">
        <v>2013</v>
      </c>
      <c r="B2299" s="14">
        <v>218</v>
      </c>
      <c r="C2299" s="20">
        <v>41492</v>
      </c>
      <c r="D2299" s="16">
        <v>0.48055555555555557</v>
      </c>
      <c r="E2299" s="14">
        <v>110</v>
      </c>
      <c r="F2299" s="23">
        <v>18</v>
      </c>
      <c r="G2299" s="17">
        <v>0.33701459533898304</v>
      </c>
      <c r="H2299" s="4" t="s">
        <v>124</v>
      </c>
      <c r="I2299" s="14"/>
    </row>
    <row r="2300" spans="1:9" x14ac:dyDescent="0.25">
      <c r="A2300" s="14">
        <v>2013</v>
      </c>
      <c r="B2300" s="14">
        <v>218</v>
      </c>
      <c r="C2300" s="20">
        <v>41492</v>
      </c>
      <c r="D2300" s="16">
        <v>0.48680555555555555</v>
      </c>
      <c r="E2300" s="14">
        <v>110</v>
      </c>
      <c r="F2300" s="23">
        <v>19</v>
      </c>
      <c r="G2300" s="17">
        <v>0.33353722316384182</v>
      </c>
      <c r="H2300" s="4" t="s">
        <v>124</v>
      </c>
      <c r="I2300" s="14"/>
    </row>
    <row r="2301" spans="1:9" x14ac:dyDescent="0.25">
      <c r="A2301" s="14">
        <v>2013</v>
      </c>
      <c r="B2301" s="14">
        <v>218</v>
      </c>
      <c r="C2301" s="20">
        <v>41492</v>
      </c>
      <c r="D2301" s="16">
        <v>0.49374999999999997</v>
      </c>
      <c r="E2301" s="14">
        <v>110</v>
      </c>
      <c r="F2301" s="23">
        <v>20</v>
      </c>
      <c r="G2301" s="17">
        <v>0.32819450564971747</v>
      </c>
      <c r="H2301" s="4" t="s">
        <v>124</v>
      </c>
      <c r="I2301" s="14"/>
    </row>
    <row r="2302" spans="1:9" x14ac:dyDescent="0.25">
      <c r="A2302" s="14">
        <v>2013</v>
      </c>
      <c r="B2302" s="14">
        <v>218</v>
      </c>
      <c r="C2302" s="20">
        <v>41492</v>
      </c>
      <c r="D2302" s="16">
        <v>0.3576388888888889</v>
      </c>
      <c r="E2302" s="14">
        <v>90</v>
      </c>
      <c r="F2302" s="23">
        <v>1</v>
      </c>
      <c r="G2302" s="17">
        <v>0.33777455084745761</v>
      </c>
      <c r="H2302" s="4" t="s">
        <v>123</v>
      </c>
      <c r="I2302" s="14"/>
    </row>
    <row r="2303" spans="1:9" x14ac:dyDescent="0.25">
      <c r="A2303" s="14">
        <v>2013</v>
      </c>
      <c r="B2303" s="14">
        <v>218</v>
      </c>
      <c r="C2303" s="20">
        <v>41492</v>
      </c>
      <c r="D2303" s="16">
        <v>0.36805555555555558</v>
      </c>
      <c r="E2303" s="14">
        <v>90</v>
      </c>
      <c r="F2303" s="23">
        <v>2</v>
      </c>
      <c r="G2303" s="17">
        <v>0.33010590889830504</v>
      </c>
      <c r="H2303" s="4" t="s">
        <v>123</v>
      </c>
      <c r="I2303" s="14"/>
    </row>
    <row r="2304" spans="1:9" x14ac:dyDescent="0.25">
      <c r="A2304" s="14">
        <v>2013</v>
      </c>
      <c r="B2304" s="14">
        <v>218</v>
      </c>
      <c r="C2304" s="20">
        <v>41492</v>
      </c>
      <c r="D2304" s="16">
        <v>0.375</v>
      </c>
      <c r="E2304" s="14">
        <v>90</v>
      </c>
      <c r="F2304" s="23">
        <v>3</v>
      </c>
      <c r="G2304" s="17">
        <v>0.31186697669491525</v>
      </c>
      <c r="H2304" s="4" t="s">
        <v>123</v>
      </c>
      <c r="I2304" s="14"/>
    </row>
    <row r="2305" spans="1:9" x14ac:dyDescent="0.25">
      <c r="A2305" s="14">
        <v>2013</v>
      </c>
      <c r="B2305" s="14">
        <v>218</v>
      </c>
      <c r="C2305" s="20">
        <v>41492</v>
      </c>
      <c r="D2305" s="16">
        <v>0.3756944444444445</v>
      </c>
      <c r="E2305" s="14">
        <v>90</v>
      </c>
      <c r="F2305" s="23">
        <v>4</v>
      </c>
      <c r="G2305" s="17">
        <v>0.32658247881355934</v>
      </c>
      <c r="H2305" s="4" t="s">
        <v>123</v>
      </c>
      <c r="I2305" s="14"/>
    </row>
    <row r="2306" spans="1:9" x14ac:dyDescent="0.25">
      <c r="A2306" s="4">
        <v>2013</v>
      </c>
      <c r="B2306" s="4">
        <v>218</v>
      </c>
      <c r="C2306" s="20">
        <v>41492</v>
      </c>
      <c r="D2306" s="16">
        <v>0.3888888888888889</v>
      </c>
      <c r="E2306" s="4">
        <v>90</v>
      </c>
      <c r="F2306" s="22">
        <v>5</v>
      </c>
      <c r="G2306" s="4">
        <v>0.29494069491525421</v>
      </c>
      <c r="H2306" s="4" t="s">
        <v>0</v>
      </c>
    </row>
    <row r="2307" spans="1:9" x14ac:dyDescent="0.25">
      <c r="A2307" s="4">
        <v>2013</v>
      </c>
      <c r="B2307" s="4">
        <v>218</v>
      </c>
      <c r="C2307" s="20">
        <v>41492</v>
      </c>
      <c r="D2307" s="16">
        <v>0.39374999999999999</v>
      </c>
      <c r="E2307" s="4">
        <v>90</v>
      </c>
      <c r="F2307" s="22">
        <v>6</v>
      </c>
      <c r="G2307" s="4">
        <v>0.28936768785310729</v>
      </c>
      <c r="H2307" s="4" t="s">
        <v>0</v>
      </c>
    </row>
    <row r="2308" spans="1:9" x14ac:dyDescent="0.25">
      <c r="A2308" s="4">
        <v>2013</v>
      </c>
      <c r="B2308" s="4">
        <v>218</v>
      </c>
      <c r="C2308" s="20">
        <v>41492</v>
      </c>
      <c r="D2308" s="16">
        <v>0.39930555555555558</v>
      </c>
      <c r="E2308" s="4">
        <v>90</v>
      </c>
      <c r="F2308" s="22">
        <v>7</v>
      </c>
      <c r="G2308" s="4">
        <v>0.30979437076271188</v>
      </c>
      <c r="H2308" s="4" t="s">
        <v>123</v>
      </c>
    </row>
    <row r="2309" spans="1:9" x14ac:dyDescent="0.25">
      <c r="A2309" s="4">
        <v>2013</v>
      </c>
      <c r="B2309" s="4">
        <v>218</v>
      </c>
      <c r="C2309" s="20">
        <v>41492</v>
      </c>
      <c r="D2309" s="16">
        <v>0.40763888888888888</v>
      </c>
      <c r="E2309" s="4">
        <v>90</v>
      </c>
      <c r="F2309" s="22">
        <v>8</v>
      </c>
      <c r="G2309" s="4">
        <v>0.32043374788135587</v>
      </c>
      <c r="H2309" s="4" t="s">
        <v>123</v>
      </c>
    </row>
    <row r="2310" spans="1:9" x14ac:dyDescent="0.25">
      <c r="A2310" s="4">
        <v>2013</v>
      </c>
      <c r="B2310" s="4">
        <v>218</v>
      </c>
      <c r="C2310" s="20">
        <v>41492</v>
      </c>
      <c r="D2310" s="16">
        <v>0.41319444444444442</v>
      </c>
      <c r="E2310" s="4">
        <v>90</v>
      </c>
      <c r="F2310" s="22">
        <v>9</v>
      </c>
      <c r="G2310" s="4">
        <v>0.31041615254237287</v>
      </c>
      <c r="H2310" s="4" t="s">
        <v>123</v>
      </c>
    </row>
    <row r="2311" spans="1:9" x14ac:dyDescent="0.25">
      <c r="A2311" s="4">
        <v>2013</v>
      </c>
      <c r="B2311" s="4">
        <v>218</v>
      </c>
      <c r="C2311" s="20">
        <v>41492</v>
      </c>
      <c r="D2311" s="16">
        <v>0.41944444444444445</v>
      </c>
      <c r="E2311" s="4">
        <v>90</v>
      </c>
      <c r="F2311" s="22">
        <v>10</v>
      </c>
      <c r="G2311" s="4">
        <v>0.32658247881355934</v>
      </c>
      <c r="H2311" s="4" t="s">
        <v>123</v>
      </c>
    </row>
    <row r="2312" spans="1:9" x14ac:dyDescent="0.25">
      <c r="A2312" s="4">
        <v>2013</v>
      </c>
      <c r="B2312" s="4">
        <v>218</v>
      </c>
      <c r="C2312" s="20">
        <v>41492</v>
      </c>
      <c r="D2312" s="16">
        <v>0.43263888888888885</v>
      </c>
      <c r="E2312" s="4">
        <v>90</v>
      </c>
      <c r="F2312" s="22">
        <v>11</v>
      </c>
      <c r="G2312" s="4">
        <v>0.33457352612994345</v>
      </c>
      <c r="H2312" s="4" t="s">
        <v>124</v>
      </c>
    </row>
    <row r="2313" spans="1:9" x14ac:dyDescent="0.25">
      <c r="A2313" s="4">
        <v>2013</v>
      </c>
      <c r="B2313" s="4">
        <v>218</v>
      </c>
      <c r="C2313" s="20">
        <v>41492</v>
      </c>
      <c r="D2313" s="16">
        <v>0.43958333333333338</v>
      </c>
      <c r="E2313" s="4">
        <v>90</v>
      </c>
      <c r="F2313" s="22">
        <v>12</v>
      </c>
      <c r="G2313" s="4">
        <v>0.32499348093220337</v>
      </c>
      <c r="H2313" s="4" t="s">
        <v>124</v>
      </c>
    </row>
    <row r="2314" spans="1:9" x14ac:dyDescent="0.25">
      <c r="A2314" s="4">
        <v>2013</v>
      </c>
      <c r="B2314" s="4">
        <v>218</v>
      </c>
      <c r="C2314" s="20">
        <v>41492</v>
      </c>
      <c r="D2314" s="16">
        <v>0.44791666666666669</v>
      </c>
      <c r="E2314" s="4">
        <v>90</v>
      </c>
      <c r="F2314" s="22">
        <v>13</v>
      </c>
      <c r="G2314" s="4">
        <v>0.31898292372881354</v>
      </c>
      <c r="H2314" s="4" t="s">
        <v>124</v>
      </c>
    </row>
    <row r="2315" spans="1:9" x14ac:dyDescent="0.25">
      <c r="A2315" s="4">
        <v>2013</v>
      </c>
      <c r="B2315" s="4">
        <v>218</v>
      </c>
      <c r="C2315" s="20">
        <v>41492</v>
      </c>
      <c r="D2315" s="16">
        <v>0.45416666666666666</v>
      </c>
      <c r="E2315" s="4">
        <v>90</v>
      </c>
      <c r="F2315" s="22">
        <v>14</v>
      </c>
      <c r="G2315" s="4">
        <v>0.31129125282485876</v>
      </c>
      <c r="H2315" s="4" t="s">
        <v>124</v>
      </c>
    </row>
    <row r="2316" spans="1:9" x14ac:dyDescent="0.25">
      <c r="A2316" s="4">
        <v>2013</v>
      </c>
      <c r="B2316" s="4">
        <v>218</v>
      </c>
      <c r="C2316" s="20">
        <v>41492</v>
      </c>
      <c r="D2316" s="16">
        <v>0.46111111111111108</v>
      </c>
      <c r="E2316" s="4">
        <v>90</v>
      </c>
      <c r="F2316" s="22">
        <v>15</v>
      </c>
      <c r="G2316" s="4">
        <v>0.26219352118644063</v>
      </c>
      <c r="H2316" s="4" t="s">
        <v>1</v>
      </c>
    </row>
    <row r="2317" spans="1:9" x14ac:dyDescent="0.25">
      <c r="A2317" s="4">
        <v>2013</v>
      </c>
      <c r="B2317" s="4">
        <v>218</v>
      </c>
      <c r="C2317" s="20">
        <v>41492</v>
      </c>
      <c r="D2317" s="16">
        <v>0.46597222222222223</v>
      </c>
      <c r="E2317" s="4">
        <v>90</v>
      </c>
      <c r="F2317" s="22">
        <v>16</v>
      </c>
      <c r="G2317" s="4">
        <v>0.30645517231638414</v>
      </c>
      <c r="H2317" s="4" t="s">
        <v>1</v>
      </c>
    </row>
    <row r="2318" spans="1:9" x14ac:dyDescent="0.25">
      <c r="A2318" s="4">
        <v>2013</v>
      </c>
      <c r="B2318" s="4">
        <v>218</v>
      </c>
      <c r="C2318" s="20">
        <v>41492</v>
      </c>
      <c r="D2318" s="16">
        <v>0.47430555555555554</v>
      </c>
      <c r="E2318" s="4">
        <v>90</v>
      </c>
      <c r="F2318" s="22">
        <v>17</v>
      </c>
      <c r="G2318" s="4">
        <v>0.31907503954802258</v>
      </c>
      <c r="H2318" s="4" t="s">
        <v>124</v>
      </c>
    </row>
    <row r="2319" spans="1:9" x14ac:dyDescent="0.25">
      <c r="A2319" s="4">
        <v>2013</v>
      </c>
      <c r="B2319" s="4">
        <v>218</v>
      </c>
      <c r="C2319" s="20">
        <v>41492</v>
      </c>
      <c r="D2319" s="16">
        <v>0.48055555555555557</v>
      </c>
      <c r="E2319" s="4">
        <v>90</v>
      </c>
      <c r="F2319" s="22">
        <v>18</v>
      </c>
      <c r="G2319" s="4">
        <v>0.33035922740112988</v>
      </c>
      <c r="H2319" s="4" t="s">
        <v>124</v>
      </c>
    </row>
    <row r="2320" spans="1:9" x14ac:dyDescent="0.25">
      <c r="A2320" s="4">
        <v>2013</v>
      </c>
      <c r="B2320" s="4">
        <v>218</v>
      </c>
      <c r="C2320" s="20">
        <v>41492</v>
      </c>
      <c r="D2320" s="16">
        <v>0.48680555555555555</v>
      </c>
      <c r="E2320" s="4">
        <v>90</v>
      </c>
      <c r="F2320" s="22">
        <v>19</v>
      </c>
      <c r="G2320" s="4">
        <v>0.30942590748587567</v>
      </c>
      <c r="H2320" s="4" t="s">
        <v>124</v>
      </c>
    </row>
    <row r="2321" spans="1:8" x14ac:dyDescent="0.25">
      <c r="A2321" s="4">
        <v>2013</v>
      </c>
      <c r="B2321" s="4">
        <v>218</v>
      </c>
      <c r="C2321" s="20">
        <v>41492</v>
      </c>
      <c r="D2321" s="16">
        <v>0.49374999999999997</v>
      </c>
      <c r="E2321" s="4">
        <v>90</v>
      </c>
      <c r="F2321" s="22">
        <v>20</v>
      </c>
      <c r="G2321" s="4">
        <v>0.32798724505649718</v>
      </c>
      <c r="H2321" s="4" t="s">
        <v>124</v>
      </c>
    </row>
    <row r="2322" spans="1:8" x14ac:dyDescent="0.25">
      <c r="A2322" s="4">
        <v>2013</v>
      </c>
      <c r="B2322" s="4">
        <v>218</v>
      </c>
      <c r="C2322" s="20">
        <v>41492</v>
      </c>
      <c r="D2322" s="16">
        <v>0.3576388888888889</v>
      </c>
      <c r="E2322" s="4">
        <v>70</v>
      </c>
      <c r="F2322" s="22">
        <v>1</v>
      </c>
      <c r="G2322" s="4">
        <v>0.33332996257062147</v>
      </c>
      <c r="H2322" s="4" t="s">
        <v>123</v>
      </c>
    </row>
    <row r="2323" spans="1:8" x14ac:dyDescent="0.25">
      <c r="A2323" s="4">
        <v>2013</v>
      </c>
      <c r="B2323" s="4">
        <v>218</v>
      </c>
      <c r="C2323" s="20">
        <v>41492</v>
      </c>
      <c r="D2323" s="16">
        <v>0.36805555555555558</v>
      </c>
      <c r="E2323" s="4">
        <v>70</v>
      </c>
      <c r="F2323" s="22">
        <v>2</v>
      </c>
      <c r="G2323" s="4">
        <v>0.32688185522598867</v>
      </c>
      <c r="H2323" s="4" t="s">
        <v>123</v>
      </c>
    </row>
    <row r="2324" spans="1:8" x14ac:dyDescent="0.25">
      <c r="A2324" s="4">
        <v>2013</v>
      </c>
      <c r="B2324" s="4">
        <v>218</v>
      </c>
      <c r="C2324" s="20">
        <v>41492</v>
      </c>
      <c r="D2324" s="16">
        <v>0.375</v>
      </c>
      <c r="E2324" s="4">
        <v>70</v>
      </c>
      <c r="F2324" s="22">
        <v>3</v>
      </c>
      <c r="G2324" s="4">
        <v>0.30974831285310733</v>
      </c>
      <c r="H2324" s="4" t="s">
        <v>123</v>
      </c>
    </row>
    <row r="2325" spans="1:8" x14ac:dyDescent="0.25">
      <c r="A2325" s="4">
        <v>2013</v>
      </c>
      <c r="B2325" s="4">
        <v>218</v>
      </c>
      <c r="C2325" s="20">
        <v>41492</v>
      </c>
      <c r="D2325" s="16">
        <v>0.3756944444444445</v>
      </c>
      <c r="E2325" s="4">
        <v>70</v>
      </c>
      <c r="F2325" s="22">
        <v>4</v>
      </c>
      <c r="G2325" s="4">
        <v>0.30737633050847457</v>
      </c>
      <c r="H2325" s="4" t="s">
        <v>123</v>
      </c>
    </row>
    <row r="2326" spans="1:8" x14ac:dyDescent="0.25">
      <c r="A2326" s="4">
        <v>2013</v>
      </c>
      <c r="B2326" s="4">
        <v>218</v>
      </c>
      <c r="C2326" s="20">
        <v>41492</v>
      </c>
      <c r="D2326" s="16">
        <v>0.3888888888888889</v>
      </c>
      <c r="E2326" s="4">
        <v>70</v>
      </c>
      <c r="F2326" s="22">
        <v>5</v>
      </c>
      <c r="G2326" s="4">
        <v>0.29556247669491525</v>
      </c>
      <c r="H2326" s="4" t="s">
        <v>0</v>
      </c>
    </row>
    <row r="2327" spans="1:8" x14ac:dyDescent="0.25">
      <c r="A2327" s="4">
        <v>2013</v>
      </c>
      <c r="B2327" s="4">
        <v>218</v>
      </c>
      <c r="C2327" s="20">
        <v>41492</v>
      </c>
      <c r="D2327" s="16">
        <v>0.39374999999999999</v>
      </c>
      <c r="E2327" s="4">
        <v>70</v>
      </c>
      <c r="F2327" s="22">
        <v>6</v>
      </c>
      <c r="G2327" s="4">
        <v>0.29604608474576272</v>
      </c>
      <c r="H2327" s="4" t="s">
        <v>0</v>
      </c>
    </row>
    <row r="2328" spans="1:8" x14ac:dyDescent="0.25">
      <c r="A2328" s="4">
        <v>2013</v>
      </c>
      <c r="B2328" s="4">
        <v>218</v>
      </c>
      <c r="C2328" s="20">
        <v>41492</v>
      </c>
      <c r="D2328" s="16">
        <v>0.39930555555555558</v>
      </c>
      <c r="E2328" s="4">
        <v>70</v>
      </c>
      <c r="F2328" s="22">
        <v>7</v>
      </c>
      <c r="G2328" s="4">
        <v>0.31364020621468924</v>
      </c>
      <c r="H2328" s="4" t="s">
        <v>123</v>
      </c>
    </row>
    <row r="2329" spans="1:8" x14ac:dyDescent="0.25">
      <c r="A2329" s="4">
        <v>2013</v>
      </c>
      <c r="B2329" s="4">
        <v>218</v>
      </c>
      <c r="C2329" s="20">
        <v>41492</v>
      </c>
      <c r="D2329" s="16">
        <v>0.40763888888888888</v>
      </c>
      <c r="E2329" s="4">
        <v>70</v>
      </c>
      <c r="F2329" s="22">
        <v>8</v>
      </c>
      <c r="G2329" s="4">
        <v>0.31649579661016947</v>
      </c>
      <c r="H2329" s="4" t="s">
        <v>123</v>
      </c>
    </row>
    <row r="2330" spans="1:8" x14ac:dyDescent="0.25">
      <c r="A2330" s="4">
        <v>2013</v>
      </c>
      <c r="B2330" s="4">
        <v>218</v>
      </c>
      <c r="C2330" s="20">
        <v>41492</v>
      </c>
      <c r="D2330" s="16">
        <v>0.41319444444444442</v>
      </c>
      <c r="E2330" s="4">
        <v>70</v>
      </c>
      <c r="F2330" s="22">
        <v>9</v>
      </c>
      <c r="G2330" s="4">
        <v>0.29652969279661018</v>
      </c>
      <c r="H2330" s="4" t="s">
        <v>123</v>
      </c>
    </row>
    <row r="2331" spans="1:8" x14ac:dyDescent="0.25">
      <c r="A2331" s="4">
        <v>2013</v>
      </c>
      <c r="B2331" s="4">
        <v>218</v>
      </c>
      <c r="C2331" s="20">
        <v>41492</v>
      </c>
      <c r="D2331" s="16">
        <v>0.41944444444444445</v>
      </c>
      <c r="E2331" s="4">
        <v>70</v>
      </c>
      <c r="F2331" s="22">
        <v>10</v>
      </c>
      <c r="G2331" s="4">
        <v>0.32372688841807912</v>
      </c>
      <c r="H2331" s="4" t="s">
        <v>123</v>
      </c>
    </row>
    <row r="2332" spans="1:8" x14ac:dyDescent="0.25">
      <c r="A2332" s="4">
        <v>2013</v>
      </c>
      <c r="B2332" s="4">
        <v>218</v>
      </c>
      <c r="C2332" s="20">
        <v>41492</v>
      </c>
      <c r="D2332" s="16">
        <v>0.43263888888888885</v>
      </c>
      <c r="E2332" s="4">
        <v>70</v>
      </c>
      <c r="F2332" s="22">
        <v>11</v>
      </c>
      <c r="G2332" s="4">
        <v>0.31826902612994346</v>
      </c>
      <c r="H2332" s="4" t="s">
        <v>124</v>
      </c>
    </row>
    <row r="2333" spans="1:8" x14ac:dyDescent="0.25">
      <c r="A2333" s="4">
        <v>2013</v>
      </c>
      <c r="B2333" s="4">
        <v>218</v>
      </c>
      <c r="C2333" s="20">
        <v>41492</v>
      </c>
      <c r="D2333" s="16">
        <v>0.43958333333333338</v>
      </c>
      <c r="E2333" s="4">
        <v>70</v>
      </c>
      <c r="F2333" s="22">
        <v>12</v>
      </c>
      <c r="G2333" s="4">
        <v>0.31262693220338983</v>
      </c>
      <c r="H2333" s="4" t="s">
        <v>124</v>
      </c>
    </row>
    <row r="2334" spans="1:8" x14ac:dyDescent="0.25">
      <c r="A2334" s="4">
        <v>2013</v>
      </c>
      <c r="B2334" s="4">
        <v>218</v>
      </c>
      <c r="C2334" s="20">
        <v>41492</v>
      </c>
      <c r="D2334" s="16">
        <v>0.44791666666666669</v>
      </c>
      <c r="E2334" s="4">
        <v>70</v>
      </c>
      <c r="F2334" s="22">
        <v>13</v>
      </c>
      <c r="G2334" s="4">
        <v>0.30926470480225987</v>
      </c>
      <c r="H2334" s="4" t="s">
        <v>124</v>
      </c>
    </row>
    <row r="2335" spans="1:8" x14ac:dyDescent="0.25">
      <c r="A2335" s="4">
        <v>2013</v>
      </c>
      <c r="B2335" s="4">
        <v>218</v>
      </c>
      <c r="C2335" s="20">
        <v>41492</v>
      </c>
      <c r="D2335" s="16">
        <v>0.45416666666666666</v>
      </c>
      <c r="E2335" s="4">
        <v>70</v>
      </c>
      <c r="F2335" s="22">
        <v>14</v>
      </c>
      <c r="G2335" s="4">
        <v>0.3139626115819209</v>
      </c>
      <c r="H2335" s="4" t="s">
        <v>124</v>
      </c>
    </row>
    <row r="2336" spans="1:8" x14ac:dyDescent="0.25">
      <c r="A2336" s="4">
        <v>2013</v>
      </c>
      <c r="B2336" s="4">
        <v>218</v>
      </c>
      <c r="C2336" s="20">
        <v>41492</v>
      </c>
      <c r="D2336" s="16">
        <v>0.46111111111111108</v>
      </c>
      <c r="E2336" s="4">
        <v>70</v>
      </c>
      <c r="F2336" s="22">
        <v>15</v>
      </c>
      <c r="G2336" s="4">
        <v>0.2664078199152542</v>
      </c>
      <c r="H2336" s="4" t="s">
        <v>1</v>
      </c>
    </row>
    <row r="2337" spans="1:8" x14ac:dyDescent="0.25">
      <c r="A2337" s="4">
        <v>2013</v>
      </c>
      <c r="B2337" s="4">
        <v>218</v>
      </c>
      <c r="C2337" s="20">
        <v>41492</v>
      </c>
      <c r="D2337" s="16">
        <v>0.46597222222222223</v>
      </c>
      <c r="E2337" s="4">
        <v>70</v>
      </c>
      <c r="F2337" s="22">
        <v>16</v>
      </c>
      <c r="G2337" s="4">
        <v>0.26560180649717513</v>
      </c>
      <c r="H2337" s="4" t="s">
        <v>1</v>
      </c>
    </row>
    <row r="2338" spans="1:8" x14ac:dyDescent="0.25">
      <c r="A2338" s="4">
        <v>2013</v>
      </c>
      <c r="B2338" s="4">
        <v>218</v>
      </c>
      <c r="C2338" s="20">
        <v>41492</v>
      </c>
      <c r="D2338" s="16">
        <v>0.47430555555555554</v>
      </c>
      <c r="E2338" s="4">
        <v>70</v>
      </c>
      <c r="F2338" s="22">
        <v>17</v>
      </c>
      <c r="G2338" s="4">
        <v>0.31099187641242937</v>
      </c>
      <c r="H2338" s="4" t="s">
        <v>124</v>
      </c>
    </row>
    <row r="2339" spans="1:8" x14ac:dyDescent="0.25">
      <c r="A2339" s="4">
        <v>2013</v>
      </c>
      <c r="B2339" s="4">
        <v>218</v>
      </c>
      <c r="C2339" s="20">
        <v>41492</v>
      </c>
      <c r="D2339" s="16">
        <v>0.48055555555555557</v>
      </c>
      <c r="E2339" s="4">
        <v>70</v>
      </c>
      <c r="F2339" s="22">
        <v>18</v>
      </c>
      <c r="G2339" s="4">
        <v>0.32029557415254239</v>
      </c>
      <c r="H2339" s="4" t="s">
        <v>124</v>
      </c>
    </row>
    <row r="2340" spans="1:8" x14ac:dyDescent="0.25">
      <c r="A2340" s="4">
        <v>2013</v>
      </c>
      <c r="B2340" s="4">
        <v>218</v>
      </c>
      <c r="C2340" s="20">
        <v>41492</v>
      </c>
      <c r="D2340" s="16">
        <v>0.48680555555555555</v>
      </c>
      <c r="E2340" s="4">
        <v>70</v>
      </c>
      <c r="F2340" s="22">
        <v>19</v>
      </c>
      <c r="G2340" s="4">
        <v>0.3044746822033898</v>
      </c>
      <c r="H2340" s="4" t="s">
        <v>124</v>
      </c>
    </row>
    <row r="2341" spans="1:8" x14ac:dyDescent="0.25">
      <c r="A2341" s="4">
        <v>2013</v>
      </c>
      <c r="B2341" s="4">
        <v>218</v>
      </c>
      <c r="C2341" s="20">
        <v>41492</v>
      </c>
      <c r="D2341" s="16">
        <v>0.49374999999999997</v>
      </c>
      <c r="E2341" s="4">
        <v>70</v>
      </c>
      <c r="F2341" s="22">
        <v>20</v>
      </c>
      <c r="G2341" s="4">
        <v>0.3268588262711864</v>
      </c>
      <c r="H2341" s="4" t="s">
        <v>124</v>
      </c>
    </row>
    <row r="2342" spans="1:8" x14ac:dyDescent="0.25">
      <c r="A2342" s="4">
        <v>2013</v>
      </c>
      <c r="B2342" s="4">
        <v>218</v>
      </c>
      <c r="C2342" s="20">
        <v>41492</v>
      </c>
      <c r="D2342" s="16">
        <v>0.3576388888888889</v>
      </c>
      <c r="E2342" s="4">
        <v>50</v>
      </c>
      <c r="F2342" s="22">
        <v>1</v>
      </c>
      <c r="G2342" s="4">
        <v>0.32186154307909604</v>
      </c>
      <c r="H2342" s="4" t="s">
        <v>123</v>
      </c>
    </row>
    <row r="2343" spans="1:8" x14ac:dyDescent="0.25">
      <c r="A2343" s="4">
        <v>2013</v>
      </c>
      <c r="B2343" s="4">
        <v>218</v>
      </c>
      <c r="C2343" s="20">
        <v>41492</v>
      </c>
      <c r="D2343" s="16">
        <v>0.36805555555555558</v>
      </c>
      <c r="E2343" s="4">
        <v>50</v>
      </c>
      <c r="F2343" s="22">
        <v>2</v>
      </c>
      <c r="G2343" s="4">
        <v>0.32319722245762711</v>
      </c>
      <c r="H2343" s="4" t="s">
        <v>123</v>
      </c>
    </row>
    <row r="2344" spans="1:8" x14ac:dyDescent="0.25">
      <c r="A2344" s="4">
        <v>2013</v>
      </c>
      <c r="B2344" s="4">
        <v>218</v>
      </c>
      <c r="C2344" s="20">
        <v>41492</v>
      </c>
      <c r="D2344" s="16">
        <v>0.375</v>
      </c>
      <c r="E2344" s="4">
        <v>50</v>
      </c>
      <c r="F2344" s="22">
        <v>3</v>
      </c>
      <c r="G2344" s="4">
        <v>0.32271361440677965</v>
      </c>
      <c r="H2344" s="4" t="s">
        <v>123</v>
      </c>
    </row>
    <row r="2345" spans="1:8" x14ac:dyDescent="0.25">
      <c r="A2345" s="4">
        <v>2013</v>
      </c>
      <c r="B2345" s="4">
        <v>218</v>
      </c>
      <c r="C2345" s="20">
        <v>41492</v>
      </c>
      <c r="D2345" s="16">
        <v>0.3756944444444445</v>
      </c>
      <c r="E2345" s="4">
        <v>50</v>
      </c>
      <c r="F2345" s="22">
        <v>4</v>
      </c>
      <c r="G2345" s="4">
        <v>0.30857383615819212</v>
      </c>
      <c r="H2345" s="4" t="s">
        <v>123</v>
      </c>
    </row>
    <row r="2346" spans="1:8" x14ac:dyDescent="0.25">
      <c r="A2346" s="4">
        <v>2013</v>
      </c>
      <c r="B2346" s="4">
        <v>218</v>
      </c>
      <c r="C2346" s="20">
        <v>41492</v>
      </c>
      <c r="D2346" s="16">
        <v>0.3888888888888889</v>
      </c>
      <c r="E2346" s="4">
        <v>50</v>
      </c>
      <c r="F2346" s="22">
        <v>5</v>
      </c>
      <c r="G2346" s="4">
        <v>0.29597699788135595</v>
      </c>
      <c r="H2346" s="4" t="s">
        <v>0</v>
      </c>
    </row>
    <row r="2347" spans="1:8" x14ac:dyDescent="0.25">
      <c r="A2347" s="4">
        <v>2013</v>
      </c>
      <c r="B2347" s="4">
        <v>218</v>
      </c>
      <c r="C2347" s="20">
        <v>41492</v>
      </c>
      <c r="D2347" s="16">
        <v>0.39374999999999999</v>
      </c>
      <c r="E2347" s="4">
        <v>50</v>
      </c>
      <c r="F2347" s="22">
        <v>6</v>
      </c>
      <c r="G2347" s="4">
        <v>0.31352506144067793</v>
      </c>
      <c r="H2347" s="4" t="s">
        <v>0</v>
      </c>
    </row>
    <row r="2348" spans="1:8" x14ac:dyDescent="0.25">
      <c r="A2348" s="4">
        <v>2013</v>
      </c>
      <c r="B2348" s="4">
        <v>218</v>
      </c>
      <c r="C2348" s="20">
        <v>41492</v>
      </c>
      <c r="D2348" s="16">
        <v>0.39930555555555558</v>
      </c>
      <c r="E2348" s="4">
        <v>50</v>
      </c>
      <c r="F2348" s="22">
        <v>7</v>
      </c>
      <c r="G2348" s="4">
        <v>0.32043374788135587</v>
      </c>
      <c r="H2348" s="4" t="s">
        <v>123</v>
      </c>
    </row>
    <row r="2349" spans="1:8" x14ac:dyDescent="0.25">
      <c r="A2349" s="4">
        <v>2013</v>
      </c>
      <c r="B2349" s="4">
        <v>218</v>
      </c>
      <c r="C2349" s="20">
        <v>41492</v>
      </c>
      <c r="D2349" s="16">
        <v>0.40763888888888888</v>
      </c>
      <c r="E2349" s="4">
        <v>50</v>
      </c>
      <c r="F2349" s="22">
        <v>8</v>
      </c>
      <c r="G2349" s="4">
        <v>0.31919018432203389</v>
      </c>
      <c r="H2349" s="4" t="s">
        <v>123</v>
      </c>
    </row>
    <row r="2350" spans="1:8" x14ac:dyDescent="0.25">
      <c r="A2350" s="4">
        <v>2013</v>
      </c>
      <c r="B2350" s="4">
        <v>218</v>
      </c>
      <c r="C2350" s="20">
        <v>41492</v>
      </c>
      <c r="D2350" s="16">
        <v>0.41319444444444442</v>
      </c>
      <c r="E2350" s="4">
        <v>50</v>
      </c>
      <c r="F2350" s="22">
        <v>9</v>
      </c>
      <c r="G2350" s="4">
        <v>0.31016283403954803</v>
      </c>
      <c r="H2350" s="4" t="s">
        <v>123</v>
      </c>
    </row>
    <row r="2351" spans="1:8" x14ac:dyDescent="0.25">
      <c r="A2351" s="4">
        <v>2013</v>
      </c>
      <c r="B2351" s="4">
        <v>218</v>
      </c>
      <c r="C2351" s="20">
        <v>41492</v>
      </c>
      <c r="D2351" s="16">
        <v>0.41944444444444445</v>
      </c>
      <c r="E2351" s="4">
        <v>50</v>
      </c>
      <c r="F2351" s="22">
        <v>10</v>
      </c>
      <c r="G2351" s="4">
        <v>0.32446381497175136</v>
      </c>
      <c r="H2351" s="4" t="s">
        <v>123</v>
      </c>
    </row>
    <row r="2352" spans="1:8" x14ac:dyDescent="0.25">
      <c r="A2352" s="4">
        <v>2013</v>
      </c>
      <c r="B2352" s="4">
        <v>218</v>
      </c>
      <c r="C2352" s="20">
        <v>41492</v>
      </c>
      <c r="D2352" s="16">
        <v>0.43263888888888885</v>
      </c>
      <c r="E2352" s="4">
        <v>50</v>
      </c>
      <c r="F2352" s="22">
        <v>11</v>
      </c>
      <c r="G2352" s="4">
        <v>0.31235058474576266</v>
      </c>
      <c r="H2352" s="4" t="s">
        <v>124</v>
      </c>
    </row>
    <row r="2353" spans="1:8" x14ac:dyDescent="0.25">
      <c r="A2353" s="4">
        <v>2013</v>
      </c>
      <c r="B2353" s="4">
        <v>218</v>
      </c>
      <c r="C2353" s="20">
        <v>41492</v>
      </c>
      <c r="D2353" s="16">
        <v>0.43958333333333338</v>
      </c>
      <c r="E2353" s="4">
        <v>50</v>
      </c>
      <c r="F2353" s="22">
        <v>12</v>
      </c>
      <c r="G2353" s="4">
        <v>0.30894229943502821</v>
      </c>
      <c r="H2353" s="4" t="s">
        <v>124</v>
      </c>
    </row>
    <row r="2354" spans="1:8" x14ac:dyDescent="0.25">
      <c r="A2354" s="4">
        <v>2013</v>
      </c>
      <c r="B2354" s="4">
        <v>218</v>
      </c>
      <c r="C2354" s="20">
        <v>41492</v>
      </c>
      <c r="D2354" s="16">
        <v>0.44791666666666669</v>
      </c>
      <c r="E2354" s="4">
        <v>50</v>
      </c>
      <c r="F2354" s="22">
        <v>13</v>
      </c>
      <c r="G2354" s="4">
        <v>0.30627094067796606</v>
      </c>
      <c r="H2354" s="4" t="s">
        <v>124</v>
      </c>
    </row>
    <row r="2355" spans="1:8" x14ac:dyDescent="0.25">
      <c r="A2355" s="4">
        <v>2013</v>
      </c>
      <c r="B2355" s="4">
        <v>218</v>
      </c>
      <c r="C2355" s="20">
        <v>41492</v>
      </c>
      <c r="D2355" s="16">
        <v>0.45416666666666666</v>
      </c>
      <c r="E2355" s="4">
        <v>50</v>
      </c>
      <c r="F2355" s="22">
        <v>14</v>
      </c>
      <c r="G2355" s="4">
        <v>0.31539040677966101</v>
      </c>
      <c r="H2355" s="4" t="s">
        <v>124</v>
      </c>
    </row>
    <row r="2356" spans="1:8" x14ac:dyDescent="0.25">
      <c r="A2356" s="4">
        <v>2013</v>
      </c>
      <c r="B2356" s="4">
        <v>218</v>
      </c>
      <c r="C2356" s="20">
        <v>41492</v>
      </c>
      <c r="D2356" s="16">
        <v>0.46111111111111108</v>
      </c>
      <c r="E2356" s="4">
        <v>50</v>
      </c>
      <c r="F2356" s="22">
        <v>15</v>
      </c>
      <c r="G2356" s="4">
        <v>0.29038096186440676</v>
      </c>
      <c r="H2356" s="4" t="s">
        <v>1</v>
      </c>
    </row>
    <row r="2357" spans="1:8" x14ac:dyDescent="0.25">
      <c r="A2357" s="4">
        <v>2013</v>
      </c>
      <c r="B2357" s="4">
        <v>218</v>
      </c>
      <c r="C2357" s="20">
        <v>41492</v>
      </c>
      <c r="D2357" s="16">
        <v>0.46597222222222223</v>
      </c>
      <c r="E2357" s="4">
        <v>50</v>
      </c>
      <c r="F2357" s="22">
        <v>16</v>
      </c>
      <c r="G2357" s="4">
        <v>0.26854951271186439</v>
      </c>
      <c r="H2357" s="4" t="s">
        <v>1</v>
      </c>
    </row>
    <row r="2358" spans="1:8" x14ac:dyDescent="0.25">
      <c r="A2358" s="4">
        <v>2013</v>
      </c>
      <c r="B2358" s="4">
        <v>218</v>
      </c>
      <c r="C2358" s="20">
        <v>41492</v>
      </c>
      <c r="D2358" s="16">
        <v>0.47430555555555554</v>
      </c>
      <c r="E2358" s="4">
        <v>50</v>
      </c>
      <c r="F2358" s="22">
        <v>17</v>
      </c>
      <c r="G2358" s="4">
        <v>0.33065860381355933</v>
      </c>
      <c r="H2358" s="4" t="s">
        <v>124</v>
      </c>
    </row>
    <row r="2359" spans="1:8" x14ac:dyDescent="0.25">
      <c r="A2359" s="4">
        <v>2013</v>
      </c>
      <c r="B2359" s="4">
        <v>218</v>
      </c>
      <c r="C2359" s="20">
        <v>41492</v>
      </c>
      <c r="D2359" s="16">
        <v>0.48055555555555557</v>
      </c>
      <c r="E2359" s="4">
        <v>50</v>
      </c>
      <c r="F2359" s="22">
        <v>18</v>
      </c>
      <c r="G2359" s="4">
        <v>0.31727878107344631</v>
      </c>
      <c r="H2359" s="4" t="s">
        <v>124</v>
      </c>
    </row>
    <row r="2360" spans="1:8" x14ac:dyDescent="0.25">
      <c r="A2360" s="4">
        <v>2013</v>
      </c>
      <c r="B2360" s="4">
        <v>218</v>
      </c>
      <c r="C2360" s="20">
        <v>41492</v>
      </c>
      <c r="D2360" s="16">
        <v>0.48680555555555555</v>
      </c>
      <c r="E2360" s="4">
        <v>50</v>
      </c>
      <c r="F2360" s="22">
        <v>19</v>
      </c>
      <c r="G2360" s="4">
        <v>0.32080221115819207</v>
      </c>
      <c r="H2360" s="4" t="s">
        <v>124</v>
      </c>
    </row>
    <row r="2361" spans="1:8" x14ac:dyDescent="0.25">
      <c r="A2361" s="4">
        <v>2013</v>
      </c>
      <c r="B2361" s="4">
        <v>218</v>
      </c>
      <c r="C2361" s="20">
        <v>41492</v>
      </c>
      <c r="D2361" s="16">
        <v>0.49374999999999997</v>
      </c>
      <c r="E2361" s="4">
        <v>50</v>
      </c>
      <c r="F2361" s="22">
        <v>20</v>
      </c>
      <c r="G2361" s="4">
        <v>0.3283787372881356</v>
      </c>
      <c r="H2361" s="4" t="s">
        <v>124</v>
      </c>
    </row>
    <row r="2362" spans="1:8" x14ac:dyDescent="0.25">
      <c r="A2362" s="4">
        <v>2013</v>
      </c>
      <c r="B2362" s="4">
        <v>218</v>
      </c>
      <c r="C2362" s="20">
        <v>41492</v>
      </c>
      <c r="D2362" s="16">
        <v>0.3576388888888889</v>
      </c>
      <c r="E2362" s="4">
        <v>30</v>
      </c>
      <c r="F2362" s="22">
        <v>1</v>
      </c>
      <c r="G2362" s="4">
        <v>0.30189543926553675</v>
      </c>
      <c r="H2362" s="4" t="s">
        <v>123</v>
      </c>
    </row>
    <row r="2363" spans="1:8" x14ac:dyDescent="0.25">
      <c r="A2363" s="4">
        <v>2013</v>
      </c>
      <c r="B2363" s="4">
        <v>218</v>
      </c>
      <c r="C2363" s="20">
        <v>41492</v>
      </c>
      <c r="D2363" s="16">
        <v>0.36805555555555558</v>
      </c>
      <c r="E2363" s="4">
        <v>30</v>
      </c>
      <c r="F2363" s="22">
        <v>2</v>
      </c>
      <c r="G2363" s="4">
        <v>0.29788840112994353</v>
      </c>
      <c r="H2363" s="4" t="s">
        <v>123</v>
      </c>
    </row>
    <row r="2364" spans="1:8" x14ac:dyDescent="0.25">
      <c r="A2364" s="4">
        <v>2013</v>
      </c>
      <c r="B2364" s="4">
        <v>218</v>
      </c>
      <c r="C2364" s="20">
        <v>41492</v>
      </c>
      <c r="D2364" s="16">
        <v>0.375</v>
      </c>
      <c r="E2364" s="4">
        <v>30</v>
      </c>
      <c r="F2364" s="22">
        <v>3</v>
      </c>
      <c r="G2364" s="4">
        <v>0.31138336864406779</v>
      </c>
      <c r="H2364" s="4" t="s">
        <v>123</v>
      </c>
    </row>
    <row r="2365" spans="1:8" x14ac:dyDescent="0.25">
      <c r="A2365" s="4">
        <v>2013</v>
      </c>
      <c r="B2365" s="4">
        <v>218</v>
      </c>
      <c r="C2365" s="20">
        <v>41492</v>
      </c>
      <c r="D2365" s="16">
        <v>0.3756944444444445</v>
      </c>
      <c r="E2365" s="4">
        <v>30</v>
      </c>
      <c r="F2365" s="22">
        <v>4</v>
      </c>
      <c r="G2365" s="4">
        <v>0.27981067161016948</v>
      </c>
      <c r="H2365" s="4" t="s">
        <v>123</v>
      </c>
    </row>
    <row r="2366" spans="1:8" x14ac:dyDescent="0.25">
      <c r="A2366" s="4">
        <v>2013</v>
      </c>
      <c r="B2366" s="4">
        <v>218</v>
      </c>
      <c r="C2366" s="20">
        <v>41492</v>
      </c>
      <c r="D2366" s="16">
        <v>0.3888888888888889</v>
      </c>
      <c r="E2366" s="4">
        <v>30</v>
      </c>
      <c r="F2366" s="22">
        <v>5</v>
      </c>
      <c r="G2366" s="4">
        <v>0.29666786652542371</v>
      </c>
      <c r="H2366" s="4" t="s">
        <v>0</v>
      </c>
    </row>
    <row r="2367" spans="1:8" x14ac:dyDescent="0.25">
      <c r="A2367" s="4">
        <v>2013</v>
      </c>
      <c r="B2367" s="4">
        <v>218</v>
      </c>
      <c r="C2367" s="20">
        <v>41492</v>
      </c>
      <c r="D2367" s="16">
        <v>0.39374999999999999</v>
      </c>
      <c r="E2367" s="4">
        <v>30</v>
      </c>
      <c r="F2367" s="22">
        <v>6</v>
      </c>
      <c r="G2367" s="4">
        <v>0.29199298870056495</v>
      </c>
      <c r="H2367" s="4" t="s">
        <v>0</v>
      </c>
    </row>
    <row r="2368" spans="1:8" x14ac:dyDescent="0.25">
      <c r="A2368" s="4">
        <v>2013</v>
      </c>
      <c r="B2368" s="4">
        <v>218</v>
      </c>
      <c r="C2368" s="20">
        <v>41492</v>
      </c>
      <c r="D2368" s="16">
        <v>0.39930555555555558</v>
      </c>
      <c r="E2368" s="4">
        <v>30</v>
      </c>
      <c r="F2368" s="22">
        <v>7</v>
      </c>
      <c r="G2368" s="4">
        <v>0.3038989583333333</v>
      </c>
      <c r="H2368" s="4" t="s">
        <v>123</v>
      </c>
    </row>
    <row r="2369" spans="1:8" x14ac:dyDescent="0.25">
      <c r="A2369" s="4">
        <v>2013</v>
      </c>
      <c r="B2369" s="4">
        <v>218</v>
      </c>
      <c r="C2369" s="20">
        <v>41492</v>
      </c>
      <c r="D2369" s="16">
        <v>0.40763888888888888</v>
      </c>
      <c r="E2369" s="4">
        <v>30</v>
      </c>
      <c r="F2369" s="22">
        <v>8</v>
      </c>
      <c r="G2369" s="4">
        <v>0.32043374788135587</v>
      </c>
      <c r="H2369" s="4" t="s">
        <v>123</v>
      </c>
    </row>
    <row r="2370" spans="1:8" x14ac:dyDescent="0.25">
      <c r="A2370" s="4">
        <v>2013</v>
      </c>
      <c r="B2370" s="4">
        <v>218</v>
      </c>
      <c r="C2370" s="20">
        <v>41492</v>
      </c>
      <c r="D2370" s="16">
        <v>0.41319444444444442</v>
      </c>
      <c r="E2370" s="4">
        <v>30</v>
      </c>
      <c r="F2370" s="22">
        <v>9</v>
      </c>
      <c r="G2370" s="4">
        <v>0.31221241101694919</v>
      </c>
      <c r="H2370" s="4" t="s">
        <v>123</v>
      </c>
    </row>
    <row r="2371" spans="1:8" x14ac:dyDescent="0.25">
      <c r="A2371" s="4">
        <v>2013</v>
      </c>
      <c r="B2371" s="4">
        <v>218</v>
      </c>
      <c r="C2371" s="20">
        <v>41492</v>
      </c>
      <c r="D2371" s="16">
        <v>0.41944444444444445</v>
      </c>
      <c r="E2371" s="4">
        <v>30</v>
      </c>
      <c r="F2371" s="22">
        <v>10</v>
      </c>
      <c r="G2371" s="4">
        <v>0.3120742372881356</v>
      </c>
      <c r="H2371" s="4" t="s">
        <v>123</v>
      </c>
    </row>
    <row r="2372" spans="1:8" x14ac:dyDescent="0.25">
      <c r="A2372" s="4">
        <v>2013</v>
      </c>
      <c r="B2372" s="4">
        <v>218</v>
      </c>
      <c r="C2372" s="20">
        <v>41492</v>
      </c>
      <c r="D2372" s="16">
        <v>0.43263888888888885</v>
      </c>
      <c r="E2372" s="4">
        <v>30</v>
      </c>
      <c r="F2372" s="22">
        <v>11</v>
      </c>
      <c r="G2372" s="4">
        <v>0.28335713064971751</v>
      </c>
      <c r="H2372" s="4" t="s">
        <v>124</v>
      </c>
    </row>
    <row r="2373" spans="1:8" x14ac:dyDescent="0.25">
      <c r="A2373" s="4">
        <v>2013</v>
      </c>
      <c r="B2373" s="4">
        <v>218</v>
      </c>
      <c r="C2373" s="20">
        <v>41492</v>
      </c>
      <c r="D2373" s="16">
        <v>0.43958333333333338</v>
      </c>
      <c r="E2373" s="4">
        <v>30</v>
      </c>
      <c r="F2373" s="22">
        <v>12</v>
      </c>
      <c r="G2373" s="4">
        <v>0.26919432344632765</v>
      </c>
      <c r="H2373" s="4" t="s">
        <v>124</v>
      </c>
    </row>
    <row r="2374" spans="1:8" x14ac:dyDescent="0.25">
      <c r="A2374" s="4">
        <v>2013</v>
      </c>
      <c r="B2374" s="4">
        <v>218</v>
      </c>
      <c r="C2374" s="20">
        <v>41492</v>
      </c>
      <c r="D2374" s="16">
        <v>0.44791666666666669</v>
      </c>
      <c r="E2374" s="4">
        <v>30</v>
      </c>
      <c r="F2374" s="22">
        <v>13</v>
      </c>
      <c r="G2374" s="4">
        <v>0.28807806638418076</v>
      </c>
      <c r="H2374" s="4" t="s">
        <v>124</v>
      </c>
    </row>
    <row r="2375" spans="1:8" x14ac:dyDescent="0.25">
      <c r="A2375" s="4">
        <v>2013</v>
      </c>
      <c r="B2375" s="4">
        <v>218</v>
      </c>
      <c r="C2375" s="20">
        <v>41492</v>
      </c>
      <c r="D2375" s="16">
        <v>0.45416666666666666</v>
      </c>
      <c r="E2375" s="4">
        <v>30</v>
      </c>
      <c r="F2375" s="22">
        <v>14</v>
      </c>
      <c r="G2375" s="4">
        <v>0.28950586158192088</v>
      </c>
      <c r="H2375" s="4" t="s">
        <v>124</v>
      </c>
    </row>
    <row r="2376" spans="1:8" x14ac:dyDescent="0.25">
      <c r="A2376" s="4">
        <v>2013</v>
      </c>
      <c r="B2376" s="4">
        <v>218</v>
      </c>
      <c r="C2376" s="20">
        <v>41492</v>
      </c>
      <c r="D2376" s="16">
        <v>0.46111111111111108</v>
      </c>
      <c r="E2376" s="4">
        <v>30</v>
      </c>
      <c r="F2376" s="22">
        <v>15</v>
      </c>
      <c r="G2376" s="4">
        <v>0.29342078389830506</v>
      </c>
      <c r="H2376" s="4" t="s">
        <v>1</v>
      </c>
    </row>
    <row r="2377" spans="1:8" x14ac:dyDescent="0.25">
      <c r="A2377" s="4">
        <v>2013</v>
      </c>
      <c r="B2377" s="4">
        <v>218</v>
      </c>
      <c r="C2377" s="20">
        <v>41492</v>
      </c>
      <c r="D2377" s="16">
        <v>0.46597222222222223</v>
      </c>
      <c r="E2377" s="4">
        <v>30</v>
      </c>
      <c r="F2377" s="22">
        <v>16</v>
      </c>
      <c r="G2377" s="4">
        <v>0.28545276553672316</v>
      </c>
      <c r="H2377" s="4" t="s">
        <v>1</v>
      </c>
    </row>
    <row r="2378" spans="1:8" x14ac:dyDescent="0.25">
      <c r="A2378" s="4">
        <v>2013</v>
      </c>
      <c r="B2378" s="4">
        <v>218</v>
      </c>
      <c r="C2378" s="20">
        <v>41492</v>
      </c>
      <c r="D2378" s="16">
        <v>0.47430555555555554</v>
      </c>
      <c r="E2378" s="4">
        <v>30</v>
      </c>
      <c r="F2378" s="22">
        <v>17</v>
      </c>
      <c r="G2378" s="4">
        <v>0.31343294562146889</v>
      </c>
      <c r="H2378" s="4" t="s">
        <v>124</v>
      </c>
    </row>
    <row r="2379" spans="1:8" x14ac:dyDescent="0.25">
      <c r="A2379" s="4">
        <v>2013</v>
      </c>
      <c r="B2379" s="4">
        <v>218</v>
      </c>
      <c r="C2379" s="20">
        <v>41492</v>
      </c>
      <c r="D2379" s="16">
        <v>0.48055555555555557</v>
      </c>
      <c r="E2379" s="4">
        <v>30</v>
      </c>
      <c r="F2379" s="22">
        <v>18</v>
      </c>
      <c r="G2379" s="4">
        <v>0.31495285663841804</v>
      </c>
      <c r="H2379" s="4" t="s">
        <v>124</v>
      </c>
    </row>
    <row r="2380" spans="1:8" x14ac:dyDescent="0.25">
      <c r="A2380" s="4">
        <v>2013</v>
      </c>
      <c r="B2380" s="4">
        <v>218</v>
      </c>
      <c r="C2380" s="20">
        <v>41492</v>
      </c>
      <c r="D2380" s="16">
        <v>0.48680555555555555</v>
      </c>
      <c r="E2380" s="4">
        <v>30</v>
      </c>
      <c r="F2380" s="22">
        <v>19</v>
      </c>
      <c r="G2380" s="4">
        <v>0.28199842231638417</v>
      </c>
      <c r="H2380" s="4" t="s">
        <v>124</v>
      </c>
    </row>
    <row r="2381" spans="1:8" x14ac:dyDescent="0.25">
      <c r="A2381" s="4">
        <v>2013</v>
      </c>
      <c r="B2381" s="4">
        <v>218</v>
      </c>
      <c r="C2381" s="20">
        <v>41492</v>
      </c>
      <c r="D2381" s="16">
        <v>0.49374999999999997</v>
      </c>
      <c r="E2381" s="4">
        <v>30</v>
      </c>
      <c r="F2381" s="22">
        <v>20</v>
      </c>
      <c r="G2381" s="4">
        <v>0.29355895762711864</v>
      </c>
      <c r="H2381" s="4" t="s">
        <v>124</v>
      </c>
    </row>
    <row r="2382" spans="1:8" x14ac:dyDescent="0.25">
      <c r="A2382" s="4">
        <v>2013</v>
      </c>
      <c r="B2382" s="4">
        <v>218</v>
      </c>
      <c r="C2382" s="20">
        <v>41492</v>
      </c>
      <c r="D2382" s="16">
        <v>0.3576388888888889</v>
      </c>
      <c r="E2382" s="4">
        <v>10</v>
      </c>
      <c r="F2382" s="22">
        <v>1</v>
      </c>
      <c r="G2382" s="4">
        <v>0.19812837288135593</v>
      </c>
      <c r="H2382" s="4" t="s">
        <v>123</v>
      </c>
    </row>
    <row r="2383" spans="1:8" x14ac:dyDescent="0.25">
      <c r="A2383" s="4">
        <v>2013</v>
      </c>
      <c r="B2383" s="4">
        <v>218</v>
      </c>
      <c r="C2383" s="20">
        <v>41492</v>
      </c>
      <c r="D2383" s="16">
        <v>0.36805555555555558</v>
      </c>
      <c r="E2383" s="4">
        <v>10</v>
      </c>
      <c r="F2383" s="22">
        <v>2</v>
      </c>
      <c r="G2383" s="4">
        <v>0.22100733232445519</v>
      </c>
      <c r="H2383" s="4" t="s">
        <v>123</v>
      </c>
    </row>
    <row r="2384" spans="1:8" x14ac:dyDescent="0.25">
      <c r="A2384" s="4">
        <v>2013</v>
      </c>
      <c r="B2384" s="4">
        <v>218</v>
      </c>
      <c r="C2384" s="20">
        <v>41492</v>
      </c>
      <c r="D2384" s="16">
        <v>0.375</v>
      </c>
      <c r="E2384" s="4">
        <v>10</v>
      </c>
      <c r="F2384" s="22">
        <v>3</v>
      </c>
      <c r="G2384" s="4">
        <v>0.22575288377723968</v>
      </c>
      <c r="H2384" s="4" t="s">
        <v>123</v>
      </c>
    </row>
    <row r="2385" spans="1:8" x14ac:dyDescent="0.25">
      <c r="A2385" s="4">
        <v>2013</v>
      </c>
      <c r="B2385" s="4">
        <v>218</v>
      </c>
      <c r="C2385" s="20">
        <v>41492</v>
      </c>
      <c r="D2385" s="16">
        <v>0.3756944444444445</v>
      </c>
      <c r="E2385" s="4">
        <v>10</v>
      </c>
      <c r="F2385" s="22">
        <v>4</v>
      </c>
      <c r="G2385" s="4">
        <v>0.2097607611985472</v>
      </c>
      <c r="H2385" s="4" t="s">
        <v>123</v>
      </c>
    </row>
    <row r="2386" spans="1:8" x14ac:dyDescent="0.25">
      <c r="A2386" s="4">
        <v>2013</v>
      </c>
      <c r="B2386" s="4">
        <v>218</v>
      </c>
      <c r="C2386" s="20">
        <v>41492</v>
      </c>
      <c r="D2386" s="16">
        <v>0.3888888888888889</v>
      </c>
      <c r="E2386" s="4">
        <v>10</v>
      </c>
      <c r="F2386" s="22">
        <v>5</v>
      </c>
      <c r="G2386" s="4">
        <v>0.21109183050847458</v>
      </c>
      <c r="H2386" s="4" t="s">
        <v>0</v>
      </c>
    </row>
    <row r="2387" spans="1:8" x14ac:dyDescent="0.25">
      <c r="A2387" s="4">
        <v>2013</v>
      </c>
      <c r="B2387" s="4">
        <v>218</v>
      </c>
      <c r="C2387" s="20">
        <v>41492</v>
      </c>
      <c r="D2387" s="16">
        <v>0.39374999999999999</v>
      </c>
      <c r="E2387" s="4">
        <v>10</v>
      </c>
      <c r="F2387" s="22">
        <v>6</v>
      </c>
      <c r="G2387" s="4">
        <v>0.20165860018159804</v>
      </c>
      <c r="H2387" s="4" t="s">
        <v>0</v>
      </c>
    </row>
    <row r="2388" spans="1:8" x14ac:dyDescent="0.25">
      <c r="A2388" s="4">
        <v>2013</v>
      </c>
      <c r="B2388" s="4">
        <v>218</v>
      </c>
      <c r="C2388" s="20">
        <v>41492</v>
      </c>
      <c r="D2388" s="16">
        <v>0.39930555555555558</v>
      </c>
      <c r="E2388" s="4">
        <v>10</v>
      </c>
      <c r="F2388" s="22">
        <v>7</v>
      </c>
      <c r="G2388" s="4">
        <v>0.24064542736077482</v>
      </c>
      <c r="H2388" s="4" t="s">
        <v>123</v>
      </c>
    </row>
    <row r="2389" spans="1:8" x14ac:dyDescent="0.25">
      <c r="A2389" s="4">
        <v>2013</v>
      </c>
      <c r="B2389" s="4">
        <v>218</v>
      </c>
      <c r="C2389" s="20">
        <v>41492</v>
      </c>
      <c r="D2389" s="16">
        <v>0.40763888888888888</v>
      </c>
      <c r="E2389" s="4">
        <v>10</v>
      </c>
      <c r="F2389" s="22">
        <v>8</v>
      </c>
      <c r="G2389" s="4">
        <v>0.23937223062953994</v>
      </c>
      <c r="H2389" s="4" t="s">
        <v>123</v>
      </c>
    </row>
    <row r="2390" spans="1:8" x14ac:dyDescent="0.25">
      <c r="A2390" s="4">
        <v>2013</v>
      </c>
      <c r="B2390" s="4">
        <v>218</v>
      </c>
      <c r="C2390" s="20">
        <v>41492</v>
      </c>
      <c r="D2390" s="16">
        <v>0.41319444444444442</v>
      </c>
      <c r="E2390" s="4">
        <v>10</v>
      </c>
      <c r="F2390" s="22">
        <v>9</v>
      </c>
      <c r="G2390" s="4">
        <v>0.22488479509685227</v>
      </c>
      <c r="H2390" s="4" t="s">
        <v>123</v>
      </c>
    </row>
    <row r="2391" spans="1:8" x14ac:dyDescent="0.25">
      <c r="A2391" s="4">
        <v>2013</v>
      </c>
      <c r="B2391" s="4">
        <v>218</v>
      </c>
      <c r="C2391" s="20">
        <v>41492</v>
      </c>
      <c r="D2391" s="16">
        <v>0.41944444444444445</v>
      </c>
      <c r="E2391" s="4">
        <v>10</v>
      </c>
      <c r="F2391" s="22">
        <v>10</v>
      </c>
      <c r="G2391" s="4">
        <v>0.20796671125907989</v>
      </c>
      <c r="H2391" s="4" t="s">
        <v>123</v>
      </c>
    </row>
    <row r="2392" spans="1:8" x14ac:dyDescent="0.25">
      <c r="A2392" s="4">
        <v>2013</v>
      </c>
      <c r="B2392" s="4">
        <v>218</v>
      </c>
      <c r="C2392" s="20">
        <v>41492</v>
      </c>
      <c r="D2392" s="16">
        <v>0.43263888888888885</v>
      </c>
      <c r="E2392" s="4">
        <v>10</v>
      </c>
      <c r="F2392" s="22">
        <v>11</v>
      </c>
      <c r="G2392" s="4">
        <v>0.19124153601694915</v>
      </c>
      <c r="H2392" s="4" t="s">
        <v>124</v>
      </c>
    </row>
    <row r="2393" spans="1:8" x14ac:dyDescent="0.25">
      <c r="A2393" s="4">
        <v>2013</v>
      </c>
      <c r="B2393" s="4">
        <v>218</v>
      </c>
      <c r="C2393" s="20">
        <v>41492</v>
      </c>
      <c r="D2393" s="16">
        <v>0.43958333333333338</v>
      </c>
      <c r="E2393" s="4">
        <v>10</v>
      </c>
      <c r="F2393" s="22">
        <v>12</v>
      </c>
      <c r="G2393" s="4">
        <v>0.17600175696125908</v>
      </c>
      <c r="H2393" s="4" t="s">
        <v>124</v>
      </c>
    </row>
    <row r="2394" spans="1:8" x14ac:dyDescent="0.25">
      <c r="A2394" s="4">
        <v>2013</v>
      </c>
      <c r="B2394" s="4">
        <v>218</v>
      </c>
      <c r="C2394" s="20">
        <v>41492</v>
      </c>
      <c r="D2394" s="16">
        <v>0.44791666666666669</v>
      </c>
      <c r="E2394" s="4">
        <v>10</v>
      </c>
      <c r="F2394" s="22">
        <v>13</v>
      </c>
      <c r="G2394" s="4">
        <v>0.17823949667070216</v>
      </c>
      <c r="H2394" s="4" t="s">
        <v>124</v>
      </c>
    </row>
    <row r="2395" spans="1:8" x14ac:dyDescent="0.25">
      <c r="A2395" s="4">
        <v>2013</v>
      </c>
      <c r="B2395" s="4">
        <v>218</v>
      </c>
      <c r="C2395" s="20">
        <v>41492</v>
      </c>
      <c r="D2395" s="16">
        <v>0.45416666666666666</v>
      </c>
      <c r="E2395" s="4">
        <v>10</v>
      </c>
      <c r="F2395" s="22">
        <v>14</v>
      </c>
      <c r="G2395" s="4">
        <v>0.18925457748184021</v>
      </c>
      <c r="H2395" s="4" t="s">
        <v>124</v>
      </c>
    </row>
    <row r="2396" spans="1:8" x14ac:dyDescent="0.25">
      <c r="A2396" s="4">
        <v>2013</v>
      </c>
      <c r="B2396" s="4">
        <v>218</v>
      </c>
      <c r="C2396" s="20">
        <v>41492</v>
      </c>
      <c r="D2396" s="16">
        <v>0.46111111111111108</v>
      </c>
      <c r="E2396" s="4">
        <v>10</v>
      </c>
      <c r="F2396" s="22">
        <v>15</v>
      </c>
      <c r="G2396" s="4">
        <v>0.20680925968523001</v>
      </c>
      <c r="H2396" s="4" t="s">
        <v>1</v>
      </c>
    </row>
    <row r="2397" spans="1:8" x14ac:dyDescent="0.25">
      <c r="A2397" s="4">
        <v>2013</v>
      </c>
      <c r="B2397" s="4">
        <v>218</v>
      </c>
      <c r="C2397" s="20">
        <v>41492</v>
      </c>
      <c r="D2397" s="16">
        <v>0.46597222222222223</v>
      </c>
      <c r="E2397" s="4">
        <v>10</v>
      </c>
      <c r="F2397" s="22">
        <v>16</v>
      </c>
      <c r="G2397" s="4">
        <v>0.19432807354721549</v>
      </c>
      <c r="H2397" s="4" t="s">
        <v>1</v>
      </c>
    </row>
    <row r="2398" spans="1:8" x14ac:dyDescent="0.25">
      <c r="A2398" s="4">
        <v>2013</v>
      </c>
      <c r="B2398" s="4">
        <v>218</v>
      </c>
      <c r="C2398" s="20">
        <v>41492</v>
      </c>
      <c r="D2398" s="16">
        <v>0.47430555555555554</v>
      </c>
      <c r="E2398" s="4">
        <v>10</v>
      </c>
      <c r="F2398" s="22">
        <v>17</v>
      </c>
      <c r="G2398" s="4">
        <v>0.21053239558111381</v>
      </c>
      <c r="H2398" s="4" t="s">
        <v>124</v>
      </c>
    </row>
    <row r="2399" spans="1:8" x14ac:dyDescent="0.25">
      <c r="A2399" s="4">
        <v>2013</v>
      </c>
      <c r="B2399" s="4">
        <v>218</v>
      </c>
      <c r="C2399" s="20">
        <v>41492</v>
      </c>
      <c r="D2399" s="16">
        <v>0.48055555555555557</v>
      </c>
      <c r="E2399" s="4">
        <v>10</v>
      </c>
      <c r="F2399" s="22">
        <v>18</v>
      </c>
      <c r="G2399" s="4">
        <v>0.19303558595641646</v>
      </c>
      <c r="H2399" s="4" t="s">
        <v>124</v>
      </c>
    </row>
    <row r="2400" spans="1:8" x14ac:dyDescent="0.25">
      <c r="A2400" s="4">
        <v>2013</v>
      </c>
      <c r="B2400" s="4">
        <v>218</v>
      </c>
      <c r="C2400" s="20">
        <v>41492</v>
      </c>
      <c r="D2400" s="16">
        <v>0.48680555555555555</v>
      </c>
      <c r="E2400" s="4">
        <v>10</v>
      </c>
      <c r="F2400" s="22">
        <v>19</v>
      </c>
      <c r="G2400" s="4">
        <v>0.18522278783292978</v>
      </c>
      <c r="H2400" s="4" t="s">
        <v>124</v>
      </c>
    </row>
    <row r="2401" spans="1:8" x14ac:dyDescent="0.25">
      <c r="A2401" s="4">
        <v>2013</v>
      </c>
      <c r="B2401" s="4">
        <v>218</v>
      </c>
      <c r="C2401" s="20">
        <v>41492</v>
      </c>
      <c r="D2401" s="16">
        <v>0.49374999999999997</v>
      </c>
      <c r="E2401" s="4">
        <v>10</v>
      </c>
      <c r="F2401" s="22">
        <v>20</v>
      </c>
      <c r="G2401" s="4">
        <v>0.17033024424939469</v>
      </c>
      <c r="H2401" s="4" t="s">
        <v>124</v>
      </c>
    </row>
    <row r="2402" spans="1:8" x14ac:dyDescent="0.25">
      <c r="A2402" s="4">
        <v>2013</v>
      </c>
      <c r="B2402" s="4">
        <v>231</v>
      </c>
      <c r="C2402" s="20">
        <v>41505</v>
      </c>
      <c r="D2402" s="16">
        <v>0.3611111111111111</v>
      </c>
      <c r="E2402" s="4">
        <v>230</v>
      </c>
      <c r="F2402" s="22">
        <v>1</v>
      </c>
      <c r="G2402" s="4">
        <v>0.29728702401129942</v>
      </c>
      <c r="H2402" s="4" t="s">
        <v>123</v>
      </c>
    </row>
    <row r="2403" spans="1:8" x14ac:dyDescent="0.25">
      <c r="A2403" s="4">
        <v>2013</v>
      </c>
      <c r="B2403" s="4">
        <v>231</v>
      </c>
      <c r="C2403" s="20">
        <v>41505</v>
      </c>
      <c r="D2403" s="16">
        <v>0.36805555555555558</v>
      </c>
      <c r="E2403" s="4">
        <v>230</v>
      </c>
      <c r="F2403" s="22">
        <v>2</v>
      </c>
      <c r="G2403" s="4">
        <v>0.29885306920903959</v>
      </c>
      <c r="H2403" s="4" t="s">
        <v>123</v>
      </c>
    </row>
    <row r="2404" spans="1:8" x14ac:dyDescent="0.25">
      <c r="A2404" s="4">
        <v>2013</v>
      </c>
      <c r="B2404" s="4">
        <v>231</v>
      </c>
      <c r="C2404" s="20">
        <v>41505</v>
      </c>
      <c r="D2404" s="16">
        <v>0.375</v>
      </c>
      <c r="E2404" s="4">
        <v>230</v>
      </c>
      <c r="F2404" s="22">
        <v>3</v>
      </c>
      <c r="G2404" s="4">
        <v>0.27908174858757062</v>
      </c>
      <c r="H2404" s="4" t="s">
        <v>123</v>
      </c>
    </row>
    <row r="2405" spans="1:8" x14ac:dyDescent="0.25">
      <c r="A2405" s="4">
        <v>2013</v>
      </c>
      <c r="B2405" s="4">
        <v>231</v>
      </c>
      <c r="C2405" s="20">
        <v>41505</v>
      </c>
      <c r="D2405" s="16">
        <v>0.38680555555555557</v>
      </c>
      <c r="E2405" s="4">
        <v>230</v>
      </c>
      <c r="F2405" s="22">
        <v>4</v>
      </c>
      <c r="G2405" s="4">
        <v>0.28190062994350285</v>
      </c>
      <c r="H2405" s="4" t="s">
        <v>123</v>
      </c>
    </row>
    <row r="2406" spans="1:8" x14ac:dyDescent="0.25">
      <c r="A2406" s="4">
        <v>2013</v>
      </c>
      <c r="B2406" s="4">
        <v>231</v>
      </c>
      <c r="C2406" s="20">
        <v>41505</v>
      </c>
      <c r="D2406" s="16">
        <v>0.39374999999999999</v>
      </c>
      <c r="E2406" s="4">
        <v>230</v>
      </c>
      <c r="F2406" s="22">
        <v>5</v>
      </c>
      <c r="G2406" s="4" t="e">
        <v>#N/A</v>
      </c>
      <c r="H2406" s="4" t="s">
        <v>0</v>
      </c>
    </row>
    <row r="2407" spans="1:8" x14ac:dyDescent="0.25">
      <c r="A2407" s="4">
        <v>2013</v>
      </c>
      <c r="B2407" s="4">
        <v>231</v>
      </c>
      <c r="C2407" s="20">
        <v>41505</v>
      </c>
      <c r="D2407" s="16">
        <v>0.39930555555555558</v>
      </c>
      <c r="E2407" s="4">
        <v>230</v>
      </c>
      <c r="F2407" s="22">
        <v>6</v>
      </c>
      <c r="G2407" s="4" t="e">
        <v>#N/A</v>
      </c>
      <c r="H2407" s="4" t="s">
        <v>0</v>
      </c>
    </row>
    <row r="2408" spans="1:8" x14ac:dyDescent="0.25">
      <c r="A2408" s="4">
        <v>2013</v>
      </c>
      <c r="B2408" s="4">
        <v>231</v>
      </c>
      <c r="C2408" s="20">
        <v>41505</v>
      </c>
      <c r="D2408" s="16">
        <v>0.40625</v>
      </c>
      <c r="E2408" s="4">
        <v>230</v>
      </c>
      <c r="F2408" s="22">
        <v>7</v>
      </c>
      <c r="G2408" s="4">
        <v>0.27455979307909606</v>
      </c>
      <c r="H2408" s="4" t="s">
        <v>123</v>
      </c>
    </row>
    <row r="2409" spans="1:8" x14ac:dyDescent="0.25">
      <c r="A2409" s="4">
        <v>2013</v>
      </c>
      <c r="B2409" s="4">
        <v>231</v>
      </c>
      <c r="C2409" s="20">
        <v>41505</v>
      </c>
      <c r="D2409" s="16">
        <v>0.41319444444444442</v>
      </c>
      <c r="E2409" s="4">
        <v>230</v>
      </c>
      <c r="F2409" s="22">
        <v>8</v>
      </c>
      <c r="G2409" s="4">
        <v>0.30883660734463275</v>
      </c>
      <c r="H2409" s="4" t="s">
        <v>123</v>
      </c>
    </row>
    <row r="2410" spans="1:8" x14ac:dyDescent="0.25">
      <c r="A2410" s="4">
        <v>2013</v>
      </c>
      <c r="B2410" s="4">
        <v>231</v>
      </c>
      <c r="C2410" s="20">
        <v>41505</v>
      </c>
      <c r="D2410" s="16">
        <v>0.41944444444444445</v>
      </c>
      <c r="E2410" s="4">
        <v>230</v>
      </c>
      <c r="F2410" s="22">
        <v>9</v>
      </c>
      <c r="G2410" s="4">
        <v>0.30644838841807909</v>
      </c>
      <c r="H2410" s="4" t="s">
        <v>123</v>
      </c>
    </row>
    <row r="2411" spans="1:8" x14ac:dyDescent="0.25">
      <c r="A2411" s="4">
        <v>2013</v>
      </c>
      <c r="B2411" s="4">
        <v>231</v>
      </c>
      <c r="C2411" s="20">
        <v>41505</v>
      </c>
      <c r="D2411" s="16">
        <v>0.42569444444444443</v>
      </c>
      <c r="E2411" s="4">
        <v>230</v>
      </c>
      <c r="F2411" s="22">
        <v>10</v>
      </c>
      <c r="G2411" s="4">
        <v>0.25533658827683614</v>
      </c>
      <c r="H2411" s="4" t="s">
        <v>123</v>
      </c>
    </row>
    <row r="2412" spans="1:8" x14ac:dyDescent="0.25">
      <c r="A2412" s="4">
        <v>2013</v>
      </c>
      <c r="B2412" s="4">
        <v>231</v>
      </c>
      <c r="C2412" s="20">
        <v>41505</v>
      </c>
      <c r="D2412" s="16">
        <v>0.4381944444444445</v>
      </c>
      <c r="E2412" s="4">
        <v>230</v>
      </c>
      <c r="F2412" s="22">
        <v>11</v>
      </c>
      <c r="G2412" s="4">
        <v>0.29989057415254239</v>
      </c>
      <c r="H2412" s="4" t="s">
        <v>124</v>
      </c>
    </row>
    <row r="2413" spans="1:8" x14ac:dyDescent="0.25">
      <c r="A2413" s="4">
        <v>2013</v>
      </c>
      <c r="B2413" s="4">
        <v>231</v>
      </c>
      <c r="C2413" s="20">
        <v>41505</v>
      </c>
      <c r="D2413" s="16">
        <v>0.44444444444444442</v>
      </c>
      <c r="E2413" s="4">
        <v>230</v>
      </c>
      <c r="F2413" s="22">
        <v>12</v>
      </c>
      <c r="G2413" s="4">
        <v>0.29893137146892657</v>
      </c>
      <c r="H2413" s="4" t="s">
        <v>124</v>
      </c>
    </row>
    <row r="2414" spans="1:8" x14ac:dyDescent="0.25">
      <c r="A2414" s="4">
        <v>2013</v>
      </c>
      <c r="B2414" s="4">
        <v>231</v>
      </c>
      <c r="C2414" s="20">
        <v>41505</v>
      </c>
      <c r="D2414" s="16">
        <v>0.4513888888888889</v>
      </c>
      <c r="E2414" s="4">
        <v>230</v>
      </c>
      <c r="F2414" s="22">
        <v>13</v>
      </c>
      <c r="G2414" s="4">
        <v>0.29497710734463278</v>
      </c>
      <c r="H2414" s="4" t="s">
        <v>124</v>
      </c>
    </row>
    <row r="2415" spans="1:8" x14ac:dyDescent="0.25">
      <c r="A2415" s="4">
        <v>2013</v>
      </c>
      <c r="B2415" s="4">
        <v>231</v>
      </c>
      <c r="C2415" s="20">
        <v>41505</v>
      </c>
      <c r="D2415" s="16">
        <v>0.45208333333333334</v>
      </c>
      <c r="E2415" s="4">
        <v>230</v>
      </c>
      <c r="F2415" s="22">
        <v>14</v>
      </c>
      <c r="G2415" s="4">
        <v>0.28906528672316389</v>
      </c>
      <c r="H2415" s="4" t="s">
        <v>124</v>
      </c>
    </row>
    <row r="2416" spans="1:8" x14ac:dyDescent="0.25">
      <c r="A2416" s="4">
        <v>2013</v>
      </c>
      <c r="B2416" s="4">
        <v>231</v>
      </c>
      <c r="C2416" s="20">
        <v>41505</v>
      </c>
      <c r="D2416" s="16">
        <v>0.46527777777777773</v>
      </c>
      <c r="E2416" s="4">
        <v>230</v>
      </c>
      <c r="F2416" s="22">
        <v>15</v>
      </c>
      <c r="G2416" s="4" t="e">
        <v>#N/A</v>
      </c>
      <c r="H2416" s="4" t="s">
        <v>1</v>
      </c>
    </row>
    <row r="2417" spans="1:8" x14ac:dyDescent="0.25">
      <c r="A2417" s="4">
        <v>2013</v>
      </c>
      <c r="B2417" s="4">
        <v>231</v>
      </c>
      <c r="C2417" s="20">
        <v>41505</v>
      </c>
      <c r="D2417" s="16">
        <v>0.47013888888888888</v>
      </c>
      <c r="E2417" s="4">
        <v>230</v>
      </c>
      <c r="F2417" s="22">
        <v>16</v>
      </c>
      <c r="G2417" s="4" t="e">
        <v>#N/A</v>
      </c>
      <c r="H2417" s="4" t="s">
        <v>1</v>
      </c>
    </row>
    <row r="2418" spans="1:8" x14ac:dyDescent="0.25">
      <c r="A2418" s="4">
        <v>2013</v>
      </c>
      <c r="B2418" s="4">
        <v>231</v>
      </c>
      <c r="C2418" s="20">
        <v>41505</v>
      </c>
      <c r="D2418" s="16">
        <v>0.47916666666666669</v>
      </c>
      <c r="E2418" s="4">
        <v>230</v>
      </c>
      <c r="F2418" s="22">
        <v>17</v>
      </c>
      <c r="G2418" s="4">
        <v>0.29932288276836161</v>
      </c>
      <c r="H2418" s="4" t="s">
        <v>124</v>
      </c>
    </row>
    <row r="2419" spans="1:8" x14ac:dyDescent="0.25">
      <c r="A2419" s="4">
        <v>2013</v>
      </c>
      <c r="B2419" s="4">
        <v>231</v>
      </c>
      <c r="C2419" s="20">
        <v>41505</v>
      </c>
      <c r="D2419" s="16">
        <v>0.4861111111111111</v>
      </c>
      <c r="E2419" s="4">
        <v>230</v>
      </c>
      <c r="F2419" s="22">
        <v>18</v>
      </c>
      <c r="G2419" s="4">
        <v>0.29699339053672319</v>
      </c>
      <c r="H2419" s="4" t="s">
        <v>124</v>
      </c>
    </row>
    <row r="2420" spans="1:8" x14ac:dyDescent="0.25">
      <c r="A2420" s="4">
        <v>2013</v>
      </c>
      <c r="B2420" s="4">
        <v>231</v>
      </c>
      <c r="C2420" s="20">
        <v>41505</v>
      </c>
      <c r="D2420" s="16">
        <v>0.49305555555555558</v>
      </c>
      <c r="E2420" s="4">
        <v>230</v>
      </c>
      <c r="F2420" s="22">
        <v>19</v>
      </c>
      <c r="G2420" s="4">
        <v>0.28716645692090398</v>
      </c>
      <c r="H2420" s="4" t="s">
        <v>124</v>
      </c>
    </row>
    <row r="2421" spans="1:8" x14ac:dyDescent="0.25">
      <c r="A2421" s="4">
        <v>2013</v>
      </c>
      <c r="B2421" s="4">
        <v>231</v>
      </c>
      <c r="C2421" s="20">
        <v>41505</v>
      </c>
      <c r="D2421" s="16">
        <v>0.49374999999999997</v>
      </c>
      <c r="E2421" s="4">
        <v>230</v>
      </c>
      <c r="F2421" s="22">
        <v>20</v>
      </c>
      <c r="G2421" s="4">
        <v>0.29805047104519777</v>
      </c>
      <c r="H2421" s="4" t="s">
        <v>124</v>
      </c>
    </row>
    <row r="2422" spans="1:8" x14ac:dyDescent="0.25">
      <c r="A2422" s="4">
        <v>2013</v>
      </c>
      <c r="B2422" s="4">
        <v>231</v>
      </c>
      <c r="C2422" s="20">
        <v>41505</v>
      </c>
      <c r="D2422" s="16">
        <v>0.3611111111111111</v>
      </c>
      <c r="E2422" s="4">
        <v>210</v>
      </c>
      <c r="F2422" s="22">
        <v>1</v>
      </c>
      <c r="G2422" s="4">
        <v>0.29947948728813562</v>
      </c>
      <c r="H2422" s="4" t="s">
        <v>123</v>
      </c>
    </row>
    <row r="2423" spans="1:8" x14ac:dyDescent="0.25">
      <c r="A2423" s="4">
        <v>2013</v>
      </c>
      <c r="B2423" s="4">
        <v>231</v>
      </c>
      <c r="C2423" s="20">
        <v>41505</v>
      </c>
      <c r="D2423" s="16">
        <v>0.36805555555555558</v>
      </c>
      <c r="E2423" s="4">
        <v>210</v>
      </c>
      <c r="F2423" s="22">
        <v>2</v>
      </c>
      <c r="G2423" s="4">
        <v>0.29842240677966103</v>
      </c>
      <c r="H2423" s="4" t="s">
        <v>123</v>
      </c>
    </row>
    <row r="2424" spans="1:8" x14ac:dyDescent="0.25">
      <c r="A2424" s="4">
        <v>2013</v>
      </c>
      <c r="B2424" s="4">
        <v>231</v>
      </c>
      <c r="C2424" s="20">
        <v>41505</v>
      </c>
      <c r="D2424" s="16">
        <v>0.375</v>
      </c>
      <c r="E2424" s="4">
        <v>210</v>
      </c>
      <c r="F2424" s="22">
        <v>3</v>
      </c>
      <c r="G2424" s="4">
        <v>0.26892203036723167</v>
      </c>
      <c r="H2424" s="4" t="s">
        <v>123</v>
      </c>
    </row>
    <row r="2425" spans="1:8" x14ac:dyDescent="0.25">
      <c r="A2425" s="4">
        <v>2013</v>
      </c>
      <c r="B2425" s="4">
        <v>231</v>
      </c>
      <c r="C2425" s="20">
        <v>41505</v>
      </c>
      <c r="D2425" s="16">
        <v>0.38680555555555557</v>
      </c>
      <c r="E2425" s="4">
        <v>210</v>
      </c>
      <c r="F2425" s="22">
        <v>4</v>
      </c>
      <c r="G2425" s="4">
        <v>0.28787117725988703</v>
      </c>
      <c r="H2425" s="4" t="s">
        <v>123</v>
      </c>
    </row>
    <row r="2426" spans="1:8" x14ac:dyDescent="0.25">
      <c r="A2426" s="4">
        <v>2013</v>
      </c>
      <c r="B2426" s="4">
        <v>231</v>
      </c>
      <c r="C2426" s="20">
        <v>41505</v>
      </c>
      <c r="D2426" s="16">
        <v>0.39374999999999999</v>
      </c>
      <c r="E2426" s="4">
        <v>210</v>
      </c>
      <c r="F2426" s="22">
        <v>5</v>
      </c>
      <c r="G2426" s="4" t="e">
        <v>#N/A</v>
      </c>
      <c r="H2426" s="4" t="s">
        <v>0</v>
      </c>
    </row>
    <row r="2427" spans="1:8" x14ac:dyDescent="0.25">
      <c r="A2427" s="4">
        <v>2013</v>
      </c>
      <c r="B2427" s="4">
        <v>231</v>
      </c>
      <c r="C2427" s="20">
        <v>41505</v>
      </c>
      <c r="D2427" s="16">
        <v>0.39930555555555558</v>
      </c>
      <c r="E2427" s="4">
        <v>210</v>
      </c>
      <c r="F2427" s="22">
        <v>6</v>
      </c>
      <c r="G2427" s="4" t="e">
        <v>#N/A</v>
      </c>
      <c r="H2427" s="4" t="s">
        <v>0</v>
      </c>
    </row>
    <row r="2428" spans="1:8" x14ac:dyDescent="0.25">
      <c r="A2428" s="4">
        <v>2013</v>
      </c>
      <c r="B2428" s="4">
        <v>231</v>
      </c>
      <c r="C2428" s="20">
        <v>41505</v>
      </c>
      <c r="D2428" s="16">
        <v>0.40625</v>
      </c>
      <c r="E2428" s="4">
        <v>210</v>
      </c>
      <c r="F2428" s="22">
        <v>7</v>
      </c>
      <c r="G2428" s="4">
        <v>0.26794325211864406</v>
      </c>
      <c r="H2428" s="4" t="s">
        <v>123</v>
      </c>
    </row>
    <row r="2429" spans="1:8" x14ac:dyDescent="0.25">
      <c r="A2429" s="4">
        <v>2013</v>
      </c>
      <c r="B2429" s="4">
        <v>231</v>
      </c>
      <c r="C2429" s="20">
        <v>41505</v>
      </c>
      <c r="D2429" s="16">
        <v>0.41319444444444442</v>
      </c>
      <c r="E2429" s="4">
        <v>210</v>
      </c>
      <c r="F2429" s="22">
        <v>8</v>
      </c>
      <c r="G2429" s="4">
        <v>0.30155449717514127</v>
      </c>
      <c r="H2429" s="4" t="s">
        <v>123</v>
      </c>
    </row>
    <row r="2430" spans="1:8" x14ac:dyDescent="0.25">
      <c r="A2430" s="4">
        <v>2013</v>
      </c>
      <c r="B2430" s="4">
        <v>231</v>
      </c>
      <c r="C2430" s="20">
        <v>41505</v>
      </c>
      <c r="D2430" s="16">
        <v>0.41944444444444445</v>
      </c>
      <c r="E2430" s="4">
        <v>210</v>
      </c>
      <c r="F2430" s="22">
        <v>9</v>
      </c>
      <c r="G2430" s="4">
        <v>0.28624640536723162</v>
      </c>
      <c r="H2430" s="4" t="s">
        <v>123</v>
      </c>
    </row>
    <row r="2431" spans="1:8" x14ac:dyDescent="0.25">
      <c r="A2431" s="4">
        <v>2013</v>
      </c>
      <c r="B2431" s="4">
        <v>231</v>
      </c>
      <c r="C2431" s="20">
        <v>41505</v>
      </c>
      <c r="D2431" s="16">
        <v>0.42569444444444443</v>
      </c>
      <c r="E2431" s="4">
        <v>210</v>
      </c>
      <c r="F2431" s="22">
        <v>10</v>
      </c>
      <c r="G2431" s="4">
        <v>0.26774749646892659</v>
      </c>
      <c r="H2431" s="4" t="s">
        <v>123</v>
      </c>
    </row>
    <row r="2432" spans="1:8" x14ac:dyDescent="0.25">
      <c r="A2432" s="4">
        <v>2013</v>
      </c>
      <c r="B2432" s="4">
        <v>231</v>
      </c>
      <c r="C2432" s="20">
        <v>41505</v>
      </c>
      <c r="D2432" s="16">
        <v>0.4381944444444445</v>
      </c>
      <c r="E2432" s="4">
        <v>210</v>
      </c>
      <c r="F2432" s="22">
        <v>11</v>
      </c>
      <c r="G2432" s="4">
        <v>0.3057240925141243</v>
      </c>
      <c r="H2432" s="4" t="s">
        <v>124</v>
      </c>
    </row>
    <row r="2433" spans="1:8" x14ac:dyDescent="0.25">
      <c r="A2433" s="4">
        <v>2013</v>
      </c>
      <c r="B2433" s="4">
        <v>231</v>
      </c>
      <c r="C2433" s="20">
        <v>41505</v>
      </c>
      <c r="D2433" s="16">
        <v>0.44444444444444442</v>
      </c>
      <c r="E2433" s="4">
        <v>210</v>
      </c>
      <c r="F2433" s="22">
        <v>12</v>
      </c>
      <c r="G2433" s="4">
        <v>0.31116609957627117</v>
      </c>
      <c r="H2433" s="4" t="s">
        <v>124</v>
      </c>
    </row>
    <row r="2434" spans="1:8" x14ac:dyDescent="0.25">
      <c r="A2434" s="4">
        <v>2013</v>
      </c>
      <c r="B2434" s="4">
        <v>231</v>
      </c>
      <c r="C2434" s="20">
        <v>41505</v>
      </c>
      <c r="D2434" s="16">
        <v>0.4513888888888889</v>
      </c>
      <c r="E2434" s="4">
        <v>210</v>
      </c>
      <c r="F2434" s="22">
        <v>13</v>
      </c>
      <c r="G2434" s="4">
        <v>0.30991326341807912</v>
      </c>
      <c r="H2434" s="4" t="s">
        <v>124</v>
      </c>
    </row>
    <row r="2435" spans="1:8" x14ac:dyDescent="0.25">
      <c r="A2435" s="4">
        <v>2013</v>
      </c>
      <c r="B2435" s="4">
        <v>231</v>
      </c>
      <c r="C2435" s="20">
        <v>41505</v>
      </c>
      <c r="D2435" s="16">
        <v>0.45208333333333334</v>
      </c>
      <c r="E2435" s="4">
        <v>210</v>
      </c>
      <c r="F2435" s="22">
        <v>14</v>
      </c>
      <c r="G2435" s="4">
        <v>0.27121237146892657</v>
      </c>
      <c r="H2435" s="4" t="s">
        <v>124</v>
      </c>
    </row>
    <row r="2436" spans="1:8" x14ac:dyDescent="0.25">
      <c r="A2436" s="4">
        <v>2013</v>
      </c>
      <c r="B2436" s="4">
        <v>231</v>
      </c>
      <c r="C2436" s="20">
        <v>41505</v>
      </c>
      <c r="D2436" s="16">
        <v>0.46527777777777773</v>
      </c>
      <c r="E2436" s="4">
        <v>210</v>
      </c>
      <c r="F2436" s="22">
        <v>15</v>
      </c>
      <c r="G2436" s="4" t="e">
        <v>#N/A</v>
      </c>
      <c r="H2436" s="4" t="s">
        <v>1</v>
      </c>
    </row>
    <row r="2437" spans="1:8" x14ac:dyDescent="0.25">
      <c r="A2437" s="4">
        <v>2013</v>
      </c>
      <c r="B2437" s="4">
        <v>231</v>
      </c>
      <c r="C2437" s="20">
        <v>41505</v>
      </c>
      <c r="D2437" s="16">
        <v>0.47013888888888888</v>
      </c>
      <c r="E2437" s="4">
        <v>210</v>
      </c>
      <c r="F2437" s="22">
        <v>16</v>
      </c>
      <c r="G2437" s="4" t="e">
        <v>#N/A</v>
      </c>
      <c r="H2437" s="4" t="s">
        <v>1</v>
      </c>
    </row>
    <row r="2438" spans="1:8" x14ac:dyDescent="0.25">
      <c r="A2438" s="4">
        <v>2013</v>
      </c>
      <c r="B2438" s="4">
        <v>231</v>
      </c>
      <c r="C2438" s="20">
        <v>41505</v>
      </c>
      <c r="D2438" s="16">
        <v>0.47916666666666669</v>
      </c>
      <c r="E2438" s="4">
        <v>210</v>
      </c>
      <c r="F2438" s="22">
        <v>17</v>
      </c>
      <c r="G2438" s="4">
        <v>0.30685947528248592</v>
      </c>
      <c r="H2438" s="4" t="s">
        <v>124</v>
      </c>
    </row>
    <row r="2439" spans="1:8" x14ac:dyDescent="0.25">
      <c r="A2439" s="4">
        <v>2013</v>
      </c>
      <c r="B2439" s="4">
        <v>231</v>
      </c>
      <c r="C2439" s="20">
        <v>41505</v>
      </c>
      <c r="D2439" s="16">
        <v>0.4861111111111111</v>
      </c>
      <c r="E2439" s="4">
        <v>210</v>
      </c>
      <c r="F2439" s="22">
        <v>18</v>
      </c>
      <c r="G2439" s="4">
        <v>0.30030166101694916</v>
      </c>
      <c r="H2439" s="4" t="s">
        <v>124</v>
      </c>
    </row>
    <row r="2440" spans="1:8" x14ac:dyDescent="0.25">
      <c r="A2440" s="4">
        <v>2013</v>
      </c>
      <c r="B2440" s="4">
        <v>231</v>
      </c>
      <c r="C2440" s="20">
        <v>41505</v>
      </c>
      <c r="D2440" s="16">
        <v>0.49305555555555558</v>
      </c>
      <c r="E2440" s="4">
        <v>210</v>
      </c>
      <c r="F2440" s="22">
        <v>19</v>
      </c>
      <c r="G2440" s="4">
        <v>0.2952903163841808</v>
      </c>
      <c r="H2440" s="4" t="s">
        <v>124</v>
      </c>
    </row>
    <row r="2441" spans="1:8" x14ac:dyDescent="0.25">
      <c r="A2441" s="4">
        <v>2013</v>
      </c>
      <c r="B2441" s="4">
        <v>231</v>
      </c>
      <c r="C2441" s="20">
        <v>41505</v>
      </c>
      <c r="D2441" s="16">
        <v>0.49374999999999997</v>
      </c>
      <c r="E2441" s="4">
        <v>210</v>
      </c>
      <c r="F2441" s="22">
        <v>20</v>
      </c>
      <c r="G2441" s="4">
        <v>0.29987099858757066</v>
      </c>
      <c r="H2441" s="4" t="s">
        <v>124</v>
      </c>
    </row>
    <row r="2442" spans="1:8" x14ac:dyDescent="0.25">
      <c r="A2442" s="4">
        <v>2013</v>
      </c>
      <c r="B2442" s="4">
        <v>231</v>
      </c>
      <c r="C2442" s="20">
        <v>41505</v>
      </c>
      <c r="D2442" s="16">
        <v>0.3611111111111111</v>
      </c>
      <c r="E2442" s="4">
        <v>190</v>
      </c>
      <c r="F2442" s="22">
        <v>1</v>
      </c>
      <c r="G2442" s="4">
        <v>0.27808339477401128</v>
      </c>
      <c r="H2442" s="4" t="s">
        <v>123</v>
      </c>
    </row>
    <row r="2443" spans="1:8" x14ac:dyDescent="0.25">
      <c r="A2443" s="4">
        <v>2013</v>
      </c>
      <c r="B2443" s="4">
        <v>231</v>
      </c>
      <c r="C2443" s="20">
        <v>41505</v>
      </c>
      <c r="D2443" s="16">
        <v>0.36805555555555558</v>
      </c>
      <c r="E2443" s="4">
        <v>190</v>
      </c>
      <c r="F2443" s="22">
        <v>2</v>
      </c>
      <c r="G2443" s="4">
        <v>0.28084354943502826</v>
      </c>
      <c r="H2443" s="4" t="s">
        <v>123</v>
      </c>
    </row>
    <row r="2444" spans="1:8" x14ac:dyDescent="0.25">
      <c r="A2444" s="4">
        <v>2013</v>
      </c>
      <c r="B2444" s="4">
        <v>231</v>
      </c>
      <c r="C2444" s="20">
        <v>41505</v>
      </c>
      <c r="D2444" s="16">
        <v>0.375</v>
      </c>
      <c r="E2444" s="4">
        <v>190</v>
      </c>
      <c r="F2444" s="22">
        <v>3</v>
      </c>
      <c r="G2444" s="4">
        <v>0.28485654025423729</v>
      </c>
      <c r="H2444" s="4" t="s">
        <v>123</v>
      </c>
    </row>
    <row r="2445" spans="1:8" x14ac:dyDescent="0.25">
      <c r="A2445" s="4">
        <v>2013</v>
      </c>
      <c r="B2445" s="4">
        <v>231</v>
      </c>
      <c r="C2445" s="20">
        <v>41505</v>
      </c>
      <c r="D2445" s="16">
        <v>0.38680555555555557</v>
      </c>
      <c r="E2445" s="4">
        <v>190</v>
      </c>
      <c r="F2445" s="22">
        <v>4</v>
      </c>
      <c r="G2445" s="4">
        <v>0.28935892019774012</v>
      </c>
      <c r="H2445" s="4" t="s">
        <v>123</v>
      </c>
    </row>
    <row r="2446" spans="1:8" x14ac:dyDescent="0.25">
      <c r="A2446" s="4">
        <v>2013</v>
      </c>
      <c r="B2446" s="4">
        <v>231</v>
      </c>
      <c r="C2446" s="20">
        <v>41505</v>
      </c>
      <c r="D2446" s="16">
        <v>0.39374999999999999</v>
      </c>
      <c r="E2446" s="4">
        <v>190</v>
      </c>
      <c r="F2446" s="22">
        <v>5</v>
      </c>
      <c r="G2446" s="4">
        <v>0.33005651977401129</v>
      </c>
      <c r="H2446" s="4" t="s">
        <v>0</v>
      </c>
    </row>
    <row r="2447" spans="1:8" x14ac:dyDescent="0.25">
      <c r="A2447" s="4">
        <v>2013</v>
      </c>
      <c r="B2447" s="4">
        <v>231</v>
      </c>
      <c r="C2447" s="20">
        <v>41505</v>
      </c>
      <c r="D2447" s="16">
        <v>0.39930555555555558</v>
      </c>
      <c r="E2447" s="4">
        <v>190</v>
      </c>
      <c r="F2447" s="22">
        <v>6</v>
      </c>
      <c r="G2447" s="4">
        <v>0.33839571045197742</v>
      </c>
      <c r="H2447" s="4" t="s">
        <v>0</v>
      </c>
    </row>
    <row r="2448" spans="1:8" x14ac:dyDescent="0.25">
      <c r="A2448" s="4">
        <v>2013</v>
      </c>
      <c r="B2448" s="4">
        <v>231</v>
      </c>
      <c r="C2448" s="20">
        <v>41505</v>
      </c>
      <c r="D2448" s="16">
        <v>0.40625</v>
      </c>
      <c r="E2448" s="4">
        <v>190</v>
      </c>
      <c r="F2448" s="22">
        <v>7</v>
      </c>
      <c r="G2448" s="4">
        <v>0.27181921398305087</v>
      </c>
      <c r="H2448" s="4" t="s">
        <v>123</v>
      </c>
    </row>
    <row r="2449" spans="1:8" x14ac:dyDescent="0.25">
      <c r="A2449" s="4">
        <v>2013</v>
      </c>
      <c r="B2449" s="4">
        <v>231</v>
      </c>
      <c r="C2449" s="20">
        <v>41505</v>
      </c>
      <c r="D2449" s="16">
        <v>0.41319444444444442</v>
      </c>
      <c r="E2449" s="4">
        <v>190</v>
      </c>
      <c r="F2449" s="22">
        <v>8</v>
      </c>
      <c r="G2449" s="4">
        <v>0.291022843220339</v>
      </c>
      <c r="H2449" s="4" t="s">
        <v>123</v>
      </c>
    </row>
    <row r="2450" spans="1:8" x14ac:dyDescent="0.25">
      <c r="A2450" s="4">
        <v>2013</v>
      </c>
      <c r="B2450" s="4">
        <v>231</v>
      </c>
      <c r="C2450" s="20">
        <v>41505</v>
      </c>
      <c r="D2450" s="16">
        <v>0.41944444444444445</v>
      </c>
      <c r="E2450" s="4">
        <v>190</v>
      </c>
      <c r="F2450" s="22">
        <v>9</v>
      </c>
      <c r="G2450" s="4">
        <v>0.27759400564971753</v>
      </c>
      <c r="H2450" s="4" t="s">
        <v>123</v>
      </c>
    </row>
    <row r="2451" spans="1:8" x14ac:dyDescent="0.25">
      <c r="A2451" s="4">
        <v>2013</v>
      </c>
      <c r="B2451" s="4">
        <v>231</v>
      </c>
      <c r="C2451" s="20">
        <v>41505</v>
      </c>
      <c r="D2451" s="16">
        <v>0.42569444444444443</v>
      </c>
      <c r="E2451" s="4">
        <v>190</v>
      </c>
      <c r="F2451" s="22">
        <v>10</v>
      </c>
      <c r="G2451" s="4">
        <v>0.29174713912429379</v>
      </c>
      <c r="H2451" s="4" t="s">
        <v>123</v>
      </c>
    </row>
    <row r="2452" spans="1:8" x14ac:dyDescent="0.25">
      <c r="A2452" s="4">
        <v>2013</v>
      </c>
      <c r="B2452" s="4">
        <v>231</v>
      </c>
      <c r="C2452" s="20">
        <v>41505</v>
      </c>
      <c r="D2452" s="16">
        <v>0.4381944444444445</v>
      </c>
      <c r="E2452" s="4">
        <v>190</v>
      </c>
      <c r="F2452" s="22">
        <v>11</v>
      </c>
      <c r="G2452" s="4">
        <v>0.3067615974576271</v>
      </c>
      <c r="H2452" s="4" t="s">
        <v>124</v>
      </c>
    </row>
    <row r="2453" spans="1:8" x14ac:dyDescent="0.25">
      <c r="A2453" s="4">
        <v>2013</v>
      </c>
      <c r="B2453" s="4">
        <v>231</v>
      </c>
      <c r="C2453" s="20">
        <v>41505</v>
      </c>
      <c r="D2453" s="16">
        <v>0.44444444444444442</v>
      </c>
      <c r="E2453" s="4">
        <v>190</v>
      </c>
      <c r="F2453" s="22">
        <v>12</v>
      </c>
      <c r="G2453" s="4">
        <v>0.31404370762711864</v>
      </c>
      <c r="H2453" s="4" t="s">
        <v>124</v>
      </c>
    </row>
    <row r="2454" spans="1:8" x14ac:dyDescent="0.25">
      <c r="A2454" s="4">
        <v>2013</v>
      </c>
      <c r="B2454" s="4">
        <v>231</v>
      </c>
      <c r="C2454" s="20">
        <v>41505</v>
      </c>
      <c r="D2454" s="16">
        <v>0.4513888888888889</v>
      </c>
      <c r="E2454" s="4">
        <v>190</v>
      </c>
      <c r="F2454" s="22">
        <v>13</v>
      </c>
      <c r="G2454" s="4">
        <v>0.30404059392655369</v>
      </c>
      <c r="H2454" s="4" t="s">
        <v>124</v>
      </c>
    </row>
    <row r="2455" spans="1:8" x14ac:dyDescent="0.25">
      <c r="A2455" s="4">
        <v>2013</v>
      </c>
      <c r="B2455" s="4">
        <v>231</v>
      </c>
      <c r="C2455" s="20">
        <v>41505</v>
      </c>
      <c r="D2455" s="16">
        <v>0.45208333333333334</v>
      </c>
      <c r="E2455" s="4">
        <v>190</v>
      </c>
      <c r="F2455" s="22">
        <v>14</v>
      </c>
      <c r="G2455" s="4">
        <v>0.29906840042372884</v>
      </c>
      <c r="H2455" s="4" t="s">
        <v>124</v>
      </c>
    </row>
    <row r="2456" spans="1:8" x14ac:dyDescent="0.25">
      <c r="A2456" s="4">
        <v>2013</v>
      </c>
      <c r="B2456" s="4">
        <v>231</v>
      </c>
      <c r="C2456" s="20">
        <v>41505</v>
      </c>
      <c r="D2456" s="16">
        <v>0.46527777777777773</v>
      </c>
      <c r="E2456" s="4">
        <v>190</v>
      </c>
      <c r="F2456" s="22">
        <v>15</v>
      </c>
      <c r="G2456" s="4">
        <v>0.32815768997175143</v>
      </c>
      <c r="H2456" s="4" t="s">
        <v>1</v>
      </c>
    </row>
    <row r="2457" spans="1:8" x14ac:dyDescent="0.25">
      <c r="A2457" s="4">
        <v>2013</v>
      </c>
      <c r="B2457" s="4">
        <v>231</v>
      </c>
      <c r="C2457" s="20">
        <v>41505</v>
      </c>
      <c r="D2457" s="16">
        <v>0.47013888888888888</v>
      </c>
      <c r="E2457" s="4">
        <v>190</v>
      </c>
      <c r="F2457" s="22">
        <v>16</v>
      </c>
      <c r="G2457" s="4">
        <v>0.32437960593220339</v>
      </c>
      <c r="H2457" s="4" t="s">
        <v>1</v>
      </c>
    </row>
    <row r="2458" spans="1:8" x14ac:dyDescent="0.25">
      <c r="A2458" s="4">
        <v>2013</v>
      </c>
      <c r="B2458" s="4">
        <v>231</v>
      </c>
      <c r="C2458" s="20">
        <v>41505</v>
      </c>
      <c r="D2458" s="16">
        <v>0.47916666666666669</v>
      </c>
      <c r="E2458" s="4">
        <v>190</v>
      </c>
      <c r="F2458" s="22">
        <v>17</v>
      </c>
      <c r="G2458" s="4">
        <v>0.31670598446327686</v>
      </c>
      <c r="H2458" s="4" t="s">
        <v>124</v>
      </c>
    </row>
    <row r="2459" spans="1:8" x14ac:dyDescent="0.25">
      <c r="A2459" s="4">
        <v>2013</v>
      </c>
      <c r="B2459" s="4">
        <v>231</v>
      </c>
      <c r="C2459" s="20">
        <v>41505</v>
      </c>
      <c r="D2459" s="16">
        <v>0.4861111111111111</v>
      </c>
      <c r="E2459" s="4">
        <v>190</v>
      </c>
      <c r="F2459" s="22">
        <v>18</v>
      </c>
      <c r="G2459" s="4">
        <v>0.3092281186440678</v>
      </c>
      <c r="H2459" s="4" t="s">
        <v>124</v>
      </c>
    </row>
    <row r="2460" spans="1:8" x14ac:dyDescent="0.25">
      <c r="A2460" s="4">
        <v>2013</v>
      </c>
      <c r="B2460" s="4">
        <v>231</v>
      </c>
      <c r="C2460" s="20">
        <v>41505</v>
      </c>
      <c r="D2460" s="16">
        <v>0.49305555555555558</v>
      </c>
      <c r="E2460" s="4">
        <v>190</v>
      </c>
      <c r="F2460" s="22">
        <v>19</v>
      </c>
      <c r="G2460" s="4">
        <v>0.30188728177966101</v>
      </c>
      <c r="H2460" s="4" t="s">
        <v>124</v>
      </c>
    </row>
    <row r="2461" spans="1:8" x14ac:dyDescent="0.25">
      <c r="A2461" s="4">
        <v>2013</v>
      </c>
      <c r="B2461" s="4">
        <v>231</v>
      </c>
      <c r="C2461" s="20">
        <v>41505</v>
      </c>
      <c r="D2461" s="16">
        <v>0.49374999999999997</v>
      </c>
      <c r="E2461" s="4">
        <v>190</v>
      </c>
      <c r="F2461" s="22">
        <v>20</v>
      </c>
      <c r="G2461" s="4">
        <v>0.30194600847457631</v>
      </c>
      <c r="H2461" s="4" t="s">
        <v>124</v>
      </c>
    </row>
    <row r="2462" spans="1:8" x14ac:dyDescent="0.25">
      <c r="A2462" s="4">
        <v>2013</v>
      </c>
      <c r="B2462" s="4">
        <v>231</v>
      </c>
      <c r="C2462" s="20">
        <v>41505</v>
      </c>
      <c r="D2462" s="16">
        <v>0.3611111111111111</v>
      </c>
      <c r="E2462" s="4">
        <v>170</v>
      </c>
      <c r="F2462" s="22">
        <v>1</v>
      </c>
      <c r="G2462" s="4">
        <v>0.2727588411016949</v>
      </c>
      <c r="H2462" s="4" t="s">
        <v>123</v>
      </c>
    </row>
    <row r="2463" spans="1:8" x14ac:dyDescent="0.25">
      <c r="A2463" s="4">
        <v>2013</v>
      </c>
      <c r="B2463" s="4">
        <v>231</v>
      </c>
      <c r="C2463" s="20">
        <v>41505</v>
      </c>
      <c r="D2463" s="16">
        <v>0.36805555555555558</v>
      </c>
      <c r="E2463" s="4">
        <v>170</v>
      </c>
      <c r="F2463" s="22">
        <v>2</v>
      </c>
      <c r="G2463" s="4">
        <v>0.26694489830508478</v>
      </c>
      <c r="H2463" s="4" t="s">
        <v>123</v>
      </c>
    </row>
    <row r="2464" spans="1:8" x14ac:dyDescent="0.25">
      <c r="A2464" s="4">
        <v>2013</v>
      </c>
      <c r="B2464" s="4">
        <v>231</v>
      </c>
      <c r="C2464" s="20">
        <v>41505</v>
      </c>
      <c r="D2464" s="16">
        <v>0.375</v>
      </c>
      <c r="E2464" s="4">
        <v>170</v>
      </c>
      <c r="F2464" s="22">
        <v>3</v>
      </c>
      <c r="G2464" s="4">
        <v>0.28642258545197741</v>
      </c>
      <c r="H2464" s="4" t="s">
        <v>123</v>
      </c>
    </row>
    <row r="2465" spans="1:8" x14ac:dyDescent="0.25">
      <c r="A2465" s="4">
        <v>2013</v>
      </c>
      <c r="B2465" s="4">
        <v>231</v>
      </c>
      <c r="C2465" s="20">
        <v>41505</v>
      </c>
      <c r="D2465" s="16">
        <v>0.38680555555555557</v>
      </c>
      <c r="E2465" s="4">
        <v>170</v>
      </c>
      <c r="F2465" s="22">
        <v>4</v>
      </c>
      <c r="G2465" s="4">
        <v>0.28644216101694914</v>
      </c>
      <c r="H2465" s="4" t="s">
        <v>123</v>
      </c>
    </row>
    <row r="2466" spans="1:8" x14ac:dyDescent="0.25">
      <c r="A2466" s="4">
        <v>2013</v>
      </c>
      <c r="B2466" s="4">
        <v>231</v>
      </c>
      <c r="C2466" s="20">
        <v>41505</v>
      </c>
      <c r="D2466" s="16">
        <v>0.39374999999999999</v>
      </c>
      <c r="E2466" s="4">
        <v>170</v>
      </c>
      <c r="F2466" s="22">
        <v>5</v>
      </c>
      <c r="G2466" s="4">
        <v>0.3195052902542373</v>
      </c>
      <c r="H2466" s="4" t="s">
        <v>0</v>
      </c>
    </row>
    <row r="2467" spans="1:8" x14ac:dyDescent="0.25">
      <c r="A2467" s="4">
        <v>2013</v>
      </c>
      <c r="B2467" s="4">
        <v>231</v>
      </c>
      <c r="C2467" s="20">
        <v>41505</v>
      </c>
      <c r="D2467" s="16">
        <v>0.39930555555555558</v>
      </c>
      <c r="E2467" s="4">
        <v>170</v>
      </c>
      <c r="F2467" s="22">
        <v>6</v>
      </c>
      <c r="G2467" s="4">
        <v>0.32931264830508478</v>
      </c>
      <c r="H2467" s="4" t="s">
        <v>0</v>
      </c>
    </row>
    <row r="2468" spans="1:8" x14ac:dyDescent="0.25">
      <c r="A2468" s="4">
        <v>2013</v>
      </c>
      <c r="B2468" s="4">
        <v>231</v>
      </c>
      <c r="C2468" s="20">
        <v>41505</v>
      </c>
      <c r="D2468" s="16">
        <v>0.40625</v>
      </c>
      <c r="E2468" s="4">
        <v>170</v>
      </c>
      <c r="F2468" s="22">
        <v>7</v>
      </c>
      <c r="G2468" s="4">
        <v>0.2923931327683616</v>
      </c>
      <c r="H2468" s="4" t="s">
        <v>123</v>
      </c>
    </row>
    <row r="2469" spans="1:8" x14ac:dyDescent="0.25">
      <c r="A2469" s="4">
        <v>2013</v>
      </c>
      <c r="B2469" s="4">
        <v>231</v>
      </c>
      <c r="C2469" s="20">
        <v>41505</v>
      </c>
      <c r="D2469" s="16">
        <v>0.41319444444444442</v>
      </c>
      <c r="E2469" s="4">
        <v>170</v>
      </c>
      <c r="F2469" s="22">
        <v>8</v>
      </c>
      <c r="G2469" s="4">
        <v>0.30423634957627121</v>
      </c>
      <c r="H2469" s="4" t="s">
        <v>123</v>
      </c>
    </row>
    <row r="2470" spans="1:8" x14ac:dyDescent="0.25">
      <c r="A2470" s="4">
        <v>2013</v>
      </c>
      <c r="B2470" s="4">
        <v>231</v>
      </c>
      <c r="C2470" s="20">
        <v>41505</v>
      </c>
      <c r="D2470" s="16">
        <v>0.41944444444444445</v>
      </c>
      <c r="E2470" s="4">
        <v>170</v>
      </c>
      <c r="F2470" s="22">
        <v>9</v>
      </c>
      <c r="G2470" s="4">
        <v>0.29435068926553676</v>
      </c>
      <c r="H2470" s="4" t="s">
        <v>123</v>
      </c>
    </row>
    <row r="2471" spans="1:8" x14ac:dyDescent="0.25">
      <c r="A2471" s="4">
        <v>2013</v>
      </c>
      <c r="B2471" s="4">
        <v>231</v>
      </c>
      <c r="C2471" s="20">
        <v>41505</v>
      </c>
      <c r="D2471" s="16">
        <v>0.42569444444444443</v>
      </c>
      <c r="E2471" s="4">
        <v>170</v>
      </c>
      <c r="F2471" s="22">
        <v>10</v>
      </c>
      <c r="G2471" s="4">
        <v>0.30666371963276839</v>
      </c>
      <c r="H2471" s="4" t="s">
        <v>123</v>
      </c>
    </row>
    <row r="2472" spans="1:8" x14ac:dyDescent="0.25">
      <c r="A2472" s="4">
        <v>2013</v>
      </c>
      <c r="B2472" s="4">
        <v>231</v>
      </c>
      <c r="C2472" s="20">
        <v>41505</v>
      </c>
      <c r="D2472" s="16">
        <v>0.4381944444444445</v>
      </c>
      <c r="E2472" s="4">
        <v>170</v>
      </c>
      <c r="F2472" s="22">
        <v>11</v>
      </c>
      <c r="G2472" s="4">
        <v>0.3247515416666667</v>
      </c>
      <c r="H2472" s="4" t="s">
        <v>124</v>
      </c>
    </row>
    <row r="2473" spans="1:8" x14ac:dyDescent="0.25">
      <c r="A2473" s="4">
        <v>2013</v>
      </c>
      <c r="B2473" s="4">
        <v>231</v>
      </c>
      <c r="C2473" s="20">
        <v>41505</v>
      </c>
      <c r="D2473" s="16">
        <v>0.44444444444444442</v>
      </c>
      <c r="E2473" s="4">
        <v>170</v>
      </c>
      <c r="F2473" s="22">
        <v>12</v>
      </c>
      <c r="G2473" s="4">
        <v>0.33663390960451978</v>
      </c>
      <c r="H2473" s="4" t="s">
        <v>124</v>
      </c>
    </row>
    <row r="2474" spans="1:8" x14ac:dyDescent="0.25">
      <c r="A2474" s="4">
        <v>2013</v>
      </c>
      <c r="B2474" s="4">
        <v>231</v>
      </c>
      <c r="C2474" s="20">
        <v>41505</v>
      </c>
      <c r="D2474" s="16">
        <v>0.4513888888888889</v>
      </c>
      <c r="E2474" s="4">
        <v>170</v>
      </c>
      <c r="F2474" s="22">
        <v>13</v>
      </c>
      <c r="G2474" s="4">
        <v>0.31005029237288134</v>
      </c>
      <c r="H2474" s="4" t="s">
        <v>124</v>
      </c>
    </row>
    <row r="2475" spans="1:8" x14ac:dyDescent="0.25">
      <c r="A2475" s="4">
        <v>2013</v>
      </c>
      <c r="B2475" s="4">
        <v>231</v>
      </c>
      <c r="C2475" s="20">
        <v>41505</v>
      </c>
      <c r="D2475" s="16">
        <v>0.45208333333333334</v>
      </c>
      <c r="E2475" s="4">
        <v>170</v>
      </c>
      <c r="F2475" s="22">
        <v>14</v>
      </c>
      <c r="G2475" s="4">
        <v>0.31504206144067798</v>
      </c>
      <c r="H2475" s="4" t="s">
        <v>124</v>
      </c>
    </row>
    <row r="2476" spans="1:8" x14ac:dyDescent="0.25">
      <c r="A2476" s="4">
        <v>2013</v>
      </c>
      <c r="B2476" s="4">
        <v>231</v>
      </c>
      <c r="C2476" s="20">
        <v>41505</v>
      </c>
      <c r="D2476" s="16">
        <v>0.46527777777777773</v>
      </c>
      <c r="E2476" s="4">
        <v>170</v>
      </c>
      <c r="F2476" s="22">
        <v>15</v>
      </c>
      <c r="G2476" s="4">
        <v>0.32907774152542374</v>
      </c>
      <c r="H2476" s="4" t="s">
        <v>1</v>
      </c>
    </row>
    <row r="2477" spans="1:8" x14ac:dyDescent="0.25">
      <c r="A2477" s="4">
        <v>2013</v>
      </c>
      <c r="B2477" s="4">
        <v>231</v>
      </c>
      <c r="C2477" s="20">
        <v>41505</v>
      </c>
      <c r="D2477" s="16">
        <v>0.47013888888888888</v>
      </c>
      <c r="E2477" s="4">
        <v>170</v>
      </c>
      <c r="F2477" s="22">
        <v>16</v>
      </c>
      <c r="G2477" s="4">
        <v>0.31533569491525426</v>
      </c>
      <c r="H2477" s="4" t="s">
        <v>1</v>
      </c>
    </row>
    <row r="2478" spans="1:8" x14ac:dyDescent="0.25">
      <c r="A2478" s="4">
        <v>2013</v>
      </c>
      <c r="B2478" s="4">
        <v>231</v>
      </c>
      <c r="C2478" s="20">
        <v>41505</v>
      </c>
      <c r="D2478" s="16">
        <v>0.47916666666666669</v>
      </c>
      <c r="E2478" s="4">
        <v>170</v>
      </c>
      <c r="F2478" s="22">
        <v>17</v>
      </c>
      <c r="G2478" s="4">
        <v>0.31547272387005654</v>
      </c>
      <c r="H2478" s="4" t="s">
        <v>124</v>
      </c>
    </row>
    <row r="2479" spans="1:8" x14ac:dyDescent="0.25">
      <c r="A2479" s="4">
        <v>2013</v>
      </c>
      <c r="B2479" s="4">
        <v>231</v>
      </c>
      <c r="C2479" s="20">
        <v>41505</v>
      </c>
      <c r="D2479" s="16">
        <v>0.4861111111111111</v>
      </c>
      <c r="E2479" s="4">
        <v>170</v>
      </c>
      <c r="F2479" s="22">
        <v>18</v>
      </c>
      <c r="G2479" s="4">
        <v>0.32825556779661019</v>
      </c>
      <c r="H2479" s="4" t="s">
        <v>124</v>
      </c>
    </row>
    <row r="2480" spans="1:8" x14ac:dyDescent="0.25">
      <c r="A2480" s="4">
        <v>2013</v>
      </c>
      <c r="B2480" s="4">
        <v>231</v>
      </c>
      <c r="C2480" s="20">
        <v>41505</v>
      </c>
      <c r="D2480" s="16">
        <v>0.49305555555555558</v>
      </c>
      <c r="E2480" s="4">
        <v>170</v>
      </c>
      <c r="F2480" s="22">
        <v>19</v>
      </c>
      <c r="G2480" s="4">
        <v>0.31210572669491526</v>
      </c>
      <c r="H2480" s="4" t="s">
        <v>124</v>
      </c>
    </row>
    <row r="2481" spans="1:8" x14ac:dyDescent="0.25">
      <c r="A2481" s="4">
        <v>2013</v>
      </c>
      <c r="B2481" s="4">
        <v>231</v>
      </c>
      <c r="C2481" s="20">
        <v>41505</v>
      </c>
      <c r="D2481" s="16">
        <v>0.49374999999999997</v>
      </c>
      <c r="E2481" s="4">
        <v>170</v>
      </c>
      <c r="F2481" s="22">
        <v>20</v>
      </c>
      <c r="G2481" s="4">
        <v>0.31805669844632772</v>
      </c>
      <c r="H2481" s="4" t="s">
        <v>124</v>
      </c>
    </row>
    <row r="2482" spans="1:8" x14ac:dyDescent="0.25">
      <c r="A2482" s="4">
        <v>2013</v>
      </c>
      <c r="B2482" s="4">
        <v>231</v>
      </c>
      <c r="C2482" s="20">
        <v>41505</v>
      </c>
      <c r="D2482" s="16">
        <v>0.3611111111111111</v>
      </c>
      <c r="E2482" s="4">
        <v>150</v>
      </c>
      <c r="F2482" s="22">
        <v>1</v>
      </c>
      <c r="G2482" s="4">
        <v>0.33170086723163839</v>
      </c>
      <c r="H2482" s="4" t="s">
        <v>123</v>
      </c>
    </row>
    <row r="2483" spans="1:8" x14ac:dyDescent="0.25">
      <c r="A2483" s="4">
        <v>2013</v>
      </c>
      <c r="B2483" s="4">
        <v>231</v>
      </c>
      <c r="C2483" s="20">
        <v>41505</v>
      </c>
      <c r="D2483" s="16">
        <v>0.36805555555555558</v>
      </c>
      <c r="E2483" s="4">
        <v>150</v>
      </c>
      <c r="F2483" s="22">
        <v>2</v>
      </c>
      <c r="G2483" s="4">
        <v>0.32269610734463278</v>
      </c>
      <c r="H2483" s="4" t="s">
        <v>123</v>
      </c>
    </row>
    <row r="2484" spans="1:8" x14ac:dyDescent="0.25">
      <c r="A2484" s="4">
        <v>2013</v>
      </c>
      <c r="B2484" s="4">
        <v>231</v>
      </c>
      <c r="C2484" s="20">
        <v>41505</v>
      </c>
      <c r="D2484" s="16">
        <v>0.375</v>
      </c>
      <c r="E2484" s="4">
        <v>150</v>
      </c>
      <c r="F2484" s="22">
        <v>3</v>
      </c>
      <c r="G2484" s="4">
        <v>0.30202431073446329</v>
      </c>
      <c r="H2484" s="4" t="s">
        <v>123</v>
      </c>
    </row>
    <row r="2485" spans="1:8" x14ac:dyDescent="0.25">
      <c r="A2485" s="4">
        <v>2013</v>
      </c>
      <c r="B2485" s="4">
        <v>231</v>
      </c>
      <c r="C2485" s="20">
        <v>41505</v>
      </c>
      <c r="D2485" s="16">
        <v>0.38680555555555557</v>
      </c>
      <c r="E2485" s="4">
        <v>150</v>
      </c>
      <c r="F2485" s="22">
        <v>4</v>
      </c>
      <c r="G2485" s="4">
        <v>0.29251058615819209</v>
      </c>
      <c r="H2485" s="4" t="s">
        <v>123</v>
      </c>
    </row>
    <row r="2486" spans="1:8" x14ac:dyDescent="0.25">
      <c r="A2486" s="4">
        <v>2013</v>
      </c>
      <c r="B2486" s="4">
        <v>231</v>
      </c>
      <c r="C2486" s="20">
        <v>41505</v>
      </c>
      <c r="D2486" s="16">
        <v>0.39374999999999999</v>
      </c>
      <c r="E2486" s="4">
        <v>150</v>
      </c>
      <c r="F2486" s="22">
        <v>5</v>
      </c>
      <c r="G2486" s="4">
        <v>0.35597456779661019</v>
      </c>
      <c r="H2486" s="4" t="s">
        <v>0</v>
      </c>
    </row>
    <row r="2487" spans="1:8" x14ac:dyDescent="0.25">
      <c r="A2487" s="4">
        <v>2013</v>
      </c>
      <c r="B2487" s="4">
        <v>231</v>
      </c>
      <c r="C2487" s="20">
        <v>41505</v>
      </c>
      <c r="D2487" s="16">
        <v>0.39930555555555558</v>
      </c>
      <c r="E2487" s="4">
        <v>150</v>
      </c>
      <c r="F2487" s="22">
        <v>6</v>
      </c>
      <c r="G2487" s="4">
        <v>0.34651956991525423</v>
      </c>
      <c r="H2487" s="4" t="s">
        <v>0</v>
      </c>
    </row>
    <row r="2488" spans="1:8" x14ac:dyDescent="0.25">
      <c r="A2488" s="4">
        <v>2013</v>
      </c>
      <c r="B2488" s="4">
        <v>231</v>
      </c>
      <c r="C2488" s="20">
        <v>41505</v>
      </c>
      <c r="D2488" s="16">
        <v>0.40625</v>
      </c>
      <c r="E2488" s="4">
        <v>150</v>
      </c>
      <c r="F2488" s="22">
        <v>7</v>
      </c>
      <c r="G2488" s="4">
        <v>0.32298974081920906</v>
      </c>
      <c r="H2488" s="4" t="s">
        <v>123</v>
      </c>
    </row>
    <row r="2489" spans="1:8" x14ac:dyDescent="0.25">
      <c r="A2489" s="4">
        <v>2013</v>
      </c>
      <c r="B2489" s="4">
        <v>231</v>
      </c>
      <c r="C2489" s="20">
        <v>41505</v>
      </c>
      <c r="D2489" s="16">
        <v>0.41319444444444442</v>
      </c>
      <c r="E2489" s="4">
        <v>150</v>
      </c>
      <c r="F2489" s="22">
        <v>8</v>
      </c>
      <c r="G2489" s="4">
        <v>0.33305158121468931</v>
      </c>
      <c r="H2489" s="4" t="s">
        <v>123</v>
      </c>
    </row>
    <row r="2490" spans="1:8" x14ac:dyDescent="0.25">
      <c r="A2490" s="4">
        <v>2013</v>
      </c>
      <c r="B2490" s="4">
        <v>231</v>
      </c>
      <c r="C2490" s="20">
        <v>41505</v>
      </c>
      <c r="D2490" s="16">
        <v>0.41944444444444445</v>
      </c>
      <c r="E2490" s="4">
        <v>150</v>
      </c>
      <c r="F2490" s="22">
        <v>9</v>
      </c>
      <c r="G2490" s="4">
        <v>0.32457536158192091</v>
      </c>
      <c r="H2490" s="4" t="s">
        <v>123</v>
      </c>
    </row>
    <row r="2491" spans="1:8" x14ac:dyDescent="0.25">
      <c r="A2491" s="4">
        <v>2013</v>
      </c>
      <c r="B2491" s="4">
        <v>231</v>
      </c>
      <c r="C2491" s="20">
        <v>41505</v>
      </c>
      <c r="D2491" s="16">
        <v>0.42569444444444443</v>
      </c>
      <c r="E2491" s="4">
        <v>150</v>
      </c>
      <c r="F2491" s="22">
        <v>10</v>
      </c>
      <c r="G2491" s="4">
        <v>0.34154737641242938</v>
      </c>
      <c r="H2491" s="4" t="s">
        <v>123</v>
      </c>
    </row>
    <row r="2492" spans="1:8" x14ac:dyDescent="0.25">
      <c r="A2492" s="4">
        <v>2013</v>
      </c>
      <c r="B2492" s="4">
        <v>231</v>
      </c>
      <c r="C2492" s="20">
        <v>41505</v>
      </c>
      <c r="D2492" s="16">
        <v>0.4381944444444445</v>
      </c>
      <c r="E2492" s="4">
        <v>150</v>
      </c>
      <c r="F2492" s="22">
        <v>11</v>
      </c>
      <c r="G2492" s="4">
        <v>0.32923434604519775</v>
      </c>
      <c r="H2492" s="4" t="s">
        <v>124</v>
      </c>
    </row>
    <row r="2493" spans="1:8" x14ac:dyDescent="0.25">
      <c r="A2493" s="4">
        <v>2013</v>
      </c>
      <c r="B2493" s="4">
        <v>231</v>
      </c>
      <c r="C2493" s="20">
        <v>41505</v>
      </c>
      <c r="D2493" s="16">
        <v>0.44444444444444442</v>
      </c>
      <c r="E2493" s="4">
        <v>150</v>
      </c>
      <c r="F2493" s="22">
        <v>12</v>
      </c>
      <c r="G2493" s="4">
        <v>0.3279815098870057</v>
      </c>
      <c r="H2493" s="4" t="s">
        <v>124</v>
      </c>
    </row>
    <row r="2494" spans="1:8" x14ac:dyDescent="0.25">
      <c r="A2494" s="4">
        <v>2013</v>
      </c>
      <c r="B2494" s="4">
        <v>231</v>
      </c>
      <c r="C2494" s="20">
        <v>41505</v>
      </c>
      <c r="D2494" s="16">
        <v>0.4513888888888889</v>
      </c>
      <c r="E2494" s="4">
        <v>150</v>
      </c>
      <c r="F2494" s="22">
        <v>13</v>
      </c>
      <c r="G2494" s="4">
        <v>0.31378922528248587</v>
      </c>
      <c r="H2494" s="4" t="s">
        <v>124</v>
      </c>
    </row>
    <row r="2495" spans="1:8" x14ac:dyDescent="0.25">
      <c r="A2495" s="4">
        <v>2013</v>
      </c>
      <c r="B2495" s="4">
        <v>231</v>
      </c>
      <c r="C2495" s="20">
        <v>41505</v>
      </c>
      <c r="D2495" s="16">
        <v>0.45208333333333334</v>
      </c>
      <c r="E2495" s="4">
        <v>150</v>
      </c>
      <c r="F2495" s="22">
        <v>14</v>
      </c>
      <c r="G2495" s="4">
        <v>0.30141746822033899</v>
      </c>
      <c r="H2495" s="4" t="s">
        <v>124</v>
      </c>
    </row>
    <row r="2496" spans="1:8" x14ac:dyDescent="0.25">
      <c r="A2496" s="4">
        <v>2013</v>
      </c>
      <c r="B2496" s="4">
        <v>231</v>
      </c>
      <c r="C2496" s="20">
        <v>41505</v>
      </c>
      <c r="D2496" s="16">
        <v>0.46527777777777773</v>
      </c>
      <c r="E2496" s="4">
        <v>150</v>
      </c>
      <c r="F2496" s="22">
        <v>15</v>
      </c>
      <c r="G2496" s="4">
        <v>0.34154737641242938</v>
      </c>
      <c r="H2496" s="4" t="s">
        <v>1</v>
      </c>
    </row>
    <row r="2497" spans="1:8" x14ac:dyDescent="0.25">
      <c r="A2497" s="4">
        <v>2013</v>
      </c>
      <c r="B2497" s="4">
        <v>231</v>
      </c>
      <c r="C2497" s="20">
        <v>41505</v>
      </c>
      <c r="D2497" s="16">
        <v>0.47013888888888888</v>
      </c>
      <c r="E2497" s="4">
        <v>150</v>
      </c>
      <c r="F2497" s="22">
        <v>16</v>
      </c>
      <c r="G2497" s="4">
        <v>0.32804023658192094</v>
      </c>
      <c r="H2497" s="4" t="s">
        <v>1</v>
      </c>
    </row>
    <row r="2498" spans="1:8" x14ac:dyDescent="0.25">
      <c r="A2498" s="4">
        <v>2013</v>
      </c>
      <c r="B2498" s="4">
        <v>231</v>
      </c>
      <c r="C2498" s="20">
        <v>41505</v>
      </c>
      <c r="D2498" s="16">
        <v>0.47916666666666669</v>
      </c>
      <c r="E2498" s="4">
        <v>150</v>
      </c>
      <c r="F2498" s="22">
        <v>17</v>
      </c>
      <c r="G2498" s="4">
        <v>0.31508121257062144</v>
      </c>
      <c r="H2498" s="4" t="s">
        <v>124</v>
      </c>
    </row>
    <row r="2499" spans="1:8" x14ac:dyDescent="0.25">
      <c r="A2499" s="4">
        <v>2013</v>
      </c>
      <c r="B2499" s="4">
        <v>231</v>
      </c>
      <c r="C2499" s="20">
        <v>41505</v>
      </c>
      <c r="D2499" s="16">
        <v>0.4861111111111111</v>
      </c>
      <c r="E2499" s="4">
        <v>150</v>
      </c>
      <c r="F2499" s="22">
        <v>18</v>
      </c>
      <c r="G2499" s="4">
        <v>0.32837302118644068</v>
      </c>
      <c r="H2499" s="4" t="s">
        <v>124</v>
      </c>
    </row>
    <row r="2500" spans="1:8" x14ac:dyDescent="0.25">
      <c r="A2500" s="4">
        <v>2013</v>
      </c>
      <c r="B2500" s="4">
        <v>231</v>
      </c>
      <c r="C2500" s="20">
        <v>41505</v>
      </c>
      <c r="D2500" s="16">
        <v>0.49305555555555558</v>
      </c>
      <c r="E2500" s="4">
        <v>150</v>
      </c>
      <c r="F2500" s="22">
        <v>19</v>
      </c>
      <c r="G2500" s="4">
        <v>0.32666994703389834</v>
      </c>
      <c r="H2500" s="4" t="s">
        <v>124</v>
      </c>
    </row>
    <row r="2501" spans="1:8" x14ac:dyDescent="0.25">
      <c r="A2501" s="4">
        <v>2013</v>
      </c>
      <c r="B2501" s="4">
        <v>231</v>
      </c>
      <c r="C2501" s="20">
        <v>41505</v>
      </c>
      <c r="D2501" s="16">
        <v>0.49374999999999997</v>
      </c>
      <c r="E2501" s="4">
        <v>150</v>
      </c>
      <c r="F2501" s="22">
        <v>20</v>
      </c>
      <c r="G2501" s="4">
        <v>0.33966812217514125</v>
      </c>
      <c r="H2501" s="4" t="s">
        <v>124</v>
      </c>
    </row>
    <row r="2502" spans="1:8" x14ac:dyDescent="0.25">
      <c r="A2502" s="4">
        <v>2013</v>
      </c>
      <c r="B2502" s="4">
        <v>231</v>
      </c>
      <c r="C2502" s="20">
        <v>41505</v>
      </c>
      <c r="D2502" s="16">
        <v>0.3611111111111111</v>
      </c>
      <c r="E2502" s="4">
        <v>130</v>
      </c>
      <c r="F2502" s="22">
        <v>1</v>
      </c>
      <c r="G2502" s="4">
        <v>0.31427861440677968</v>
      </c>
      <c r="H2502" s="4" t="s">
        <v>123</v>
      </c>
    </row>
    <row r="2503" spans="1:8" x14ac:dyDescent="0.25">
      <c r="A2503" s="4">
        <v>2013</v>
      </c>
      <c r="B2503" s="4">
        <v>231</v>
      </c>
      <c r="C2503" s="20">
        <v>41505</v>
      </c>
      <c r="D2503" s="16">
        <v>0.36805555555555558</v>
      </c>
      <c r="E2503" s="4">
        <v>130</v>
      </c>
      <c r="F2503" s="22">
        <v>2</v>
      </c>
      <c r="G2503" s="4">
        <v>0.30564579025423727</v>
      </c>
      <c r="H2503" s="4" t="s">
        <v>123</v>
      </c>
    </row>
    <row r="2504" spans="1:8" x14ac:dyDescent="0.25">
      <c r="A2504" s="4">
        <v>2013</v>
      </c>
      <c r="B2504" s="4">
        <v>231</v>
      </c>
      <c r="C2504" s="20">
        <v>41505</v>
      </c>
      <c r="D2504" s="16">
        <v>0.375</v>
      </c>
      <c r="E2504" s="4">
        <v>130</v>
      </c>
      <c r="F2504" s="22">
        <v>3</v>
      </c>
      <c r="G2504" s="4">
        <v>0.30116298587570622</v>
      </c>
      <c r="H2504" s="4" t="s">
        <v>123</v>
      </c>
    </row>
    <row r="2505" spans="1:8" x14ac:dyDescent="0.25">
      <c r="A2505" s="4">
        <v>2013</v>
      </c>
      <c r="B2505" s="4">
        <v>231</v>
      </c>
      <c r="C2505" s="20">
        <v>41505</v>
      </c>
      <c r="D2505" s="16">
        <v>0.38680555555555557</v>
      </c>
      <c r="E2505" s="4">
        <v>130</v>
      </c>
      <c r="F2505" s="22">
        <v>4</v>
      </c>
      <c r="G2505" s="4">
        <v>0.30437337853107349</v>
      </c>
      <c r="H2505" s="4" t="s">
        <v>123</v>
      </c>
    </row>
    <row r="2506" spans="1:8" x14ac:dyDescent="0.25">
      <c r="A2506" s="4">
        <v>2013</v>
      </c>
      <c r="B2506" s="4">
        <v>231</v>
      </c>
      <c r="C2506" s="20">
        <v>41505</v>
      </c>
      <c r="D2506" s="16">
        <v>0.39374999999999999</v>
      </c>
      <c r="E2506" s="4">
        <v>130</v>
      </c>
      <c r="F2506" s="22">
        <v>5</v>
      </c>
      <c r="G2506" s="4">
        <v>0.31717579802259888</v>
      </c>
      <c r="H2506" s="4" t="s">
        <v>0</v>
      </c>
    </row>
    <row r="2507" spans="1:8" x14ac:dyDescent="0.25">
      <c r="A2507" s="4">
        <v>2013</v>
      </c>
      <c r="B2507" s="4">
        <v>231</v>
      </c>
      <c r="C2507" s="20">
        <v>41505</v>
      </c>
      <c r="D2507" s="16">
        <v>0.39930555555555558</v>
      </c>
      <c r="E2507" s="4">
        <v>130</v>
      </c>
      <c r="F2507" s="22">
        <v>6</v>
      </c>
      <c r="G2507" s="4">
        <v>0.30251369985875709</v>
      </c>
      <c r="H2507" s="4" t="s">
        <v>0</v>
      </c>
    </row>
    <row r="2508" spans="1:8" x14ac:dyDescent="0.25">
      <c r="A2508" s="4">
        <v>2013</v>
      </c>
      <c r="B2508" s="4">
        <v>231</v>
      </c>
      <c r="C2508" s="20">
        <v>41505</v>
      </c>
      <c r="D2508" s="16">
        <v>0.40625</v>
      </c>
      <c r="E2508" s="4">
        <v>130</v>
      </c>
      <c r="F2508" s="22">
        <v>7</v>
      </c>
      <c r="G2508" s="4">
        <v>0.30932599646892656</v>
      </c>
      <c r="H2508" s="4" t="s">
        <v>123</v>
      </c>
    </row>
    <row r="2509" spans="1:8" x14ac:dyDescent="0.25">
      <c r="A2509" s="4">
        <v>2013</v>
      </c>
      <c r="B2509" s="4">
        <v>231</v>
      </c>
      <c r="C2509" s="20">
        <v>41505</v>
      </c>
      <c r="D2509" s="16">
        <v>0.41319444444444442</v>
      </c>
      <c r="E2509" s="4">
        <v>130</v>
      </c>
      <c r="F2509" s="22">
        <v>8</v>
      </c>
      <c r="G2509" s="4">
        <v>0.33312988347457628</v>
      </c>
      <c r="H2509" s="4" t="s">
        <v>123</v>
      </c>
    </row>
    <row r="2510" spans="1:8" x14ac:dyDescent="0.25">
      <c r="A2510" s="4">
        <v>2013</v>
      </c>
      <c r="B2510" s="4">
        <v>231</v>
      </c>
      <c r="C2510" s="20">
        <v>41505</v>
      </c>
      <c r="D2510" s="16">
        <v>0.41944444444444445</v>
      </c>
      <c r="E2510" s="4">
        <v>130</v>
      </c>
      <c r="F2510" s="22">
        <v>9</v>
      </c>
      <c r="G2510" s="4">
        <v>0.2991662782485876</v>
      </c>
      <c r="H2510" s="4" t="s">
        <v>123</v>
      </c>
    </row>
    <row r="2511" spans="1:8" x14ac:dyDescent="0.25">
      <c r="A2511" s="4">
        <v>2013</v>
      </c>
      <c r="B2511" s="4">
        <v>231</v>
      </c>
      <c r="C2511" s="20">
        <v>41505</v>
      </c>
      <c r="D2511" s="16">
        <v>0.42569444444444443</v>
      </c>
      <c r="E2511" s="4">
        <v>130</v>
      </c>
      <c r="F2511" s="22">
        <v>10</v>
      </c>
      <c r="G2511" s="4">
        <v>0.31216445338983051</v>
      </c>
      <c r="H2511" s="4" t="s">
        <v>123</v>
      </c>
    </row>
    <row r="2512" spans="1:8" x14ac:dyDescent="0.25">
      <c r="A2512" s="4">
        <v>2013</v>
      </c>
      <c r="B2512" s="4">
        <v>231</v>
      </c>
      <c r="C2512" s="20">
        <v>41505</v>
      </c>
      <c r="D2512" s="16">
        <v>0.4381944444444445</v>
      </c>
      <c r="E2512" s="4">
        <v>130</v>
      </c>
      <c r="F2512" s="22">
        <v>11</v>
      </c>
      <c r="G2512" s="4">
        <v>0.31057883262711866</v>
      </c>
      <c r="H2512" s="4" t="s">
        <v>124</v>
      </c>
    </row>
    <row r="2513" spans="1:8" x14ac:dyDescent="0.25">
      <c r="A2513" s="4">
        <v>2013</v>
      </c>
      <c r="B2513" s="4">
        <v>231</v>
      </c>
      <c r="C2513" s="20">
        <v>41505</v>
      </c>
      <c r="D2513" s="16">
        <v>0.44444444444444442</v>
      </c>
      <c r="E2513" s="4">
        <v>130</v>
      </c>
      <c r="F2513" s="22">
        <v>12</v>
      </c>
      <c r="G2513" s="4">
        <v>0.29209949929378531</v>
      </c>
      <c r="H2513" s="4" t="s">
        <v>124</v>
      </c>
    </row>
    <row r="2514" spans="1:8" x14ac:dyDescent="0.25">
      <c r="A2514" s="4">
        <v>2013</v>
      </c>
      <c r="B2514" s="4">
        <v>231</v>
      </c>
      <c r="C2514" s="20">
        <v>41505</v>
      </c>
      <c r="D2514" s="16">
        <v>0.4513888888888889</v>
      </c>
      <c r="E2514" s="4">
        <v>130</v>
      </c>
      <c r="F2514" s="22">
        <v>13</v>
      </c>
      <c r="G2514" s="4">
        <v>0.32066024858757064</v>
      </c>
      <c r="H2514" s="4" t="s">
        <v>124</v>
      </c>
    </row>
    <row r="2515" spans="1:8" x14ac:dyDescent="0.25">
      <c r="A2515" s="4">
        <v>2013</v>
      </c>
      <c r="B2515" s="4">
        <v>231</v>
      </c>
      <c r="C2515" s="20">
        <v>41505</v>
      </c>
      <c r="D2515" s="16">
        <v>0.45208333333333334</v>
      </c>
      <c r="E2515" s="4">
        <v>130</v>
      </c>
      <c r="F2515" s="22">
        <v>14</v>
      </c>
      <c r="G2515" s="4">
        <v>0.31439606779661017</v>
      </c>
      <c r="H2515" s="4" t="s">
        <v>124</v>
      </c>
    </row>
    <row r="2516" spans="1:8" x14ac:dyDescent="0.25">
      <c r="A2516" s="4">
        <v>2013</v>
      </c>
      <c r="B2516" s="4">
        <v>231</v>
      </c>
      <c r="C2516" s="20">
        <v>41505</v>
      </c>
      <c r="D2516" s="16">
        <v>0.46527777777777773</v>
      </c>
      <c r="E2516" s="4">
        <v>130</v>
      </c>
      <c r="F2516" s="22">
        <v>15</v>
      </c>
      <c r="G2516" s="4">
        <v>0.29576012994350287</v>
      </c>
      <c r="H2516" s="4" t="s">
        <v>1</v>
      </c>
    </row>
    <row r="2517" spans="1:8" x14ac:dyDescent="0.25">
      <c r="A2517" s="4">
        <v>2013</v>
      </c>
      <c r="B2517" s="4">
        <v>231</v>
      </c>
      <c r="C2517" s="20">
        <v>41505</v>
      </c>
      <c r="D2517" s="16">
        <v>0.47013888888888888</v>
      </c>
      <c r="E2517" s="4">
        <v>130</v>
      </c>
      <c r="F2517" s="22">
        <v>16</v>
      </c>
      <c r="G2517" s="4">
        <v>0.29350893997175143</v>
      </c>
      <c r="H2517" s="4" t="s">
        <v>1</v>
      </c>
    </row>
    <row r="2518" spans="1:8" x14ac:dyDescent="0.25">
      <c r="A2518" s="4">
        <v>2013</v>
      </c>
      <c r="B2518" s="4">
        <v>231</v>
      </c>
      <c r="C2518" s="20">
        <v>41505</v>
      </c>
      <c r="D2518" s="16">
        <v>0.47916666666666669</v>
      </c>
      <c r="E2518" s="4">
        <v>130</v>
      </c>
      <c r="F2518" s="22">
        <v>17</v>
      </c>
      <c r="G2518" s="4">
        <v>0.30779910240112995</v>
      </c>
      <c r="H2518" s="4" t="s">
        <v>124</v>
      </c>
    </row>
    <row r="2519" spans="1:8" x14ac:dyDescent="0.25">
      <c r="A2519" s="4">
        <v>2013</v>
      </c>
      <c r="B2519" s="4">
        <v>231</v>
      </c>
      <c r="C2519" s="20">
        <v>41505</v>
      </c>
      <c r="D2519" s="16">
        <v>0.4861111111111111</v>
      </c>
      <c r="E2519" s="4">
        <v>130</v>
      </c>
      <c r="F2519" s="22">
        <v>18</v>
      </c>
      <c r="G2519" s="4">
        <v>0.30795570692090396</v>
      </c>
      <c r="H2519" s="4" t="s">
        <v>124</v>
      </c>
    </row>
    <row r="2520" spans="1:8" x14ac:dyDescent="0.25">
      <c r="A2520" s="4">
        <v>2013</v>
      </c>
      <c r="B2520" s="4">
        <v>231</v>
      </c>
      <c r="C2520" s="20">
        <v>41505</v>
      </c>
      <c r="D2520" s="16">
        <v>0.49305555555555558</v>
      </c>
      <c r="E2520" s="4">
        <v>130</v>
      </c>
      <c r="F2520" s="22">
        <v>19</v>
      </c>
      <c r="G2520" s="4">
        <v>0.30443210522598874</v>
      </c>
      <c r="H2520" s="4" t="s">
        <v>124</v>
      </c>
    </row>
    <row r="2521" spans="1:8" x14ac:dyDescent="0.25">
      <c r="A2521" s="4">
        <v>2013</v>
      </c>
      <c r="B2521" s="4">
        <v>231</v>
      </c>
      <c r="C2521" s="20">
        <v>41505</v>
      </c>
      <c r="D2521" s="16">
        <v>0.49374999999999997</v>
      </c>
      <c r="E2521" s="4">
        <v>130</v>
      </c>
      <c r="F2521" s="22">
        <v>20</v>
      </c>
      <c r="G2521" s="4">
        <v>0.29773726200564976</v>
      </c>
      <c r="H2521" s="4" t="s">
        <v>124</v>
      </c>
    </row>
    <row r="2522" spans="1:8" x14ac:dyDescent="0.25">
      <c r="A2522" s="4">
        <v>2013</v>
      </c>
      <c r="B2522" s="4">
        <v>231</v>
      </c>
      <c r="C2522" s="20">
        <v>41505</v>
      </c>
      <c r="D2522" s="16">
        <v>0.3611111111111111</v>
      </c>
      <c r="E2522" s="4">
        <v>110</v>
      </c>
      <c r="F2522" s="22">
        <v>1</v>
      </c>
      <c r="G2522" s="4">
        <v>0.34189673375706214</v>
      </c>
      <c r="H2522" s="4" t="s">
        <v>123</v>
      </c>
    </row>
    <row r="2523" spans="1:8" x14ac:dyDescent="0.25">
      <c r="A2523" s="4">
        <v>2013</v>
      </c>
      <c r="B2523" s="4">
        <v>231</v>
      </c>
      <c r="C2523" s="20">
        <v>41505</v>
      </c>
      <c r="D2523" s="16">
        <v>0.36805555555555558</v>
      </c>
      <c r="E2523" s="4">
        <v>110</v>
      </c>
      <c r="F2523" s="22">
        <v>2</v>
      </c>
      <c r="G2523" s="4">
        <v>0.33411294703389827</v>
      </c>
      <c r="H2523" s="4" t="s">
        <v>123</v>
      </c>
    </row>
    <row r="2524" spans="1:8" x14ac:dyDescent="0.25">
      <c r="A2524" s="4">
        <v>2013</v>
      </c>
      <c r="B2524" s="4">
        <v>231</v>
      </c>
      <c r="C2524" s="20">
        <v>41505</v>
      </c>
      <c r="D2524" s="16">
        <v>0.375</v>
      </c>
      <c r="E2524" s="4">
        <v>110</v>
      </c>
      <c r="F2524" s="22">
        <v>3</v>
      </c>
      <c r="G2524" s="4">
        <v>0.32326630932203387</v>
      </c>
      <c r="H2524" s="4" t="s">
        <v>123</v>
      </c>
    </row>
    <row r="2525" spans="1:8" x14ac:dyDescent="0.25">
      <c r="A2525" s="4">
        <v>2013</v>
      </c>
      <c r="B2525" s="4">
        <v>231</v>
      </c>
      <c r="C2525" s="20">
        <v>41505</v>
      </c>
      <c r="D2525" s="16">
        <v>0.38680555555555557</v>
      </c>
      <c r="E2525" s="4">
        <v>110</v>
      </c>
      <c r="F2525" s="22">
        <v>4</v>
      </c>
      <c r="G2525" s="4">
        <v>0.33775152189265534</v>
      </c>
      <c r="H2525" s="4" t="s">
        <v>123</v>
      </c>
    </row>
    <row r="2526" spans="1:8" x14ac:dyDescent="0.25">
      <c r="A2526" s="4">
        <v>2013</v>
      </c>
      <c r="B2526" s="4">
        <v>231</v>
      </c>
      <c r="C2526" s="20">
        <v>41505</v>
      </c>
      <c r="D2526" s="16">
        <v>0.39374999999999999</v>
      </c>
      <c r="E2526" s="4">
        <v>110</v>
      </c>
      <c r="F2526" s="22">
        <v>5</v>
      </c>
      <c r="G2526" s="4">
        <v>0.32932292443502825</v>
      </c>
      <c r="H2526" s="4" t="s">
        <v>0</v>
      </c>
    </row>
    <row r="2527" spans="1:8" x14ac:dyDescent="0.25">
      <c r="A2527" s="4">
        <v>2013</v>
      </c>
      <c r="B2527" s="4">
        <v>231</v>
      </c>
      <c r="C2527" s="20">
        <v>41505</v>
      </c>
      <c r="D2527" s="16">
        <v>0.39930555555555558</v>
      </c>
      <c r="E2527" s="4">
        <v>110</v>
      </c>
      <c r="F2527" s="22">
        <v>6</v>
      </c>
      <c r="G2527" s="4">
        <v>0.31426198799435023</v>
      </c>
      <c r="H2527" s="4" t="s">
        <v>0</v>
      </c>
    </row>
    <row r="2528" spans="1:8" x14ac:dyDescent="0.25">
      <c r="A2528" s="4">
        <v>2013</v>
      </c>
      <c r="B2528" s="4">
        <v>231</v>
      </c>
      <c r="C2528" s="20">
        <v>41505</v>
      </c>
      <c r="D2528" s="16">
        <v>0.40625</v>
      </c>
      <c r="E2528" s="4">
        <v>110</v>
      </c>
      <c r="F2528" s="22">
        <v>7</v>
      </c>
      <c r="G2528" s="4">
        <v>0.32697397104519776</v>
      </c>
      <c r="H2528" s="4" t="s">
        <v>123</v>
      </c>
    </row>
    <row r="2529" spans="1:8" x14ac:dyDescent="0.25">
      <c r="A2529" s="4">
        <v>2013</v>
      </c>
      <c r="B2529" s="4">
        <v>231</v>
      </c>
      <c r="C2529" s="20">
        <v>41505</v>
      </c>
      <c r="D2529" s="16">
        <v>0.41319444444444442</v>
      </c>
      <c r="E2529" s="4">
        <v>110</v>
      </c>
      <c r="F2529" s="22">
        <v>8</v>
      </c>
      <c r="G2529" s="4">
        <v>0.34168947316384179</v>
      </c>
      <c r="H2529" s="4" t="s">
        <v>123</v>
      </c>
    </row>
    <row r="2530" spans="1:8" x14ac:dyDescent="0.25">
      <c r="A2530" s="4">
        <v>2013</v>
      </c>
      <c r="B2530" s="4">
        <v>231</v>
      </c>
      <c r="C2530" s="20">
        <v>41505</v>
      </c>
      <c r="D2530" s="16">
        <v>0.41944444444444445</v>
      </c>
      <c r="E2530" s="4">
        <v>110</v>
      </c>
      <c r="F2530" s="22">
        <v>9</v>
      </c>
      <c r="G2530" s="4">
        <v>0.32978350353107344</v>
      </c>
      <c r="H2530" s="4" t="s">
        <v>123</v>
      </c>
    </row>
    <row r="2531" spans="1:8" x14ac:dyDescent="0.25">
      <c r="A2531" s="4">
        <v>2013</v>
      </c>
      <c r="B2531" s="4">
        <v>231</v>
      </c>
      <c r="C2531" s="20">
        <v>41505</v>
      </c>
      <c r="D2531" s="16">
        <v>0.42569444444444443</v>
      </c>
      <c r="E2531" s="4">
        <v>110</v>
      </c>
      <c r="F2531" s="22">
        <v>10</v>
      </c>
      <c r="G2531" s="4">
        <v>0.33471169985875704</v>
      </c>
      <c r="H2531" s="4" t="s">
        <v>123</v>
      </c>
    </row>
    <row r="2532" spans="1:8" x14ac:dyDescent="0.25">
      <c r="A2532" s="4">
        <v>2013</v>
      </c>
      <c r="B2532" s="4">
        <v>231</v>
      </c>
      <c r="C2532" s="20">
        <v>41505</v>
      </c>
      <c r="D2532" s="16">
        <v>0.4381944444444445</v>
      </c>
      <c r="E2532" s="4">
        <v>110</v>
      </c>
      <c r="F2532" s="22">
        <v>11</v>
      </c>
      <c r="G2532" s="4">
        <v>0.3268588262711864</v>
      </c>
      <c r="H2532" s="4" t="s">
        <v>124</v>
      </c>
    </row>
    <row r="2533" spans="1:8" x14ac:dyDescent="0.25">
      <c r="A2533" s="4">
        <v>2013</v>
      </c>
      <c r="B2533" s="4">
        <v>231</v>
      </c>
      <c r="C2533" s="20">
        <v>41505</v>
      </c>
      <c r="D2533" s="16">
        <v>0.44444444444444442</v>
      </c>
      <c r="E2533" s="4">
        <v>110</v>
      </c>
      <c r="F2533" s="22">
        <v>12</v>
      </c>
      <c r="G2533" s="4">
        <v>0.33528742372881354</v>
      </c>
      <c r="H2533" s="4" t="s">
        <v>124</v>
      </c>
    </row>
    <row r="2534" spans="1:8" x14ac:dyDescent="0.25">
      <c r="A2534" s="4">
        <v>2013</v>
      </c>
      <c r="B2534" s="4">
        <v>231</v>
      </c>
      <c r="C2534" s="20">
        <v>41505</v>
      </c>
      <c r="D2534" s="16">
        <v>0.4513888888888889</v>
      </c>
      <c r="E2534" s="4">
        <v>110</v>
      </c>
      <c r="F2534" s="22">
        <v>13</v>
      </c>
      <c r="G2534" s="4">
        <v>0.34231125494350284</v>
      </c>
      <c r="H2534" s="4" t="s">
        <v>124</v>
      </c>
    </row>
    <row r="2535" spans="1:8" x14ac:dyDescent="0.25">
      <c r="A2535" s="4">
        <v>2013</v>
      </c>
      <c r="B2535" s="4">
        <v>231</v>
      </c>
      <c r="C2535" s="20">
        <v>41505</v>
      </c>
      <c r="D2535" s="16">
        <v>0.45208333333333334</v>
      </c>
      <c r="E2535" s="4">
        <v>110</v>
      </c>
      <c r="F2535" s="22">
        <v>14</v>
      </c>
      <c r="G2535" s="4">
        <v>0.32345054096045195</v>
      </c>
      <c r="H2535" s="4" t="s">
        <v>124</v>
      </c>
    </row>
    <row r="2536" spans="1:8" x14ac:dyDescent="0.25">
      <c r="A2536" s="4">
        <v>2013</v>
      </c>
      <c r="B2536" s="4">
        <v>231</v>
      </c>
      <c r="C2536" s="20">
        <v>41505</v>
      </c>
      <c r="D2536" s="16">
        <v>0.46527777777777773</v>
      </c>
      <c r="E2536" s="4">
        <v>110</v>
      </c>
      <c r="F2536" s="22">
        <v>15</v>
      </c>
      <c r="G2536" s="4">
        <v>0.30926470480225987</v>
      </c>
      <c r="H2536" s="4" t="s">
        <v>1</v>
      </c>
    </row>
    <row r="2537" spans="1:8" x14ac:dyDescent="0.25">
      <c r="A2537" s="4">
        <v>2013</v>
      </c>
      <c r="B2537" s="4">
        <v>231</v>
      </c>
      <c r="C2537" s="20">
        <v>41505</v>
      </c>
      <c r="D2537" s="16">
        <v>0.47013888888888888</v>
      </c>
      <c r="E2537" s="4">
        <v>110</v>
      </c>
      <c r="F2537" s="22">
        <v>16</v>
      </c>
      <c r="G2537" s="4">
        <v>0.31099187641242937</v>
      </c>
      <c r="H2537" s="4" t="s">
        <v>1</v>
      </c>
    </row>
    <row r="2538" spans="1:8" x14ac:dyDescent="0.25">
      <c r="A2538" s="4">
        <v>2013</v>
      </c>
      <c r="B2538" s="4">
        <v>231</v>
      </c>
      <c r="C2538" s="20">
        <v>41505</v>
      </c>
      <c r="D2538" s="16">
        <v>0.47916666666666669</v>
      </c>
      <c r="E2538" s="4">
        <v>110</v>
      </c>
      <c r="F2538" s="22">
        <v>17</v>
      </c>
      <c r="G2538" s="4">
        <v>0.33685339265536718</v>
      </c>
      <c r="H2538" s="4" t="s">
        <v>124</v>
      </c>
    </row>
    <row r="2539" spans="1:8" x14ac:dyDescent="0.25">
      <c r="A2539" s="4">
        <v>2013</v>
      </c>
      <c r="B2539" s="4">
        <v>231</v>
      </c>
      <c r="C2539" s="20">
        <v>41505</v>
      </c>
      <c r="D2539" s="16">
        <v>0.4861111111111111</v>
      </c>
      <c r="E2539" s="4">
        <v>110</v>
      </c>
      <c r="F2539" s="22">
        <v>18</v>
      </c>
      <c r="G2539" s="4">
        <v>0.3425876024011299</v>
      </c>
      <c r="H2539" s="4" t="s">
        <v>124</v>
      </c>
    </row>
    <row r="2540" spans="1:8" x14ac:dyDescent="0.25">
      <c r="A2540" s="4">
        <v>2013</v>
      </c>
      <c r="B2540" s="4">
        <v>231</v>
      </c>
      <c r="C2540" s="20">
        <v>41505</v>
      </c>
      <c r="D2540" s="16">
        <v>0.49305555555555558</v>
      </c>
      <c r="E2540" s="4">
        <v>110</v>
      </c>
      <c r="F2540" s="22">
        <v>19</v>
      </c>
      <c r="G2540" s="4">
        <v>0.33422809180790958</v>
      </c>
      <c r="H2540" s="4" t="s">
        <v>124</v>
      </c>
    </row>
    <row r="2541" spans="1:8" x14ac:dyDescent="0.25">
      <c r="A2541" s="4">
        <v>2013</v>
      </c>
      <c r="B2541" s="4">
        <v>231</v>
      </c>
      <c r="C2541" s="20">
        <v>41505</v>
      </c>
      <c r="D2541" s="16">
        <v>0.49374999999999997</v>
      </c>
      <c r="E2541" s="4">
        <v>110</v>
      </c>
      <c r="F2541" s="22">
        <v>20</v>
      </c>
      <c r="G2541" s="4">
        <v>0.3361855529661017</v>
      </c>
      <c r="H2541" s="4" t="s">
        <v>124</v>
      </c>
    </row>
    <row r="2542" spans="1:8" x14ac:dyDescent="0.25">
      <c r="A2542" s="4">
        <v>2013</v>
      </c>
      <c r="B2542" s="4">
        <v>231</v>
      </c>
      <c r="C2542" s="20">
        <v>41505</v>
      </c>
      <c r="D2542" s="16">
        <v>0.3611111111111111</v>
      </c>
      <c r="E2542" s="4">
        <v>90</v>
      </c>
      <c r="F2542" s="22">
        <v>1</v>
      </c>
      <c r="G2542" s="4">
        <v>0.34139009675141241</v>
      </c>
      <c r="H2542" s="4" t="s">
        <v>123</v>
      </c>
    </row>
    <row r="2543" spans="1:8" x14ac:dyDescent="0.25">
      <c r="A2543" s="4">
        <v>2013</v>
      </c>
      <c r="B2543" s="4">
        <v>231</v>
      </c>
      <c r="C2543" s="20">
        <v>41505</v>
      </c>
      <c r="D2543" s="16">
        <v>0.36805555555555558</v>
      </c>
      <c r="E2543" s="4">
        <v>90</v>
      </c>
      <c r="F2543" s="22">
        <v>2</v>
      </c>
      <c r="G2543" s="4">
        <v>0.33385962853107343</v>
      </c>
      <c r="H2543" s="4" t="s">
        <v>123</v>
      </c>
    </row>
    <row r="2544" spans="1:8" x14ac:dyDescent="0.25">
      <c r="A2544" s="4">
        <v>2013</v>
      </c>
      <c r="B2544" s="4">
        <v>231</v>
      </c>
      <c r="C2544" s="20">
        <v>41505</v>
      </c>
      <c r="D2544" s="16">
        <v>0.375</v>
      </c>
      <c r="E2544" s="4">
        <v>90</v>
      </c>
      <c r="F2544" s="22">
        <v>3</v>
      </c>
      <c r="G2544" s="4">
        <v>0.32432564124293783</v>
      </c>
      <c r="H2544" s="4" t="s">
        <v>123</v>
      </c>
    </row>
    <row r="2545" spans="1:8" x14ac:dyDescent="0.25">
      <c r="A2545" s="4">
        <v>2013</v>
      </c>
      <c r="B2545" s="4">
        <v>231</v>
      </c>
      <c r="C2545" s="20">
        <v>41505</v>
      </c>
      <c r="D2545" s="16">
        <v>0.38680555555555557</v>
      </c>
      <c r="E2545" s="4">
        <v>90</v>
      </c>
      <c r="F2545" s="22">
        <v>4</v>
      </c>
      <c r="G2545" s="4">
        <v>0.32605281285310733</v>
      </c>
      <c r="H2545" s="4" t="s">
        <v>123</v>
      </c>
    </row>
    <row r="2546" spans="1:8" x14ac:dyDescent="0.25">
      <c r="A2546" s="4">
        <v>2013</v>
      </c>
      <c r="B2546" s="4">
        <v>231</v>
      </c>
      <c r="C2546" s="20">
        <v>41505</v>
      </c>
      <c r="D2546" s="16">
        <v>0.39374999999999999</v>
      </c>
      <c r="E2546" s="4">
        <v>90</v>
      </c>
      <c r="F2546" s="22">
        <v>5</v>
      </c>
      <c r="G2546" s="4">
        <v>0.32064100847457627</v>
      </c>
      <c r="H2546" s="4" t="s">
        <v>0</v>
      </c>
    </row>
    <row r="2547" spans="1:8" x14ac:dyDescent="0.25">
      <c r="A2547" s="4">
        <v>2013</v>
      </c>
      <c r="B2547" s="4">
        <v>231</v>
      </c>
      <c r="C2547" s="20">
        <v>41505</v>
      </c>
      <c r="D2547" s="16">
        <v>0.39930555555555558</v>
      </c>
      <c r="E2547" s="4">
        <v>90</v>
      </c>
      <c r="F2547" s="22">
        <v>6</v>
      </c>
      <c r="G2547" s="4">
        <v>0.31405472740112994</v>
      </c>
      <c r="H2547" s="4" t="s">
        <v>0</v>
      </c>
    </row>
    <row r="2548" spans="1:8" x14ac:dyDescent="0.25">
      <c r="A2548" s="4">
        <v>2013</v>
      </c>
      <c r="B2548" s="4">
        <v>231</v>
      </c>
      <c r="C2548" s="20">
        <v>41505</v>
      </c>
      <c r="D2548" s="16">
        <v>0.40625</v>
      </c>
      <c r="E2548" s="4">
        <v>90</v>
      </c>
      <c r="F2548" s="22">
        <v>7</v>
      </c>
      <c r="G2548" s="4">
        <v>0.31308751129943502</v>
      </c>
      <c r="H2548" s="4" t="s">
        <v>123</v>
      </c>
    </row>
    <row r="2549" spans="1:8" x14ac:dyDescent="0.25">
      <c r="A2549" s="4">
        <v>2013</v>
      </c>
      <c r="B2549" s="4">
        <v>231</v>
      </c>
      <c r="C2549" s="20">
        <v>41505</v>
      </c>
      <c r="D2549" s="16">
        <v>0.41319444444444442</v>
      </c>
      <c r="E2549" s="4">
        <v>90</v>
      </c>
      <c r="F2549" s="22">
        <v>8</v>
      </c>
      <c r="G2549" s="4">
        <v>0.33245486228813559</v>
      </c>
      <c r="H2549" s="4" t="s">
        <v>123</v>
      </c>
    </row>
    <row r="2550" spans="1:8" x14ac:dyDescent="0.25">
      <c r="A2550" s="4">
        <v>2013</v>
      </c>
      <c r="B2550" s="4">
        <v>231</v>
      </c>
      <c r="C2550" s="20">
        <v>41505</v>
      </c>
      <c r="D2550" s="16">
        <v>0.41944444444444445</v>
      </c>
      <c r="E2550" s="4">
        <v>90</v>
      </c>
      <c r="F2550" s="22">
        <v>9</v>
      </c>
      <c r="G2550" s="4">
        <v>0.31488376977401128</v>
      </c>
      <c r="H2550" s="4" t="s">
        <v>123</v>
      </c>
    </row>
    <row r="2551" spans="1:8" x14ac:dyDescent="0.25">
      <c r="A2551" s="4">
        <v>2013</v>
      </c>
      <c r="B2551" s="4">
        <v>231</v>
      </c>
      <c r="C2551" s="20">
        <v>41505</v>
      </c>
      <c r="D2551" s="16">
        <v>0.42569444444444443</v>
      </c>
      <c r="E2551" s="4">
        <v>90</v>
      </c>
      <c r="F2551" s="22">
        <v>10</v>
      </c>
      <c r="G2551" s="4">
        <v>0.33323784675141238</v>
      </c>
      <c r="H2551" s="4" t="s">
        <v>123</v>
      </c>
    </row>
    <row r="2552" spans="1:8" x14ac:dyDescent="0.25">
      <c r="A2552" s="4">
        <v>2013</v>
      </c>
      <c r="B2552" s="4">
        <v>231</v>
      </c>
      <c r="C2552" s="20">
        <v>41505</v>
      </c>
      <c r="D2552" s="16">
        <v>0.4381944444444445</v>
      </c>
      <c r="E2552" s="4">
        <v>90</v>
      </c>
      <c r="F2552" s="22">
        <v>11</v>
      </c>
      <c r="G2552" s="4">
        <v>0.33054345903954802</v>
      </c>
      <c r="H2552" s="4" t="s">
        <v>124</v>
      </c>
    </row>
    <row r="2553" spans="1:8" x14ac:dyDescent="0.25">
      <c r="A2553" s="4">
        <v>2013</v>
      </c>
      <c r="B2553" s="4">
        <v>231</v>
      </c>
      <c r="C2553" s="20">
        <v>41505</v>
      </c>
      <c r="D2553" s="16">
        <v>0.44444444444444442</v>
      </c>
      <c r="E2553" s="4">
        <v>90</v>
      </c>
      <c r="F2553" s="22">
        <v>12</v>
      </c>
      <c r="G2553" s="4">
        <v>0.33038225635593216</v>
      </c>
      <c r="H2553" s="4" t="s">
        <v>124</v>
      </c>
    </row>
    <row r="2554" spans="1:8" x14ac:dyDescent="0.25">
      <c r="A2554" s="4">
        <v>2013</v>
      </c>
      <c r="B2554" s="4">
        <v>231</v>
      </c>
      <c r="C2554" s="20">
        <v>41505</v>
      </c>
      <c r="D2554" s="16">
        <v>0.4513888888888889</v>
      </c>
      <c r="E2554" s="4">
        <v>90</v>
      </c>
      <c r="F2554" s="22">
        <v>13</v>
      </c>
      <c r="G2554" s="4">
        <v>0.3283787372881356</v>
      </c>
      <c r="H2554" s="4" t="s">
        <v>124</v>
      </c>
    </row>
    <row r="2555" spans="1:8" x14ac:dyDescent="0.25">
      <c r="A2555" s="4">
        <v>2013</v>
      </c>
      <c r="B2555" s="4">
        <v>231</v>
      </c>
      <c r="C2555" s="20">
        <v>41505</v>
      </c>
      <c r="D2555" s="16">
        <v>0.45208333333333334</v>
      </c>
      <c r="E2555" s="4">
        <v>90</v>
      </c>
      <c r="F2555" s="22">
        <v>14</v>
      </c>
      <c r="G2555" s="4">
        <v>0.31939744491525424</v>
      </c>
      <c r="H2555" s="4" t="s">
        <v>124</v>
      </c>
    </row>
    <row r="2556" spans="1:8" x14ac:dyDescent="0.25">
      <c r="A2556" s="4">
        <v>2013</v>
      </c>
      <c r="B2556" s="4">
        <v>231</v>
      </c>
      <c r="C2556" s="20">
        <v>41505</v>
      </c>
      <c r="D2556" s="16">
        <v>0.46527777777777773</v>
      </c>
      <c r="E2556" s="4">
        <v>90</v>
      </c>
      <c r="F2556" s="22">
        <v>15</v>
      </c>
      <c r="G2556" s="4">
        <v>0.29903984887005647</v>
      </c>
      <c r="H2556" s="4" t="s">
        <v>1</v>
      </c>
    </row>
    <row r="2557" spans="1:8" x14ac:dyDescent="0.25">
      <c r="A2557" s="4">
        <v>2013</v>
      </c>
      <c r="B2557" s="4">
        <v>231</v>
      </c>
      <c r="C2557" s="20">
        <v>41505</v>
      </c>
      <c r="D2557" s="16">
        <v>0.47013888888888888</v>
      </c>
      <c r="E2557" s="4">
        <v>90</v>
      </c>
      <c r="F2557" s="22">
        <v>16</v>
      </c>
      <c r="G2557" s="4">
        <v>0.29675998234463274</v>
      </c>
      <c r="H2557" s="4" t="s">
        <v>1</v>
      </c>
    </row>
    <row r="2558" spans="1:8" x14ac:dyDescent="0.25">
      <c r="A2558" s="4">
        <v>2013</v>
      </c>
      <c r="B2558" s="4">
        <v>231</v>
      </c>
      <c r="C2558" s="20">
        <v>41505</v>
      </c>
      <c r="D2558" s="16">
        <v>0.47916666666666669</v>
      </c>
      <c r="E2558" s="4">
        <v>90</v>
      </c>
      <c r="F2558" s="22">
        <v>17</v>
      </c>
      <c r="G2558" s="4">
        <v>0.32107855861581919</v>
      </c>
      <c r="H2558" s="4" t="s">
        <v>124</v>
      </c>
    </row>
    <row r="2559" spans="1:8" x14ac:dyDescent="0.25">
      <c r="A2559" s="4">
        <v>2013</v>
      </c>
      <c r="B2559" s="4">
        <v>231</v>
      </c>
      <c r="C2559" s="20">
        <v>41505</v>
      </c>
      <c r="D2559" s="16">
        <v>0.4861111111111111</v>
      </c>
      <c r="E2559" s="4">
        <v>90</v>
      </c>
      <c r="F2559" s="22">
        <v>18</v>
      </c>
      <c r="G2559" s="4">
        <v>0.33360631002824853</v>
      </c>
      <c r="H2559" s="4" t="s">
        <v>124</v>
      </c>
    </row>
    <row r="2560" spans="1:8" x14ac:dyDescent="0.25">
      <c r="A2560" s="4">
        <v>2013</v>
      </c>
      <c r="B2560" s="4">
        <v>231</v>
      </c>
      <c r="C2560" s="20">
        <v>41505</v>
      </c>
      <c r="D2560" s="16">
        <v>0.49305555555555558</v>
      </c>
      <c r="E2560" s="4">
        <v>90</v>
      </c>
      <c r="F2560" s="22">
        <v>19</v>
      </c>
      <c r="G2560" s="4">
        <v>0.32057192161016945</v>
      </c>
      <c r="H2560" s="4" t="s">
        <v>124</v>
      </c>
    </row>
    <row r="2561" spans="1:8" x14ac:dyDescent="0.25">
      <c r="A2561" s="4">
        <v>2013</v>
      </c>
      <c r="B2561" s="4">
        <v>231</v>
      </c>
      <c r="C2561" s="20">
        <v>41505</v>
      </c>
      <c r="D2561" s="16">
        <v>0.49374999999999997</v>
      </c>
      <c r="E2561" s="4">
        <v>90</v>
      </c>
      <c r="F2561" s="22">
        <v>20</v>
      </c>
      <c r="G2561" s="4">
        <v>0.33236274646892655</v>
      </c>
      <c r="H2561" s="4" t="s">
        <v>124</v>
      </c>
    </row>
    <row r="2562" spans="1:8" x14ac:dyDescent="0.25">
      <c r="A2562" s="4">
        <v>2013</v>
      </c>
      <c r="B2562" s="4">
        <v>231</v>
      </c>
      <c r="C2562" s="20">
        <v>41505</v>
      </c>
      <c r="D2562" s="16">
        <v>0.3611111111111111</v>
      </c>
      <c r="E2562" s="4">
        <v>70</v>
      </c>
      <c r="F2562" s="22">
        <v>1</v>
      </c>
      <c r="G2562" s="4">
        <v>0.34157432838983048</v>
      </c>
      <c r="H2562" s="4" t="s">
        <v>123</v>
      </c>
    </row>
    <row r="2563" spans="1:8" x14ac:dyDescent="0.25">
      <c r="A2563" s="4">
        <v>2013</v>
      </c>
      <c r="B2563" s="4">
        <v>231</v>
      </c>
      <c r="C2563" s="20">
        <v>41505</v>
      </c>
      <c r="D2563" s="16">
        <v>0.36805555555555558</v>
      </c>
      <c r="E2563" s="4">
        <v>70</v>
      </c>
      <c r="F2563" s="22">
        <v>2</v>
      </c>
      <c r="G2563" s="4">
        <v>0.32761878177966103</v>
      </c>
      <c r="H2563" s="4" t="s">
        <v>123</v>
      </c>
    </row>
    <row r="2564" spans="1:8" x14ac:dyDescent="0.25">
      <c r="A2564" s="4">
        <v>2013</v>
      </c>
      <c r="B2564" s="4">
        <v>231</v>
      </c>
      <c r="C2564" s="20">
        <v>41505</v>
      </c>
      <c r="D2564" s="16">
        <v>0.375</v>
      </c>
      <c r="E2564" s="4">
        <v>70</v>
      </c>
      <c r="F2564" s="22">
        <v>3</v>
      </c>
      <c r="G2564" s="4">
        <v>0.32388809110169486</v>
      </c>
      <c r="H2564" s="4" t="s">
        <v>123</v>
      </c>
    </row>
    <row r="2565" spans="1:8" x14ac:dyDescent="0.25">
      <c r="A2565" s="4">
        <v>2013</v>
      </c>
      <c r="B2565" s="4">
        <v>231</v>
      </c>
      <c r="C2565" s="20">
        <v>41505</v>
      </c>
      <c r="D2565" s="16">
        <v>0.38680555555555557</v>
      </c>
      <c r="E2565" s="4">
        <v>70</v>
      </c>
      <c r="F2565" s="22">
        <v>4</v>
      </c>
      <c r="G2565" s="4">
        <v>0.31997316878531074</v>
      </c>
      <c r="H2565" s="4" t="s">
        <v>123</v>
      </c>
    </row>
    <row r="2566" spans="1:8" x14ac:dyDescent="0.25">
      <c r="A2566" s="4">
        <v>2013</v>
      </c>
      <c r="B2566" s="4">
        <v>231</v>
      </c>
      <c r="C2566" s="20">
        <v>41505</v>
      </c>
      <c r="D2566" s="16">
        <v>0.39374999999999999</v>
      </c>
      <c r="E2566" s="4">
        <v>70</v>
      </c>
      <c r="F2566" s="22">
        <v>5</v>
      </c>
      <c r="G2566" s="4">
        <v>0.32609887076271182</v>
      </c>
      <c r="H2566" s="4" t="s">
        <v>0</v>
      </c>
    </row>
    <row r="2567" spans="1:8" x14ac:dyDescent="0.25">
      <c r="A2567" s="4">
        <v>2013</v>
      </c>
      <c r="B2567" s="4">
        <v>231</v>
      </c>
      <c r="C2567" s="20">
        <v>41505</v>
      </c>
      <c r="D2567" s="16">
        <v>0.39930555555555558</v>
      </c>
      <c r="E2567" s="4">
        <v>70</v>
      </c>
      <c r="F2567" s="22">
        <v>6</v>
      </c>
      <c r="G2567" s="4">
        <v>0.3255461758474576</v>
      </c>
      <c r="H2567" s="4" t="s">
        <v>0</v>
      </c>
    </row>
    <row r="2568" spans="1:8" x14ac:dyDescent="0.25">
      <c r="A2568" s="4">
        <v>2013</v>
      </c>
      <c r="B2568" s="4">
        <v>231</v>
      </c>
      <c r="C2568" s="20">
        <v>41505</v>
      </c>
      <c r="D2568" s="16">
        <v>0.40625</v>
      </c>
      <c r="E2568" s="4">
        <v>70</v>
      </c>
      <c r="F2568" s="22">
        <v>7</v>
      </c>
      <c r="G2568" s="4">
        <v>0.3114985134180791</v>
      </c>
      <c r="H2568" s="4" t="s">
        <v>123</v>
      </c>
    </row>
    <row r="2569" spans="1:8" x14ac:dyDescent="0.25">
      <c r="A2569" s="4">
        <v>2013</v>
      </c>
      <c r="B2569" s="4">
        <v>231</v>
      </c>
      <c r="C2569" s="20">
        <v>41505</v>
      </c>
      <c r="D2569" s="16">
        <v>0.41319444444444442</v>
      </c>
      <c r="E2569" s="4">
        <v>70</v>
      </c>
      <c r="F2569" s="22">
        <v>8</v>
      </c>
      <c r="G2569" s="4">
        <v>0.32833267937853106</v>
      </c>
      <c r="H2569" s="4" t="s">
        <v>123</v>
      </c>
    </row>
    <row r="2570" spans="1:8" x14ac:dyDescent="0.25">
      <c r="A2570" s="4">
        <v>2013</v>
      </c>
      <c r="B2570" s="4">
        <v>231</v>
      </c>
      <c r="C2570" s="20">
        <v>41505</v>
      </c>
      <c r="D2570" s="16">
        <v>0.41944444444444445</v>
      </c>
      <c r="E2570" s="4">
        <v>70</v>
      </c>
      <c r="F2570" s="22">
        <v>9</v>
      </c>
      <c r="G2570" s="4">
        <v>0.31087673163841806</v>
      </c>
      <c r="H2570" s="4" t="s">
        <v>123</v>
      </c>
    </row>
    <row r="2571" spans="1:8" x14ac:dyDescent="0.25">
      <c r="A2571" s="4">
        <v>2013</v>
      </c>
      <c r="B2571" s="4">
        <v>231</v>
      </c>
      <c r="C2571" s="20">
        <v>41505</v>
      </c>
      <c r="D2571" s="16">
        <v>0.42569444444444443</v>
      </c>
      <c r="E2571" s="4">
        <v>70</v>
      </c>
      <c r="F2571" s="22">
        <v>10</v>
      </c>
      <c r="G2571" s="4">
        <v>0.33321481779661016</v>
      </c>
      <c r="H2571" s="4" t="s">
        <v>123</v>
      </c>
    </row>
    <row r="2572" spans="1:8" x14ac:dyDescent="0.25">
      <c r="A2572" s="4">
        <v>2013</v>
      </c>
      <c r="B2572" s="4">
        <v>231</v>
      </c>
      <c r="C2572" s="20">
        <v>41505</v>
      </c>
      <c r="D2572" s="16">
        <v>0.4381944444444445</v>
      </c>
      <c r="E2572" s="4">
        <v>70</v>
      </c>
      <c r="F2572" s="22">
        <v>11</v>
      </c>
      <c r="G2572" s="4">
        <v>0.33160279096045198</v>
      </c>
      <c r="H2572" s="4" t="s">
        <v>124</v>
      </c>
    </row>
    <row r="2573" spans="1:8" x14ac:dyDescent="0.25">
      <c r="A2573" s="4">
        <v>2013</v>
      </c>
      <c r="B2573" s="4">
        <v>231</v>
      </c>
      <c r="C2573" s="20">
        <v>41505</v>
      </c>
      <c r="D2573" s="16">
        <v>0.44444444444444442</v>
      </c>
      <c r="E2573" s="4">
        <v>70</v>
      </c>
      <c r="F2573" s="22">
        <v>12</v>
      </c>
      <c r="G2573" s="4">
        <v>0.31753209957627115</v>
      </c>
      <c r="H2573" s="4" t="s">
        <v>124</v>
      </c>
    </row>
    <row r="2574" spans="1:8" x14ac:dyDescent="0.25">
      <c r="A2574" s="4">
        <v>2013</v>
      </c>
      <c r="B2574" s="4">
        <v>231</v>
      </c>
      <c r="C2574" s="20">
        <v>41505</v>
      </c>
      <c r="D2574" s="16">
        <v>0.4513888888888889</v>
      </c>
      <c r="E2574" s="4">
        <v>70</v>
      </c>
      <c r="F2574" s="22">
        <v>13</v>
      </c>
      <c r="G2574" s="4">
        <v>0.31891383686440677</v>
      </c>
      <c r="H2574" s="4" t="s">
        <v>124</v>
      </c>
    </row>
    <row r="2575" spans="1:8" x14ac:dyDescent="0.25">
      <c r="A2575" s="4">
        <v>2013</v>
      </c>
      <c r="B2575" s="4">
        <v>231</v>
      </c>
      <c r="C2575" s="20">
        <v>41505</v>
      </c>
      <c r="D2575" s="16">
        <v>0.45208333333333334</v>
      </c>
      <c r="E2575" s="4">
        <v>70</v>
      </c>
      <c r="F2575" s="22">
        <v>14</v>
      </c>
      <c r="G2575" s="4">
        <v>0.32476319138418075</v>
      </c>
      <c r="H2575" s="4" t="s">
        <v>124</v>
      </c>
    </row>
    <row r="2576" spans="1:8" x14ac:dyDescent="0.25">
      <c r="A2576" s="4">
        <v>2013</v>
      </c>
      <c r="B2576" s="4">
        <v>231</v>
      </c>
      <c r="C2576" s="20">
        <v>41505</v>
      </c>
      <c r="D2576" s="16">
        <v>0.46527777777777773</v>
      </c>
      <c r="E2576" s="4">
        <v>70</v>
      </c>
      <c r="F2576" s="22">
        <v>15</v>
      </c>
      <c r="G2576" s="4">
        <v>0.31048523940677963</v>
      </c>
      <c r="H2576" s="4" t="s">
        <v>1</v>
      </c>
    </row>
    <row r="2577" spans="1:8" x14ac:dyDescent="0.25">
      <c r="A2577" s="4">
        <v>2013</v>
      </c>
      <c r="B2577" s="4">
        <v>231</v>
      </c>
      <c r="C2577" s="20">
        <v>41505</v>
      </c>
      <c r="D2577" s="16">
        <v>0.47013888888888888</v>
      </c>
      <c r="E2577" s="4">
        <v>70</v>
      </c>
      <c r="F2577" s="22">
        <v>16</v>
      </c>
      <c r="G2577" s="4">
        <v>0.30495829025423726</v>
      </c>
      <c r="H2577" s="4" t="s">
        <v>1</v>
      </c>
    </row>
    <row r="2578" spans="1:8" x14ac:dyDescent="0.25">
      <c r="A2578" s="4">
        <v>2013</v>
      </c>
      <c r="B2578" s="4">
        <v>231</v>
      </c>
      <c r="C2578" s="20">
        <v>41505</v>
      </c>
      <c r="D2578" s="16">
        <v>0.47916666666666669</v>
      </c>
      <c r="E2578" s="4">
        <v>70</v>
      </c>
      <c r="F2578" s="22">
        <v>17</v>
      </c>
      <c r="G2578" s="4">
        <v>0.32294390395480227</v>
      </c>
      <c r="H2578" s="4" t="s">
        <v>124</v>
      </c>
    </row>
    <row r="2579" spans="1:8" x14ac:dyDescent="0.25">
      <c r="A2579" s="4">
        <v>2013</v>
      </c>
      <c r="B2579" s="4">
        <v>231</v>
      </c>
      <c r="C2579" s="20">
        <v>41505</v>
      </c>
      <c r="D2579" s="16">
        <v>0.4861111111111111</v>
      </c>
      <c r="E2579" s="4">
        <v>70</v>
      </c>
      <c r="F2579" s="22">
        <v>18</v>
      </c>
      <c r="G2579" s="4">
        <v>0.33616252401129942</v>
      </c>
      <c r="H2579" s="4" t="s">
        <v>124</v>
      </c>
    </row>
    <row r="2580" spans="1:8" x14ac:dyDescent="0.25">
      <c r="A2580" s="4">
        <v>2013</v>
      </c>
      <c r="B2580" s="4">
        <v>231</v>
      </c>
      <c r="C2580" s="20">
        <v>41505</v>
      </c>
      <c r="D2580" s="16">
        <v>0.49305555555555558</v>
      </c>
      <c r="E2580" s="4">
        <v>70</v>
      </c>
      <c r="F2580" s="22">
        <v>19</v>
      </c>
      <c r="G2580" s="4">
        <v>0.32503953884180786</v>
      </c>
      <c r="H2580" s="4" t="s">
        <v>124</v>
      </c>
    </row>
    <row r="2581" spans="1:8" x14ac:dyDescent="0.25">
      <c r="A2581" s="4">
        <v>2013</v>
      </c>
      <c r="B2581" s="4">
        <v>231</v>
      </c>
      <c r="C2581" s="20">
        <v>41505</v>
      </c>
      <c r="D2581" s="16">
        <v>0.49374999999999997</v>
      </c>
      <c r="E2581" s="4">
        <v>70</v>
      </c>
      <c r="F2581" s="22">
        <v>20</v>
      </c>
      <c r="G2581" s="4">
        <v>0.33328390466101693</v>
      </c>
      <c r="H2581" s="4" t="s">
        <v>124</v>
      </c>
    </row>
    <row r="2582" spans="1:8" x14ac:dyDescent="0.25">
      <c r="A2582" s="4">
        <v>2013</v>
      </c>
      <c r="B2582" s="4">
        <v>231</v>
      </c>
      <c r="C2582" s="20">
        <v>41505</v>
      </c>
      <c r="D2582" s="16">
        <v>0.3611111111111111</v>
      </c>
      <c r="E2582" s="4">
        <v>50</v>
      </c>
      <c r="F2582" s="22">
        <v>1</v>
      </c>
      <c r="G2582" s="4">
        <v>0.33745214548022595</v>
      </c>
      <c r="H2582" s="4" t="s">
        <v>123</v>
      </c>
    </row>
    <row r="2583" spans="1:8" x14ac:dyDescent="0.25">
      <c r="A2583" s="4">
        <v>2013</v>
      </c>
      <c r="B2583" s="4">
        <v>231</v>
      </c>
      <c r="C2583" s="20">
        <v>41505</v>
      </c>
      <c r="D2583" s="16">
        <v>0.36805555555555558</v>
      </c>
      <c r="E2583" s="4">
        <v>50</v>
      </c>
      <c r="F2583" s="22">
        <v>2</v>
      </c>
      <c r="G2583" s="4">
        <v>0.3365079583333333</v>
      </c>
      <c r="H2583" s="4" t="s">
        <v>123</v>
      </c>
    </row>
    <row r="2584" spans="1:8" x14ac:dyDescent="0.25">
      <c r="A2584" s="4">
        <v>2013</v>
      </c>
      <c r="B2584" s="4">
        <v>231</v>
      </c>
      <c r="C2584" s="20">
        <v>41505</v>
      </c>
      <c r="D2584" s="16">
        <v>0.375</v>
      </c>
      <c r="E2584" s="4">
        <v>50</v>
      </c>
      <c r="F2584" s="22">
        <v>3</v>
      </c>
      <c r="G2584" s="4">
        <v>0.3351953079096045</v>
      </c>
      <c r="H2584" s="4" t="s">
        <v>123</v>
      </c>
    </row>
    <row r="2585" spans="1:8" x14ac:dyDescent="0.25">
      <c r="A2585" s="4">
        <v>2013</v>
      </c>
      <c r="B2585" s="4">
        <v>231</v>
      </c>
      <c r="C2585" s="20">
        <v>41505</v>
      </c>
      <c r="D2585" s="16">
        <v>0.38680555555555557</v>
      </c>
      <c r="E2585" s="4">
        <v>50</v>
      </c>
      <c r="F2585" s="22">
        <v>4</v>
      </c>
      <c r="G2585" s="4">
        <v>0.31502194350282481</v>
      </c>
      <c r="H2585" s="4" t="s">
        <v>123</v>
      </c>
    </row>
    <row r="2586" spans="1:8" x14ac:dyDescent="0.25">
      <c r="A2586" s="4">
        <v>2013</v>
      </c>
      <c r="B2586" s="4">
        <v>231</v>
      </c>
      <c r="C2586" s="20">
        <v>41505</v>
      </c>
      <c r="D2586" s="16">
        <v>0.39374999999999999</v>
      </c>
      <c r="E2586" s="4">
        <v>50</v>
      </c>
      <c r="F2586" s="22">
        <v>5</v>
      </c>
      <c r="G2586" s="4">
        <v>0.33616252401129942</v>
      </c>
      <c r="H2586" s="4" t="s">
        <v>0</v>
      </c>
    </row>
    <row r="2587" spans="1:8" x14ac:dyDescent="0.25">
      <c r="A2587" s="4">
        <v>2013</v>
      </c>
      <c r="B2587" s="4">
        <v>231</v>
      </c>
      <c r="C2587" s="20">
        <v>41505</v>
      </c>
      <c r="D2587" s="16">
        <v>0.39930555555555558</v>
      </c>
      <c r="E2587" s="4">
        <v>50</v>
      </c>
      <c r="F2587" s="22">
        <v>6</v>
      </c>
      <c r="G2587" s="4">
        <v>0.34081437288135591</v>
      </c>
      <c r="H2587" s="4" t="s">
        <v>0</v>
      </c>
    </row>
    <row r="2588" spans="1:8" x14ac:dyDescent="0.25">
      <c r="A2588" s="4">
        <v>2013</v>
      </c>
      <c r="B2588" s="4">
        <v>231</v>
      </c>
      <c r="C2588" s="20">
        <v>41505</v>
      </c>
      <c r="D2588" s="16">
        <v>0.40625</v>
      </c>
      <c r="E2588" s="4">
        <v>50</v>
      </c>
      <c r="F2588" s="22">
        <v>7</v>
      </c>
      <c r="G2588" s="4">
        <v>0.33033619844632767</v>
      </c>
      <c r="H2588" s="4" t="s">
        <v>123</v>
      </c>
    </row>
    <row r="2589" spans="1:8" x14ac:dyDescent="0.25">
      <c r="A2589" s="4">
        <v>2013</v>
      </c>
      <c r="B2589" s="4">
        <v>231</v>
      </c>
      <c r="C2589" s="20">
        <v>41505</v>
      </c>
      <c r="D2589" s="16">
        <v>0.41319444444444442</v>
      </c>
      <c r="E2589" s="4">
        <v>50</v>
      </c>
      <c r="F2589" s="22">
        <v>8</v>
      </c>
      <c r="G2589" s="4">
        <v>0.33639281355932205</v>
      </c>
      <c r="H2589" s="4" t="s">
        <v>123</v>
      </c>
    </row>
    <row r="2590" spans="1:8" x14ac:dyDescent="0.25">
      <c r="A2590" s="4">
        <v>2013</v>
      </c>
      <c r="B2590" s="4">
        <v>231</v>
      </c>
      <c r="C2590" s="20">
        <v>41505</v>
      </c>
      <c r="D2590" s="16">
        <v>0.41944444444444445</v>
      </c>
      <c r="E2590" s="4">
        <v>50</v>
      </c>
      <c r="F2590" s="22">
        <v>9</v>
      </c>
      <c r="G2590" s="4">
        <v>0.31732483898305081</v>
      </c>
      <c r="H2590" s="4" t="s">
        <v>123</v>
      </c>
    </row>
    <row r="2591" spans="1:8" x14ac:dyDescent="0.25">
      <c r="A2591" s="4">
        <v>2013</v>
      </c>
      <c r="B2591" s="4">
        <v>231</v>
      </c>
      <c r="C2591" s="20">
        <v>41505</v>
      </c>
      <c r="D2591" s="16">
        <v>0.42569444444444443</v>
      </c>
      <c r="E2591" s="4">
        <v>50</v>
      </c>
      <c r="F2591" s="22">
        <v>10</v>
      </c>
      <c r="G2591" s="4">
        <v>0.33752123234463277</v>
      </c>
      <c r="H2591" s="4" t="s">
        <v>123</v>
      </c>
    </row>
    <row r="2592" spans="1:8" x14ac:dyDescent="0.25">
      <c r="A2592" s="4">
        <v>2013</v>
      </c>
      <c r="B2592" s="4">
        <v>231</v>
      </c>
      <c r="C2592" s="20">
        <v>41505</v>
      </c>
      <c r="D2592" s="16">
        <v>0.4381944444444445</v>
      </c>
      <c r="E2592" s="4">
        <v>50</v>
      </c>
      <c r="F2592" s="22">
        <v>11</v>
      </c>
      <c r="G2592" s="4">
        <v>0.3274345501412429</v>
      </c>
      <c r="H2592" s="4" t="s">
        <v>124</v>
      </c>
    </row>
    <row r="2593" spans="1:8" x14ac:dyDescent="0.25">
      <c r="A2593" s="4">
        <v>2013</v>
      </c>
      <c r="B2593" s="4">
        <v>231</v>
      </c>
      <c r="C2593" s="20">
        <v>41505</v>
      </c>
      <c r="D2593" s="16">
        <v>0.44444444444444442</v>
      </c>
      <c r="E2593" s="4">
        <v>50</v>
      </c>
      <c r="F2593" s="22">
        <v>12</v>
      </c>
      <c r="G2593" s="4">
        <v>0.33153370409604516</v>
      </c>
      <c r="H2593" s="4" t="s">
        <v>124</v>
      </c>
    </row>
    <row r="2594" spans="1:8" x14ac:dyDescent="0.25">
      <c r="A2594" s="4">
        <v>2013</v>
      </c>
      <c r="B2594" s="4">
        <v>231</v>
      </c>
      <c r="C2594" s="20">
        <v>41505</v>
      </c>
      <c r="D2594" s="16">
        <v>0.4513888888888889</v>
      </c>
      <c r="E2594" s="4">
        <v>50</v>
      </c>
      <c r="F2594" s="22">
        <v>13</v>
      </c>
      <c r="G2594" s="4">
        <v>0.32303601977401131</v>
      </c>
      <c r="H2594" s="4" t="s">
        <v>124</v>
      </c>
    </row>
    <row r="2595" spans="1:8" x14ac:dyDescent="0.25">
      <c r="A2595" s="4">
        <v>2013</v>
      </c>
      <c r="B2595" s="4">
        <v>231</v>
      </c>
      <c r="C2595" s="20">
        <v>41505</v>
      </c>
      <c r="D2595" s="16">
        <v>0.45208333333333334</v>
      </c>
      <c r="E2595" s="4">
        <v>50</v>
      </c>
      <c r="F2595" s="22">
        <v>14</v>
      </c>
      <c r="G2595" s="4">
        <v>0.33653098728813557</v>
      </c>
      <c r="H2595" s="4" t="s">
        <v>124</v>
      </c>
    </row>
    <row r="2596" spans="1:8" x14ac:dyDescent="0.25">
      <c r="A2596" s="4">
        <v>2013</v>
      </c>
      <c r="B2596" s="4">
        <v>231</v>
      </c>
      <c r="C2596" s="20">
        <v>41505</v>
      </c>
      <c r="D2596" s="16">
        <v>0.46527777777777773</v>
      </c>
      <c r="E2596" s="4">
        <v>50</v>
      </c>
      <c r="F2596" s="22">
        <v>15</v>
      </c>
      <c r="G2596" s="4">
        <v>0.32041071892655365</v>
      </c>
      <c r="H2596" s="4" t="s">
        <v>1</v>
      </c>
    </row>
    <row r="2597" spans="1:8" x14ac:dyDescent="0.25">
      <c r="A2597" s="4">
        <v>2013</v>
      </c>
      <c r="B2597" s="4">
        <v>231</v>
      </c>
      <c r="C2597" s="20">
        <v>41505</v>
      </c>
      <c r="D2597" s="16">
        <v>0.47013888888888888</v>
      </c>
      <c r="E2597" s="4">
        <v>50</v>
      </c>
      <c r="F2597" s="22">
        <v>16</v>
      </c>
      <c r="G2597" s="4">
        <v>0.30461285593220339</v>
      </c>
      <c r="H2597" s="4" t="s">
        <v>1</v>
      </c>
    </row>
    <row r="2598" spans="1:8" x14ac:dyDescent="0.25">
      <c r="A2598" s="4">
        <v>2013</v>
      </c>
      <c r="B2598" s="4">
        <v>231</v>
      </c>
      <c r="C2598" s="20">
        <v>41505</v>
      </c>
      <c r="D2598" s="16">
        <v>0.47916666666666669</v>
      </c>
      <c r="E2598" s="4">
        <v>50</v>
      </c>
      <c r="F2598" s="22">
        <v>17</v>
      </c>
      <c r="G2598" s="4">
        <v>0.34634132203389828</v>
      </c>
      <c r="H2598" s="4" t="s">
        <v>124</v>
      </c>
    </row>
    <row r="2599" spans="1:8" x14ac:dyDescent="0.25">
      <c r="A2599" s="4">
        <v>2013</v>
      </c>
      <c r="B2599" s="4">
        <v>231</v>
      </c>
      <c r="C2599" s="20">
        <v>41505</v>
      </c>
      <c r="D2599" s="16">
        <v>0.4861111111111111</v>
      </c>
      <c r="E2599" s="4">
        <v>50</v>
      </c>
      <c r="F2599" s="22">
        <v>18</v>
      </c>
      <c r="G2599" s="4">
        <v>0.33904114336158192</v>
      </c>
      <c r="H2599" s="4" t="s">
        <v>124</v>
      </c>
    </row>
    <row r="2600" spans="1:8" x14ac:dyDescent="0.25">
      <c r="A2600" s="4">
        <v>2013</v>
      </c>
      <c r="B2600" s="4">
        <v>231</v>
      </c>
      <c r="C2600" s="20">
        <v>41505</v>
      </c>
      <c r="D2600" s="16">
        <v>0.49305555555555558</v>
      </c>
      <c r="E2600" s="4">
        <v>50</v>
      </c>
      <c r="F2600" s="22">
        <v>19</v>
      </c>
      <c r="G2600" s="4">
        <v>0.32959927189265531</v>
      </c>
      <c r="H2600" s="4" t="s">
        <v>124</v>
      </c>
    </row>
    <row r="2601" spans="1:8" x14ac:dyDescent="0.25">
      <c r="A2601" s="4">
        <v>2013</v>
      </c>
      <c r="B2601" s="4">
        <v>231</v>
      </c>
      <c r="C2601" s="20">
        <v>41505</v>
      </c>
      <c r="D2601" s="16">
        <v>0.49374999999999997</v>
      </c>
      <c r="E2601" s="4">
        <v>50</v>
      </c>
      <c r="F2601" s="22">
        <v>20</v>
      </c>
      <c r="G2601" s="4">
        <v>0.34240337076271182</v>
      </c>
      <c r="H2601" s="4" t="s">
        <v>124</v>
      </c>
    </row>
    <row r="2602" spans="1:8" x14ac:dyDescent="0.25">
      <c r="A2602" s="4">
        <v>2013</v>
      </c>
      <c r="B2602" s="4">
        <v>231</v>
      </c>
      <c r="C2602" s="20">
        <v>41505</v>
      </c>
      <c r="D2602" s="16">
        <v>0.3611111111111111</v>
      </c>
      <c r="E2602" s="4">
        <v>30</v>
      </c>
      <c r="F2602" s="22">
        <v>1</v>
      </c>
      <c r="G2602" s="4">
        <v>0.32437169915254238</v>
      </c>
      <c r="H2602" s="4" t="s">
        <v>123</v>
      </c>
    </row>
    <row r="2603" spans="1:8" x14ac:dyDescent="0.25">
      <c r="A2603" s="4">
        <v>2013</v>
      </c>
      <c r="B2603" s="4">
        <v>231</v>
      </c>
      <c r="C2603" s="20">
        <v>41505</v>
      </c>
      <c r="D2603" s="16">
        <v>0.36805555555555558</v>
      </c>
      <c r="E2603" s="4">
        <v>30</v>
      </c>
      <c r="F2603" s="22">
        <v>2</v>
      </c>
      <c r="G2603" s="4">
        <v>0.32234515112994344</v>
      </c>
      <c r="H2603" s="4" t="s">
        <v>123</v>
      </c>
    </row>
    <row r="2604" spans="1:8" x14ac:dyDescent="0.25">
      <c r="A2604" s="4">
        <v>2013</v>
      </c>
      <c r="B2604" s="4">
        <v>231</v>
      </c>
      <c r="C2604" s="20">
        <v>41505</v>
      </c>
      <c r="D2604" s="16">
        <v>0.375</v>
      </c>
      <c r="E2604" s="4">
        <v>30</v>
      </c>
      <c r="F2604" s="22">
        <v>3</v>
      </c>
      <c r="G2604" s="4">
        <v>0.33945566454802262</v>
      </c>
      <c r="H2604" s="4" t="s">
        <v>123</v>
      </c>
    </row>
    <row r="2605" spans="1:8" x14ac:dyDescent="0.25">
      <c r="A2605" s="4">
        <v>2013</v>
      </c>
      <c r="B2605" s="4">
        <v>231</v>
      </c>
      <c r="C2605" s="20">
        <v>41505</v>
      </c>
      <c r="D2605" s="16">
        <v>0.38680555555555557</v>
      </c>
      <c r="E2605" s="4">
        <v>30</v>
      </c>
      <c r="F2605" s="22">
        <v>4</v>
      </c>
      <c r="G2605" s="4">
        <v>0.31628853601694912</v>
      </c>
      <c r="H2605" s="4" t="s">
        <v>123</v>
      </c>
    </row>
    <row r="2606" spans="1:8" x14ac:dyDescent="0.25">
      <c r="A2606" s="4">
        <v>2013</v>
      </c>
      <c r="B2606" s="4">
        <v>231</v>
      </c>
      <c r="C2606" s="20">
        <v>41505</v>
      </c>
      <c r="D2606" s="16">
        <v>0.39374999999999999</v>
      </c>
      <c r="E2606" s="4">
        <v>30</v>
      </c>
      <c r="F2606" s="22">
        <v>5</v>
      </c>
      <c r="G2606" s="4">
        <v>0.33968595409604518</v>
      </c>
      <c r="H2606" s="4" t="s">
        <v>0</v>
      </c>
    </row>
    <row r="2607" spans="1:8" x14ac:dyDescent="0.25">
      <c r="A2607" s="4">
        <v>2013</v>
      </c>
      <c r="B2607" s="4">
        <v>231</v>
      </c>
      <c r="C2607" s="20">
        <v>41505</v>
      </c>
      <c r="D2607" s="16">
        <v>0.39930555555555558</v>
      </c>
      <c r="E2607" s="4">
        <v>30</v>
      </c>
      <c r="F2607" s="22">
        <v>6</v>
      </c>
      <c r="G2607" s="4">
        <v>0.32909263488700563</v>
      </c>
      <c r="H2607" s="4" t="s">
        <v>0</v>
      </c>
    </row>
    <row r="2608" spans="1:8" x14ac:dyDescent="0.25">
      <c r="A2608" s="4">
        <v>2013</v>
      </c>
      <c r="B2608" s="4">
        <v>231</v>
      </c>
      <c r="C2608" s="20">
        <v>41505</v>
      </c>
      <c r="D2608" s="16">
        <v>0.40625</v>
      </c>
      <c r="E2608" s="4">
        <v>30</v>
      </c>
      <c r="F2608" s="22">
        <v>7</v>
      </c>
      <c r="G2608" s="4">
        <v>0.3202034583333333</v>
      </c>
      <c r="H2608" s="4" t="s">
        <v>123</v>
      </c>
    </row>
    <row r="2609" spans="1:8" x14ac:dyDescent="0.25">
      <c r="A2609" s="4">
        <v>2013</v>
      </c>
      <c r="B2609" s="4">
        <v>231</v>
      </c>
      <c r="C2609" s="20">
        <v>41505</v>
      </c>
      <c r="D2609" s="16">
        <v>0.41319444444444442</v>
      </c>
      <c r="E2609" s="4">
        <v>30</v>
      </c>
      <c r="F2609" s="22">
        <v>8</v>
      </c>
      <c r="G2609" s="4">
        <v>0.34339361581920902</v>
      </c>
      <c r="H2609" s="4" t="s">
        <v>123</v>
      </c>
    </row>
    <row r="2610" spans="1:8" x14ac:dyDescent="0.25">
      <c r="A2610" s="4">
        <v>2013</v>
      </c>
      <c r="B2610" s="4">
        <v>231</v>
      </c>
      <c r="C2610" s="20">
        <v>41505</v>
      </c>
      <c r="D2610" s="16">
        <v>0.41944444444444445</v>
      </c>
      <c r="E2610" s="4">
        <v>30</v>
      </c>
      <c r="F2610" s="22">
        <v>9</v>
      </c>
      <c r="G2610" s="4">
        <v>0.33436626553672316</v>
      </c>
      <c r="H2610" s="4" t="s">
        <v>123</v>
      </c>
    </row>
    <row r="2611" spans="1:8" x14ac:dyDescent="0.25">
      <c r="A2611" s="4">
        <v>2013</v>
      </c>
      <c r="B2611" s="4">
        <v>231</v>
      </c>
      <c r="C2611" s="20">
        <v>41505</v>
      </c>
      <c r="D2611" s="16">
        <v>0.42569444444444443</v>
      </c>
      <c r="E2611" s="4">
        <v>30</v>
      </c>
      <c r="F2611" s="22">
        <v>10</v>
      </c>
      <c r="G2611" s="4">
        <v>0.33139553036723163</v>
      </c>
      <c r="H2611" s="4" t="s">
        <v>123</v>
      </c>
    </row>
    <row r="2612" spans="1:8" x14ac:dyDescent="0.25">
      <c r="A2612" s="4">
        <v>2013</v>
      </c>
      <c r="B2612" s="4">
        <v>231</v>
      </c>
      <c r="C2612" s="20">
        <v>41505</v>
      </c>
      <c r="D2612" s="16">
        <v>0.4381944444444445</v>
      </c>
      <c r="E2612" s="4">
        <v>30</v>
      </c>
      <c r="F2612" s="22">
        <v>11</v>
      </c>
      <c r="G2612" s="4">
        <v>0.31359414830508475</v>
      </c>
      <c r="H2612" s="4" t="s">
        <v>124</v>
      </c>
    </row>
    <row r="2613" spans="1:8" x14ac:dyDescent="0.25">
      <c r="A2613" s="4">
        <v>2013</v>
      </c>
      <c r="B2613" s="4">
        <v>231</v>
      </c>
      <c r="C2613" s="20">
        <v>41505</v>
      </c>
      <c r="D2613" s="16">
        <v>0.44444444444444442</v>
      </c>
      <c r="E2613" s="4">
        <v>30</v>
      </c>
      <c r="F2613" s="22">
        <v>12</v>
      </c>
      <c r="G2613" s="4">
        <v>0.31161365819209036</v>
      </c>
      <c r="H2613" s="4" t="s">
        <v>124</v>
      </c>
    </row>
    <row r="2614" spans="1:8" x14ac:dyDescent="0.25">
      <c r="A2614" s="4">
        <v>2013</v>
      </c>
      <c r="B2614" s="4">
        <v>231</v>
      </c>
      <c r="C2614" s="20">
        <v>41505</v>
      </c>
      <c r="D2614" s="16">
        <v>0.4513888888888889</v>
      </c>
      <c r="E2614" s="4">
        <v>30</v>
      </c>
      <c r="F2614" s="22">
        <v>13</v>
      </c>
      <c r="G2614" s="4">
        <v>0.32204577471751411</v>
      </c>
      <c r="H2614" s="4" t="s">
        <v>124</v>
      </c>
    </row>
    <row r="2615" spans="1:8" x14ac:dyDescent="0.25">
      <c r="A2615" s="4">
        <v>2013</v>
      </c>
      <c r="B2615" s="4">
        <v>231</v>
      </c>
      <c r="C2615" s="20">
        <v>41505</v>
      </c>
      <c r="D2615" s="16">
        <v>0.45208333333333334</v>
      </c>
      <c r="E2615" s="4">
        <v>30</v>
      </c>
      <c r="F2615" s="22">
        <v>14</v>
      </c>
      <c r="G2615" s="4">
        <v>0.31214332415254237</v>
      </c>
      <c r="H2615" s="4" t="s">
        <v>124</v>
      </c>
    </row>
    <row r="2616" spans="1:8" x14ac:dyDescent="0.25">
      <c r="A2616" s="4">
        <v>2013</v>
      </c>
      <c r="B2616" s="4">
        <v>231</v>
      </c>
      <c r="C2616" s="20">
        <v>41505</v>
      </c>
      <c r="D2616" s="16">
        <v>0.46527777777777773</v>
      </c>
      <c r="E2616" s="4">
        <v>30</v>
      </c>
      <c r="F2616" s="22">
        <v>15</v>
      </c>
      <c r="G2616" s="4">
        <v>0.33349116525423728</v>
      </c>
      <c r="H2616" s="4" t="s">
        <v>1</v>
      </c>
    </row>
    <row r="2617" spans="1:8" x14ac:dyDescent="0.25">
      <c r="A2617" s="4">
        <v>2013</v>
      </c>
      <c r="B2617" s="4">
        <v>231</v>
      </c>
      <c r="C2617" s="20">
        <v>41505</v>
      </c>
      <c r="D2617" s="16">
        <v>0.47013888888888888</v>
      </c>
      <c r="E2617" s="4">
        <v>30</v>
      </c>
      <c r="F2617" s="22">
        <v>16</v>
      </c>
      <c r="G2617" s="4">
        <v>0.32860902683615817</v>
      </c>
      <c r="H2617" s="4" t="s">
        <v>1</v>
      </c>
    </row>
    <row r="2618" spans="1:8" x14ac:dyDescent="0.25">
      <c r="A2618" s="4">
        <v>2013</v>
      </c>
      <c r="B2618" s="4">
        <v>231</v>
      </c>
      <c r="C2618" s="20">
        <v>41505</v>
      </c>
      <c r="D2618" s="16">
        <v>0.47916666666666669</v>
      </c>
      <c r="E2618" s="4">
        <v>30</v>
      </c>
      <c r="F2618" s="22">
        <v>17</v>
      </c>
      <c r="G2618" s="4">
        <v>0.33091192231638417</v>
      </c>
      <c r="H2618" s="4" t="s">
        <v>124</v>
      </c>
    </row>
    <row r="2619" spans="1:8" x14ac:dyDescent="0.25">
      <c r="A2619" s="4">
        <v>2013</v>
      </c>
      <c r="B2619" s="4">
        <v>231</v>
      </c>
      <c r="C2619" s="20">
        <v>41505</v>
      </c>
      <c r="D2619" s="16">
        <v>0.4861111111111111</v>
      </c>
      <c r="E2619" s="4">
        <v>30</v>
      </c>
      <c r="F2619" s="22">
        <v>18</v>
      </c>
      <c r="G2619" s="4">
        <v>0.336922479519774</v>
      </c>
      <c r="H2619" s="4" t="s">
        <v>124</v>
      </c>
    </row>
    <row r="2620" spans="1:8" x14ac:dyDescent="0.25">
      <c r="A2620" s="4">
        <v>2013</v>
      </c>
      <c r="B2620" s="4">
        <v>231</v>
      </c>
      <c r="C2620" s="20">
        <v>41505</v>
      </c>
      <c r="D2620" s="16">
        <v>0.49305555555555558</v>
      </c>
      <c r="E2620" s="4">
        <v>30</v>
      </c>
      <c r="F2620" s="22">
        <v>19</v>
      </c>
      <c r="G2620" s="4">
        <v>0.30670849081920903</v>
      </c>
      <c r="H2620" s="4" t="s">
        <v>124</v>
      </c>
    </row>
    <row r="2621" spans="1:8" x14ac:dyDescent="0.25">
      <c r="A2621" s="4">
        <v>2013</v>
      </c>
      <c r="B2621" s="4">
        <v>231</v>
      </c>
      <c r="C2621" s="20">
        <v>41505</v>
      </c>
      <c r="D2621" s="16">
        <v>0.49374999999999997</v>
      </c>
      <c r="E2621" s="4">
        <v>30</v>
      </c>
      <c r="F2621" s="22">
        <v>20</v>
      </c>
      <c r="G2621" s="4">
        <v>0.30714604096045195</v>
      </c>
      <c r="H2621" s="4" t="s">
        <v>124</v>
      </c>
    </row>
    <row r="2622" spans="1:8" x14ac:dyDescent="0.25">
      <c r="A2622" s="4">
        <v>2013</v>
      </c>
      <c r="B2622" s="4">
        <v>231</v>
      </c>
      <c r="C2622" s="20">
        <v>41505</v>
      </c>
      <c r="D2622" s="16">
        <v>0.3611111111111111</v>
      </c>
      <c r="E2622" s="4">
        <v>10</v>
      </c>
      <c r="F2622" s="22">
        <v>1</v>
      </c>
      <c r="G2622" s="4">
        <v>0.26464325665859562</v>
      </c>
      <c r="H2622" s="4" t="s">
        <v>123</v>
      </c>
    </row>
    <row r="2623" spans="1:8" x14ac:dyDescent="0.25">
      <c r="A2623" s="4">
        <v>2013</v>
      </c>
      <c r="B2623" s="4">
        <v>231</v>
      </c>
      <c r="C2623" s="20">
        <v>41505</v>
      </c>
      <c r="D2623" s="16">
        <v>0.36805555555555558</v>
      </c>
      <c r="E2623" s="4">
        <v>10</v>
      </c>
      <c r="F2623" s="22">
        <v>2</v>
      </c>
      <c r="G2623" s="4">
        <v>0.29790069854721551</v>
      </c>
      <c r="H2623" s="4" t="s">
        <v>123</v>
      </c>
    </row>
    <row r="2624" spans="1:8" x14ac:dyDescent="0.25">
      <c r="A2624" s="4">
        <v>2013</v>
      </c>
      <c r="B2624" s="4">
        <v>231</v>
      </c>
      <c r="C2624" s="20">
        <v>41505</v>
      </c>
      <c r="D2624" s="16">
        <v>0.375</v>
      </c>
      <c r="E2624" s="4">
        <v>10</v>
      </c>
      <c r="F2624" s="22">
        <v>3</v>
      </c>
      <c r="G2624" s="4">
        <v>0.30690952996368037</v>
      </c>
      <c r="H2624" s="4" t="s">
        <v>123</v>
      </c>
    </row>
    <row r="2625" spans="1:8" x14ac:dyDescent="0.25">
      <c r="A2625" s="4">
        <v>2013</v>
      </c>
      <c r="B2625" s="4">
        <v>231</v>
      </c>
      <c r="C2625" s="20">
        <v>41505</v>
      </c>
      <c r="D2625" s="16">
        <v>0.38680555555555557</v>
      </c>
      <c r="E2625" s="4">
        <v>10</v>
      </c>
      <c r="F2625" s="22">
        <v>4</v>
      </c>
      <c r="G2625" s="4">
        <v>0.27272612681598063</v>
      </c>
      <c r="H2625" s="4" t="s">
        <v>123</v>
      </c>
    </row>
    <row r="2626" spans="1:8" x14ac:dyDescent="0.25">
      <c r="A2626" s="4">
        <v>2013</v>
      </c>
      <c r="B2626" s="4">
        <v>231</v>
      </c>
      <c r="C2626" s="20">
        <v>41505</v>
      </c>
      <c r="D2626" s="16">
        <v>0.39374999999999999</v>
      </c>
      <c r="E2626" s="4">
        <v>10</v>
      </c>
      <c r="F2626" s="22">
        <v>5</v>
      </c>
      <c r="G2626" s="4">
        <v>0.27839763952784508</v>
      </c>
      <c r="H2626" s="4" t="s">
        <v>0</v>
      </c>
    </row>
    <row r="2627" spans="1:8" x14ac:dyDescent="0.25">
      <c r="A2627" s="4">
        <v>2013</v>
      </c>
      <c r="B2627" s="4">
        <v>231</v>
      </c>
      <c r="C2627" s="20">
        <v>41505</v>
      </c>
      <c r="D2627" s="16">
        <v>0.39930555555555558</v>
      </c>
      <c r="E2627" s="4">
        <v>10</v>
      </c>
      <c r="F2627" s="22">
        <v>6</v>
      </c>
      <c r="G2627" s="4">
        <v>0.27708586107748184</v>
      </c>
      <c r="H2627" s="4" t="s">
        <v>0</v>
      </c>
    </row>
    <row r="2628" spans="1:8" x14ac:dyDescent="0.25">
      <c r="A2628" s="4">
        <v>2013</v>
      </c>
      <c r="B2628" s="4">
        <v>231</v>
      </c>
      <c r="C2628" s="20">
        <v>41505</v>
      </c>
      <c r="D2628" s="16">
        <v>0.40625</v>
      </c>
      <c r="E2628" s="4">
        <v>10</v>
      </c>
      <c r="F2628" s="22">
        <v>7</v>
      </c>
      <c r="G2628" s="4">
        <v>0.29948254903147703</v>
      </c>
      <c r="H2628" s="4" t="s">
        <v>123</v>
      </c>
    </row>
    <row r="2629" spans="1:8" x14ac:dyDescent="0.25">
      <c r="A2629" s="4">
        <v>2013</v>
      </c>
      <c r="B2629" s="4">
        <v>231</v>
      </c>
      <c r="C2629" s="20">
        <v>41505</v>
      </c>
      <c r="D2629" s="16">
        <v>0.41319444444444442</v>
      </c>
      <c r="E2629" s="4">
        <v>10</v>
      </c>
      <c r="F2629" s="22">
        <v>8</v>
      </c>
      <c r="G2629" s="4">
        <v>0.31379636682808715</v>
      </c>
      <c r="H2629" s="4" t="s">
        <v>123</v>
      </c>
    </row>
    <row r="2630" spans="1:8" x14ac:dyDescent="0.25">
      <c r="A2630" s="4">
        <v>2013</v>
      </c>
      <c r="B2630" s="4">
        <v>231</v>
      </c>
      <c r="C2630" s="20">
        <v>41505</v>
      </c>
      <c r="D2630" s="16">
        <v>0.41944444444444445</v>
      </c>
      <c r="E2630" s="4">
        <v>10</v>
      </c>
      <c r="F2630" s="22">
        <v>9</v>
      </c>
      <c r="G2630" s="4">
        <v>0.31292827814769975</v>
      </c>
      <c r="H2630" s="4" t="s">
        <v>123</v>
      </c>
    </row>
    <row r="2631" spans="1:8" x14ac:dyDescent="0.25">
      <c r="A2631" s="4">
        <v>2013</v>
      </c>
      <c r="B2631" s="4">
        <v>231</v>
      </c>
      <c r="C2631" s="20">
        <v>41505</v>
      </c>
      <c r="D2631" s="16">
        <v>0.42569444444444443</v>
      </c>
      <c r="E2631" s="4">
        <v>10</v>
      </c>
      <c r="F2631" s="22">
        <v>10</v>
      </c>
      <c r="G2631" s="4">
        <v>0.28846746822033897</v>
      </c>
      <c r="H2631" s="4" t="s">
        <v>123</v>
      </c>
    </row>
    <row r="2632" spans="1:8" x14ac:dyDescent="0.25">
      <c r="A2632" s="4">
        <v>2013</v>
      </c>
      <c r="B2632" s="4">
        <v>231</v>
      </c>
      <c r="C2632" s="20">
        <v>41505</v>
      </c>
      <c r="D2632" s="16">
        <v>0.4381944444444445</v>
      </c>
      <c r="E2632" s="4">
        <v>10</v>
      </c>
      <c r="F2632" s="22">
        <v>11</v>
      </c>
      <c r="G2632" s="4">
        <v>0.2649133286924939</v>
      </c>
      <c r="H2632" s="4" t="s">
        <v>124</v>
      </c>
    </row>
    <row r="2633" spans="1:8" x14ac:dyDescent="0.25">
      <c r="A2633" s="4">
        <v>2013</v>
      </c>
      <c r="B2633" s="4">
        <v>231</v>
      </c>
      <c r="C2633" s="20">
        <v>41505</v>
      </c>
      <c r="D2633" s="16">
        <v>0.44444444444444442</v>
      </c>
      <c r="E2633" s="4">
        <v>10</v>
      </c>
      <c r="F2633" s="22">
        <v>12</v>
      </c>
      <c r="G2633" s="4">
        <v>0.2392179037530266</v>
      </c>
      <c r="H2633" s="4" t="s">
        <v>124</v>
      </c>
    </row>
    <row r="2634" spans="1:8" x14ac:dyDescent="0.25">
      <c r="A2634" s="4">
        <v>2013</v>
      </c>
      <c r="B2634" s="4">
        <v>231</v>
      </c>
      <c r="C2634" s="20">
        <v>41505</v>
      </c>
      <c r="D2634" s="16">
        <v>0.4513888888888889</v>
      </c>
      <c r="E2634" s="4">
        <v>10</v>
      </c>
      <c r="F2634" s="22">
        <v>13</v>
      </c>
      <c r="G2634" s="4">
        <v>0.25461200968523001</v>
      </c>
      <c r="H2634" s="4" t="s">
        <v>124</v>
      </c>
    </row>
    <row r="2635" spans="1:8" x14ac:dyDescent="0.25">
      <c r="A2635" s="4">
        <v>2013</v>
      </c>
      <c r="B2635" s="4">
        <v>231</v>
      </c>
      <c r="C2635" s="20">
        <v>41505</v>
      </c>
      <c r="D2635" s="16">
        <v>0.45208333333333334</v>
      </c>
      <c r="E2635" s="4">
        <v>10</v>
      </c>
      <c r="F2635" s="22">
        <v>14</v>
      </c>
      <c r="G2635" s="4">
        <v>0.26205828147699761</v>
      </c>
      <c r="H2635" s="4" t="s">
        <v>124</v>
      </c>
    </row>
    <row r="2636" spans="1:8" x14ac:dyDescent="0.25">
      <c r="A2636" s="4">
        <v>2013</v>
      </c>
      <c r="B2636" s="4">
        <v>231</v>
      </c>
      <c r="C2636" s="20">
        <v>41505</v>
      </c>
      <c r="D2636" s="16">
        <v>0.46527777777777773</v>
      </c>
      <c r="E2636" s="4">
        <v>10</v>
      </c>
      <c r="F2636" s="22">
        <v>15</v>
      </c>
      <c r="G2636" s="4">
        <v>0.27255250907990314</v>
      </c>
      <c r="H2636" s="4" t="s">
        <v>1</v>
      </c>
    </row>
    <row r="2637" spans="1:8" x14ac:dyDescent="0.25">
      <c r="A2637" s="4">
        <v>2013</v>
      </c>
      <c r="B2637" s="4">
        <v>231</v>
      </c>
      <c r="C2637" s="20">
        <v>41505</v>
      </c>
      <c r="D2637" s="16">
        <v>0.47013888888888888</v>
      </c>
      <c r="E2637" s="4">
        <v>10</v>
      </c>
      <c r="F2637" s="22">
        <v>16</v>
      </c>
      <c r="G2637" s="4">
        <v>0.27174229297820823</v>
      </c>
      <c r="H2637" s="4" t="s">
        <v>1</v>
      </c>
    </row>
    <row r="2638" spans="1:8" x14ac:dyDescent="0.25">
      <c r="A2638" s="4">
        <v>2013</v>
      </c>
      <c r="B2638" s="4">
        <v>231</v>
      </c>
      <c r="C2638" s="20">
        <v>41505</v>
      </c>
      <c r="D2638" s="16">
        <v>0.47916666666666669</v>
      </c>
      <c r="E2638" s="4">
        <v>10</v>
      </c>
      <c r="F2638" s="22">
        <v>17</v>
      </c>
      <c r="G2638" s="4">
        <v>0.29064733535108961</v>
      </c>
      <c r="H2638" s="4" t="s">
        <v>124</v>
      </c>
    </row>
    <row r="2639" spans="1:8" x14ac:dyDescent="0.25">
      <c r="A2639" s="4">
        <v>2013</v>
      </c>
      <c r="B2639" s="4">
        <v>231</v>
      </c>
      <c r="C2639" s="20">
        <v>41505</v>
      </c>
      <c r="D2639" s="16">
        <v>0.4861111111111111</v>
      </c>
      <c r="E2639" s="4">
        <v>10</v>
      </c>
      <c r="F2639" s="22">
        <v>18</v>
      </c>
      <c r="G2639" s="4">
        <v>0.27828189437046003</v>
      </c>
      <c r="H2639" s="4" t="s">
        <v>124</v>
      </c>
    </row>
    <row r="2640" spans="1:8" x14ac:dyDescent="0.25">
      <c r="A2640" s="4">
        <v>2013</v>
      </c>
      <c r="B2640" s="4">
        <v>231</v>
      </c>
      <c r="C2640" s="20">
        <v>41505</v>
      </c>
      <c r="D2640" s="16">
        <v>0.49305555555555558</v>
      </c>
      <c r="E2640" s="4">
        <v>10</v>
      </c>
      <c r="F2640" s="22">
        <v>19</v>
      </c>
      <c r="G2640" s="4">
        <v>0.2483810620460048</v>
      </c>
      <c r="H2640" s="4" t="s">
        <v>124</v>
      </c>
    </row>
    <row r="2641" spans="1:8" x14ac:dyDescent="0.25">
      <c r="A2641" s="4">
        <v>2013</v>
      </c>
      <c r="B2641" s="4">
        <v>231</v>
      </c>
      <c r="C2641" s="20">
        <v>41505</v>
      </c>
      <c r="D2641" s="16">
        <v>0.49374999999999997</v>
      </c>
      <c r="E2641" s="4">
        <v>10</v>
      </c>
      <c r="F2641" s="22">
        <v>20</v>
      </c>
      <c r="G2641" s="4">
        <v>0.21529723789346245</v>
      </c>
      <c r="H2641" s="4" t="s">
        <v>124</v>
      </c>
    </row>
    <row r="2642" spans="1:8" x14ac:dyDescent="0.25">
      <c r="A2642" s="4">
        <v>2013</v>
      </c>
      <c r="B2642" s="4">
        <v>246</v>
      </c>
      <c r="C2642" s="20">
        <v>41520</v>
      </c>
      <c r="D2642" s="16">
        <v>0.36944444444444446</v>
      </c>
      <c r="E2642" s="4">
        <v>230</v>
      </c>
      <c r="F2642" s="22">
        <v>1</v>
      </c>
      <c r="G2642" s="4">
        <v>0.29397875353107344</v>
      </c>
      <c r="H2642" s="4" t="s">
        <v>123</v>
      </c>
    </row>
    <row r="2643" spans="1:8" x14ac:dyDescent="0.25">
      <c r="A2643" s="4">
        <v>2013</v>
      </c>
      <c r="B2643" s="4">
        <v>246</v>
      </c>
      <c r="C2643" s="20">
        <v>41520</v>
      </c>
      <c r="D2643" s="16">
        <v>0.37638888888888888</v>
      </c>
      <c r="E2643" s="4">
        <v>230</v>
      </c>
      <c r="F2643" s="22">
        <v>2</v>
      </c>
      <c r="G2643" s="4">
        <v>0.29932288276836161</v>
      </c>
      <c r="H2643" s="4" t="s">
        <v>123</v>
      </c>
    </row>
    <row r="2644" spans="1:8" x14ac:dyDescent="0.25">
      <c r="A2644" s="4">
        <v>2013</v>
      </c>
      <c r="B2644" s="4">
        <v>246</v>
      </c>
      <c r="C2644" s="20">
        <v>41520</v>
      </c>
      <c r="D2644" s="16">
        <v>0.3840277777777778</v>
      </c>
      <c r="E2644" s="4">
        <v>230</v>
      </c>
      <c r="F2644" s="22">
        <v>3</v>
      </c>
      <c r="G2644" s="4">
        <v>0.2814112408192091</v>
      </c>
      <c r="H2644" s="4" t="s">
        <v>123</v>
      </c>
    </row>
    <row r="2645" spans="1:8" x14ac:dyDescent="0.25">
      <c r="A2645" s="4">
        <v>2013</v>
      </c>
      <c r="B2645" s="4">
        <v>246</v>
      </c>
      <c r="C2645" s="20">
        <v>41520</v>
      </c>
      <c r="D2645" s="16">
        <v>0.3923611111111111</v>
      </c>
      <c r="E2645" s="4">
        <v>230</v>
      </c>
      <c r="F2645" s="22">
        <v>4</v>
      </c>
      <c r="G2645" s="4">
        <v>0.27749612782485877</v>
      </c>
      <c r="H2645" s="4" t="s">
        <v>123</v>
      </c>
    </row>
    <row r="2646" spans="1:8" x14ac:dyDescent="0.25">
      <c r="A2646" s="4">
        <v>2013</v>
      </c>
      <c r="B2646" s="4">
        <v>246</v>
      </c>
      <c r="C2646" s="20">
        <v>41520</v>
      </c>
      <c r="D2646" s="16">
        <v>0.39652777777777781</v>
      </c>
      <c r="E2646" s="4">
        <v>230</v>
      </c>
      <c r="F2646" s="22">
        <v>5</v>
      </c>
      <c r="G2646" s="4" t="e">
        <v>#N/A</v>
      </c>
      <c r="H2646" s="4" t="s">
        <v>0</v>
      </c>
    </row>
    <row r="2647" spans="1:8" x14ac:dyDescent="0.25">
      <c r="A2647" s="4">
        <v>2013</v>
      </c>
      <c r="B2647" s="4">
        <v>246</v>
      </c>
      <c r="C2647" s="20">
        <v>41520</v>
      </c>
      <c r="D2647" s="16">
        <v>0.40277777777777773</v>
      </c>
      <c r="E2647" s="4">
        <v>230</v>
      </c>
      <c r="F2647" s="22">
        <v>6</v>
      </c>
      <c r="G2647" s="4" t="e">
        <v>#N/A</v>
      </c>
      <c r="H2647" s="4" t="s">
        <v>0</v>
      </c>
    </row>
    <row r="2648" spans="1:8" x14ac:dyDescent="0.25">
      <c r="A2648" s="4">
        <v>2013</v>
      </c>
      <c r="B2648" s="4">
        <v>246</v>
      </c>
      <c r="C2648" s="20">
        <v>41520</v>
      </c>
      <c r="D2648" s="16">
        <v>0.41041666666666665</v>
      </c>
      <c r="E2648" s="4">
        <v>230</v>
      </c>
      <c r="F2648" s="22">
        <v>7</v>
      </c>
      <c r="G2648" s="4">
        <v>0.27340483474576271</v>
      </c>
      <c r="H2648" s="4" t="s">
        <v>123</v>
      </c>
    </row>
    <row r="2649" spans="1:8" x14ac:dyDescent="0.25">
      <c r="A2649" s="4">
        <v>2013</v>
      </c>
      <c r="B2649" s="4">
        <v>246</v>
      </c>
      <c r="C2649" s="20">
        <v>41520</v>
      </c>
      <c r="D2649" s="16">
        <v>0.42430555555555555</v>
      </c>
      <c r="E2649" s="4">
        <v>230</v>
      </c>
      <c r="F2649" s="22">
        <v>8</v>
      </c>
      <c r="G2649" s="4">
        <v>0.31001114124293788</v>
      </c>
      <c r="H2649" s="4" t="s">
        <v>123</v>
      </c>
    </row>
    <row r="2650" spans="1:8" x14ac:dyDescent="0.25">
      <c r="A2650" s="4">
        <v>2013</v>
      </c>
      <c r="B2650" s="4">
        <v>246</v>
      </c>
      <c r="C2650" s="20">
        <v>41520</v>
      </c>
      <c r="D2650" s="16">
        <v>0.43124999999999997</v>
      </c>
      <c r="E2650" s="4">
        <v>230</v>
      </c>
      <c r="F2650" s="22">
        <v>9</v>
      </c>
      <c r="G2650" s="4">
        <v>0.30206346186440675</v>
      </c>
      <c r="H2650" s="4" t="s">
        <v>123</v>
      </c>
    </row>
    <row r="2651" spans="1:8" x14ac:dyDescent="0.25">
      <c r="A2651" s="4">
        <v>2013</v>
      </c>
      <c r="B2651" s="4">
        <v>246</v>
      </c>
      <c r="C2651" s="20">
        <v>41520</v>
      </c>
      <c r="D2651" s="16">
        <v>0.43958333333333338</v>
      </c>
      <c r="E2651" s="4">
        <v>230</v>
      </c>
      <c r="F2651" s="22">
        <v>10</v>
      </c>
      <c r="G2651" s="4">
        <v>0.25952575918079096</v>
      </c>
      <c r="H2651" s="4" t="s">
        <v>123</v>
      </c>
    </row>
    <row r="2652" spans="1:8" x14ac:dyDescent="0.25">
      <c r="A2652" s="4">
        <v>2013</v>
      </c>
      <c r="B2652" s="4">
        <v>246</v>
      </c>
      <c r="C2652" s="20">
        <v>41520</v>
      </c>
      <c r="D2652" s="16">
        <v>0.45208333333333334</v>
      </c>
      <c r="E2652" s="4">
        <v>230</v>
      </c>
      <c r="F2652" s="22">
        <v>11</v>
      </c>
      <c r="G2652" s="4">
        <v>0.2931565798022599</v>
      </c>
      <c r="H2652" s="4" t="s">
        <v>124</v>
      </c>
    </row>
    <row r="2653" spans="1:8" x14ac:dyDescent="0.25">
      <c r="A2653" s="4">
        <v>2013</v>
      </c>
      <c r="B2653" s="4">
        <v>246</v>
      </c>
      <c r="C2653" s="20">
        <v>41520</v>
      </c>
      <c r="D2653" s="16">
        <v>0.45833333333333331</v>
      </c>
      <c r="E2653" s="4">
        <v>230</v>
      </c>
      <c r="F2653" s="22">
        <v>12</v>
      </c>
      <c r="G2653" s="4">
        <v>0.29198204590395477</v>
      </c>
      <c r="H2653" s="4" t="s">
        <v>124</v>
      </c>
    </row>
    <row r="2654" spans="1:8" x14ac:dyDescent="0.25">
      <c r="A2654" s="4">
        <v>2013</v>
      </c>
      <c r="B2654" s="4">
        <v>246</v>
      </c>
      <c r="C2654" s="20">
        <v>41520</v>
      </c>
      <c r="D2654" s="16">
        <v>0.46527777777777773</v>
      </c>
      <c r="E2654" s="4">
        <v>230</v>
      </c>
      <c r="F2654" s="22">
        <v>13</v>
      </c>
      <c r="G2654" s="4">
        <v>0.28865419985875707</v>
      </c>
      <c r="H2654" s="4" t="s">
        <v>124</v>
      </c>
    </row>
    <row r="2655" spans="1:8" x14ac:dyDescent="0.25">
      <c r="A2655" s="4">
        <v>2013</v>
      </c>
      <c r="B2655" s="4">
        <v>246</v>
      </c>
      <c r="C2655" s="20">
        <v>41520</v>
      </c>
      <c r="D2655" s="16">
        <v>0.47361111111111115</v>
      </c>
      <c r="E2655" s="4">
        <v>230</v>
      </c>
      <c r="F2655" s="22">
        <v>14</v>
      </c>
      <c r="G2655" s="4">
        <v>0.28164614759887008</v>
      </c>
      <c r="H2655" s="4" t="s">
        <v>124</v>
      </c>
    </row>
    <row r="2656" spans="1:8" x14ac:dyDescent="0.25">
      <c r="A2656" s="4">
        <v>2013</v>
      </c>
      <c r="B2656" s="4">
        <v>246</v>
      </c>
      <c r="C2656" s="20">
        <v>41520</v>
      </c>
      <c r="D2656" s="16">
        <v>0.48194444444444445</v>
      </c>
      <c r="E2656" s="4">
        <v>230</v>
      </c>
      <c r="F2656" s="22">
        <v>15</v>
      </c>
      <c r="G2656" s="4" t="e">
        <v>#N/A</v>
      </c>
      <c r="H2656" s="4" t="s">
        <v>1</v>
      </c>
    </row>
    <row r="2657" spans="1:8" x14ac:dyDescent="0.25">
      <c r="A2657" s="4">
        <v>2013</v>
      </c>
      <c r="B2657" s="4">
        <v>246</v>
      </c>
      <c r="C2657" s="20">
        <v>41520</v>
      </c>
      <c r="D2657" s="16">
        <v>0.48819444444444443</v>
      </c>
      <c r="E2657" s="4">
        <v>230</v>
      </c>
      <c r="F2657" s="22">
        <v>16</v>
      </c>
      <c r="G2657" s="4" t="e">
        <v>#N/A</v>
      </c>
      <c r="H2657" s="4" t="s">
        <v>1</v>
      </c>
    </row>
    <row r="2658" spans="1:8" x14ac:dyDescent="0.25">
      <c r="A2658" s="4">
        <v>2013</v>
      </c>
      <c r="B2658" s="4">
        <v>246</v>
      </c>
      <c r="C2658" s="20">
        <v>41520</v>
      </c>
      <c r="D2658" s="16">
        <v>0.49583333333333335</v>
      </c>
      <c r="E2658" s="4">
        <v>230</v>
      </c>
      <c r="F2658" s="22">
        <v>17</v>
      </c>
      <c r="G2658" s="4">
        <v>0.29691508827683616</v>
      </c>
      <c r="H2658" s="4" t="s">
        <v>124</v>
      </c>
    </row>
    <row r="2659" spans="1:8" x14ac:dyDescent="0.25">
      <c r="A2659" s="4">
        <v>2013</v>
      </c>
      <c r="B2659" s="4">
        <v>246</v>
      </c>
      <c r="C2659" s="20">
        <v>41520</v>
      </c>
      <c r="D2659" s="16">
        <v>0.50208333333333333</v>
      </c>
      <c r="E2659" s="4">
        <v>230</v>
      </c>
      <c r="F2659" s="22">
        <v>18</v>
      </c>
      <c r="G2659" s="4">
        <v>0.29638654802259889</v>
      </c>
      <c r="H2659" s="4" t="s">
        <v>124</v>
      </c>
    </row>
    <row r="2660" spans="1:8" x14ac:dyDescent="0.25">
      <c r="A2660" s="4">
        <v>2013</v>
      </c>
      <c r="B2660" s="4">
        <v>246</v>
      </c>
      <c r="C2660" s="20">
        <v>41520</v>
      </c>
      <c r="D2660" s="16">
        <v>0.50902777777777775</v>
      </c>
      <c r="E2660" s="4">
        <v>230</v>
      </c>
      <c r="F2660" s="22">
        <v>19</v>
      </c>
      <c r="G2660" s="4">
        <v>0.28332964618644069</v>
      </c>
      <c r="H2660" s="4" t="s">
        <v>124</v>
      </c>
    </row>
    <row r="2661" spans="1:8" x14ac:dyDescent="0.25">
      <c r="A2661" s="4">
        <v>2013</v>
      </c>
      <c r="B2661" s="4">
        <v>246</v>
      </c>
      <c r="C2661" s="20">
        <v>41520</v>
      </c>
      <c r="D2661" s="16">
        <v>0.51527777777777783</v>
      </c>
      <c r="E2661" s="4">
        <v>230</v>
      </c>
      <c r="F2661" s="22">
        <v>20</v>
      </c>
      <c r="G2661" s="4">
        <v>0.29622994350282489</v>
      </c>
      <c r="H2661" s="4" t="s">
        <v>124</v>
      </c>
    </row>
    <row r="2662" spans="1:8" x14ac:dyDescent="0.25">
      <c r="A2662" s="4">
        <v>2013</v>
      </c>
      <c r="B2662" s="4">
        <v>246</v>
      </c>
      <c r="C2662" s="20">
        <v>41520</v>
      </c>
      <c r="D2662" s="16">
        <v>0.36944444444444446</v>
      </c>
      <c r="E2662" s="4">
        <v>210</v>
      </c>
      <c r="F2662" s="22">
        <v>1</v>
      </c>
      <c r="G2662" s="4">
        <v>0.29591673446327688</v>
      </c>
      <c r="H2662" s="4" t="s">
        <v>123</v>
      </c>
    </row>
    <row r="2663" spans="1:8" x14ac:dyDescent="0.25">
      <c r="A2663" s="4">
        <v>2013</v>
      </c>
      <c r="B2663" s="4">
        <v>246</v>
      </c>
      <c r="C2663" s="20">
        <v>41520</v>
      </c>
      <c r="D2663" s="16">
        <v>0.37638888888888888</v>
      </c>
      <c r="E2663" s="4">
        <v>210</v>
      </c>
      <c r="F2663" s="22">
        <v>2</v>
      </c>
      <c r="G2663" s="4">
        <v>0.29388087570621468</v>
      </c>
      <c r="H2663" s="4" t="s">
        <v>123</v>
      </c>
    </row>
    <row r="2664" spans="1:8" x14ac:dyDescent="0.25">
      <c r="A2664" s="4">
        <v>2013</v>
      </c>
      <c r="B2664" s="4">
        <v>246</v>
      </c>
      <c r="C2664" s="20">
        <v>41520</v>
      </c>
      <c r="D2664" s="16">
        <v>0.3840277777777778</v>
      </c>
      <c r="E2664" s="4">
        <v>210</v>
      </c>
      <c r="F2664" s="22">
        <v>3</v>
      </c>
      <c r="G2664" s="4">
        <v>0.26322554096045198</v>
      </c>
      <c r="H2664" s="4" t="s">
        <v>123</v>
      </c>
    </row>
    <row r="2665" spans="1:8" x14ac:dyDescent="0.25">
      <c r="A2665" s="4">
        <v>2013</v>
      </c>
      <c r="B2665" s="4">
        <v>246</v>
      </c>
      <c r="C2665" s="20">
        <v>41520</v>
      </c>
      <c r="D2665" s="16">
        <v>0.3923611111111111</v>
      </c>
      <c r="E2665" s="4">
        <v>210</v>
      </c>
      <c r="F2665" s="22">
        <v>4</v>
      </c>
      <c r="G2665" s="4">
        <v>0.2813525141242938</v>
      </c>
      <c r="H2665" s="4" t="s">
        <v>123</v>
      </c>
    </row>
    <row r="2666" spans="1:8" x14ac:dyDescent="0.25">
      <c r="A2666" s="4">
        <v>2013</v>
      </c>
      <c r="B2666" s="4">
        <v>246</v>
      </c>
      <c r="C2666" s="20">
        <v>41520</v>
      </c>
      <c r="D2666" s="16">
        <v>0.39652777777777781</v>
      </c>
      <c r="E2666" s="4">
        <v>210</v>
      </c>
      <c r="F2666" s="22">
        <v>5</v>
      </c>
      <c r="G2666" s="4" t="e">
        <v>#N/A</v>
      </c>
      <c r="H2666" s="4" t="s">
        <v>0</v>
      </c>
    </row>
    <row r="2667" spans="1:8" x14ac:dyDescent="0.25">
      <c r="A2667" s="4">
        <v>2013</v>
      </c>
      <c r="B2667" s="4">
        <v>246</v>
      </c>
      <c r="C2667" s="20">
        <v>41520</v>
      </c>
      <c r="D2667" s="16">
        <v>0.40277777777777773</v>
      </c>
      <c r="E2667" s="4">
        <v>210</v>
      </c>
      <c r="F2667" s="22">
        <v>6</v>
      </c>
      <c r="G2667" s="4" t="e">
        <v>#N/A</v>
      </c>
      <c r="H2667" s="4" t="s">
        <v>0</v>
      </c>
    </row>
    <row r="2668" spans="1:8" x14ac:dyDescent="0.25">
      <c r="A2668" s="4">
        <v>2013</v>
      </c>
      <c r="B2668" s="4">
        <v>246</v>
      </c>
      <c r="C2668" s="20">
        <v>41520</v>
      </c>
      <c r="D2668" s="16">
        <v>0.41041666666666665</v>
      </c>
      <c r="E2668" s="4">
        <v>210</v>
      </c>
      <c r="F2668" s="22">
        <v>7</v>
      </c>
      <c r="G2668" s="4">
        <v>0.26210973375706215</v>
      </c>
      <c r="H2668" s="4" t="s">
        <v>123</v>
      </c>
    </row>
    <row r="2669" spans="1:8" x14ac:dyDescent="0.25">
      <c r="A2669" s="4">
        <v>2013</v>
      </c>
      <c r="B2669" s="4">
        <v>246</v>
      </c>
      <c r="C2669" s="20">
        <v>41520</v>
      </c>
      <c r="D2669" s="16">
        <v>0.42430555555555555</v>
      </c>
      <c r="E2669" s="4">
        <v>210</v>
      </c>
      <c r="F2669" s="22">
        <v>8</v>
      </c>
      <c r="G2669" s="4">
        <v>0.30208303742937859</v>
      </c>
      <c r="H2669" s="4" t="s">
        <v>123</v>
      </c>
    </row>
    <row r="2670" spans="1:8" x14ac:dyDescent="0.25">
      <c r="A2670" s="4">
        <v>2013</v>
      </c>
      <c r="B2670" s="4">
        <v>246</v>
      </c>
      <c r="C2670" s="20">
        <v>41520</v>
      </c>
      <c r="D2670" s="16">
        <v>0.43124999999999997</v>
      </c>
      <c r="E2670" s="4">
        <v>210</v>
      </c>
      <c r="F2670" s="22">
        <v>9</v>
      </c>
      <c r="G2670" s="4">
        <v>0.29155138347457626</v>
      </c>
      <c r="H2670" s="4" t="s">
        <v>123</v>
      </c>
    </row>
    <row r="2671" spans="1:8" x14ac:dyDescent="0.25">
      <c r="A2671" s="4">
        <v>2013</v>
      </c>
      <c r="B2671" s="4">
        <v>246</v>
      </c>
      <c r="C2671" s="20">
        <v>41520</v>
      </c>
      <c r="D2671" s="16">
        <v>0.43958333333333338</v>
      </c>
      <c r="E2671" s="4">
        <v>210</v>
      </c>
      <c r="F2671" s="22">
        <v>10</v>
      </c>
      <c r="G2671" s="4">
        <v>0.25488635028248591</v>
      </c>
      <c r="H2671" s="4" t="s">
        <v>123</v>
      </c>
    </row>
    <row r="2672" spans="1:8" x14ac:dyDescent="0.25">
      <c r="A2672" s="4">
        <v>2013</v>
      </c>
      <c r="B2672" s="4">
        <v>246</v>
      </c>
      <c r="C2672" s="20">
        <v>41520</v>
      </c>
      <c r="D2672" s="16">
        <v>0.45208333333333334</v>
      </c>
      <c r="E2672" s="4">
        <v>210</v>
      </c>
      <c r="F2672" s="22">
        <v>11</v>
      </c>
      <c r="G2672" s="4">
        <v>0.30061487005649717</v>
      </c>
      <c r="H2672" s="4" t="s">
        <v>124</v>
      </c>
    </row>
    <row r="2673" spans="1:8" x14ac:dyDescent="0.25">
      <c r="A2673" s="4">
        <v>2013</v>
      </c>
      <c r="B2673" s="4">
        <v>246</v>
      </c>
      <c r="C2673" s="20">
        <v>41520</v>
      </c>
      <c r="D2673" s="16">
        <v>0.45833333333333331</v>
      </c>
      <c r="E2673" s="4">
        <v>210</v>
      </c>
      <c r="F2673" s="22">
        <v>12</v>
      </c>
      <c r="G2673" s="4">
        <v>0.30339460028248588</v>
      </c>
      <c r="H2673" s="4" t="s">
        <v>124</v>
      </c>
    </row>
    <row r="2674" spans="1:8" x14ac:dyDescent="0.25">
      <c r="A2674" s="4">
        <v>2013</v>
      </c>
      <c r="B2674" s="4">
        <v>246</v>
      </c>
      <c r="C2674" s="20">
        <v>41520</v>
      </c>
      <c r="D2674" s="16">
        <v>0.46527777777777773</v>
      </c>
      <c r="E2674" s="4">
        <v>210</v>
      </c>
      <c r="F2674" s="22">
        <v>13</v>
      </c>
      <c r="G2674" s="4">
        <v>0.29826580225988703</v>
      </c>
      <c r="H2674" s="4" t="s">
        <v>124</v>
      </c>
    </row>
    <row r="2675" spans="1:8" x14ac:dyDescent="0.25">
      <c r="A2675" s="4">
        <v>2013</v>
      </c>
      <c r="B2675" s="4">
        <v>246</v>
      </c>
      <c r="C2675" s="20">
        <v>41520</v>
      </c>
      <c r="D2675" s="16">
        <v>0.47361111111111115</v>
      </c>
      <c r="E2675" s="4">
        <v>210</v>
      </c>
      <c r="F2675" s="22">
        <v>14</v>
      </c>
      <c r="G2675" s="4">
        <v>0.26510479519774011</v>
      </c>
      <c r="H2675" s="4" t="s">
        <v>124</v>
      </c>
    </row>
    <row r="2676" spans="1:8" x14ac:dyDescent="0.25">
      <c r="A2676" s="4">
        <v>2013</v>
      </c>
      <c r="B2676" s="4">
        <v>246</v>
      </c>
      <c r="C2676" s="20">
        <v>41520</v>
      </c>
      <c r="D2676" s="16">
        <v>0.48194444444444445</v>
      </c>
      <c r="E2676" s="4">
        <v>210</v>
      </c>
      <c r="F2676" s="22">
        <v>15</v>
      </c>
      <c r="G2676" s="4" t="e">
        <v>#N/A</v>
      </c>
      <c r="H2676" s="4" t="s">
        <v>1</v>
      </c>
    </row>
    <row r="2677" spans="1:8" x14ac:dyDescent="0.25">
      <c r="A2677" s="4">
        <v>2013</v>
      </c>
      <c r="B2677" s="4">
        <v>246</v>
      </c>
      <c r="C2677" s="20">
        <v>41520</v>
      </c>
      <c r="D2677" s="16">
        <v>0.48819444444444443</v>
      </c>
      <c r="E2677" s="4">
        <v>210</v>
      </c>
      <c r="F2677" s="22">
        <v>16</v>
      </c>
      <c r="G2677" s="4" t="e">
        <v>#N/A</v>
      </c>
      <c r="H2677" s="4" t="s">
        <v>1</v>
      </c>
    </row>
    <row r="2678" spans="1:8" x14ac:dyDescent="0.25">
      <c r="A2678" s="4">
        <v>2013</v>
      </c>
      <c r="B2678" s="4">
        <v>246</v>
      </c>
      <c r="C2678" s="20">
        <v>41520</v>
      </c>
      <c r="D2678" s="16">
        <v>0.49583333333333335</v>
      </c>
      <c r="E2678" s="4">
        <v>210</v>
      </c>
      <c r="F2678" s="22">
        <v>17</v>
      </c>
      <c r="G2678" s="4">
        <v>0.30039953884180792</v>
      </c>
      <c r="H2678" s="4" t="s">
        <v>124</v>
      </c>
    </row>
    <row r="2679" spans="1:8" x14ac:dyDescent="0.25">
      <c r="A2679" s="4">
        <v>2013</v>
      </c>
      <c r="B2679" s="4">
        <v>246</v>
      </c>
      <c r="C2679" s="20">
        <v>41520</v>
      </c>
      <c r="D2679" s="16">
        <v>0.50208333333333333</v>
      </c>
      <c r="E2679" s="4">
        <v>210</v>
      </c>
      <c r="F2679" s="22">
        <v>18</v>
      </c>
      <c r="G2679" s="4">
        <v>0.29934245833333334</v>
      </c>
      <c r="H2679" s="4" t="s">
        <v>124</v>
      </c>
    </row>
    <row r="2680" spans="1:8" x14ac:dyDescent="0.25">
      <c r="A2680" s="4">
        <v>2013</v>
      </c>
      <c r="B2680" s="4">
        <v>246</v>
      </c>
      <c r="C2680" s="20">
        <v>41520</v>
      </c>
      <c r="D2680" s="16">
        <v>0.50902777777777775</v>
      </c>
      <c r="E2680" s="4">
        <v>210</v>
      </c>
      <c r="F2680" s="22">
        <v>19</v>
      </c>
      <c r="G2680" s="4">
        <v>0.29104241878531079</v>
      </c>
      <c r="H2680" s="4" t="s">
        <v>124</v>
      </c>
    </row>
    <row r="2681" spans="1:8" x14ac:dyDescent="0.25">
      <c r="A2681" s="4">
        <v>2013</v>
      </c>
      <c r="B2681" s="4">
        <v>246</v>
      </c>
      <c r="C2681" s="20">
        <v>41520</v>
      </c>
      <c r="D2681" s="16">
        <v>0.51527777777777783</v>
      </c>
      <c r="E2681" s="4">
        <v>210</v>
      </c>
      <c r="F2681" s="22">
        <v>20</v>
      </c>
      <c r="G2681" s="4">
        <v>0.29902924929378533</v>
      </c>
      <c r="H2681" s="4" t="s">
        <v>124</v>
      </c>
    </row>
    <row r="2682" spans="1:8" x14ac:dyDescent="0.25">
      <c r="A2682" s="4">
        <v>2013</v>
      </c>
      <c r="B2682" s="4">
        <v>246</v>
      </c>
      <c r="C2682" s="20">
        <v>41520</v>
      </c>
      <c r="D2682" s="16">
        <v>0.36944444444444446</v>
      </c>
      <c r="E2682" s="4">
        <v>190</v>
      </c>
      <c r="F2682" s="22">
        <v>1</v>
      </c>
      <c r="G2682" s="4">
        <v>0.27765273234463278</v>
      </c>
      <c r="H2682" s="4" t="s">
        <v>123</v>
      </c>
    </row>
    <row r="2683" spans="1:8" x14ac:dyDescent="0.25">
      <c r="A2683" s="4">
        <v>2013</v>
      </c>
      <c r="B2683" s="4">
        <v>246</v>
      </c>
      <c r="C2683" s="20">
        <v>41520</v>
      </c>
      <c r="D2683" s="16">
        <v>0.37638888888888888</v>
      </c>
      <c r="E2683" s="4">
        <v>190</v>
      </c>
      <c r="F2683" s="22">
        <v>2</v>
      </c>
      <c r="G2683" s="4">
        <v>0.28462163347457625</v>
      </c>
      <c r="H2683" s="4" t="s">
        <v>123</v>
      </c>
    </row>
    <row r="2684" spans="1:8" x14ac:dyDescent="0.25">
      <c r="A2684" s="4">
        <v>2013</v>
      </c>
      <c r="B2684" s="4">
        <v>246</v>
      </c>
      <c r="C2684" s="20">
        <v>41520</v>
      </c>
      <c r="D2684" s="16">
        <v>0.3840277777777778</v>
      </c>
      <c r="E2684" s="4">
        <v>190</v>
      </c>
      <c r="F2684" s="22">
        <v>3</v>
      </c>
      <c r="G2684" s="4">
        <v>0.27594965819209039</v>
      </c>
      <c r="H2684" s="4" t="s">
        <v>123</v>
      </c>
    </row>
    <row r="2685" spans="1:8" x14ac:dyDescent="0.25">
      <c r="A2685" s="4">
        <v>2013</v>
      </c>
      <c r="B2685" s="4">
        <v>246</v>
      </c>
      <c r="C2685" s="20">
        <v>41520</v>
      </c>
      <c r="D2685" s="16">
        <v>0.3923611111111111</v>
      </c>
      <c r="E2685" s="4">
        <v>190</v>
      </c>
      <c r="F2685" s="22">
        <v>4</v>
      </c>
      <c r="G2685" s="4">
        <v>0.28802778177966104</v>
      </c>
      <c r="H2685" s="4" t="s">
        <v>123</v>
      </c>
    </row>
    <row r="2686" spans="1:8" x14ac:dyDescent="0.25">
      <c r="A2686" s="4">
        <v>2013</v>
      </c>
      <c r="B2686" s="4">
        <v>246</v>
      </c>
      <c r="C2686" s="20">
        <v>41520</v>
      </c>
      <c r="D2686" s="16">
        <v>0.39652777777777781</v>
      </c>
      <c r="E2686" s="4">
        <v>190</v>
      </c>
      <c r="F2686" s="22">
        <v>5</v>
      </c>
      <c r="G2686" s="4">
        <v>0.33937448870056502</v>
      </c>
      <c r="H2686" s="4" t="s">
        <v>0</v>
      </c>
    </row>
    <row r="2687" spans="1:8" x14ac:dyDescent="0.25">
      <c r="A2687" s="4">
        <v>2013</v>
      </c>
      <c r="B2687" s="4">
        <v>246</v>
      </c>
      <c r="C2687" s="20">
        <v>41520</v>
      </c>
      <c r="D2687" s="16">
        <v>0.40277777777777773</v>
      </c>
      <c r="E2687" s="4">
        <v>190</v>
      </c>
      <c r="F2687" s="22">
        <v>6</v>
      </c>
      <c r="G2687" s="4">
        <v>0.33778886793785312</v>
      </c>
      <c r="H2687" s="4" t="s">
        <v>0</v>
      </c>
    </row>
    <row r="2688" spans="1:8" x14ac:dyDescent="0.25">
      <c r="A2688" s="4">
        <v>2013</v>
      </c>
      <c r="B2688" s="4">
        <v>246</v>
      </c>
      <c r="C2688" s="20">
        <v>41520</v>
      </c>
      <c r="D2688" s="16">
        <v>0.41041666666666665</v>
      </c>
      <c r="E2688" s="4">
        <v>190</v>
      </c>
      <c r="F2688" s="22">
        <v>7</v>
      </c>
      <c r="G2688" s="4">
        <v>0.26855009463276841</v>
      </c>
      <c r="H2688" s="4" t="s">
        <v>123</v>
      </c>
    </row>
    <row r="2689" spans="1:8" x14ac:dyDescent="0.25">
      <c r="A2689" s="4">
        <v>2013</v>
      </c>
      <c r="B2689" s="4">
        <v>246</v>
      </c>
      <c r="C2689" s="20">
        <v>41520</v>
      </c>
      <c r="D2689" s="16">
        <v>0.42430555555555555</v>
      </c>
      <c r="E2689" s="4">
        <v>190</v>
      </c>
      <c r="F2689" s="22">
        <v>8</v>
      </c>
      <c r="G2689" s="4">
        <v>0.28697070127118646</v>
      </c>
      <c r="H2689" s="4" t="s">
        <v>123</v>
      </c>
    </row>
    <row r="2690" spans="1:8" x14ac:dyDescent="0.25">
      <c r="A2690" s="4">
        <v>2013</v>
      </c>
      <c r="B2690" s="4">
        <v>246</v>
      </c>
      <c r="C2690" s="20">
        <v>41520</v>
      </c>
      <c r="D2690" s="16">
        <v>0.43124999999999997</v>
      </c>
      <c r="E2690" s="4">
        <v>190</v>
      </c>
      <c r="F2690" s="22">
        <v>9</v>
      </c>
      <c r="G2690" s="4">
        <v>0.27620414053672321</v>
      </c>
      <c r="H2690" s="4" t="s">
        <v>123</v>
      </c>
    </row>
    <row r="2691" spans="1:8" x14ac:dyDescent="0.25">
      <c r="A2691" s="4">
        <v>2013</v>
      </c>
      <c r="B2691" s="4">
        <v>246</v>
      </c>
      <c r="C2691" s="20">
        <v>41520</v>
      </c>
      <c r="D2691" s="16">
        <v>0.43958333333333338</v>
      </c>
      <c r="E2691" s="4">
        <v>190</v>
      </c>
      <c r="F2691" s="22">
        <v>10</v>
      </c>
      <c r="G2691" s="4">
        <v>0.28442587782485879</v>
      </c>
      <c r="H2691" s="4" t="s">
        <v>123</v>
      </c>
    </row>
    <row r="2692" spans="1:8" x14ac:dyDescent="0.25">
      <c r="A2692" s="4">
        <v>2013</v>
      </c>
      <c r="B2692" s="4">
        <v>246</v>
      </c>
      <c r="C2692" s="20">
        <v>41520</v>
      </c>
      <c r="D2692" s="16">
        <v>0.45208333333333334</v>
      </c>
      <c r="E2692" s="4">
        <v>190</v>
      </c>
      <c r="F2692" s="22">
        <v>11</v>
      </c>
      <c r="G2692" s="4">
        <v>0.30235709533898303</v>
      </c>
      <c r="H2692" s="4" t="s">
        <v>124</v>
      </c>
    </row>
    <row r="2693" spans="1:8" x14ac:dyDescent="0.25">
      <c r="A2693" s="4">
        <v>2013</v>
      </c>
      <c r="B2693" s="4">
        <v>246</v>
      </c>
      <c r="C2693" s="20">
        <v>41520</v>
      </c>
      <c r="D2693" s="16">
        <v>0.45833333333333331</v>
      </c>
      <c r="E2693" s="4">
        <v>190</v>
      </c>
      <c r="F2693" s="22">
        <v>12</v>
      </c>
      <c r="G2693" s="4">
        <v>0.30803400918079099</v>
      </c>
      <c r="H2693" s="4" t="s">
        <v>124</v>
      </c>
    </row>
    <row r="2694" spans="1:8" x14ac:dyDescent="0.25">
      <c r="A2694" s="4">
        <v>2013</v>
      </c>
      <c r="B2694" s="4">
        <v>246</v>
      </c>
      <c r="C2694" s="20">
        <v>41520</v>
      </c>
      <c r="D2694" s="16">
        <v>0.46527777777777773</v>
      </c>
      <c r="E2694" s="4">
        <v>190</v>
      </c>
      <c r="F2694" s="22">
        <v>13</v>
      </c>
      <c r="G2694" s="4">
        <v>0.30067359675141242</v>
      </c>
      <c r="H2694" s="4" t="s">
        <v>124</v>
      </c>
    </row>
    <row r="2695" spans="1:8" x14ac:dyDescent="0.25">
      <c r="A2695" s="4">
        <v>2013</v>
      </c>
      <c r="B2695" s="4">
        <v>246</v>
      </c>
      <c r="C2695" s="20">
        <v>41520</v>
      </c>
      <c r="D2695" s="16">
        <v>0.47361111111111115</v>
      </c>
      <c r="E2695" s="4">
        <v>190</v>
      </c>
      <c r="F2695" s="22">
        <v>14</v>
      </c>
      <c r="G2695" s="4">
        <v>0.29211907485875704</v>
      </c>
      <c r="H2695" s="4" t="s">
        <v>124</v>
      </c>
    </row>
    <row r="2696" spans="1:8" x14ac:dyDescent="0.25">
      <c r="A2696" s="4">
        <v>2013</v>
      </c>
      <c r="B2696" s="4">
        <v>246</v>
      </c>
      <c r="C2696" s="20">
        <v>41520</v>
      </c>
      <c r="D2696" s="16">
        <v>0.48194444444444445</v>
      </c>
      <c r="E2696" s="4">
        <v>190</v>
      </c>
      <c r="F2696" s="22">
        <v>15</v>
      </c>
      <c r="G2696" s="4">
        <v>0.33209237853107348</v>
      </c>
      <c r="H2696" s="4" t="s">
        <v>1</v>
      </c>
    </row>
    <row r="2697" spans="1:8" x14ac:dyDescent="0.25">
      <c r="A2697" s="4">
        <v>2013</v>
      </c>
      <c r="B2697" s="4">
        <v>246</v>
      </c>
      <c r="C2697" s="20">
        <v>41520</v>
      </c>
      <c r="D2697" s="16">
        <v>0.48819444444444443</v>
      </c>
      <c r="E2697" s="4">
        <v>190</v>
      </c>
      <c r="F2697" s="22">
        <v>16</v>
      </c>
      <c r="G2697" s="4">
        <v>0.33776929237288139</v>
      </c>
      <c r="H2697" s="4" t="s">
        <v>1</v>
      </c>
    </row>
    <row r="2698" spans="1:8" x14ac:dyDescent="0.25">
      <c r="A2698" s="4">
        <v>2013</v>
      </c>
      <c r="B2698" s="4">
        <v>246</v>
      </c>
      <c r="C2698" s="20">
        <v>41520</v>
      </c>
      <c r="D2698" s="16">
        <v>0.49583333333333335</v>
      </c>
      <c r="E2698" s="4">
        <v>190</v>
      </c>
      <c r="F2698" s="22">
        <v>17</v>
      </c>
      <c r="G2698" s="4">
        <v>0.3147484279661017</v>
      </c>
      <c r="H2698" s="4" t="s">
        <v>124</v>
      </c>
    </row>
    <row r="2699" spans="1:8" x14ac:dyDescent="0.25">
      <c r="A2699" s="4">
        <v>2013</v>
      </c>
      <c r="B2699" s="4">
        <v>246</v>
      </c>
      <c r="C2699" s="20">
        <v>41520</v>
      </c>
      <c r="D2699" s="16">
        <v>0.50208333333333333</v>
      </c>
      <c r="E2699" s="4">
        <v>190</v>
      </c>
      <c r="F2699" s="22">
        <v>18</v>
      </c>
      <c r="G2699" s="4">
        <v>0.30670287076271185</v>
      </c>
      <c r="H2699" s="4" t="s">
        <v>124</v>
      </c>
    </row>
    <row r="2700" spans="1:8" x14ac:dyDescent="0.25">
      <c r="A2700" s="4">
        <v>2013</v>
      </c>
      <c r="B2700" s="4">
        <v>246</v>
      </c>
      <c r="C2700" s="20">
        <v>41520</v>
      </c>
      <c r="D2700" s="16">
        <v>0.50902777777777775</v>
      </c>
      <c r="E2700" s="4">
        <v>190</v>
      </c>
      <c r="F2700" s="22">
        <v>19</v>
      </c>
      <c r="G2700" s="4">
        <v>0.29386130014124295</v>
      </c>
      <c r="H2700" s="4" t="s">
        <v>124</v>
      </c>
    </row>
    <row r="2701" spans="1:8" x14ac:dyDescent="0.25">
      <c r="A2701" s="4">
        <v>2013</v>
      </c>
      <c r="B2701" s="4">
        <v>246</v>
      </c>
      <c r="C2701" s="20">
        <v>41520</v>
      </c>
      <c r="D2701" s="16">
        <v>0.51527777777777783</v>
      </c>
      <c r="E2701" s="4">
        <v>190</v>
      </c>
      <c r="F2701" s="22">
        <v>20</v>
      </c>
      <c r="G2701" s="4">
        <v>0.29356766666666667</v>
      </c>
      <c r="H2701" s="4" t="s">
        <v>124</v>
      </c>
    </row>
    <row r="2702" spans="1:8" x14ac:dyDescent="0.25">
      <c r="A2702" s="4">
        <v>2013</v>
      </c>
      <c r="B2702" s="4">
        <v>246</v>
      </c>
      <c r="C2702" s="20">
        <v>41520</v>
      </c>
      <c r="D2702" s="16">
        <v>0.36944444444444446</v>
      </c>
      <c r="E2702" s="4">
        <v>170</v>
      </c>
      <c r="F2702" s="22">
        <v>1</v>
      </c>
      <c r="G2702" s="4">
        <v>0.2624816694915254</v>
      </c>
      <c r="H2702" s="4" t="s">
        <v>123</v>
      </c>
    </row>
    <row r="2703" spans="1:8" x14ac:dyDescent="0.25">
      <c r="A2703" s="4">
        <v>2013</v>
      </c>
      <c r="B2703" s="4">
        <v>246</v>
      </c>
      <c r="C2703" s="20">
        <v>41520</v>
      </c>
      <c r="D2703" s="16">
        <v>0.37638888888888888</v>
      </c>
      <c r="E2703" s="4">
        <v>170</v>
      </c>
      <c r="F2703" s="22">
        <v>2</v>
      </c>
      <c r="G2703" s="4">
        <v>0.25852740536723162</v>
      </c>
      <c r="H2703" s="4" t="s">
        <v>123</v>
      </c>
    </row>
    <row r="2704" spans="1:8" x14ac:dyDescent="0.25">
      <c r="A2704" s="4">
        <v>2013</v>
      </c>
      <c r="B2704" s="4">
        <v>246</v>
      </c>
      <c r="C2704" s="20">
        <v>41520</v>
      </c>
      <c r="D2704" s="16">
        <v>0.3840277777777778</v>
      </c>
      <c r="E2704" s="4">
        <v>170</v>
      </c>
      <c r="F2704" s="22">
        <v>3</v>
      </c>
      <c r="G2704" s="4">
        <v>0.28530677824858758</v>
      </c>
      <c r="H2704" s="4" t="s">
        <v>123</v>
      </c>
    </row>
    <row r="2705" spans="1:8" x14ac:dyDescent="0.25">
      <c r="A2705" s="4">
        <v>2013</v>
      </c>
      <c r="B2705" s="4">
        <v>246</v>
      </c>
      <c r="C2705" s="20">
        <v>41520</v>
      </c>
      <c r="D2705" s="16">
        <v>0.3923611111111111</v>
      </c>
      <c r="E2705" s="4">
        <v>170</v>
      </c>
      <c r="F2705" s="22">
        <v>4</v>
      </c>
      <c r="G2705" s="4">
        <v>0.28591362076271187</v>
      </c>
      <c r="H2705" s="4" t="s">
        <v>123</v>
      </c>
    </row>
    <row r="2706" spans="1:8" x14ac:dyDescent="0.25">
      <c r="A2706" s="4">
        <v>2013</v>
      </c>
      <c r="B2706" s="4">
        <v>246</v>
      </c>
      <c r="C2706" s="20">
        <v>41520</v>
      </c>
      <c r="D2706" s="16">
        <v>0.39652777777777781</v>
      </c>
      <c r="E2706" s="4">
        <v>170</v>
      </c>
      <c r="F2706" s="22">
        <v>5</v>
      </c>
      <c r="G2706" s="4">
        <v>0.32066024858757064</v>
      </c>
      <c r="H2706" s="4" t="s">
        <v>0</v>
      </c>
    </row>
    <row r="2707" spans="1:8" x14ac:dyDescent="0.25">
      <c r="A2707" s="4">
        <v>2013</v>
      </c>
      <c r="B2707" s="4">
        <v>246</v>
      </c>
      <c r="C2707" s="20">
        <v>41520</v>
      </c>
      <c r="D2707" s="16">
        <v>0.40277777777777773</v>
      </c>
      <c r="E2707" s="4">
        <v>170</v>
      </c>
      <c r="F2707" s="22">
        <v>6</v>
      </c>
      <c r="G2707" s="4">
        <v>0.31793924505649718</v>
      </c>
      <c r="H2707" s="4" t="s">
        <v>0</v>
      </c>
    </row>
    <row r="2708" spans="1:8" x14ac:dyDescent="0.25">
      <c r="A2708" s="4">
        <v>2013</v>
      </c>
      <c r="B2708" s="4">
        <v>246</v>
      </c>
      <c r="C2708" s="20">
        <v>41520</v>
      </c>
      <c r="D2708" s="16">
        <v>0.41041666666666665</v>
      </c>
      <c r="E2708" s="4">
        <v>170</v>
      </c>
      <c r="F2708" s="22">
        <v>7</v>
      </c>
      <c r="G2708" s="4">
        <v>0.2914535056497175</v>
      </c>
      <c r="H2708" s="4" t="s">
        <v>123</v>
      </c>
    </row>
    <row r="2709" spans="1:8" x14ac:dyDescent="0.25">
      <c r="A2709" s="4">
        <v>2013</v>
      </c>
      <c r="B2709" s="4">
        <v>246</v>
      </c>
      <c r="C2709" s="20">
        <v>41520</v>
      </c>
      <c r="D2709" s="16">
        <v>0.42430555555555555</v>
      </c>
      <c r="E2709" s="4">
        <v>170</v>
      </c>
      <c r="F2709" s="22">
        <v>8</v>
      </c>
      <c r="G2709" s="4">
        <v>0.29936203389830512</v>
      </c>
      <c r="H2709" s="4" t="s">
        <v>123</v>
      </c>
    </row>
    <row r="2710" spans="1:8" x14ac:dyDescent="0.25">
      <c r="A2710" s="4">
        <v>2013</v>
      </c>
      <c r="B2710" s="4">
        <v>246</v>
      </c>
      <c r="C2710" s="20">
        <v>41520</v>
      </c>
      <c r="D2710" s="16">
        <v>0.43124999999999997</v>
      </c>
      <c r="E2710" s="4">
        <v>170</v>
      </c>
      <c r="F2710" s="22">
        <v>9</v>
      </c>
      <c r="G2710" s="4">
        <v>0.28947637358757061</v>
      </c>
      <c r="H2710" s="4" t="s">
        <v>123</v>
      </c>
    </row>
    <row r="2711" spans="1:8" x14ac:dyDescent="0.25">
      <c r="A2711" s="4">
        <v>2013</v>
      </c>
      <c r="B2711" s="4">
        <v>246</v>
      </c>
      <c r="C2711" s="20">
        <v>41520</v>
      </c>
      <c r="D2711" s="16">
        <v>0.43958333333333338</v>
      </c>
      <c r="E2711" s="4">
        <v>170</v>
      </c>
      <c r="F2711" s="22">
        <v>10</v>
      </c>
      <c r="G2711" s="4">
        <v>0.29865731355932201</v>
      </c>
      <c r="H2711" s="4" t="s">
        <v>123</v>
      </c>
    </row>
    <row r="2712" spans="1:8" x14ac:dyDescent="0.25">
      <c r="A2712" s="4">
        <v>2013</v>
      </c>
      <c r="B2712" s="4">
        <v>246</v>
      </c>
      <c r="C2712" s="20">
        <v>41520</v>
      </c>
      <c r="D2712" s="16">
        <v>0.45208333333333334</v>
      </c>
      <c r="E2712" s="4">
        <v>170</v>
      </c>
      <c r="F2712" s="22">
        <v>11</v>
      </c>
      <c r="G2712" s="4">
        <v>0.3211887888418079</v>
      </c>
      <c r="H2712" s="4" t="s">
        <v>124</v>
      </c>
    </row>
    <row r="2713" spans="1:8" x14ac:dyDescent="0.25">
      <c r="A2713" s="4">
        <v>2013</v>
      </c>
      <c r="B2713" s="4">
        <v>246</v>
      </c>
      <c r="C2713" s="20">
        <v>41520</v>
      </c>
      <c r="D2713" s="16">
        <v>0.45833333333333331</v>
      </c>
      <c r="E2713" s="4">
        <v>170</v>
      </c>
      <c r="F2713" s="22">
        <v>12</v>
      </c>
      <c r="G2713" s="4">
        <v>0.32747254519774011</v>
      </c>
      <c r="H2713" s="4" t="s">
        <v>124</v>
      </c>
    </row>
    <row r="2714" spans="1:8" x14ac:dyDescent="0.25">
      <c r="A2714" s="4">
        <v>2013</v>
      </c>
      <c r="B2714" s="4">
        <v>246</v>
      </c>
      <c r="C2714" s="20">
        <v>41520</v>
      </c>
      <c r="D2714" s="16">
        <v>0.46527777777777773</v>
      </c>
      <c r="E2714" s="4">
        <v>170</v>
      </c>
      <c r="F2714" s="22">
        <v>13</v>
      </c>
      <c r="G2714" s="4">
        <v>0.30294436228813559</v>
      </c>
      <c r="H2714" s="4" t="s">
        <v>124</v>
      </c>
    </row>
    <row r="2715" spans="1:8" x14ac:dyDescent="0.25">
      <c r="A2715" s="4">
        <v>2013</v>
      </c>
      <c r="B2715" s="4">
        <v>246</v>
      </c>
      <c r="C2715" s="20">
        <v>41520</v>
      </c>
      <c r="D2715" s="16">
        <v>0.47361111111111115</v>
      </c>
      <c r="E2715" s="4">
        <v>170</v>
      </c>
      <c r="F2715" s="22">
        <v>14</v>
      </c>
      <c r="G2715" s="4">
        <v>0.31437649223163844</v>
      </c>
      <c r="H2715" s="4" t="s">
        <v>124</v>
      </c>
    </row>
    <row r="2716" spans="1:8" x14ac:dyDescent="0.25">
      <c r="A2716" s="4">
        <v>2013</v>
      </c>
      <c r="B2716" s="4">
        <v>246</v>
      </c>
      <c r="C2716" s="20">
        <v>41520</v>
      </c>
      <c r="D2716" s="16">
        <v>0.48194444444444445</v>
      </c>
      <c r="E2716" s="4">
        <v>170</v>
      </c>
      <c r="F2716" s="22">
        <v>15</v>
      </c>
      <c r="G2716" s="4">
        <v>0.32751169632768362</v>
      </c>
      <c r="H2716" s="4" t="s">
        <v>1</v>
      </c>
    </row>
    <row r="2717" spans="1:8" x14ac:dyDescent="0.25">
      <c r="A2717" s="4">
        <v>2013</v>
      </c>
      <c r="B2717" s="4">
        <v>246</v>
      </c>
      <c r="C2717" s="20">
        <v>41520</v>
      </c>
      <c r="D2717" s="16">
        <v>0.48819444444444443</v>
      </c>
      <c r="E2717" s="4">
        <v>170</v>
      </c>
      <c r="F2717" s="22">
        <v>16</v>
      </c>
      <c r="G2717" s="4">
        <v>0.31664725776836161</v>
      </c>
      <c r="H2717" s="4" t="s">
        <v>1</v>
      </c>
    </row>
    <row r="2718" spans="1:8" x14ac:dyDescent="0.25">
      <c r="A2718" s="4">
        <v>2013</v>
      </c>
      <c r="B2718" s="4">
        <v>246</v>
      </c>
      <c r="C2718" s="20">
        <v>41520</v>
      </c>
      <c r="D2718" s="16">
        <v>0.49583333333333335</v>
      </c>
      <c r="E2718" s="4">
        <v>170</v>
      </c>
      <c r="F2718" s="22">
        <v>17</v>
      </c>
      <c r="G2718" s="4">
        <v>0.31097034392655371</v>
      </c>
      <c r="H2718" s="4" t="s">
        <v>124</v>
      </c>
    </row>
    <row r="2719" spans="1:8" x14ac:dyDescent="0.25">
      <c r="A2719" s="4">
        <v>2013</v>
      </c>
      <c r="B2719" s="4">
        <v>246</v>
      </c>
      <c r="C2719" s="20">
        <v>41520</v>
      </c>
      <c r="D2719" s="16">
        <v>0.50208333333333333</v>
      </c>
      <c r="E2719" s="4">
        <v>170</v>
      </c>
      <c r="F2719" s="22">
        <v>18</v>
      </c>
      <c r="G2719" s="4">
        <v>0.32015128389830511</v>
      </c>
      <c r="H2719" s="4" t="s">
        <v>124</v>
      </c>
    </row>
    <row r="2720" spans="1:8" x14ac:dyDescent="0.25">
      <c r="A2720" s="4">
        <v>2013</v>
      </c>
      <c r="B2720" s="4">
        <v>246</v>
      </c>
      <c r="C2720" s="20">
        <v>41520</v>
      </c>
      <c r="D2720" s="16">
        <v>0.50902777777777775</v>
      </c>
      <c r="E2720" s="4">
        <v>170</v>
      </c>
      <c r="F2720" s="22">
        <v>19</v>
      </c>
      <c r="G2720" s="4">
        <v>0.30678117302259889</v>
      </c>
      <c r="H2720" s="4" t="s">
        <v>124</v>
      </c>
    </row>
    <row r="2721" spans="1:8" x14ac:dyDescent="0.25">
      <c r="A2721" s="4">
        <v>2013</v>
      </c>
      <c r="B2721" s="4">
        <v>246</v>
      </c>
      <c r="C2721" s="20">
        <v>41520</v>
      </c>
      <c r="D2721" s="16">
        <v>0.51527777777777783</v>
      </c>
      <c r="E2721" s="4">
        <v>170</v>
      </c>
      <c r="F2721" s="22">
        <v>20</v>
      </c>
      <c r="G2721" s="4">
        <v>0.31308450494350282</v>
      </c>
      <c r="H2721" s="4" t="s">
        <v>124</v>
      </c>
    </row>
    <row r="2722" spans="1:8" x14ac:dyDescent="0.25">
      <c r="A2722" s="4">
        <v>2013</v>
      </c>
      <c r="B2722" s="4">
        <v>246</v>
      </c>
      <c r="C2722" s="20">
        <v>41520</v>
      </c>
      <c r="D2722" s="16">
        <v>0.36944444444444446</v>
      </c>
      <c r="E2722" s="4">
        <v>150</v>
      </c>
      <c r="F2722" s="22">
        <v>1</v>
      </c>
      <c r="G2722" s="4">
        <v>0.32001425494350283</v>
      </c>
      <c r="H2722" s="4" t="s">
        <v>123</v>
      </c>
    </row>
    <row r="2723" spans="1:8" x14ac:dyDescent="0.25">
      <c r="A2723" s="4">
        <v>2013</v>
      </c>
      <c r="B2723" s="4">
        <v>246</v>
      </c>
      <c r="C2723" s="20">
        <v>41520</v>
      </c>
      <c r="D2723" s="16">
        <v>0.37638888888888888</v>
      </c>
      <c r="E2723" s="4">
        <v>150</v>
      </c>
      <c r="F2723" s="22">
        <v>2</v>
      </c>
      <c r="G2723" s="4">
        <v>0.3144743700564972</v>
      </c>
      <c r="H2723" s="4" t="s">
        <v>123</v>
      </c>
    </row>
    <row r="2724" spans="1:8" x14ac:dyDescent="0.25">
      <c r="A2724" s="4">
        <v>2013</v>
      </c>
      <c r="B2724" s="4">
        <v>246</v>
      </c>
      <c r="C2724" s="20">
        <v>41520</v>
      </c>
      <c r="D2724" s="16">
        <v>0.3840277777777778</v>
      </c>
      <c r="E2724" s="4">
        <v>150</v>
      </c>
      <c r="F2724" s="22">
        <v>3</v>
      </c>
      <c r="G2724" s="4">
        <v>0.29080751200564969</v>
      </c>
      <c r="H2724" s="4" t="s">
        <v>123</v>
      </c>
    </row>
    <row r="2725" spans="1:8" x14ac:dyDescent="0.25">
      <c r="A2725" s="4">
        <v>2013</v>
      </c>
      <c r="B2725" s="4">
        <v>246</v>
      </c>
      <c r="C2725" s="20">
        <v>41520</v>
      </c>
      <c r="D2725" s="16">
        <v>0.3923611111111111</v>
      </c>
      <c r="E2725" s="4">
        <v>150</v>
      </c>
      <c r="F2725" s="22">
        <v>4</v>
      </c>
      <c r="G2725" s="4">
        <v>0.28076524717514129</v>
      </c>
      <c r="H2725" s="4" t="s">
        <v>123</v>
      </c>
    </row>
    <row r="2726" spans="1:8" x14ac:dyDescent="0.25">
      <c r="A2726" s="4">
        <v>2013</v>
      </c>
      <c r="B2726" s="4">
        <v>246</v>
      </c>
      <c r="C2726" s="20">
        <v>41520</v>
      </c>
      <c r="D2726" s="16">
        <v>0.39652777777777781</v>
      </c>
      <c r="E2726" s="4">
        <v>150</v>
      </c>
      <c r="F2726" s="22">
        <v>5</v>
      </c>
      <c r="G2726" s="4">
        <v>0.34438583333333334</v>
      </c>
      <c r="H2726" s="4" t="s">
        <v>0</v>
      </c>
    </row>
    <row r="2727" spans="1:8" x14ac:dyDescent="0.25">
      <c r="A2727" s="4">
        <v>2013</v>
      </c>
      <c r="B2727" s="4">
        <v>246</v>
      </c>
      <c r="C2727" s="20">
        <v>41520</v>
      </c>
      <c r="D2727" s="16">
        <v>0.40277777777777773</v>
      </c>
      <c r="E2727" s="4">
        <v>150</v>
      </c>
      <c r="F2727" s="22">
        <v>6</v>
      </c>
      <c r="G2727" s="4">
        <v>0.34205634110169497</v>
      </c>
      <c r="H2727" s="4" t="s">
        <v>0</v>
      </c>
    </row>
    <row r="2728" spans="1:8" x14ac:dyDescent="0.25">
      <c r="A2728" s="4">
        <v>2013</v>
      </c>
      <c r="B2728" s="4">
        <v>246</v>
      </c>
      <c r="C2728" s="20">
        <v>41520</v>
      </c>
      <c r="D2728" s="16">
        <v>0.41041666666666665</v>
      </c>
      <c r="E2728" s="4">
        <v>150</v>
      </c>
      <c r="F2728" s="22">
        <v>7</v>
      </c>
      <c r="G2728" s="4">
        <v>0.31396540536723161</v>
      </c>
      <c r="H2728" s="4" t="s">
        <v>123</v>
      </c>
    </row>
    <row r="2729" spans="1:8" x14ac:dyDescent="0.25">
      <c r="A2729" s="4">
        <v>2013</v>
      </c>
      <c r="B2729" s="4">
        <v>246</v>
      </c>
      <c r="C2729" s="20">
        <v>41520</v>
      </c>
      <c r="D2729" s="16">
        <v>0.42430555555555555</v>
      </c>
      <c r="E2729" s="4">
        <v>150</v>
      </c>
      <c r="F2729" s="22">
        <v>8</v>
      </c>
      <c r="G2729" s="4">
        <v>0.32894071257062146</v>
      </c>
      <c r="H2729" s="4" t="s">
        <v>123</v>
      </c>
    </row>
    <row r="2730" spans="1:8" x14ac:dyDescent="0.25">
      <c r="A2730" s="4">
        <v>2013</v>
      </c>
      <c r="B2730" s="4">
        <v>246</v>
      </c>
      <c r="C2730" s="20">
        <v>41520</v>
      </c>
      <c r="D2730" s="16">
        <v>0.43124999999999997</v>
      </c>
      <c r="E2730" s="4">
        <v>150</v>
      </c>
      <c r="F2730" s="22">
        <v>9</v>
      </c>
      <c r="G2730" s="4">
        <v>0.32187393361581923</v>
      </c>
      <c r="H2730" s="4" t="s">
        <v>123</v>
      </c>
    </row>
    <row r="2731" spans="1:8" x14ac:dyDescent="0.25">
      <c r="A2731" s="4">
        <v>2013</v>
      </c>
      <c r="B2731" s="4">
        <v>246</v>
      </c>
      <c r="C2731" s="20">
        <v>41520</v>
      </c>
      <c r="D2731" s="16">
        <v>0.43958333333333338</v>
      </c>
      <c r="E2731" s="4">
        <v>150</v>
      </c>
      <c r="F2731" s="22">
        <v>10</v>
      </c>
      <c r="G2731" s="4">
        <v>0.32672867372881359</v>
      </c>
      <c r="H2731" s="4" t="s">
        <v>123</v>
      </c>
    </row>
    <row r="2732" spans="1:8" x14ac:dyDescent="0.25">
      <c r="A2732" s="4">
        <v>2013</v>
      </c>
      <c r="B2732" s="4">
        <v>246</v>
      </c>
      <c r="C2732" s="20">
        <v>41520</v>
      </c>
      <c r="D2732" s="16">
        <v>0.45208333333333334</v>
      </c>
      <c r="E2732" s="4">
        <v>150</v>
      </c>
      <c r="F2732" s="22">
        <v>11</v>
      </c>
      <c r="G2732" s="4">
        <v>0.33111360028248588</v>
      </c>
      <c r="H2732" s="4" t="s">
        <v>124</v>
      </c>
    </row>
    <row r="2733" spans="1:8" x14ac:dyDescent="0.25">
      <c r="A2733" s="4">
        <v>2013</v>
      </c>
      <c r="B2733" s="4">
        <v>246</v>
      </c>
      <c r="C2733" s="20">
        <v>41520</v>
      </c>
      <c r="D2733" s="16">
        <v>0.45833333333333331</v>
      </c>
      <c r="E2733" s="4">
        <v>150</v>
      </c>
      <c r="F2733" s="22">
        <v>12</v>
      </c>
      <c r="G2733" s="4">
        <v>0.3297824618644068</v>
      </c>
      <c r="H2733" s="4" t="s">
        <v>124</v>
      </c>
    </row>
    <row r="2734" spans="1:8" x14ac:dyDescent="0.25">
      <c r="A2734" s="4">
        <v>2013</v>
      </c>
      <c r="B2734" s="4">
        <v>246</v>
      </c>
      <c r="C2734" s="20">
        <v>41520</v>
      </c>
      <c r="D2734" s="16">
        <v>0.46527777777777773</v>
      </c>
      <c r="E2734" s="4">
        <v>150</v>
      </c>
      <c r="F2734" s="22">
        <v>13</v>
      </c>
      <c r="G2734" s="4">
        <v>0.30770122457627119</v>
      </c>
      <c r="H2734" s="4" t="s">
        <v>124</v>
      </c>
    </row>
    <row r="2735" spans="1:8" x14ac:dyDescent="0.25">
      <c r="A2735" s="4">
        <v>2013</v>
      </c>
      <c r="B2735" s="4">
        <v>246</v>
      </c>
      <c r="C2735" s="20">
        <v>41520</v>
      </c>
      <c r="D2735" s="16">
        <v>0.47361111111111115</v>
      </c>
      <c r="E2735" s="4">
        <v>150</v>
      </c>
      <c r="F2735" s="22">
        <v>14</v>
      </c>
      <c r="G2735" s="4">
        <v>0.3008106257062147</v>
      </c>
      <c r="H2735" s="4" t="s">
        <v>124</v>
      </c>
    </row>
    <row r="2736" spans="1:8" x14ac:dyDescent="0.25">
      <c r="A2736" s="4">
        <v>2013</v>
      </c>
      <c r="B2736" s="4">
        <v>246</v>
      </c>
      <c r="C2736" s="20">
        <v>41520</v>
      </c>
      <c r="D2736" s="16">
        <v>0.48194444444444445</v>
      </c>
      <c r="E2736" s="4">
        <v>150</v>
      </c>
      <c r="F2736" s="22">
        <v>15</v>
      </c>
      <c r="G2736" s="4">
        <v>0.33152468714689265</v>
      </c>
      <c r="H2736" s="4" t="s">
        <v>1</v>
      </c>
    </row>
    <row r="2737" spans="1:8" x14ac:dyDescent="0.25">
      <c r="A2737" s="4">
        <v>2013</v>
      </c>
      <c r="B2737" s="4">
        <v>246</v>
      </c>
      <c r="C2737" s="20">
        <v>41520</v>
      </c>
      <c r="D2737" s="16">
        <v>0.48819444444444443</v>
      </c>
      <c r="E2737" s="4">
        <v>150</v>
      </c>
      <c r="F2737" s="22">
        <v>16</v>
      </c>
      <c r="G2737" s="4">
        <v>0.3295084039548023</v>
      </c>
      <c r="H2737" s="4" t="s">
        <v>1</v>
      </c>
    </row>
    <row r="2738" spans="1:8" x14ac:dyDescent="0.25">
      <c r="A2738" s="4">
        <v>2013</v>
      </c>
      <c r="B2738" s="4">
        <v>246</v>
      </c>
      <c r="C2738" s="20">
        <v>41520</v>
      </c>
      <c r="D2738" s="16">
        <v>0.49583333333333335</v>
      </c>
      <c r="E2738" s="4">
        <v>150</v>
      </c>
      <c r="F2738" s="22">
        <v>17</v>
      </c>
      <c r="G2738" s="4">
        <v>0.31494418361581922</v>
      </c>
      <c r="H2738" s="4" t="s">
        <v>124</v>
      </c>
    </row>
    <row r="2739" spans="1:8" x14ac:dyDescent="0.25">
      <c r="A2739" s="4">
        <v>2013</v>
      </c>
      <c r="B2739" s="4">
        <v>246</v>
      </c>
      <c r="C2739" s="20">
        <v>41520</v>
      </c>
      <c r="D2739" s="16">
        <v>0.50208333333333333</v>
      </c>
      <c r="E2739" s="4">
        <v>150</v>
      </c>
      <c r="F2739" s="22">
        <v>18</v>
      </c>
      <c r="G2739" s="4">
        <v>0.32739424293785313</v>
      </c>
      <c r="H2739" s="4" t="s">
        <v>124</v>
      </c>
    </row>
    <row r="2740" spans="1:8" x14ac:dyDescent="0.25">
      <c r="A2740" s="4">
        <v>2013</v>
      </c>
      <c r="B2740" s="4">
        <v>246</v>
      </c>
      <c r="C2740" s="20">
        <v>41520</v>
      </c>
      <c r="D2740" s="16">
        <v>0.50902777777777775</v>
      </c>
      <c r="E2740" s="4">
        <v>150</v>
      </c>
      <c r="F2740" s="22">
        <v>19</v>
      </c>
      <c r="G2740" s="4">
        <v>0.32569116878531079</v>
      </c>
      <c r="H2740" s="4" t="s">
        <v>124</v>
      </c>
    </row>
    <row r="2741" spans="1:8" x14ac:dyDescent="0.25">
      <c r="A2741" s="4">
        <v>2013</v>
      </c>
      <c r="B2741" s="4">
        <v>246</v>
      </c>
      <c r="C2741" s="20">
        <v>41520</v>
      </c>
      <c r="D2741" s="16">
        <v>0.51527777777777783</v>
      </c>
      <c r="E2741" s="4">
        <v>150</v>
      </c>
      <c r="F2741" s="22">
        <v>20</v>
      </c>
      <c r="G2741" s="4">
        <v>0.33459805084745764</v>
      </c>
      <c r="H2741" s="4" t="s">
        <v>124</v>
      </c>
    </row>
    <row r="2742" spans="1:8" x14ac:dyDescent="0.25">
      <c r="A2742" s="4">
        <v>2013</v>
      </c>
      <c r="B2742" s="4">
        <v>246</v>
      </c>
      <c r="C2742" s="20">
        <v>41520</v>
      </c>
      <c r="D2742" s="16">
        <v>0.36944444444444446</v>
      </c>
      <c r="E2742" s="4">
        <v>130</v>
      </c>
      <c r="F2742" s="22">
        <v>1</v>
      </c>
      <c r="G2742" s="4">
        <v>0.30456913418079096</v>
      </c>
      <c r="H2742" s="4" t="s">
        <v>123</v>
      </c>
    </row>
    <row r="2743" spans="1:8" x14ac:dyDescent="0.25">
      <c r="A2743" s="4">
        <v>2013</v>
      </c>
      <c r="B2743" s="4">
        <v>246</v>
      </c>
      <c r="C2743" s="20">
        <v>41520</v>
      </c>
      <c r="D2743" s="16">
        <v>0.37638888888888888</v>
      </c>
      <c r="E2743" s="4">
        <v>130</v>
      </c>
      <c r="F2743" s="22">
        <v>2</v>
      </c>
      <c r="G2743" s="4">
        <v>0.30032123658192095</v>
      </c>
      <c r="H2743" s="4" t="s">
        <v>123</v>
      </c>
    </row>
    <row r="2744" spans="1:8" x14ac:dyDescent="0.25">
      <c r="A2744" s="4">
        <v>2013</v>
      </c>
      <c r="B2744" s="4">
        <v>246</v>
      </c>
      <c r="C2744" s="20">
        <v>41520</v>
      </c>
      <c r="D2744" s="16">
        <v>0.3840277777777778</v>
      </c>
      <c r="E2744" s="4">
        <v>130</v>
      </c>
      <c r="F2744" s="22">
        <v>3</v>
      </c>
      <c r="G2744" s="4">
        <v>0.29624951906779662</v>
      </c>
      <c r="H2744" s="4" t="s">
        <v>123</v>
      </c>
    </row>
    <row r="2745" spans="1:8" x14ac:dyDescent="0.25">
      <c r="A2745" s="4">
        <v>2013</v>
      </c>
      <c r="B2745" s="4">
        <v>246</v>
      </c>
      <c r="C2745" s="20">
        <v>41520</v>
      </c>
      <c r="D2745" s="16">
        <v>0.3923611111111111</v>
      </c>
      <c r="E2745" s="4">
        <v>130</v>
      </c>
      <c r="F2745" s="22">
        <v>4</v>
      </c>
      <c r="G2745" s="4">
        <v>0.29695423940677967</v>
      </c>
      <c r="H2745" s="4" t="s">
        <v>123</v>
      </c>
    </row>
    <row r="2746" spans="1:8" x14ac:dyDescent="0.25">
      <c r="A2746" s="4">
        <v>2013</v>
      </c>
      <c r="B2746" s="4">
        <v>246</v>
      </c>
      <c r="C2746" s="20">
        <v>41520</v>
      </c>
      <c r="D2746" s="16">
        <v>0.39652777777777781</v>
      </c>
      <c r="E2746" s="4">
        <v>130</v>
      </c>
      <c r="F2746" s="22">
        <v>5</v>
      </c>
      <c r="G2746" s="4">
        <v>0.31807627401129945</v>
      </c>
      <c r="H2746" s="4" t="s">
        <v>0</v>
      </c>
    </row>
    <row r="2747" spans="1:8" x14ac:dyDescent="0.25">
      <c r="A2747" s="4">
        <v>2013</v>
      </c>
      <c r="B2747" s="4">
        <v>246</v>
      </c>
      <c r="C2747" s="20">
        <v>41520</v>
      </c>
      <c r="D2747" s="16">
        <v>0.40277777777777773</v>
      </c>
      <c r="E2747" s="4">
        <v>130</v>
      </c>
      <c r="F2747" s="22">
        <v>6</v>
      </c>
      <c r="G2747" s="4">
        <v>0.29703254166666665</v>
      </c>
      <c r="H2747" s="4" t="s">
        <v>0</v>
      </c>
    </row>
    <row r="2748" spans="1:8" x14ac:dyDescent="0.25">
      <c r="A2748" s="4">
        <v>2013</v>
      </c>
      <c r="B2748" s="4">
        <v>246</v>
      </c>
      <c r="C2748" s="20">
        <v>41520</v>
      </c>
      <c r="D2748" s="16">
        <v>0.41041666666666665</v>
      </c>
      <c r="E2748" s="4">
        <v>130</v>
      </c>
      <c r="F2748" s="22">
        <v>7</v>
      </c>
      <c r="G2748" s="4">
        <v>0.30977623446327684</v>
      </c>
      <c r="H2748" s="4" t="s">
        <v>123</v>
      </c>
    </row>
    <row r="2749" spans="1:8" x14ac:dyDescent="0.25">
      <c r="A2749" s="4">
        <v>2013</v>
      </c>
      <c r="B2749" s="4">
        <v>246</v>
      </c>
      <c r="C2749" s="20">
        <v>41520</v>
      </c>
      <c r="D2749" s="16">
        <v>0.42430555555555555</v>
      </c>
      <c r="E2749" s="4">
        <v>130</v>
      </c>
      <c r="F2749" s="22">
        <v>8</v>
      </c>
      <c r="G2749" s="4">
        <v>0.3436028107344633</v>
      </c>
      <c r="H2749" s="4" t="s">
        <v>123</v>
      </c>
    </row>
    <row r="2750" spans="1:8" x14ac:dyDescent="0.25">
      <c r="A2750" s="4">
        <v>2013</v>
      </c>
      <c r="B2750" s="4">
        <v>246</v>
      </c>
      <c r="C2750" s="20">
        <v>41520</v>
      </c>
      <c r="D2750" s="16">
        <v>0.43124999999999997</v>
      </c>
      <c r="E2750" s="4">
        <v>130</v>
      </c>
      <c r="F2750" s="22">
        <v>9</v>
      </c>
      <c r="G2750" s="4">
        <v>0.29462474717514125</v>
      </c>
      <c r="H2750" s="4" t="s">
        <v>123</v>
      </c>
    </row>
    <row r="2751" spans="1:8" x14ac:dyDescent="0.25">
      <c r="A2751" s="4">
        <v>2013</v>
      </c>
      <c r="B2751" s="4">
        <v>246</v>
      </c>
      <c r="C2751" s="20">
        <v>41520</v>
      </c>
      <c r="D2751" s="16">
        <v>0.43958333333333338</v>
      </c>
      <c r="E2751" s="4">
        <v>130</v>
      </c>
      <c r="F2751" s="22">
        <v>10</v>
      </c>
      <c r="G2751" s="4">
        <v>0.30153492161016948</v>
      </c>
      <c r="H2751" s="4" t="s">
        <v>123</v>
      </c>
    </row>
    <row r="2752" spans="1:8" x14ac:dyDescent="0.25">
      <c r="A2752" s="4">
        <v>2013</v>
      </c>
      <c r="B2752" s="4">
        <v>246</v>
      </c>
      <c r="C2752" s="20">
        <v>41520</v>
      </c>
      <c r="D2752" s="16">
        <v>0.45208333333333334</v>
      </c>
      <c r="E2752" s="4">
        <v>130</v>
      </c>
      <c r="F2752" s="22">
        <v>11</v>
      </c>
      <c r="G2752" s="4">
        <v>0.29403748022598869</v>
      </c>
      <c r="H2752" s="4" t="s">
        <v>124</v>
      </c>
    </row>
    <row r="2753" spans="1:8" x14ac:dyDescent="0.25">
      <c r="A2753" s="4">
        <v>2013</v>
      </c>
      <c r="B2753" s="4">
        <v>246</v>
      </c>
      <c r="C2753" s="20">
        <v>41520</v>
      </c>
      <c r="D2753" s="16">
        <v>0.45833333333333331</v>
      </c>
      <c r="E2753" s="4">
        <v>130</v>
      </c>
      <c r="F2753" s="22">
        <v>12</v>
      </c>
      <c r="G2753" s="4">
        <v>0.27814212146892653</v>
      </c>
      <c r="H2753" s="4" t="s">
        <v>124</v>
      </c>
    </row>
    <row r="2754" spans="1:8" x14ac:dyDescent="0.25">
      <c r="A2754" s="4">
        <v>2013</v>
      </c>
      <c r="B2754" s="4">
        <v>246</v>
      </c>
      <c r="C2754" s="20">
        <v>41520</v>
      </c>
      <c r="D2754" s="16">
        <v>0.46527777777777773</v>
      </c>
      <c r="E2754" s="4">
        <v>130</v>
      </c>
      <c r="F2754" s="22">
        <v>13</v>
      </c>
      <c r="G2754" s="4">
        <v>0.31283002259887011</v>
      </c>
      <c r="H2754" s="4" t="s">
        <v>124</v>
      </c>
    </row>
    <row r="2755" spans="1:8" x14ac:dyDescent="0.25">
      <c r="A2755" s="4">
        <v>2013</v>
      </c>
      <c r="B2755" s="4">
        <v>246</v>
      </c>
      <c r="C2755" s="20">
        <v>41520</v>
      </c>
      <c r="D2755" s="16">
        <v>0.47361111111111115</v>
      </c>
      <c r="E2755" s="4">
        <v>130</v>
      </c>
      <c r="F2755" s="22">
        <v>14</v>
      </c>
      <c r="G2755" s="4">
        <v>0.30582197033898306</v>
      </c>
      <c r="H2755" s="4" t="s">
        <v>124</v>
      </c>
    </row>
    <row r="2756" spans="1:8" x14ac:dyDescent="0.25">
      <c r="A2756" s="4">
        <v>2013</v>
      </c>
      <c r="B2756" s="4">
        <v>246</v>
      </c>
      <c r="C2756" s="20">
        <v>41520</v>
      </c>
      <c r="D2756" s="16">
        <v>0.48194444444444445</v>
      </c>
      <c r="E2756" s="4">
        <v>130</v>
      </c>
      <c r="F2756" s="22">
        <v>15</v>
      </c>
      <c r="G2756" s="4">
        <v>0.28969170480225986</v>
      </c>
      <c r="H2756" s="4" t="s">
        <v>1</v>
      </c>
    </row>
    <row r="2757" spans="1:8" x14ac:dyDescent="0.25">
      <c r="A2757" s="4">
        <v>2013</v>
      </c>
      <c r="B2757" s="4">
        <v>246</v>
      </c>
      <c r="C2757" s="20">
        <v>41520</v>
      </c>
      <c r="D2757" s="16">
        <v>0.48819444444444443</v>
      </c>
      <c r="E2757" s="4">
        <v>130</v>
      </c>
      <c r="F2757" s="22">
        <v>16</v>
      </c>
      <c r="G2757" s="4">
        <v>0.28295771045197743</v>
      </c>
      <c r="H2757" s="4" t="s">
        <v>1</v>
      </c>
    </row>
    <row r="2758" spans="1:8" x14ac:dyDescent="0.25">
      <c r="A2758" s="4">
        <v>2013</v>
      </c>
      <c r="B2758" s="4">
        <v>246</v>
      </c>
      <c r="C2758" s="20">
        <v>41520</v>
      </c>
      <c r="D2758" s="16">
        <v>0.49583333333333335</v>
      </c>
      <c r="E2758" s="4">
        <v>130</v>
      </c>
      <c r="F2758" s="22">
        <v>17</v>
      </c>
      <c r="G2758" s="4">
        <v>0.30175025282485873</v>
      </c>
      <c r="H2758" s="4" t="s">
        <v>124</v>
      </c>
    </row>
    <row r="2759" spans="1:8" x14ac:dyDescent="0.25">
      <c r="A2759" s="4">
        <v>2013</v>
      </c>
      <c r="B2759" s="4">
        <v>246</v>
      </c>
      <c r="C2759" s="20">
        <v>41520</v>
      </c>
      <c r="D2759" s="16">
        <v>0.50208333333333333</v>
      </c>
      <c r="E2759" s="4">
        <v>130</v>
      </c>
      <c r="F2759" s="22">
        <v>18</v>
      </c>
      <c r="G2759" s="4">
        <v>0.30484319209039545</v>
      </c>
      <c r="H2759" s="4" t="s">
        <v>124</v>
      </c>
    </row>
    <row r="2760" spans="1:8" x14ac:dyDescent="0.25">
      <c r="A2760" s="4">
        <v>2013</v>
      </c>
      <c r="B2760" s="4">
        <v>246</v>
      </c>
      <c r="C2760" s="20">
        <v>41520</v>
      </c>
      <c r="D2760" s="16">
        <v>0.50902777777777775</v>
      </c>
      <c r="E2760" s="4">
        <v>130</v>
      </c>
      <c r="F2760" s="22">
        <v>19</v>
      </c>
      <c r="G2760" s="4">
        <v>0.29673890819209042</v>
      </c>
      <c r="H2760" s="4" t="s">
        <v>124</v>
      </c>
    </row>
    <row r="2761" spans="1:8" x14ac:dyDescent="0.25">
      <c r="A2761" s="4">
        <v>2013</v>
      </c>
      <c r="B2761" s="4">
        <v>246</v>
      </c>
      <c r="C2761" s="20">
        <v>41520</v>
      </c>
      <c r="D2761" s="16">
        <v>0.51527777777777783</v>
      </c>
      <c r="E2761" s="4">
        <v>130</v>
      </c>
      <c r="F2761" s="22">
        <v>20</v>
      </c>
      <c r="G2761" s="4">
        <v>0.26882415254237291</v>
      </c>
      <c r="H2761" s="4" t="s">
        <v>124</v>
      </c>
    </row>
    <row r="2762" spans="1:8" x14ac:dyDescent="0.25">
      <c r="A2762" s="4">
        <v>2013</v>
      </c>
      <c r="B2762" s="4">
        <v>246</v>
      </c>
      <c r="C2762" s="20">
        <v>41520</v>
      </c>
      <c r="D2762" s="16">
        <v>0.36944444444444446</v>
      </c>
      <c r="E2762" s="4">
        <v>110</v>
      </c>
      <c r="F2762" s="22">
        <v>1</v>
      </c>
      <c r="G2762" s="4">
        <v>0.33385962853107343</v>
      </c>
      <c r="H2762" s="4" t="s">
        <v>123</v>
      </c>
    </row>
    <row r="2763" spans="1:8" x14ac:dyDescent="0.25">
      <c r="A2763" s="4">
        <v>2013</v>
      </c>
      <c r="B2763" s="4">
        <v>246</v>
      </c>
      <c r="C2763" s="20">
        <v>41520</v>
      </c>
      <c r="D2763" s="16">
        <v>0.37638888888888888</v>
      </c>
      <c r="E2763" s="4">
        <v>110</v>
      </c>
      <c r="F2763" s="22">
        <v>2</v>
      </c>
      <c r="G2763" s="4">
        <v>0.31299539548022598</v>
      </c>
      <c r="H2763" s="4" t="s">
        <v>123</v>
      </c>
    </row>
    <row r="2764" spans="1:8" x14ac:dyDescent="0.25">
      <c r="A2764" s="4">
        <v>2013</v>
      </c>
      <c r="B2764" s="4">
        <v>246</v>
      </c>
      <c r="C2764" s="20">
        <v>41520</v>
      </c>
      <c r="D2764" s="16">
        <v>0.3840277777777778</v>
      </c>
      <c r="E2764" s="4">
        <v>110</v>
      </c>
      <c r="F2764" s="22">
        <v>3</v>
      </c>
      <c r="G2764" s="4">
        <v>0.31106096327683613</v>
      </c>
      <c r="H2764" s="4" t="s">
        <v>123</v>
      </c>
    </row>
    <row r="2765" spans="1:8" x14ac:dyDescent="0.25">
      <c r="A2765" s="4">
        <v>2013</v>
      </c>
      <c r="B2765" s="4">
        <v>246</v>
      </c>
      <c r="C2765" s="20">
        <v>41520</v>
      </c>
      <c r="D2765" s="16">
        <v>0.3923611111111111</v>
      </c>
      <c r="E2765" s="4">
        <v>110</v>
      </c>
      <c r="F2765" s="22">
        <v>4</v>
      </c>
      <c r="G2765" s="4">
        <v>0.31886777895480223</v>
      </c>
      <c r="H2765" s="4" t="s">
        <v>123</v>
      </c>
    </row>
    <row r="2766" spans="1:8" x14ac:dyDescent="0.25">
      <c r="A2766" s="4">
        <v>2013</v>
      </c>
      <c r="B2766" s="4">
        <v>246</v>
      </c>
      <c r="C2766" s="20">
        <v>41520</v>
      </c>
      <c r="D2766" s="16">
        <v>0.39652777777777781</v>
      </c>
      <c r="E2766" s="4">
        <v>110</v>
      </c>
      <c r="F2766" s="22">
        <v>5</v>
      </c>
      <c r="G2766" s="4">
        <v>0.30254024999999996</v>
      </c>
      <c r="H2766" s="4" t="s">
        <v>0</v>
      </c>
    </row>
    <row r="2767" spans="1:8" x14ac:dyDescent="0.25">
      <c r="A2767" s="4">
        <v>2013</v>
      </c>
      <c r="B2767" s="4">
        <v>246</v>
      </c>
      <c r="C2767" s="20">
        <v>41520</v>
      </c>
      <c r="D2767" s="16">
        <v>0.40277777777777773</v>
      </c>
      <c r="E2767" s="4">
        <v>110</v>
      </c>
      <c r="F2767" s="22">
        <v>6</v>
      </c>
      <c r="G2767" s="4">
        <v>0.3016881786723164</v>
      </c>
      <c r="H2767" s="4" t="s">
        <v>0</v>
      </c>
    </row>
    <row r="2768" spans="1:8" x14ac:dyDescent="0.25">
      <c r="A2768" s="4">
        <v>2013</v>
      </c>
      <c r="B2768" s="4">
        <v>246</v>
      </c>
      <c r="C2768" s="20">
        <v>41520</v>
      </c>
      <c r="D2768" s="16">
        <v>0.41041666666666665</v>
      </c>
      <c r="E2768" s="4">
        <v>110</v>
      </c>
      <c r="F2768" s="22">
        <v>7</v>
      </c>
      <c r="G2768" s="4">
        <v>0.32052586370056496</v>
      </c>
      <c r="H2768" s="4" t="s">
        <v>123</v>
      </c>
    </row>
    <row r="2769" spans="1:8" x14ac:dyDescent="0.25">
      <c r="A2769" s="4">
        <v>2013</v>
      </c>
      <c r="B2769" s="4">
        <v>246</v>
      </c>
      <c r="C2769" s="20">
        <v>41520</v>
      </c>
      <c r="D2769" s="16">
        <v>0.42430555555555555</v>
      </c>
      <c r="E2769" s="4">
        <v>110</v>
      </c>
      <c r="F2769" s="22">
        <v>8</v>
      </c>
      <c r="G2769" s="4">
        <v>0.32953018502824855</v>
      </c>
      <c r="H2769" s="4" t="s">
        <v>123</v>
      </c>
    </row>
    <row r="2770" spans="1:8" x14ac:dyDescent="0.25">
      <c r="A2770" s="4">
        <v>2013</v>
      </c>
      <c r="B2770" s="4">
        <v>246</v>
      </c>
      <c r="C2770" s="20">
        <v>41520</v>
      </c>
      <c r="D2770" s="16">
        <v>0.43124999999999997</v>
      </c>
      <c r="E2770" s="4">
        <v>110</v>
      </c>
      <c r="F2770" s="22">
        <v>9</v>
      </c>
      <c r="G2770" s="4">
        <v>0.32342751200564968</v>
      </c>
      <c r="H2770" s="4" t="s">
        <v>123</v>
      </c>
    </row>
    <row r="2771" spans="1:8" x14ac:dyDescent="0.25">
      <c r="A2771" s="4">
        <v>2013</v>
      </c>
      <c r="B2771" s="4">
        <v>246</v>
      </c>
      <c r="C2771" s="20">
        <v>41520</v>
      </c>
      <c r="D2771" s="16">
        <v>0.43958333333333338</v>
      </c>
      <c r="E2771" s="4">
        <v>110</v>
      </c>
      <c r="F2771" s="22">
        <v>10</v>
      </c>
      <c r="G2771" s="4">
        <v>0.30583339053672315</v>
      </c>
      <c r="H2771" s="4" t="s">
        <v>123</v>
      </c>
    </row>
    <row r="2772" spans="1:8" x14ac:dyDescent="0.25">
      <c r="A2772" s="4">
        <v>2013</v>
      </c>
      <c r="B2772" s="4">
        <v>246</v>
      </c>
      <c r="C2772" s="20">
        <v>41520</v>
      </c>
      <c r="D2772" s="16">
        <v>0.45208333333333334</v>
      </c>
      <c r="E2772" s="4">
        <v>110</v>
      </c>
      <c r="F2772" s="22">
        <v>11</v>
      </c>
      <c r="G2772" s="4">
        <v>0.29993797810734457</v>
      </c>
      <c r="H2772" s="4" t="s">
        <v>124</v>
      </c>
    </row>
    <row r="2773" spans="1:8" x14ac:dyDescent="0.25">
      <c r="A2773" s="4">
        <v>2013</v>
      </c>
      <c r="B2773" s="4">
        <v>246</v>
      </c>
      <c r="C2773" s="20">
        <v>41520</v>
      </c>
      <c r="D2773" s="16">
        <v>0.45833333333333331</v>
      </c>
      <c r="E2773" s="4">
        <v>110</v>
      </c>
      <c r="F2773" s="22">
        <v>12</v>
      </c>
      <c r="G2773" s="4">
        <v>0.31327174293785309</v>
      </c>
      <c r="H2773" s="4" t="s">
        <v>124</v>
      </c>
    </row>
    <row r="2774" spans="1:8" x14ac:dyDescent="0.25">
      <c r="A2774" s="4">
        <v>2013</v>
      </c>
      <c r="B2774" s="4">
        <v>246</v>
      </c>
      <c r="C2774" s="20">
        <v>41520</v>
      </c>
      <c r="D2774" s="16">
        <v>0.46527777777777773</v>
      </c>
      <c r="E2774" s="4">
        <v>110</v>
      </c>
      <c r="F2774" s="22">
        <v>13</v>
      </c>
      <c r="G2774" s="4">
        <v>0.31186697669491525</v>
      </c>
      <c r="H2774" s="4" t="s">
        <v>124</v>
      </c>
    </row>
    <row r="2775" spans="1:8" x14ac:dyDescent="0.25">
      <c r="A2775" s="4">
        <v>2013</v>
      </c>
      <c r="B2775" s="4">
        <v>246</v>
      </c>
      <c r="C2775" s="20">
        <v>41520</v>
      </c>
      <c r="D2775" s="16">
        <v>0.47361111111111115</v>
      </c>
      <c r="E2775" s="4">
        <v>110</v>
      </c>
      <c r="F2775" s="22">
        <v>14</v>
      </c>
      <c r="G2775" s="4">
        <v>0.29837200918079093</v>
      </c>
      <c r="H2775" s="4" t="s">
        <v>124</v>
      </c>
    </row>
    <row r="2776" spans="1:8" x14ac:dyDescent="0.25">
      <c r="A2776" s="4">
        <v>2013</v>
      </c>
      <c r="B2776" s="4">
        <v>246</v>
      </c>
      <c r="C2776" s="20">
        <v>41520</v>
      </c>
      <c r="D2776" s="16">
        <v>0.48194444444444445</v>
      </c>
      <c r="E2776" s="4">
        <v>110</v>
      </c>
      <c r="F2776" s="22">
        <v>15</v>
      </c>
      <c r="G2776" s="4">
        <v>0.27727748658192086</v>
      </c>
      <c r="H2776" s="4" t="s">
        <v>1</v>
      </c>
    </row>
    <row r="2777" spans="1:8" x14ac:dyDescent="0.25">
      <c r="A2777" s="4">
        <v>2013</v>
      </c>
      <c r="B2777" s="4">
        <v>246</v>
      </c>
      <c r="C2777" s="20">
        <v>41520</v>
      </c>
      <c r="D2777" s="16">
        <v>0.48819444444444443</v>
      </c>
      <c r="E2777" s="4">
        <v>110</v>
      </c>
      <c r="F2777" s="22">
        <v>16</v>
      </c>
      <c r="G2777" s="4">
        <v>0.27626421257062145</v>
      </c>
      <c r="H2777" s="4" t="s">
        <v>1</v>
      </c>
    </row>
    <row r="2778" spans="1:8" x14ac:dyDescent="0.25">
      <c r="A2778" s="4">
        <v>2013</v>
      </c>
      <c r="B2778" s="4">
        <v>246</v>
      </c>
      <c r="C2778" s="20">
        <v>41520</v>
      </c>
      <c r="D2778" s="16">
        <v>0.49583333333333335</v>
      </c>
      <c r="E2778" s="4">
        <v>110</v>
      </c>
      <c r="F2778" s="22">
        <v>17</v>
      </c>
      <c r="G2778" s="4">
        <v>0.31177486087570616</v>
      </c>
      <c r="H2778" s="4" t="s">
        <v>124</v>
      </c>
    </row>
    <row r="2779" spans="1:8" x14ac:dyDescent="0.25">
      <c r="A2779" s="4">
        <v>2013</v>
      </c>
      <c r="B2779" s="4">
        <v>246</v>
      </c>
      <c r="C2779" s="20">
        <v>41520</v>
      </c>
      <c r="D2779" s="16">
        <v>0.50208333333333333</v>
      </c>
      <c r="E2779" s="4">
        <v>110</v>
      </c>
      <c r="F2779" s="22">
        <v>18</v>
      </c>
      <c r="G2779" s="4">
        <v>0.32071009533898304</v>
      </c>
      <c r="H2779" s="4" t="s">
        <v>124</v>
      </c>
    </row>
    <row r="2780" spans="1:8" x14ac:dyDescent="0.25">
      <c r="A2780" s="4">
        <v>2013</v>
      </c>
      <c r="B2780" s="4">
        <v>246</v>
      </c>
      <c r="C2780" s="20">
        <v>41520</v>
      </c>
      <c r="D2780" s="16">
        <v>0.50902777777777775</v>
      </c>
      <c r="E2780" s="4">
        <v>110</v>
      </c>
      <c r="F2780" s="22">
        <v>19</v>
      </c>
      <c r="G2780" s="4">
        <v>0.32064100847457627</v>
      </c>
      <c r="H2780" s="4" t="s">
        <v>124</v>
      </c>
    </row>
    <row r="2781" spans="1:8" x14ac:dyDescent="0.25">
      <c r="A2781" s="4">
        <v>2013</v>
      </c>
      <c r="B2781" s="4">
        <v>246</v>
      </c>
      <c r="C2781" s="20">
        <v>41520</v>
      </c>
      <c r="D2781" s="16">
        <v>0.51527777777777783</v>
      </c>
      <c r="E2781" s="4">
        <v>110</v>
      </c>
      <c r="F2781" s="22">
        <v>20</v>
      </c>
      <c r="G2781" s="4">
        <v>0.29332866807909602</v>
      </c>
      <c r="H2781" s="4" t="s">
        <v>124</v>
      </c>
    </row>
    <row r="2782" spans="1:8" x14ac:dyDescent="0.25">
      <c r="A2782" s="4">
        <v>2013</v>
      </c>
      <c r="B2782" s="4">
        <v>246</v>
      </c>
      <c r="C2782" s="20">
        <v>41520</v>
      </c>
      <c r="D2782" s="16">
        <v>0.36944444444444446</v>
      </c>
      <c r="E2782" s="4">
        <v>90</v>
      </c>
      <c r="F2782" s="22">
        <v>1</v>
      </c>
      <c r="G2782" s="4">
        <v>0.30716906991525422</v>
      </c>
      <c r="H2782" s="4" t="s">
        <v>123</v>
      </c>
    </row>
    <row r="2783" spans="1:8" x14ac:dyDescent="0.25">
      <c r="A2783" s="4">
        <v>2013</v>
      </c>
      <c r="B2783" s="4">
        <v>246</v>
      </c>
      <c r="C2783" s="20">
        <v>41520</v>
      </c>
      <c r="D2783" s="16">
        <v>0.37638888888888888</v>
      </c>
      <c r="E2783" s="4">
        <v>90</v>
      </c>
      <c r="F2783" s="22">
        <v>2</v>
      </c>
      <c r="G2783" s="4">
        <v>0.27614906779661014</v>
      </c>
      <c r="H2783" s="4" t="s">
        <v>123</v>
      </c>
    </row>
    <row r="2784" spans="1:8" x14ac:dyDescent="0.25">
      <c r="A2784" s="4">
        <v>2013</v>
      </c>
      <c r="B2784" s="4">
        <v>246</v>
      </c>
      <c r="C2784" s="20">
        <v>41520</v>
      </c>
      <c r="D2784" s="16">
        <v>0.3840277777777778</v>
      </c>
      <c r="E2784" s="4">
        <v>90</v>
      </c>
      <c r="F2784" s="22">
        <v>3</v>
      </c>
      <c r="G2784" s="4">
        <v>0.27094452401129943</v>
      </c>
      <c r="H2784" s="4" t="s">
        <v>123</v>
      </c>
    </row>
    <row r="2785" spans="1:8" x14ac:dyDescent="0.25">
      <c r="A2785" s="4">
        <v>2013</v>
      </c>
      <c r="B2785" s="4">
        <v>246</v>
      </c>
      <c r="C2785" s="20">
        <v>41520</v>
      </c>
      <c r="D2785" s="16">
        <v>0.3923611111111111</v>
      </c>
      <c r="E2785" s="4">
        <v>90</v>
      </c>
      <c r="F2785" s="22">
        <v>4</v>
      </c>
      <c r="G2785" s="4">
        <v>0.27888951341807905</v>
      </c>
      <c r="H2785" s="4" t="s">
        <v>123</v>
      </c>
    </row>
    <row r="2786" spans="1:8" x14ac:dyDescent="0.25">
      <c r="A2786" s="4">
        <v>2013</v>
      </c>
      <c r="B2786" s="4">
        <v>246</v>
      </c>
      <c r="C2786" s="20">
        <v>41520</v>
      </c>
      <c r="D2786" s="16">
        <v>0.39652777777777781</v>
      </c>
      <c r="E2786" s="4">
        <v>90</v>
      </c>
      <c r="F2786" s="22">
        <v>5</v>
      </c>
      <c r="G2786" s="4">
        <v>0.28211356709039542</v>
      </c>
      <c r="H2786" s="4" t="s">
        <v>0</v>
      </c>
    </row>
    <row r="2787" spans="1:8" x14ac:dyDescent="0.25">
      <c r="A2787" s="4">
        <v>2013</v>
      </c>
      <c r="B2787" s="4">
        <v>246</v>
      </c>
      <c r="C2787" s="20">
        <v>41520</v>
      </c>
      <c r="D2787" s="16">
        <v>0.40277777777777773</v>
      </c>
      <c r="E2787" s="4">
        <v>90</v>
      </c>
      <c r="F2787" s="22">
        <v>6</v>
      </c>
      <c r="G2787" s="4">
        <v>0.26880283121468923</v>
      </c>
      <c r="H2787" s="4" t="s">
        <v>0</v>
      </c>
    </row>
    <row r="2788" spans="1:8" x14ac:dyDescent="0.25">
      <c r="A2788" s="4">
        <v>2013</v>
      </c>
      <c r="B2788" s="4">
        <v>246</v>
      </c>
      <c r="C2788" s="20">
        <v>41520</v>
      </c>
      <c r="D2788" s="16">
        <v>0.41041666666666665</v>
      </c>
      <c r="E2788" s="4">
        <v>90</v>
      </c>
      <c r="F2788" s="22">
        <v>7</v>
      </c>
      <c r="G2788" s="4">
        <v>0.27456006991525422</v>
      </c>
      <c r="H2788" s="4" t="s">
        <v>123</v>
      </c>
    </row>
    <row r="2789" spans="1:8" x14ac:dyDescent="0.25">
      <c r="A2789" s="4">
        <v>2013</v>
      </c>
      <c r="B2789" s="4">
        <v>246</v>
      </c>
      <c r="C2789" s="20">
        <v>41520</v>
      </c>
      <c r="D2789" s="16">
        <v>0.42430555555555555</v>
      </c>
      <c r="E2789" s="4">
        <v>90</v>
      </c>
      <c r="F2789" s="22">
        <v>8</v>
      </c>
      <c r="G2789" s="4">
        <v>0.29259174152542372</v>
      </c>
      <c r="H2789" s="4" t="s">
        <v>123</v>
      </c>
    </row>
    <row r="2790" spans="1:8" x14ac:dyDescent="0.25">
      <c r="A2790" s="4">
        <v>2013</v>
      </c>
      <c r="B2790" s="4">
        <v>246</v>
      </c>
      <c r="C2790" s="20">
        <v>41520</v>
      </c>
      <c r="D2790" s="16">
        <v>0.43124999999999997</v>
      </c>
      <c r="E2790" s="4">
        <v>90</v>
      </c>
      <c r="F2790" s="22">
        <v>9</v>
      </c>
      <c r="G2790" s="4">
        <v>0.27234929025423726</v>
      </c>
      <c r="H2790" s="4" t="s">
        <v>123</v>
      </c>
    </row>
    <row r="2791" spans="1:8" x14ac:dyDescent="0.25">
      <c r="A2791" s="4">
        <v>2013</v>
      </c>
      <c r="B2791" s="4">
        <v>246</v>
      </c>
      <c r="C2791" s="20">
        <v>41520</v>
      </c>
      <c r="D2791" s="16">
        <v>0.43958333333333338</v>
      </c>
      <c r="E2791" s="4">
        <v>90</v>
      </c>
      <c r="F2791" s="22">
        <v>10</v>
      </c>
      <c r="G2791" s="4">
        <v>0.27812955790960453</v>
      </c>
      <c r="H2791" s="4" t="s">
        <v>123</v>
      </c>
    </row>
    <row r="2792" spans="1:8" x14ac:dyDescent="0.25">
      <c r="A2792" s="4">
        <v>2013</v>
      </c>
      <c r="B2792" s="4">
        <v>246</v>
      </c>
      <c r="C2792" s="20">
        <v>41520</v>
      </c>
      <c r="D2792" s="16">
        <v>0.45208333333333334</v>
      </c>
      <c r="E2792" s="4">
        <v>90</v>
      </c>
      <c r="F2792" s="22">
        <v>11</v>
      </c>
      <c r="G2792" s="4">
        <v>0.27598786511299433</v>
      </c>
      <c r="H2792" s="4" t="s">
        <v>124</v>
      </c>
    </row>
    <row r="2793" spans="1:8" x14ac:dyDescent="0.25">
      <c r="A2793" s="4">
        <v>2013</v>
      </c>
      <c r="B2793" s="4">
        <v>246</v>
      </c>
      <c r="C2793" s="20">
        <v>41520</v>
      </c>
      <c r="D2793" s="16">
        <v>0.45833333333333331</v>
      </c>
      <c r="E2793" s="4">
        <v>90</v>
      </c>
      <c r="F2793" s="22">
        <v>12</v>
      </c>
      <c r="G2793" s="4">
        <v>0.27633329943502821</v>
      </c>
      <c r="H2793" s="4" t="s">
        <v>124</v>
      </c>
    </row>
    <row r="2794" spans="1:8" x14ac:dyDescent="0.25">
      <c r="A2794" s="4">
        <v>2013</v>
      </c>
      <c r="B2794" s="4">
        <v>246</v>
      </c>
      <c r="C2794" s="20">
        <v>41520</v>
      </c>
      <c r="D2794" s="16">
        <v>0.46527777777777773</v>
      </c>
      <c r="E2794" s="4">
        <v>90</v>
      </c>
      <c r="F2794" s="22">
        <v>13</v>
      </c>
      <c r="G2794" s="4">
        <v>0.27147418997175143</v>
      </c>
      <c r="H2794" s="4" t="s">
        <v>124</v>
      </c>
    </row>
    <row r="2795" spans="1:8" x14ac:dyDescent="0.25">
      <c r="A2795" s="4">
        <v>2013</v>
      </c>
      <c r="B2795" s="4">
        <v>246</v>
      </c>
      <c r="C2795" s="20">
        <v>41520</v>
      </c>
      <c r="D2795" s="16">
        <v>0.47361111111111115</v>
      </c>
      <c r="E2795" s="4">
        <v>90</v>
      </c>
      <c r="F2795" s="22">
        <v>14</v>
      </c>
      <c r="G2795" s="4">
        <v>0.26108813135593223</v>
      </c>
      <c r="H2795" s="4" t="s">
        <v>124</v>
      </c>
    </row>
    <row r="2796" spans="1:8" x14ac:dyDescent="0.25">
      <c r="A2796" s="4">
        <v>2013</v>
      </c>
      <c r="B2796" s="4">
        <v>246</v>
      </c>
      <c r="C2796" s="20">
        <v>41520</v>
      </c>
      <c r="D2796" s="16">
        <v>0.48194444444444445</v>
      </c>
      <c r="E2796" s="4">
        <v>90</v>
      </c>
      <c r="F2796" s="22">
        <v>15</v>
      </c>
      <c r="G2796" s="4">
        <v>0.2512087097457627</v>
      </c>
      <c r="H2796" s="4" t="s">
        <v>1</v>
      </c>
    </row>
    <row r="2797" spans="1:8" x14ac:dyDescent="0.25">
      <c r="A2797" s="4">
        <v>2013</v>
      </c>
      <c r="B2797" s="4">
        <v>246</v>
      </c>
      <c r="C2797" s="20">
        <v>41520</v>
      </c>
      <c r="D2797" s="16">
        <v>0.48819444444444443</v>
      </c>
      <c r="E2797" s="4">
        <v>90</v>
      </c>
      <c r="F2797" s="22">
        <v>16</v>
      </c>
      <c r="G2797" s="4">
        <v>0.2546630529661017</v>
      </c>
      <c r="H2797" s="4" t="s">
        <v>1</v>
      </c>
    </row>
    <row r="2798" spans="1:8" x14ac:dyDescent="0.25">
      <c r="A2798" s="4">
        <v>2013</v>
      </c>
      <c r="B2798" s="4">
        <v>246</v>
      </c>
      <c r="C2798" s="20">
        <v>41520</v>
      </c>
      <c r="D2798" s="16">
        <v>0.49583333333333335</v>
      </c>
      <c r="E2798" s="4">
        <v>90</v>
      </c>
      <c r="F2798" s="22">
        <v>17</v>
      </c>
      <c r="G2798" s="4">
        <v>0.27154327683615814</v>
      </c>
      <c r="H2798" s="4" t="s">
        <v>124</v>
      </c>
    </row>
    <row r="2799" spans="1:8" x14ac:dyDescent="0.25">
      <c r="A2799" s="4">
        <v>2013</v>
      </c>
      <c r="B2799" s="4">
        <v>246</v>
      </c>
      <c r="C2799" s="20">
        <v>41520</v>
      </c>
      <c r="D2799" s="16">
        <v>0.50208333333333333</v>
      </c>
      <c r="E2799" s="4">
        <v>90</v>
      </c>
      <c r="F2799" s="22">
        <v>18</v>
      </c>
      <c r="G2799" s="4">
        <v>0.2951940134180791</v>
      </c>
      <c r="H2799" s="4" t="s">
        <v>124</v>
      </c>
    </row>
    <row r="2800" spans="1:8" x14ac:dyDescent="0.25">
      <c r="A2800" s="4">
        <v>2013</v>
      </c>
      <c r="B2800" s="4">
        <v>246</v>
      </c>
      <c r="C2800" s="20">
        <v>41520</v>
      </c>
      <c r="D2800" s="16">
        <v>0.50902777777777775</v>
      </c>
      <c r="E2800" s="4">
        <v>90</v>
      </c>
      <c r="F2800" s="22">
        <v>19</v>
      </c>
      <c r="G2800" s="4">
        <v>0.26799681779661017</v>
      </c>
      <c r="H2800" s="4" t="s">
        <v>124</v>
      </c>
    </row>
    <row r="2801" spans="1:8" x14ac:dyDescent="0.25">
      <c r="A2801" s="4">
        <v>2013</v>
      </c>
      <c r="B2801" s="4">
        <v>246</v>
      </c>
      <c r="C2801" s="20">
        <v>41520</v>
      </c>
      <c r="D2801" s="16">
        <v>0.51527777777777783</v>
      </c>
      <c r="E2801" s="4">
        <v>90</v>
      </c>
      <c r="F2801" s="22">
        <v>20</v>
      </c>
      <c r="G2801" s="4">
        <v>0.28165298799435029</v>
      </c>
      <c r="H2801" s="4" t="s">
        <v>124</v>
      </c>
    </row>
    <row r="2802" spans="1:8" x14ac:dyDescent="0.25">
      <c r="A2802" s="4">
        <v>2013</v>
      </c>
      <c r="B2802" s="4">
        <v>246</v>
      </c>
      <c r="C2802" s="20">
        <v>41520</v>
      </c>
      <c r="D2802" s="16">
        <v>0.36944444444444446</v>
      </c>
      <c r="E2802" s="4">
        <v>70</v>
      </c>
      <c r="F2802" s="22">
        <v>1</v>
      </c>
      <c r="G2802" s="4">
        <v>0.29045004872881353</v>
      </c>
      <c r="H2802" s="4" t="s">
        <v>123</v>
      </c>
    </row>
    <row r="2803" spans="1:8" x14ac:dyDescent="0.25">
      <c r="A2803" s="4">
        <v>2013</v>
      </c>
      <c r="B2803" s="4">
        <v>246</v>
      </c>
      <c r="C2803" s="20">
        <v>41520</v>
      </c>
      <c r="D2803" s="16">
        <v>0.37638888888888888</v>
      </c>
      <c r="E2803" s="4">
        <v>70</v>
      </c>
      <c r="F2803" s="22">
        <v>2</v>
      </c>
      <c r="G2803" s="4">
        <v>0.28273534887005652</v>
      </c>
      <c r="H2803" s="4" t="s">
        <v>123</v>
      </c>
    </row>
    <row r="2804" spans="1:8" x14ac:dyDescent="0.25">
      <c r="A2804" s="4">
        <v>2013</v>
      </c>
      <c r="B2804" s="4">
        <v>246</v>
      </c>
      <c r="C2804" s="20">
        <v>41520</v>
      </c>
      <c r="D2804" s="16">
        <v>0.3840277777777778</v>
      </c>
      <c r="E2804" s="4">
        <v>70</v>
      </c>
      <c r="F2804" s="22">
        <v>3</v>
      </c>
      <c r="G2804" s="4">
        <v>0.27601089406779655</v>
      </c>
      <c r="H2804" s="4" t="s">
        <v>123</v>
      </c>
    </row>
    <row r="2805" spans="1:8" x14ac:dyDescent="0.25">
      <c r="A2805" s="4">
        <v>2013</v>
      </c>
      <c r="B2805" s="4">
        <v>246</v>
      </c>
      <c r="C2805" s="20">
        <v>41520</v>
      </c>
      <c r="D2805" s="16">
        <v>0.3923611111111111</v>
      </c>
      <c r="E2805" s="4">
        <v>70</v>
      </c>
      <c r="F2805" s="22">
        <v>4</v>
      </c>
      <c r="G2805" s="4">
        <v>0.27078332132768357</v>
      </c>
      <c r="H2805" s="4" t="s">
        <v>123</v>
      </c>
    </row>
    <row r="2806" spans="1:8" x14ac:dyDescent="0.25">
      <c r="A2806" s="4">
        <v>2013</v>
      </c>
      <c r="B2806" s="4">
        <v>246</v>
      </c>
      <c r="C2806" s="20">
        <v>41520</v>
      </c>
      <c r="D2806" s="16">
        <v>0.39652777777777781</v>
      </c>
      <c r="E2806" s="4">
        <v>70</v>
      </c>
      <c r="F2806" s="22">
        <v>5</v>
      </c>
      <c r="G2806" s="4">
        <v>0.29084154096045195</v>
      </c>
      <c r="H2806" s="4" t="s">
        <v>0</v>
      </c>
    </row>
    <row r="2807" spans="1:8" x14ac:dyDescent="0.25">
      <c r="A2807" s="4">
        <v>2013</v>
      </c>
      <c r="B2807" s="4">
        <v>246</v>
      </c>
      <c r="C2807" s="20">
        <v>41520</v>
      </c>
      <c r="D2807" s="16">
        <v>0.40277777777777773</v>
      </c>
      <c r="E2807" s="4">
        <v>70</v>
      </c>
      <c r="F2807" s="22">
        <v>6</v>
      </c>
      <c r="G2807" s="4">
        <v>0.28782474788135592</v>
      </c>
      <c r="H2807" s="4" t="s">
        <v>0</v>
      </c>
    </row>
    <row r="2808" spans="1:8" x14ac:dyDescent="0.25">
      <c r="A2808" s="4">
        <v>2013</v>
      </c>
      <c r="B2808" s="4">
        <v>246</v>
      </c>
      <c r="C2808" s="20">
        <v>41520</v>
      </c>
      <c r="D2808" s="16">
        <v>0.41041666666666665</v>
      </c>
      <c r="E2808" s="4">
        <v>70</v>
      </c>
      <c r="F2808" s="22">
        <v>7</v>
      </c>
      <c r="G2808" s="4">
        <v>0.28070880084745758</v>
      </c>
      <c r="H2808" s="4" t="s">
        <v>123</v>
      </c>
    </row>
    <row r="2809" spans="1:8" x14ac:dyDescent="0.25">
      <c r="A2809" s="4">
        <v>2013</v>
      </c>
      <c r="B2809" s="4">
        <v>246</v>
      </c>
      <c r="C2809" s="20">
        <v>41520</v>
      </c>
      <c r="D2809" s="16">
        <v>0.42430555555555555</v>
      </c>
      <c r="E2809" s="4">
        <v>70</v>
      </c>
      <c r="F2809" s="22">
        <v>8</v>
      </c>
      <c r="G2809" s="4">
        <v>0.27707022598870057</v>
      </c>
      <c r="H2809" s="4" t="s">
        <v>123</v>
      </c>
    </row>
    <row r="2810" spans="1:8" x14ac:dyDescent="0.25">
      <c r="A2810" s="4">
        <v>2013</v>
      </c>
      <c r="B2810" s="4">
        <v>246</v>
      </c>
      <c r="C2810" s="20">
        <v>41520</v>
      </c>
      <c r="D2810" s="16">
        <v>0.43124999999999997</v>
      </c>
      <c r="E2810" s="4">
        <v>70</v>
      </c>
      <c r="F2810" s="22">
        <v>9</v>
      </c>
      <c r="G2810" s="4">
        <v>0.26569392231638417</v>
      </c>
      <c r="H2810" s="4" t="s">
        <v>123</v>
      </c>
    </row>
    <row r="2811" spans="1:8" x14ac:dyDescent="0.25">
      <c r="A2811" s="4">
        <v>2013</v>
      </c>
      <c r="B2811" s="4">
        <v>246</v>
      </c>
      <c r="C2811" s="20">
        <v>41520</v>
      </c>
      <c r="D2811" s="16">
        <v>0.43958333333333338</v>
      </c>
      <c r="E2811" s="4">
        <v>70</v>
      </c>
      <c r="F2811" s="22">
        <v>10</v>
      </c>
      <c r="G2811" s="4">
        <v>0.29210813347457626</v>
      </c>
      <c r="H2811" s="4" t="s">
        <v>123</v>
      </c>
    </row>
    <row r="2812" spans="1:8" x14ac:dyDescent="0.25">
      <c r="A2812" s="4">
        <v>2013</v>
      </c>
      <c r="B2812" s="4">
        <v>246</v>
      </c>
      <c r="C2812" s="20">
        <v>41520</v>
      </c>
      <c r="D2812" s="16">
        <v>0.45208333333333334</v>
      </c>
      <c r="E2812" s="4">
        <v>70</v>
      </c>
      <c r="F2812" s="22">
        <v>11</v>
      </c>
      <c r="G2812" s="4">
        <v>0.28174510381355927</v>
      </c>
      <c r="H2812" s="4" t="s">
        <v>124</v>
      </c>
    </row>
    <row r="2813" spans="1:8" x14ac:dyDescent="0.25">
      <c r="A2813" s="4">
        <v>2013</v>
      </c>
      <c r="B2813" s="4">
        <v>246</v>
      </c>
      <c r="C2813" s="20">
        <v>41520</v>
      </c>
      <c r="D2813" s="16">
        <v>0.45833333333333331</v>
      </c>
      <c r="E2813" s="4">
        <v>70</v>
      </c>
      <c r="F2813" s="22">
        <v>12</v>
      </c>
      <c r="G2813" s="4">
        <v>0.27497459110169492</v>
      </c>
      <c r="H2813" s="4" t="s">
        <v>124</v>
      </c>
    </row>
    <row r="2814" spans="1:8" x14ac:dyDescent="0.25">
      <c r="A2814" s="4">
        <v>2013</v>
      </c>
      <c r="B2814" s="4">
        <v>246</v>
      </c>
      <c r="C2814" s="20">
        <v>41520</v>
      </c>
      <c r="D2814" s="16">
        <v>0.46527777777777773</v>
      </c>
      <c r="E2814" s="4">
        <v>70</v>
      </c>
      <c r="F2814" s="22">
        <v>13</v>
      </c>
      <c r="G2814" s="4">
        <v>0.26769744138418078</v>
      </c>
      <c r="H2814" s="4" t="s">
        <v>124</v>
      </c>
    </row>
    <row r="2815" spans="1:8" x14ac:dyDescent="0.25">
      <c r="A2815" s="4">
        <v>2013</v>
      </c>
      <c r="B2815" s="4">
        <v>246</v>
      </c>
      <c r="C2815" s="20">
        <v>41520</v>
      </c>
      <c r="D2815" s="16">
        <v>0.47361111111111115</v>
      </c>
      <c r="E2815" s="4">
        <v>70</v>
      </c>
      <c r="F2815" s="22">
        <v>14</v>
      </c>
      <c r="G2815" s="4">
        <v>0.27506670692090396</v>
      </c>
      <c r="H2815" s="4" t="s">
        <v>124</v>
      </c>
    </row>
    <row r="2816" spans="1:8" x14ac:dyDescent="0.25">
      <c r="A2816" s="4">
        <v>2013</v>
      </c>
      <c r="B2816" s="4">
        <v>246</v>
      </c>
      <c r="C2816" s="20">
        <v>41520</v>
      </c>
      <c r="D2816" s="16">
        <v>0.48194444444444445</v>
      </c>
      <c r="E2816" s="4">
        <v>70</v>
      </c>
      <c r="F2816" s="22">
        <v>15</v>
      </c>
      <c r="G2816" s="4">
        <v>0.25634416666666665</v>
      </c>
      <c r="H2816" s="4" t="s">
        <v>1</v>
      </c>
    </row>
    <row r="2817" spans="1:8" x14ac:dyDescent="0.25">
      <c r="A2817" s="4">
        <v>2013</v>
      </c>
      <c r="B2817" s="4">
        <v>246</v>
      </c>
      <c r="C2817" s="20">
        <v>41520</v>
      </c>
      <c r="D2817" s="16">
        <v>0.48819444444444443</v>
      </c>
      <c r="E2817" s="4">
        <v>70</v>
      </c>
      <c r="F2817" s="22">
        <v>16</v>
      </c>
      <c r="G2817" s="4">
        <v>0.26309165042372878</v>
      </c>
      <c r="H2817" s="4" t="s">
        <v>1</v>
      </c>
    </row>
    <row r="2818" spans="1:8" x14ac:dyDescent="0.25">
      <c r="A2818" s="4">
        <v>2013</v>
      </c>
      <c r="B2818" s="4">
        <v>246</v>
      </c>
      <c r="C2818" s="20">
        <v>41520</v>
      </c>
      <c r="D2818" s="16">
        <v>0.49583333333333335</v>
      </c>
      <c r="E2818" s="4">
        <v>70</v>
      </c>
      <c r="F2818" s="22">
        <v>17</v>
      </c>
      <c r="G2818" s="4">
        <v>0.27304015889830507</v>
      </c>
      <c r="H2818" s="4" t="s">
        <v>124</v>
      </c>
    </row>
    <row r="2819" spans="1:8" x14ac:dyDescent="0.25">
      <c r="A2819" s="4">
        <v>2013</v>
      </c>
      <c r="B2819" s="4">
        <v>246</v>
      </c>
      <c r="C2819" s="20">
        <v>41520</v>
      </c>
      <c r="D2819" s="16">
        <v>0.50208333333333333</v>
      </c>
      <c r="E2819" s="4">
        <v>70</v>
      </c>
      <c r="F2819" s="22">
        <v>18</v>
      </c>
      <c r="G2819" s="4">
        <v>0.27260260875706216</v>
      </c>
      <c r="H2819" s="4" t="s">
        <v>124</v>
      </c>
    </row>
    <row r="2820" spans="1:8" x14ac:dyDescent="0.25">
      <c r="A2820" s="4">
        <v>2013</v>
      </c>
      <c r="B2820" s="4">
        <v>246</v>
      </c>
      <c r="C2820" s="20">
        <v>41520</v>
      </c>
      <c r="D2820" s="16">
        <v>0.50902777777777775</v>
      </c>
      <c r="E2820" s="4">
        <v>70</v>
      </c>
      <c r="F2820" s="22">
        <v>19</v>
      </c>
      <c r="G2820" s="4">
        <v>0.26302256355932202</v>
      </c>
      <c r="H2820" s="4" t="s">
        <v>124</v>
      </c>
    </row>
    <row r="2821" spans="1:8" x14ac:dyDescent="0.25">
      <c r="A2821" s="4">
        <v>2013</v>
      </c>
      <c r="B2821" s="4">
        <v>246</v>
      </c>
      <c r="C2821" s="20">
        <v>41520</v>
      </c>
      <c r="D2821" s="16">
        <v>0.51527777777777783</v>
      </c>
      <c r="E2821" s="4">
        <v>70</v>
      </c>
      <c r="F2821" s="22">
        <v>20</v>
      </c>
      <c r="G2821" s="4">
        <v>0.28487704166666666</v>
      </c>
      <c r="H2821" s="4" t="s">
        <v>124</v>
      </c>
    </row>
    <row r="2822" spans="1:8" x14ac:dyDescent="0.25">
      <c r="A2822" s="4">
        <v>2013</v>
      </c>
      <c r="B2822" s="4">
        <v>246</v>
      </c>
      <c r="C2822" s="20">
        <v>41520</v>
      </c>
      <c r="D2822" s="16">
        <v>0.36944444444444446</v>
      </c>
      <c r="E2822" s="4">
        <v>50</v>
      </c>
      <c r="F2822" s="22">
        <v>1</v>
      </c>
      <c r="G2822" s="4">
        <v>0.284024970338983</v>
      </c>
      <c r="H2822" s="4" t="s">
        <v>123</v>
      </c>
    </row>
    <row r="2823" spans="1:8" x14ac:dyDescent="0.25">
      <c r="A2823" s="4">
        <v>2013</v>
      </c>
      <c r="B2823" s="4">
        <v>246</v>
      </c>
      <c r="C2823" s="20">
        <v>41520</v>
      </c>
      <c r="D2823" s="16">
        <v>0.37638888888888888</v>
      </c>
      <c r="E2823" s="4">
        <v>50</v>
      </c>
      <c r="F2823" s="22">
        <v>2</v>
      </c>
      <c r="G2823" s="4">
        <v>0.29167058333333329</v>
      </c>
      <c r="H2823" s="4" t="s">
        <v>123</v>
      </c>
    </row>
    <row r="2824" spans="1:8" x14ac:dyDescent="0.25">
      <c r="A2824" s="4">
        <v>2013</v>
      </c>
      <c r="B2824" s="4">
        <v>246</v>
      </c>
      <c r="C2824" s="20">
        <v>41520</v>
      </c>
      <c r="D2824" s="16">
        <v>0.3840277777777778</v>
      </c>
      <c r="E2824" s="4">
        <v>50</v>
      </c>
      <c r="F2824" s="22">
        <v>3</v>
      </c>
      <c r="G2824" s="4">
        <v>0.30799811228813562</v>
      </c>
      <c r="H2824" s="4" t="s">
        <v>123</v>
      </c>
    </row>
    <row r="2825" spans="1:8" x14ac:dyDescent="0.25">
      <c r="A2825" s="4">
        <v>2013</v>
      </c>
      <c r="B2825" s="4">
        <v>246</v>
      </c>
      <c r="C2825" s="20">
        <v>41520</v>
      </c>
      <c r="D2825" s="16">
        <v>0.3923611111111111</v>
      </c>
      <c r="E2825" s="4">
        <v>50</v>
      </c>
      <c r="F2825" s="22">
        <v>4</v>
      </c>
      <c r="G2825" s="4">
        <v>0.28793989265536724</v>
      </c>
      <c r="H2825" s="4" t="s">
        <v>123</v>
      </c>
    </row>
    <row r="2826" spans="1:8" x14ac:dyDescent="0.25">
      <c r="A2826" s="4">
        <v>2013</v>
      </c>
      <c r="B2826" s="4">
        <v>246</v>
      </c>
      <c r="C2826" s="20">
        <v>41520</v>
      </c>
      <c r="D2826" s="16">
        <v>0.39652777777777781</v>
      </c>
      <c r="E2826" s="4">
        <v>50</v>
      </c>
      <c r="F2826" s="22">
        <v>5</v>
      </c>
      <c r="G2826" s="4">
        <v>0.30062884675141244</v>
      </c>
      <c r="H2826" s="4" t="s">
        <v>0</v>
      </c>
    </row>
    <row r="2827" spans="1:8" x14ac:dyDescent="0.25">
      <c r="A2827" s="4">
        <v>2013</v>
      </c>
      <c r="B2827" s="4">
        <v>246</v>
      </c>
      <c r="C2827" s="20">
        <v>41520</v>
      </c>
      <c r="D2827" s="16">
        <v>0.40277777777777773</v>
      </c>
      <c r="E2827" s="4">
        <v>50</v>
      </c>
      <c r="F2827" s="22">
        <v>6</v>
      </c>
      <c r="G2827" s="4">
        <v>0.30601762217514122</v>
      </c>
      <c r="H2827" s="4" t="s">
        <v>0</v>
      </c>
    </row>
    <row r="2828" spans="1:8" x14ac:dyDescent="0.25">
      <c r="A2828" s="4">
        <v>2013</v>
      </c>
      <c r="B2828" s="4">
        <v>246</v>
      </c>
      <c r="C2828" s="20">
        <v>41520</v>
      </c>
      <c r="D2828" s="16">
        <v>0.41041666666666665</v>
      </c>
      <c r="E2828" s="4">
        <v>50</v>
      </c>
      <c r="F2828" s="22">
        <v>7</v>
      </c>
      <c r="G2828" s="4">
        <v>0.29321352330508471</v>
      </c>
      <c r="H2828" s="4" t="s">
        <v>123</v>
      </c>
    </row>
    <row r="2829" spans="1:8" x14ac:dyDescent="0.25">
      <c r="A2829" s="4">
        <v>2013</v>
      </c>
      <c r="B2829" s="4">
        <v>246</v>
      </c>
      <c r="C2829" s="20">
        <v>41520</v>
      </c>
      <c r="D2829" s="16">
        <v>0.42430555555555555</v>
      </c>
      <c r="E2829" s="4">
        <v>50</v>
      </c>
      <c r="F2829" s="22">
        <v>8</v>
      </c>
      <c r="G2829" s="4">
        <v>0.2963454611581921</v>
      </c>
      <c r="H2829" s="4" t="s">
        <v>123</v>
      </c>
    </row>
    <row r="2830" spans="1:8" x14ac:dyDescent="0.25">
      <c r="A2830" s="4">
        <v>2013</v>
      </c>
      <c r="B2830" s="4">
        <v>246</v>
      </c>
      <c r="C2830" s="20">
        <v>41520</v>
      </c>
      <c r="D2830" s="16">
        <v>0.43124999999999997</v>
      </c>
      <c r="E2830" s="4">
        <v>50</v>
      </c>
      <c r="F2830" s="22">
        <v>9</v>
      </c>
      <c r="G2830" s="4">
        <v>0.29323655225988698</v>
      </c>
      <c r="H2830" s="4" t="s">
        <v>123</v>
      </c>
    </row>
    <row r="2831" spans="1:8" x14ac:dyDescent="0.25">
      <c r="A2831" s="4">
        <v>2013</v>
      </c>
      <c r="B2831" s="4">
        <v>246</v>
      </c>
      <c r="C2831" s="20">
        <v>41520</v>
      </c>
      <c r="D2831" s="16">
        <v>0.43958333333333338</v>
      </c>
      <c r="E2831" s="4">
        <v>50</v>
      </c>
      <c r="F2831" s="22">
        <v>10</v>
      </c>
      <c r="G2831" s="4">
        <v>0.30516555084745761</v>
      </c>
      <c r="H2831" s="4" t="s">
        <v>123</v>
      </c>
    </row>
    <row r="2832" spans="1:8" x14ac:dyDescent="0.25">
      <c r="A2832" s="4">
        <v>2013</v>
      </c>
      <c r="B2832" s="4">
        <v>246</v>
      </c>
      <c r="C2832" s="20">
        <v>41520</v>
      </c>
      <c r="D2832" s="16">
        <v>0.45208333333333334</v>
      </c>
      <c r="E2832" s="4">
        <v>50</v>
      </c>
      <c r="F2832" s="22">
        <v>11</v>
      </c>
      <c r="G2832" s="4">
        <v>0.28706479237288135</v>
      </c>
      <c r="H2832" s="4" t="s">
        <v>124</v>
      </c>
    </row>
    <row r="2833" spans="1:8" x14ac:dyDescent="0.25">
      <c r="A2833" s="4">
        <v>2013</v>
      </c>
      <c r="B2833" s="4">
        <v>246</v>
      </c>
      <c r="C2833" s="20">
        <v>41520</v>
      </c>
      <c r="D2833" s="16">
        <v>0.45833333333333331</v>
      </c>
      <c r="E2833" s="4">
        <v>50</v>
      </c>
      <c r="F2833" s="22">
        <v>12</v>
      </c>
      <c r="G2833" s="4">
        <v>0.29102577259887003</v>
      </c>
      <c r="H2833" s="4" t="s">
        <v>124</v>
      </c>
    </row>
    <row r="2834" spans="1:8" x14ac:dyDescent="0.25">
      <c r="A2834" s="4">
        <v>2013</v>
      </c>
      <c r="B2834" s="4">
        <v>246</v>
      </c>
      <c r="C2834" s="20">
        <v>41520</v>
      </c>
      <c r="D2834" s="16">
        <v>0.46527777777777773</v>
      </c>
      <c r="E2834" s="4">
        <v>50</v>
      </c>
      <c r="F2834" s="22">
        <v>13</v>
      </c>
      <c r="G2834" s="4">
        <v>0.27759989194915252</v>
      </c>
      <c r="H2834" s="4" t="s">
        <v>124</v>
      </c>
    </row>
    <row r="2835" spans="1:8" x14ac:dyDescent="0.25">
      <c r="A2835" s="4">
        <v>2013</v>
      </c>
      <c r="B2835" s="4">
        <v>246</v>
      </c>
      <c r="C2835" s="20">
        <v>41520</v>
      </c>
      <c r="D2835" s="16">
        <v>0.47361111111111115</v>
      </c>
      <c r="E2835" s="4">
        <v>50</v>
      </c>
      <c r="F2835" s="22">
        <v>14</v>
      </c>
      <c r="G2835" s="4">
        <v>0.28897619562146892</v>
      </c>
      <c r="H2835" s="4" t="s">
        <v>124</v>
      </c>
    </row>
    <row r="2836" spans="1:8" x14ac:dyDescent="0.25">
      <c r="A2836" s="4">
        <v>2013</v>
      </c>
      <c r="B2836" s="4">
        <v>246</v>
      </c>
      <c r="C2836" s="20">
        <v>41520</v>
      </c>
      <c r="D2836" s="16">
        <v>0.48194444444444445</v>
      </c>
      <c r="E2836" s="4">
        <v>50</v>
      </c>
      <c r="F2836" s="22">
        <v>15</v>
      </c>
      <c r="G2836" s="4">
        <v>0.26594724081920901</v>
      </c>
      <c r="H2836" s="4" t="s">
        <v>1</v>
      </c>
    </row>
    <row r="2837" spans="1:8" x14ac:dyDescent="0.25">
      <c r="A2837" s="4">
        <v>2013</v>
      </c>
      <c r="B2837" s="4">
        <v>246</v>
      </c>
      <c r="C2837" s="20">
        <v>41520</v>
      </c>
      <c r="D2837" s="16">
        <v>0.48819444444444443</v>
      </c>
      <c r="E2837" s="4">
        <v>50</v>
      </c>
      <c r="F2837" s="22">
        <v>16</v>
      </c>
      <c r="G2837" s="4">
        <v>0.27603392302259888</v>
      </c>
      <c r="H2837" s="4" t="s">
        <v>1</v>
      </c>
    </row>
    <row r="2838" spans="1:8" x14ac:dyDescent="0.25">
      <c r="A2838" s="4">
        <v>2013</v>
      </c>
      <c r="B2838" s="4">
        <v>246</v>
      </c>
      <c r="C2838" s="20">
        <v>41520</v>
      </c>
      <c r="D2838" s="16">
        <v>0.49583333333333335</v>
      </c>
      <c r="E2838" s="4">
        <v>50</v>
      </c>
      <c r="F2838" s="22">
        <v>17</v>
      </c>
      <c r="G2838" s="4">
        <v>0.30657031709039545</v>
      </c>
      <c r="H2838" s="4" t="s">
        <v>124</v>
      </c>
    </row>
    <row r="2839" spans="1:8" x14ac:dyDescent="0.25">
      <c r="A2839" s="4">
        <v>2013</v>
      </c>
      <c r="B2839" s="4">
        <v>246</v>
      </c>
      <c r="C2839" s="20">
        <v>41520</v>
      </c>
      <c r="D2839" s="16">
        <v>0.50208333333333333</v>
      </c>
      <c r="E2839" s="4">
        <v>50</v>
      </c>
      <c r="F2839" s="22">
        <v>18</v>
      </c>
      <c r="G2839" s="4">
        <v>0.29222327824858757</v>
      </c>
      <c r="H2839" s="4" t="s">
        <v>124</v>
      </c>
    </row>
    <row r="2840" spans="1:8" x14ac:dyDescent="0.25">
      <c r="A2840" s="4">
        <v>2013</v>
      </c>
      <c r="B2840" s="4">
        <v>246</v>
      </c>
      <c r="C2840" s="20">
        <v>41520</v>
      </c>
      <c r="D2840" s="16">
        <v>0.50902777777777775</v>
      </c>
      <c r="E2840" s="4">
        <v>50</v>
      </c>
      <c r="F2840" s="22">
        <v>19</v>
      </c>
      <c r="G2840" s="4">
        <v>0.2963454611581921</v>
      </c>
      <c r="H2840" s="4" t="s">
        <v>124</v>
      </c>
    </row>
    <row r="2841" spans="1:8" x14ac:dyDescent="0.25">
      <c r="A2841" s="4">
        <v>2013</v>
      </c>
      <c r="B2841" s="4">
        <v>246</v>
      </c>
      <c r="C2841" s="20">
        <v>41520</v>
      </c>
      <c r="D2841" s="16">
        <v>0.51527777777777783</v>
      </c>
      <c r="E2841" s="4">
        <v>50</v>
      </c>
      <c r="F2841" s="22">
        <v>20</v>
      </c>
      <c r="G2841" s="4">
        <v>0.30873503884180786</v>
      </c>
      <c r="H2841" s="4" t="s">
        <v>124</v>
      </c>
    </row>
    <row r="2842" spans="1:8" x14ac:dyDescent="0.25">
      <c r="A2842" s="4">
        <v>2013</v>
      </c>
      <c r="B2842" s="4">
        <v>246</v>
      </c>
      <c r="C2842" s="20">
        <v>41520</v>
      </c>
      <c r="D2842" s="16">
        <v>0.36944444444444446</v>
      </c>
      <c r="E2842" s="4">
        <v>30</v>
      </c>
      <c r="F2842" s="22">
        <v>1</v>
      </c>
      <c r="G2842" s="4">
        <v>0.27456006991525422</v>
      </c>
      <c r="H2842" s="4" t="s">
        <v>123</v>
      </c>
    </row>
    <row r="2843" spans="1:8" x14ac:dyDescent="0.25">
      <c r="A2843" s="4">
        <v>2013</v>
      </c>
      <c r="B2843" s="4">
        <v>246</v>
      </c>
      <c r="C2843" s="20">
        <v>41520</v>
      </c>
      <c r="D2843" s="16">
        <v>0.37638888888888888</v>
      </c>
      <c r="E2843" s="4">
        <v>30</v>
      </c>
      <c r="F2843" s="22">
        <v>2</v>
      </c>
      <c r="G2843" s="4">
        <v>0.26977004731638415</v>
      </c>
      <c r="H2843" s="4" t="s">
        <v>123</v>
      </c>
    </row>
    <row r="2844" spans="1:8" x14ac:dyDescent="0.25">
      <c r="A2844" s="4">
        <v>2013</v>
      </c>
      <c r="B2844" s="4">
        <v>246</v>
      </c>
      <c r="C2844" s="20">
        <v>41520</v>
      </c>
      <c r="D2844" s="16">
        <v>0.3840277777777778</v>
      </c>
      <c r="E2844" s="4">
        <v>30</v>
      </c>
      <c r="F2844" s="22">
        <v>3</v>
      </c>
      <c r="G2844" s="4">
        <v>0.2988095593220339</v>
      </c>
      <c r="H2844" s="4" t="s">
        <v>123</v>
      </c>
    </row>
    <row r="2845" spans="1:8" x14ac:dyDescent="0.25">
      <c r="A2845" s="4">
        <v>2013</v>
      </c>
      <c r="B2845" s="4">
        <v>246</v>
      </c>
      <c r="C2845" s="20">
        <v>41520</v>
      </c>
      <c r="D2845" s="16">
        <v>0.3923611111111111</v>
      </c>
      <c r="E2845" s="4">
        <v>30</v>
      </c>
      <c r="F2845" s="22">
        <v>4</v>
      </c>
      <c r="G2845" s="4">
        <v>0.26979307627118643</v>
      </c>
      <c r="H2845" s="4" t="s">
        <v>123</v>
      </c>
    </row>
    <row r="2846" spans="1:8" x14ac:dyDescent="0.25">
      <c r="A2846" s="4">
        <v>2013</v>
      </c>
      <c r="B2846" s="4">
        <v>246</v>
      </c>
      <c r="C2846" s="20">
        <v>41520</v>
      </c>
      <c r="D2846" s="16">
        <v>0.39652777777777781</v>
      </c>
      <c r="E2846" s="4">
        <v>30</v>
      </c>
      <c r="F2846" s="22">
        <v>5</v>
      </c>
      <c r="G2846" s="4">
        <v>0.30631699858757061</v>
      </c>
      <c r="H2846" s="4" t="s">
        <v>0</v>
      </c>
    </row>
    <row r="2847" spans="1:8" x14ac:dyDescent="0.25">
      <c r="A2847" s="4">
        <v>2013</v>
      </c>
      <c r="B2847" s="4">
        <v>246</v>
      </c>
      <c r="C2847" s="20">
        <v>41520</v>
      </c>
      <c r="D2847" s="16">
        <v>0.40277777777777773</v>
      </c>
      <c r="E2847" s="4">
        <v>30</v>
      </c>
      <c r="F2847" s="22">
        <v>6</v>
      </c>
      <c r="G2847" s="4">
        <v>0.28780171892655365</v>
      </c>
      <c r="H2847" s="4" t="s">
        <v>0</v>
      </c>
    </row>
    <row r="2848" spans="1:8" x14ac:dyDescent="0.25">
      <c r="A2848" s="4">
        <v>2013</v>
      </c>
      <c r="B2848" s="4">
        <v>246</v>
      </c>
      <c r="C2848" s="20">
        <v>41520</v>
      </c>
      <c r="D2848" s="16">
        <v>0.41041666666666665</v>
      </c>
      <c r="E2848" s="4">
        <v>30</v>
      </c>
      <c r="F2848" s="22">
        <v>7</v>
      </c>
      <c r="G2848" s="4">
        <v>0.28510733121468923</v>
      </c>
      <c r="H2848" s="4" t="s">
        <v>123</v>
      </c>
    </row>
    <row r="2849" spans="1:8" x14ac:dyDescent="0.25">
      <c r="A2849" s="4">
        <v>2013</v>
      </c>
      <c r="B2849" s="4">
        <v>246</v>
      </c>
      <c r="C2849" s="20">
        <v>41520</v>
      </c>
      <c r="D2849" s="16">
        <v>0.42430555555555555</v>
      </c>
      <c r="E2849" s="4">
        <v>30</v>
      </c>
      <c r="F2849" s="22">
        <v>8</v>
      </c>
      <c r="G2849" s="4">
        <v>0.29977677542372883</v>
      </c>
      <c r="H2849" s="4" t="s">
        <v>123</v>
      </c>
    </row>
    <row r="2850" spans="1:8" x14ac:dyDescent="0.25">
      <c r="A2850" s="4">
        <v>2013</v>
      </c>
      <c r="B2850" s="4">
        <v>246</v>
      </c>
      <c r="C2850" s="20">
        <v>41520</v>
      </c>
      <c r="D2850" s="16">
        <v>0.43124999999999997</v>
      </c>
      <c r="E2850" s="4">
        <v>30</v>
      </c>
      <c r="F2850" s="22">
        <v>9</v>
      </c>
      <c r="G2850" s="4">
        <v>0.29199298870056495</v>
      </c>
      <c r="H2850" s="4" t="s">
        <v>123</v>
      </c>
    </row>
    <row r="2851" spans="1:8" x14ac:dyDescent="0.25">
      <c r="A2851" s="4">
        <v>2013</v>
      </c>
      <c r="B2851" s="4">
        <v>246</v>
      </c>
      <c r="C2851" s="20">
        <v>41520</v>
      </c>
      <c r="D2851" s="16">
        <v>0.43958333333333338</v>
      </c>
      <c r="E2851" s="4">
        <v>30</v>
      </c>
      <c r="F2851" s="22">
        <v>10</v>
      </c>
      <c r="G2851" s="4">
        <v>0.28987432485875703</v>
      </c>
      <c r="H2851" s="4" t="s">
        <v>123</v>
      </c>
    </row>
    <row r="2852" spans="1:8" x14ac:dyDescent="0.25">
      <c r="A2852" s="4">
        <v>2013</v>
      </c>
      <c r="B2852" s="4">
        <v>246</v>
      </c>
      <c r="C2852" s="20">
        <v>41520</v>
      </c>
      <c r="D2852" s="16">
        <v>0.45208333333333334</v>
      </c>
      <c r="E2852" s="4">
        <v>30</v>
      </c>
      <c r="F2852" s="22">
        <v>11</v>
      </c>
      <c r="G2852" s="4">
        <v>0.27336256426553673</v>
      </c>
      <c r="H2852" s="4" t="s">
        <v>124</v>
      </c>
    </row>
    <row r="2853" spans="1:8" x14ac:dyDescent="0.25">
      <c r="A2853" s="4">
        <v>2013</v>
      </c>
      <c r="B2853" s="4">
        <v>246</v>
      </c>
      <c r="C2853" s="20">
        <v>41520</v>
      </c>
      <c r="D2853" s="16">
        <v>0.45833333333333331</v>
      </c>
      <c r="E2853" s="4">
        <v>30</v>
      </c>
      <c r="F2853" s="22">
        <v>12</v>
      </c>
      <c r="G2853" s="4">
        <v>0.26092692867231637</v>
      </c>
      <c r="H2853" s="4" t="s">
        <v>124</v>
      </c>
    </row>
    <row r="2854" spans="1:8" x14ac:dyDescent="0.25">
      <c r="A2854" s="4">
        <v>2013</v>
      </c>
      <c r="B2854" s="4">
        <v>246</v>
      </c>
      <c r="C2854" s="20">
        <v>41520</v>
      </c>
      <c r="D2854" s="16">
        <v>0.46527777777777773</v>
      </c>
      <c r="E2854" s="4">
        <v>30</v>
      </c>
      <c r="F2854" s="22">
        <v>13</v>
      </c>
      <c r="G2854" s="4">
        <v>0.27154327683615814</v>
      </c>
      <c r="H2854" s="4" t="s">
        <v>124</v>
      </c>
    </row>
    <row r="2855" spans="1:8" x14ac:dyDescent="0.25">
      <c r="A2855" s="4">
        <v>2013</v>
      </c>
      <c r="B2855" s="4">
        <v>246</v>
      </c>
      <c r="C2855" s="20">
        <v>41520</v>
      </c>
      <c r="D2855" s="16">
        <v>0.47361111111111115</v>
      </c>
      <c r="E2855" s="4">
        <v>30</v>
      </c>
      <c r="F2855" s="22">
        <v>14</v>
      </c>
      <c r="G2855" s="4">
        <v>0.26541757485875705</v>
      </c>
      <c r="H2855" s="4" t="s">
        <v>124</v>
      </c>
    </row>
    <row r="2856" spans="1:8" x14ac:dyDescent="0.25">
      <c r="A2856" s="4">
        <v>2013</v>
      </c>
      <c r="B2856" s="4">
        <v>246</v>
      </c>
      <c r="C2856" s="20">
        <v>41520</v>
      </c>
      <c r="D2856" s="16">
        <v>0.48194444444444445</v>
      </c>
      <c r="E2856" s="4">
        <v>30</v>
      </c>
      <c r="F2856" s="22">
        <v>15</v>
      </c>
      <c r="G2856" s="4">
        <v>0.2838177097457627</v>
      </c>
      <c r="H2856" s="4" t="s">
        <v>1</v>
      </c>
    </row>
    <row r="2857" spans="1:8" x14ac:dyDescent="0.25">
      <c r="A2857" s="4">
        <v>2013</v>
      </c>
      <c r="B2857" s="4">
        <v>246</v>
      </c>
      <c r="C2857" s="20">
        <v>41520</v>
      </c>
      <c r="D2857" s="16">
        <v>0.48819444444444443</v>
      </c>
      <c r="E2857" s="4">
        <v>30</v>
      </c>
      <c r="F2857" s="22">
        <v>16</v>
      </c>
      <c r="G2857" s="4">
        <v>0.27460612782485871</v>
      </c>
      <c r="H2857" s="4" t="s">
        <v>1</v>
      </c>
    </row>
    <row r="2858" spans="1:8" x14ac:dyDescent="0.25">
      <c r="A2858" s="4">
        <v>2013</v>
      </c>
      <c r="B2858" s="4">
        <v>246</v>
      </c>
      <c r="C2858" s="20">
        <v>41520</v>
      </c>
      <c r="D2858" s="16">
        <v>0.49583333333333335</v>
      </c>
      <c r="E2858" s="4">
        <v>30</v>
      </c>
      <c r="F2858" s="22">
        <v>17</v>
      </c>
      <c r="G2858" s="4">
        <v>0.29372016031073445</v>
      </c>
      <c r="H2858" s="4" t="s">
        <v>124</v>
      </c>
    </row>
    <row r="2859" spans="1:8" x14ac:dyDescent="0.25">
      <c r="A2859" s="4">
        <v>2013</v>
      </c>
      <c r="B2859" s="4">
        <v>246</v>
      </c>
      <c r="C2859" s="20">
        <v>41520</v>
      </c>
      <c r="D2859" s="16">
        <v>0.50208333333333333</v>
      </c>
      <c r="E2859" s="4">
        <v>30</v>
      </c>
      <c r="F2859" s="22">
        <v>18</v>
      </c>
      <c r="G2859" s="4">
        <v>0.29694421398305082</v>
      </c>
      <c r="H2859" s="4" t="s">
        <v>124</v>
      </c>
    </row>
    <row r="2860" spans="1:8" x14ac:dyDescent="0.25">
      <c r="A2860" s="4">
        <v>2013</v>
      </c>
      <c r="B2860" s="4">
        <v>246</v>
      </c>
      <c r="C2860" s="20">
        <v>41520</v>
      </c>
      <c r="D2860" s="16">
        <v>0.50902777777777775</v>
      </c>
      <c r="E2860" s="4">
        <v>30</v>
      </c>
      <c r="F2860" s="22">
        <v>19</v>
      </c>
      <c r="G2860" s="4">
        <v>0.27495156214689265</v>
      </c>
      <c r="H2860" s="4" t="s">
        <v>124</v>
      </c>
    </row>
    <row r="2861" spans="1:8" x14ac:dyDescent="0.25">
      <c r="A2861" s="4">
        <v>2013</v>
      </c>
      <c r="B2861" s="4">
        <v>246</v>
      </c>
      <c r="C2861" s="20">
        <v>41520</v>
      </c>
      <c r="D2861" s="16">
        <v>0.51527777777777783</v>
      </c>
      <c r="E2861" s="4">
        <v>30</v>
      </c>
      <c r="F2861" s="22">
        <v>20</v>
      </c>
      <c r="G2861" s="4">
        <v>0.28443949152542369</v>
      </c>
      <c r="H2861" s="4" t="s">
        <v>124</v>
      </c>
    </row>
    <row r="2862" spans="1:8" x14ac:dyDescent="0.25">
      <c r="A2862" s="4">
        <v>2013</v>
      </c>
      <c r="B2862" s="4">
        <v>246</v>
      </c>
      <c r="C2862" s="20">
        <v>41520</v>
      </c>
      <c r="D2862" s="16">
        <v>0.36944444444444446</v>
      </c>
      <c r="E2862" s="4">
        <v>10</v>
      </c>
      <c r="F2862" s="22">
        <v>1</v>
      </c>
      <c r="G2862" s="4">
        <v>0.23045985351089587</v>
      </c>
      <c r="H2862" s="4" t="s">
        <v>123</v>
      </c>
    </row>
    <row r="2863" spans="1:8" x14ac:dyDescent="0.25">
      <c r="A2863" s="4">
        <v>2013</v>
      </c>
      <c r="B2863" s="4">
        <v>246</v>
      </c>
      <c r="C2863" s="20">
        <v>41520</v>
      </c>
      <c r="D2863" s="16">
        <v>0.37638888888888888</v>
      </c>
      <c r="E2863" s="4">
        <v>10</v>
      </c>
      <c r="F2863" s="22">
        <v>2</v>
      </c>
      <c r="G2863" s="4">
        <v>0.23510895066585957</v>
      </c>
      <c r="H2863" s="4" t="s">
        <v>123</v>
      </c>
    </row>
    <row r="2864" spans="1:8" x14ac:dyDescent="0.25">
      <c r="A2864" s="4">
        <v>2013</v>
      </c>
      <c r="B2864" s="4">
        <v>246</v>
      </c>
      <c r="C2864" s="20">
        <v>41520</v>
      </c>
      <c r="D2864" s="16">
        <v>0.3840277777777778</v>
      </c>
      <c r="E2864" s="4">
        <v>10</v>
      </c>
      <c r="F2864" s="22">
        <v>3</v>
      </c>
      <c r="G2864" s="4">
        <v>0.25194987106537531</v>
      </c>
      <c r="H2864" s="4" t="s">
        <v>123</v>
      </c>
    </row>
    <row r="2865" spans="1:8" x14ac:dyDescent="0.25">
      <c r="A2865" s="4">
        <v>2013</v>
      </c>
      <c r="B2865" s="4">
        <v>246</v>
      </c>
      <c r="C2865" s="20">
        <v>41520</v>
      </c>
      <c r="D2865" s="16">
        <v>0.3923611111111111</v>
      </c>
      <c r="E2865" s="4">
        <v>10</v>
      </c>
      <c r="F2865" s="22">
        <v>4</v>
      </c>
      <c r="G2865" s="4">
        <v>0.21705270611380145</v>
      </c>
      <c r="H2865" s="4" t="s">
        <v>123</v>
      </c>
    </row>
    <row r="2866" spans="1:8" x14ac:dyDescent="0.25">
      <c r="A2866" s="4">
        <v>2013</v>
      </c>
      <c r="B2866" s="4">
        <v>246</v>
      </c>
      <c r="C2866" s="20">
        <v>41520</v>
      </c>
      <c r="D2866" s="16">
        <v>0.39652777777777781</v>
      </c>
      <c r="E2866" s="4">
        <v>10</v>
      </c>
      <c r="F2866" s="22">
        <v>5</v>
      </c>
      <c r="G2866" s="4">
        <v>0.25806507354721547</v>
      </c>
      <c r="H2866" s="4" t="s">
        <v>0</v>
      </c>
    </row>
    <row r="2867" spans="1:8" x14ac:dyDescent="0.25">
      <c r="A2867" s="4">
        <v>2013</v>
      </c>
      <c r="B2867" s="4">
        <v>246</v>
      </c>
      <c r="C2867" s="20">
        <v>41520</v>
      </c>
      <c r="D2867" s="16">
        <v>0.40277777777777773</v>
      </c>
      <c r="E2867" s="4">
        <v>10</v>
      </c>
      <c r="F2867" s="22">
        <v>6</v>
      </c>
      <c r="G2867" s="4">
        <v>0.24432998153753027</v>
      </c>
      <c r="H2867" s="4" t="s">
        <v>0</v>
      </c>
    </row>
    <row r="2868" spans="1:8" x14ac:dyDescent="0.25">
      <c r="A2868" s="4">
        <v>2013</v>
      </c>
      <c r="B2868" s="4">
        <v>246</v>
      </c>
      <c r="C2868" s="20">
        <v>41520</v>
      </c>
      <c r="D2868" s="16">
        <v>0.41041666666666665</v>
      </c>
      <c r="E2868" s="4">
        <v>10</v>
      </c>
      <c r="F2868" s="22">
        <v>7</v>
      </c>
      <c r="G2868" s="4">
        <v>0.24994362167070217</v>
      </c>
      <c r="H2868" s="4" t="s">
        <v>123</v>
      </c>
    </row>
    <row r="2869" spans="1:8" x14ac:dyDescent="0.25">
      <c r="A2869" s="4">
        <v>2013</v>
      </c>
      <c r="B2869" s="4">
        <v>246</v>
      </c>
      <c r="C2869" s="20">
        <v>41520</v>
      </c>
      <c r="D2869" s="16">
        <v>0.42430555555555555</v>
      </c>
      <c r="E2869" s="4">
        <v>10</v>
      </c>
      <c r="F2869" s="22">
        <v>8</v>
      </c>
      <c r="G2869" s="4">
        <v>0.25625173274818397</v>
      </c>
      <c r="H2869" s="4" t="s">
        <v>123</v>
      </c>
    </row>
    <row r="2870" spans="1:8" x14ac:dyDescent="0.25">
      <c r="A2870" s="4">
        <v>2013</v>
      </c>
      <c r="B2870" s="4">
        <v>246</v>
      </c>
      <c r="C2870" s="20">
        <v>41520</v>
      </c>
      <c r="D2870" s="16">
        <v>0.43124999999999997</v>
      </c>
      <c r="E2870" s="4">
        <v>10</v>
      </c>
      <c r="F2870" s="22">
        <v>9</v>
      </c>
      <c r="G2870" s="4">
        <v>0.25999415950363197</v>
      </c>
      <c r="H2870" s="4" t="s">
        <v>123</v>
      </c>
    </row>
    <row r="2871" spans="1:8" x14ac:dyDescent="0.25">
      <c r="A2871" s="4">
        <v>2013</v>
      </c>
      <c r="B2871" s="4">
        <v>246</v>
      </c>
      <c r="C2871" s="20">
        <v>41520</v>
      </c>
      <c r="D2871" s="16">
        <v>0.43958333333333338</v>
      </c>
      <c r="E2871" s="4">
        <v>10</v>
      </c>
      <c r="F2871" s="22">
        <v>10</v>
      </c>
      <c r="G2871" s="4">
        <v>0.23053701694915252</v>
      </c>
      <c r="H2871" s="4" t="s">
        <v>123</v>
      </c>
    </row>
    <row r="2872" spans="1:8" x14ac:dyDescent="0.25">
      <c r="A2872" s="4">
        <v>2013</v>
      </c>
      <c r="B2872" s="4">
        <v>246</v>
      </c>
      <c r="C2872" s="20">
        <v>41520</v>
      </c>
      <c r="D2872" s="16">
        <v>0.45208333333333334</v>
      </c>
      <c r="E2872" s="4">
        <v>10</v>
      </c>
      <c r="F2872" s="22">
        <v>11</v>
      </c>
      <c r="G2872" s="4">
        <v>0.22017782536319613</v>
      </c>
      <c r="H2872" s="4" t="s">
        <v>124</v>
      </c>
    </row>
    <row r="2873" spans="1:8" x14ac:dyDescent="0.25">
      <c r="A2873" s="4">
        <v>2013</v>
      </c>
      <c r="B2873" s="4">
        <v>246</v>
      </c>
      <c r="C2873" s="20">
        <v>41520</v>
      </c>
      <c r="D2873" s="16">
        <v>0.45833333333333331</v>
      </c>
      <c r="E2873" s="4">
        <v>10</v>
      </c>
      <c r="F2873" s="22">
        <v>12</v>
      </c>
      <c r="G2873" s="4">
        <v>0.19392296549636806</v>
      </c>
      <c r="H2873" s="4" t="s">
        <v>124</v>
      </c>
    </row>
    <row r="2874" spans="1:8" x14ac:dyDescent="0.25">
      <c r="A2874" s="4">
        <v>2013</v>
      </c>
      <c r="B2874" s="4">
        <v>246</v>
      </c>
      <c r="C2874" s="20">
        <v>41520</v>
      </c>
      <c r="D2874" s="16">
        <v>0.46527777777777773</v>
      </c>
      <c r="E2874" s="4">
        <v>10</v>
      </c>
      <c r="F2874" s="22">
        <v>13</v>
      </c>
      <c r="G2874" s="4">
        <v>0.22233840163438257</v>
      </c>
      <c r="H2874" s="4" t="s">
        <v>124</v>
      </c>
    </row>
    <row r="2875" spans="1:8" x14ac:dyDescent="0.25">
      <c r="A2875" s="4">
        <v>2013</v>
      </c>
      <c r="B2875" s="4">
        <v>246</v>
      </c>
      <c r="C2875" s="20">
        <v>41520</v>
      </c>
      <c r="D2875" s="16">
        <v>0.47361111111111115</v>
      </c>
      <c r="E2875" s="4">
        <v>10</v>
      </c>
      <c r="F2875" s="22">
        <v>14</v>
      </c>
      <c r="G2875" s="4">
        <v>0.213483897094431</v>
      </c>
      <c r="H2875" s="4" t="s">
        <v>124</v>
      </c>
    </row>
    <row r="2876" spans="1:8" x14ac:dyDescent="0.25">
      <c r="A2876" s="4">
        <v>2013</v>
      </c>
      <c r="B2876" s="4">
        <v>246</v>
      </c>
      <c r="C2876" s="20">
        <v>41520</v>
      </c>
      <c r="D2876" s="16">
        <v>0.48194444444444445</v>
      </c>
      <c r="E2876" s="4">
        <v>10</v>
      </c>
      <c r="F2876" s="22">
        <v>15</v>
      </c>
      <c r="G2876" s="4">
        <v>0.2410505354116223</v>
      </c>
      <c r="H2876" s="4" t="s">
        <v>1</v>
      </c>
    </row>
    <row r="2877" spans="1:8" x14ac:dyDescent="0.25">
      <c r="A2877" s="4">
        <v>2013</v>
      </c>
      <c r="B2877" s="4">
        <v>246</v>
      </c>
      <c r="C2877" s="20">
        <v>41520</v>
      </c>
      <c r="D2877" s="16">
        <v>0.48819444444444443</v>
      </c>
      <c r="E2877" s="4">
        <v>10</v>
      </c>
      <c r="F2877" s="22">
        <v>16</v>
      </c>
      <c r="G2877" s="4">
        <v>0.22322578117433417</v>
      </c>
      <c r="H2877" s="4" t="s">
        <v>1</v>
      </c>
    </row>
    <row r="2878" spans="1:8" x14ac:dyDescent="0.25">
      <c r="A2878" s="4">
        <v>2013</v>
      </c>
      <c r="B2878" s="4">
        <v>246</v>
      </c>
      <c r="C2878" s="20">
        <v>41520</v>
      </c>
      <c r="D2878" s="16">
        <v>0.49583333333333335</v>
      </c>
      <c r="E2878" s="4">
        <v>10</v>
      </c>
      <c r="F2878" s="22">
        <v>17</v>
      </c>
      <c r="G2878" s="4">
        <v>0.23306411955205814</v>
      </c>
      <c r="H2878" s="4" t="s">
        <v>124</v>
      </c>
    </row>
    <row r="2879" spans="1:8" x14ac:dyDescent="0.25">
      <c r="A2879" s="4">
        <v>2013</v>
      </c>
      <c r="B2879" s="4">
        <v>246</v>
      </c>
      <c r="C2879" s="20">
        <v>41520</v>
      </c>
      <c r="D2879" s="16">
        <v>0.50208333333333333</v>
      </c>
      <c r="E2879" s="4">
        <v>10</v>
      </c>
      <c r="F2879" s="22">
        <v>18</v>
      </c>
      <c r="G2879" s="4">
        <v>0.21759285018159807</v>
      </c>
      <c r="H2879" s="4" t="s">
        <v>124</v>
      </c>
    </row>
    <row r="2880" spans="1:8" x14ac:dyDescent="0.25">
      <c r="A2880" s="4">
        <v>2013</v>
      </c>
      <c r="B2880" s="4">
        <v>246</v>
      </c>
      <c r="C2880" s="20">
        <v>41520</v>
      </c>
      <c r="D2880" s="16">
        <v>0.50902777777777775</v>
      </c>
      <c r="E2880" s="4">
        <v>10</v>
      </c>
      <c r="F2880" s="22">
        <v>19</v>
      </c>
      <c r="G2880" s="4">
        <v>0.19849489921307506</v>
      </c>
      <c r="H2880" s="4" t="s">
        <v>124</v>
      </c>
    </row>
    <row r="2881" spans="1:8" x14ac:dyDescent="0.25">
      <c r="A2881" s="4">
        <v>2013</v>
      </c>
      <c r="B2881" s="4">
        <v>246</v>
      </c>
      <c r="C2881" s="20">
        <v>41520</v>
      </c>
      <c r="D2881" s="16">
        <v>0.51527777777777783</v>
      </c>
      <c r="E2881" s="4">
        <v>10</v>
      </c>
      <c r="F2881" s="22">
        <v>20</v>
      </c>
      <c r="G2881" s="4">
        <v>0.18533853299031477</v>
      </c>
      <c r="H2881" s="4" t="s">
        <v>124</v>
      </c>
    </row>
    <row r="2882" spans="1:8" x14ac:dyDescent="0.25">
      <c r="A2882" s="4">
        <v>2013</v>
      </c>
      <c r="B2882" s="4">
        <v>253</v>
      </c>
      <c r="C2882" s="20">
        <v>41527</v>
      </c>
      <c r="D2882" s="16">
        <v>0.38194444444444442</v>
      </c>
      <c r="E2882" s="4">
        <v>230</v>
      </c>
      <c r="F2882" s="22">
        <v>1</v>
      </c>
      <c r="G2882" s="4">
        <v>0.29069005861581926</v>
      </c>
      <c r="H2882" s="4" t="s">
        <v>123</v>
      </c>
    </row>
    <row r="2883" spans="1:8" x14ac:dyDescent="0.25">
      <c r="A2883" s="4">
        <v>2013</v>
      </c>
      <c r="B2883" s="4">
        <v>253</v>
      </c>
      <c r="C2883" s="20">
        <v>41527</v>
      </c>
      <c r="D2883" s="16">
        <v>0.3888888888888889</v>
      </c>
      <c r="E2883" s="4">
        <v>230</v>
      </c>
      <c r="F2883" s="22">
        <v>2</v>
      </c>
      <c r="G2883" s="4">
        <v>0.29613206567796613</v>
      </c>
      <c r="H2883" s="4" t="s">
        <v>123</v>
      </c>
    </row>
    <row r="2884" spans="1:8" x14ac:dyDescent="0.25">
      <c r="A2884" s="4">
        <v>2013</v>
      </c>
      <c r="B2884" s="4">
        <v>253</v>
      </c>
      <c r="C2884" s="20">
        <v>41527</v>
      </c>
      <c r="D2884" s="16">
        <v>0.39652777777777781</v>
      </c>
      <c r="E2884" s="4">
        <v>230</v>
      </c>
      <c r="F2884" s="22">
        <v>3</v>
      </c>
      <c r="G2884" s="4">
        <v>0.27569517584745762</v>
      </c>
      <c r="H2884" s="4" t="s">
        <v>123</v>
      </c>
    </row>
    <row r="2885" spans="1:8" x14ac:dyDescent="0.25">
      <c r="A2885" s="4">
        <v>2013</v>
      </c>
      <c r="B2885" s="4">
        <v>253</v>
      </c>
      <c r="C2885" s="20">
        <v>41527</v>
      </c>
      <c r="D2885" s="16">
        <v>0.40972222222222227</v>
      </c>
      <c r="E2885" s="4">
        <v>230</v>
      </c>
      <c r="F2885" s="22">
        <v>4</v>
      </c>
      <c r="G2885" s="4">
        <v>0.27747655225988699</v>
      </c>
      <c r="H2885" s="4" t="s">
        <v>123</v>
      </c>
    </row>
    <row r="2886" spans="1:8" x14ac:dyDescent="0.25">
      <c r="A2886" s="4">
        <v>2013</v>
      </c>
      <c r="B2886" s="4">
        <v>253</v>
      </c>
      <c r="C2886" s="20">
        <v>41527</v>
      </c>
      <c r="D2886" s="16">
        <v>0.41805555555555557</v>
      </c>
      <c r="E2886" s="4">
        <v>230</v>
      </c>
      <c r="F2886" s="22">
        <v>5</v>
      </c>
      <c r="G2886" s="4" t="e">
        <v>#N/A</v>
      </c>
      <c r="H2886" s="4" t="s">
        <v>0</v>
      </c>
    </row>
    <row r="2887" spans="1:8" x14ac:dyDescent="0.25">
      <c r="A2887" s="4">
        <v>2013</v>
      </c>
      <c r="B2887" s="4">
        <v>253</v>
      </c>
      <c r="C2887" s="20">
        <v>41527</v>
      </c>
      <c r="D2887" s="16">
        <v>0.42430555555555555</v>
      </c>
      <c r="E2887" s="4">
        <v>230</v>
      </c>
      <c r="F2887" s="22">
        <v>6</v>
      </c>
      <c r="G2887" s="4" t="e">
        <v>#N/A</v>
      </c>
      <c r="H2887" s="4" t="s">
        <v>0</v>
      </c>
    </row>
    <row r="2888" spans="1:8" x14ac:dyDescent="0.25">
      <c r="A2888" s="4">
        <v>2013</v>
      </c>
      <c r="B2888" s="4">
        <v>253</v>
      </c>
      <c r="C2888" s="20">
        <v>41527</v>
      </c>
      <c r="D2888" s="16">
        <v>0.42430555555555555</v>
      </c>
      <c r="E2888" s="4">
        <v>230</v>
      </c>
      <c r="F2888" s="22">
        <v>7</v>
      </c>
      <c r="G2888" s="4">
        <v>0.26694489830508478</v>
      </c>
      <c r="H2888" s="4" t="s">
        <v>123</v>
      </c>
    </row>
    <row r="2889" spans="1:8" x14ac:dyDescent="0.25">
      <c r="A2889" s="4">
        <v>2013</v>
      </c>
      <c r="B2889" s="4">
        <v>253</v>
      </c>
      <c r="C2889" s="20">
        <v>41527</v>
      </c>
      <c r="D2889" s="16">
        <v>0.4381944444444445</v>
      </c>
      <c r="E2889" s="4">
        <v>230</v>
      </c>
      <c r="F2889" s="22">
        <v>8</v>
      </c>
      <c r="G2889" s="4">
        <v>0.30848424717514128</v>
      </c>
      <c r="H2889" s="4" t="s">
        <v>123</v>
      </c>
    </row>
    <row r="2890" spans="1:8" x14ac:dyDescent="0.25">
      <c r="A2890" s="4">
        <v>2013</v>
      </c>
      <c r="B2890" s="4">
        <v>253</v>
      </c>
      <c r="C2890" s="20">
        <v>41527</v>
      </c>
      <c r="D2890" s="16">
        <v>0.4458333333333333</v>
      </c>
      <c r="E2890" s="4">
        <v>230</v>
      </c>
      <c r="F2890" s="22">
        <v>9</v>
      </c>
      <c r="G2890" s="4">
        <v>0.30051699223163841</v>
      </c>
      <c r="H2890" s="4" t="s">
        <v>123</v>
      </c>
    </row>
    <row r="2891" spans="1:8" x14ac:dyDescent="0.25">
      <c r="A2891" s="4">
        <v>2013</v>
      </c>
      <c r="B2891" s="4">
        <v>253</v>
      </c>
      <c r="C2891" s="20">
        <v>41527</v>
      </c>
      <c r="D2891" s="16">
        <v>0.45416666666666666</v>
      </c>
      <c r="E2891" s="4">
        <v>230</v>
      </c>
      <c r="F2891" s="22">
        <v>10</v>
      </c>
      <c r="G2891" s="4">
        <v>0.24889622740112999</v>
      </c>
      <c r="H2891" s="4" t="s">
        <v>123</v>
      </c>
    </row>
    <row r="2892" spans="1:8" x14ac:dyDescent="0.25">
      <c r="A2892" s="4">
        <v>2013</v>
      </c>
      <c r="B2892" s="4">
        <v>253</v>
      </c>
      <c r="C2892" s="20">
        <v>41527</v>
      </c>
      <c r="D2892" s="16">
        <v>0.47291666666666665</v>
      </c>
      <c r="E2892" s="4">
        <v>230</v>
      </c>
      <c r="F2892" s="22">
        <v>11</v>
      </c>
      <c r="G2892" s="4">
        <v>0.28851717090395479</v>
      </c>
      <c r="H2892" s="4" t="s">
        <v>124</v>
      </c>
    </row>
    <row r="2893" spans="1:8" x14ac:dyDescent="0.25">
      <c r="A2893" s="4">
        <v>2013</v>
      </c>
      <c r="B2893" s="4">
        <v>253</v>
      </c>
      <c r="C2893" s="20">
        <v>41527</v>
      </c>
      <c r="D2893" s="16">
        <v>0.47986111111111113</v>
      </c>
      <c r="E2893" s="4">
        <v>230</v>
      </c>
      <c r="F2893" s="22">
        <v>12</v>
      </c>
      <c r="G2893" s="4">
        <v>0.2902593961864407</v>
      </c>
      <c r="H2893" s="4" t="s">
        <v>124</v>
      </c>
    </row>
    <row r="2894" spans="1:8" x14ac:dyDescent="0.25">
      <c r="A2894" s="4">
        <v>2013</v>
      </c>
      <c r="B2894" s="4">
        <v>253</v>
      </c>
      <c r="C2894" s="20">
        <v>41527</v>
      </c>
      <c r="D2894" s="16">
        <v>0.4861111111111111</v>
      </c>
      <c r="E2894" s="4">
        <v>230</v>
      </c>
      <c r="F2894" s="22">
        <v>13</v>
      </c>
      <c r="G2894" s="4">
        <v>0.28689239901129943</v>
      </c>
      <c r="H2894" s="4" t="s">
        <v>124</v>
      </c>
    </row>
    <row r="2895" spans="1:8" x14ac:dyDescent="0.25">
      <c r="A2895" s="4">
        <v>2013</v>
      </c>
      <c r="B2895" s="4">
        <v>253</v>
      </c>
      <c r="C2895" s="20">
        <v>41527</v>
      </c>
      <c r="D2895" s="16">
        <v>0.4861111111111111</v>
      </c>
      <c r="E2895" s="4">
        <v>230</v>
      </c>
      <c r="F2895" s="22">
        <v>14</v>
      </c>
      <c r="G2895" s="4">
        <v>0.29047472740112995</v>
      </c>
      <c r="H2895" s="4" t="s">
        <v>124</v>
      </c>
    </row>
    <row r="2896" spans="1:8" x14ac:dyDescent="0.25">
      <c r="A2896" s="4">
        <v>2013</v>
      </c>
      <c r="B2896" s="4">
        <v>253</v>
      </c>
      <c r="C2896" s="20">
        <v>41527</v>
      </c>
      <c r="D2896" s="16">
        <v>0.49791666666666662</v>
      </c>
      <c r="E2896" s="4">
        <v>230</v>
      </c>
      <c r="F2896" s="22">
        <v>15</v>
      </c>
      <c r="G2896" s="4" t="e">
        <v>#N/A</v>
      </c>
      <c r="H2896" s="4" t="s">
        <v>1</v>
      </c>
    </row>
    <row r="2897" spans="1:8" x14ac:dyDescent="0.25">
      <c r="A2897" s="4">
        <v>2013</v>
      </c>
      <c r="B2897" s="4">
        <v>253</v>
      </c>
      <c r="C2897" s="20">
        <v>41527</v>
      </c>
      <c r="D2897" s="16">
        <v>0.50347222222222221</v>
      </c>
      <c r="E2897" s="4">
        <v>230</v>
      </c>
      <c r="F2897" s="22">
        <v>16</v>
      </c>
      <c r="G2897" s="4" t="e">
        <v>#N/A</v>
      </c>
      <c r="H2897" s="4" t="s">
        <v>1</v>
      </c>
    </row>
    <row r="2898" spans="1:8" x14ac:dyDescent="0.25">
      <c r="A2898" s="4">
        <v>2013</v>
      </c>
      <c r="B2898" s="4">
        <v>253</v>
      </c>
      <c r="C2898" s="20">
        <v>41527</v>
      </c>
      <c r="D2898" s="16">
        <v>0.51041666666666663</v>
      </c>
      <c r="E2898" s="4">
        <v>230</v>
      </c>
      <c r="F2898" s="22">
        <v>17</v>
      </c>
      <c r="G2898" s="4">
        <v>0.29446814265536725</v>
      </c>
      <c r="H2898" s="4" t="s">
        <v>124</v>
      </c>
    </row>
    <row r="2899" spans="1:8" x14ac:dyDescent="0.25">
      <c r="A2899" s="4">
        <v>2013</v>
      </c>
      <c r="B2899" s="4">
        <v>253</v>
      </c>
      <c r="C2899" s="20">
        <v>41527</v>
      </c>
      <c r="D2899" s="16">
        <v>0.51736111111111105</v>
      </c>
      <c r="E2899" s="4">
        <v>230</v>
      </c>
      <c r="F2899" s="22">
        <v>18</v>
      </c>
      <c r="G2899" s="4">
        <v>0.29417450918079097</v>
      </c>
      <c r="H2899" s="4" t="s">
        <v>124</v>
      </c>
    </row>
    <row r="2900" spans="1:8" x14ac:dyDescent="0.25">
      <c r="A2900" s="4">
        <v>2013</v>
      </c>
      <c r="B2900" s="4">
        <v>253</v>
      </c>
      <c r="C2900" s="20">
        <v>41527</v>
      </c>
      <c r="D2900" s="16">
        <v>0.52430555555555558</v>
      </c>
      <c r="E2900" s="4">
        <v>230</v>
      </c>
      <c r="F2900" s="22">
        <v>19</v>
      </c>
      <c r="G2900" s="4">
        <v>0.27876853954802261</v>
      </c>
      <c r="H2900" s="4" t="s">
        <v>124</v>
      </c>
    </row>
    <row r="2901" spans="1:8" x14ac:dyDescent="0.25">
      <c r="A2901" s="4">
        <v>2013</v>
      </c>
      <c r="B2901" s="4">
        <v>253</v>
      </c>
      <c r="C2901" s="20">
        <v>41527</v>
      </c>
      <c r="D2901" s="16">
        <v>0.53125</v>
      </c>
      <c r="E2901" s="4">
        <v>230</v>
      </c>
      <c r="F2901" s="22">
        <v>20</v>
      </c>
      <c r="G2901" s="4">
        <v>0.29360681779661019</v>
      </c>
      <c r="H2901" s="4" t="s">
        <v>124</v>
      </c>
    </row>
    <row r="2902" spans="1:8" x14ac:dyDescent="0.25">
      <c r="A2902" s="4">
        <v>2013</v>
      </c>
      <c r="B2902" s="4">
        <v>253</v>
      </c>
      <c r="C2902" s="20">
        <v>41527</v>
      </c>
      <c r="D2902" s="16">
        <v>0.38194444444444442</v>
      </c>
      <c r="E2902" s="4">
        <v>210</v>
      </c>
      <c r="F2902" s="22">
        <v>1</v>
      </c>
      <c r="G2902" s="4">
        <v>0.29805047104519777</v>
      </c>
      <c r="H2902" s="4" t="s">
        <v>123</v>
      </c>
    </row>
    <row r="2903" spans="1:8" x14ac:dyDescent="0.25">
      <c r="A2903" s="4">
        <v>2013</v>
      </c>
      <c r="B2903" s="4">
        <v>253</v>
      </c>
      <c r="C2903" s="20">
        <v>41527</v>
      </c>
      <c r="D2903" s="16">
        <v>0.3888888888888889</v>
      </c>
      <c r="E2903" s="4">
        <v>210</v>
      </c>
      <c r="F2903" s="22">
        <v>2</v>
      </c>
      <c r="G2903" s="4">
        <v>0.29170798799435033</v>
      </c>
      <c r="H2903" s="4" t="s">
        <v>123</v>
      </c>
    </row>
    <row r="2904" spans="1:8" x14ac:dyDescent="0.25">
      <c r="A2904" s="4">
        <v>2013</v>
      </c>
      <c r="B2904" s="4">
        <v>253</v>
      </c>
      <c r="C2904" s="20">
        <v>41527</v>
      </c>
      <c r="D2904" s="16">
        <v>0.39652777777777781</v>
      </c>
      <c r="E2904" s="4">
        <v>210</v>
      </c>
      <c r="F2904" s="22">
        <v>3</v>
      </c>
      <c r="G2904" s="4">
        <v>0.26226633827683615</v>
      </c>
      <c r="H2904" s="4" t="s">
        <v>123</v>
      </c>
    </row>
    <row r="2905" spans="1:8" x14ac:dyDescent="0.25">
      <c r="A2905" s="4">
        <v>2013</v>
      </c>
      <c r="B2905" s="4">
        <v>253</v>
      </c>
      <c r="C2905" s="20">
        <v>41527</v>
      </c>
      <c r="D2905" s="16">
        <v>0.40972222222222227</v>
      </c>
      <c r="E2905" s="4">
        <v>210</v>
      </c>
      <c r="F2905" s="22">
        <v>4</v>
      </c>
      <c r="G2905" s="4">
        <v>0.28534592937853109</v>
      </c>
      <c r="H2905" s="4" t="s">
        <v>123</v>
      </c>
    </row>
    <row r="2906" spans="1:8" x14ac:dyDescent="0.25">
      <c r="A2906" s="4">
        <v>2013</v>
      </c>
      <c r="B2906" s="4">
        <v>253</v>
      </c>
      <c r="C2906" s="20">
        <v>41527</v>
      </c>
      <c r="D2906" s="16">
        <v>0.41805555555555557</v>
      </c>
      <c r="E2906" s="4">
        <v>210</v>
      </c>
      <c r="F2906" s="22">
        <v>5</v>
      </c>
      <c r="G2906" s="4" t="e">
        <v>#N/A</v>
      </c>
      <c r="H2906" s="4" t="s">
        <v>0</v>
      </c>
    </row>
    <row r="2907" spans="1:8" x14ac:dyDescent="0.25">
      <c r="A2907" s="4">
        <v>2013</v>
      </c>
      <c r="B2907" s="4">
        <v>253</v>
      </c>
      <c r="C2907" s="20">
        <v>41527</v>
      </c>
      <c r="D2907" s="16">
        <v>0.42430555555555555</v>
      </c>
      <c r="E2907" s="4">
        <v>210</v>
      </c>
      <c r="F2907" s="22">
        <v>6</v>
      </c>
      <c r="G2907" s="4" t="e">
        <v>#N/A</v>
      </c>
      <c r="H2907" s="4" t="s">
        <v>0</v>
      </c>
    </row>
    <row r="2908" spans="1:8" x14ac:dyDescent="0.25">
      <c r="A2908" s="4">
        <v>2013</v>
      </c>
      <c r="B2908" s="4">
        <v>253</v>
      </c>
      <c r="C2908" s="20">
        <v>41527</v>
      </c>
      <c r="D2908" s="16">
        <v>0.42430555555555555</v>
      </c>
      <c r="E2908" s="4">
        <v>210</v>
      </c>
      <c r="F2908" s="22">
        <v>7</v>
      </c>
      <c r="G2908" s="4">
        <v>0.26124840889830508</v>
      </c>
      <c r="H2908" s="4" t="s">
        <v>123</v>
      </c>
    </row>
    <row r="2909" spans="1:8" x14ac:dyDescent="0.25">
      <c r="A2909" s="4">
        <v>2013</v>
      </c>
      <c r="B2909" s="4">
        <v>253</v>
      </c>
      <c r="C2909" s="20">
        <v>41527</v>
      </c>
      <c r="D2909" s="16">
        <v>0.4381944444444445</v>
      </c>
      <c r="E2909" s="4">
        <v>210</v>
      </c>
      <c r="F2909" s="22">
        <v>8</v>
      </c>
      <c r="G2909" s="4">
        <v>0.29752193079096045</v>
      </c>
      <c r="H2909" s="4" t="s">
        <v>123</v>
      </c>
    </row>
    <row r="2910" spans="1:8" x14ac:dyDescent="0.25">
      <c r="A2910" s="4">
        <v>2013</v>
      </c>
      <c r="B2910" s="4">
        <v>253</v>
      </c>
      <c r="C2910" s="20">
        <v>41527</v>
      </c>
      <c r="D2910" s="16">
        <v>0.4458333333333333</v>
      </c>
      <c r="E2910" s="4">
        <v>210</v>
      </c>
      <c r="F2910" s="22">
        <v>9</v>
      </c>
      <c r="G2910" s="4">
        <v>0.28910443785310735</v>
      </c>
      <c r="H2910" s="4" t="s">
        <v>123</v>
      </c>
    </row>
    <row r="2911" spans="1:8" x14ac:dyDescent="0.25">
      <c r="A2911" s="4">
        <v>2013</v>
      </c>
      <c r="B2911" s="4">
        <v>253</v>
      </c>
      <c r="C2911" s="20">
        <v>41527</v>
      </c>
      <c r="D2911" s="16">
        <v>0.45416666666666666</v>
      </c>
      <c r="E2911" s="4">
        <v>210</v>
      </c>
      <c r="F2911" s="22">
        <v>10</v>
      </c>
      <c r="G2911" s="4">
        <v>0.25341818290960455</v>
      </c>
      <c r="H2911" s="4" t="s">
        <v>123</v>
      </c>
    </row>
    <row r="2912" spans="1:8" x14ac:dyDescent="0.25">
      <c r="A2912" s="4">
        <v>2013</v>
      </c>
      <c r="B2912" s="4">
        <v>253</v>
      </c>
      <c r="C2912" s="20">
        <v>41527</v>
      </c>
      <c r="D2912" s="16">
        <v>0.47291666666666665</v>
      </c>
      <c r="E2912" s="4">
        <v>210</v>
      </c>
      <c r="F2912" s="22">
        <v>11</v>
      </c>
      <c r="G2912" s="4">
        <v>0.30175025282485873</v>
      </c>
      <c r="H2912" s="4" t="s">
        <v>124</v>
      </c>
    </row>
    <row r="2913" spans="1:8" x14ac:dyDescent="0.25">
      <c r="A2913" s="4">
        <v>2013</v>
      </c>
      <c r="B2913" s="4">
        <v>253</v>
      </c>
      <c r="C2913" s="20">
        <v>41527</v>
      </c>
      <c r="D2913" s="16">
        <v>0.47986111111111113</v>
      </c>
      <c r="E2913" s="4">
        <v>210</v>
      </c>
      <c r="F2913" s="22">
        <v>12</v>
      </c>
      <c r="G2913" s="4">
        <v>0.29965566737288141</v>
      </c>
      <c r="H2913" s="4" t="s">
        <v>124</v>
      </c>
    </row>
    <row r="2914" spans="1:8" x14ac:dyDescent="0.25">
      <c r="A2914" s="4">
        <v>2013</v>
      </c>
      <c r="B2914" s="4">
        <v>253</v>
      </c>
      <c r="C2914" s="20">
        <v>41527</v>
      </c>
      <c r="D2914" s="16">
        <v>0.4861111111111111</v>
      </c>
      <c r="E2914" s="4">
        <v>210</v>
      </c>
      <c r="F2914" s="22">
        <v>13</v>
      </c>
      <c r="G2914" s="4">
        <v>0.30225921751412432</v>
      </c>
      <c r="H2914" s="4" t="s">
        <v>124</v>
      </c>
    </row>
    <row r="2915" spans="1:8" x14ac:dyDescent="0.25">
      <c r="A2915" s="4">
        <v>2013</v>
      </c>
      <c r="B2915" s="4">
        <v>253</v>
      </c>
      <c r="C2915" s="20">
        <v>41527</v>
      </c>
      <c r="D2915" s="16">
        <v>0.4861111111111111</v>
      </c>
      <c r="E2915" s="4">
        <v>210</v>
      </c>
      <c r="F2915" s="22">
        <v>14</v>
      </c>
      <c r="G2915" s="4">
        <v>0.26259912288135595</v>
      </c>
      <c r="H2915" s="4" t="s">
        <v>124</v>
      </c>
    </row>
    <row r="2916" spans="1:8" x14ac:dyDescent="0.25">
      <c r="A2916" s="4">
        <v>2013</v>
      </c>
      <c r="B2916" s="4">
        <v>253</v>
      </c>
      <c r="C2916" s="20">
        <v>41527</v>
      </c>
      <c r="D2916" s="16">
        <v>0.49791666666666662</v>
      </c>
      <c r="E2916" s="4">
        <v>210</v>
      </c>
      <c r="F2916" s="22">
        <v>15</v>
      </c>
      <c r="G2916" s="4" t="e">
        <v>#N/A</v>
      </c>
      <c r="H2916" s="4" t="s">
        <v>1</v>
      </c>
    </row>
    <row r="2917" spans="1:8" x14ac:dyDescent="0.25">
      <c r="A2917" s="4">
        <v>2013</v>
      </c>
      <c r="B2917" s="4">
        <v>253</v>
      </c>
      <c r="C2917" s="20">
        <v>41527</v>
      </c>
      <c r="D2917" s="16">
        <v>0.50347222222222221</v>
      </c>
      <c r="E2917" s="4">
        <v>210</v>
      </c>
      <c r="F2917" s="22">
        <v>16</v>
      </c>
      <c r="G2917" s="4" t="e">
        <v>#N/A</v>
      </c>
      <c r="H2917" s="4" t="s">
        <v>1</v>
      </c>
    </row>
    <row r="2918" spans="1:8" x14ac:dyDescent="0.25">
      <c r="A2918" s="4">
        <v>2013</v>
      </c>
      <c r="B2918" s="4">
        <v>253</v>
      </c>
      <c r="C2918" s="20">
        <v>41527</v>
      </c>
      <c r="D2918" s="16">
        <v>0.51041666666666663</v>
      </c>
      <c r="E2918" s="4">
        <v>210</v>
      </c>
      <c r="F2918" s="22">
        <v>17</v>
      </c>
      <c r="G2918" s="4">
        <v>0.30036038771186441</v>
      </c>
      <c r="H2918" s="4" t="s">
        <v>124</v>
      </c>
    </row>
    <row r="2919" spans="1:8" x14ac:dyDescent="0.25">
      <c r="A2919" s="4">
        <v>2013</v>
      </c>
      <c r="B2919" s="4">
        <v>253</v>
      </c>
      <c r="C2919" s="20">
        <v>41527</v>
      </c>
      <c r="D2919" s="16">
        <v>0.51736111111111105</v>
      </c>
      <c r="E2919" s="4">
        <v>210</v>
      </c>
      <c r="F2919" s="22">
        <v>18</v>
      </c>
      <c r="G2919" s="4">
        <v>0.29525116525423734</v>
      </c>
      <c r="H2919" s="4" t="s">
        <v>124</v>
      </c>
    </row>
    <row r="2920" spans="1:8" x14ac:dyDescent="0.25">
      <c r="A2920" s="4">
        <v>2013</v>
      </c>
      <c r="B2920" s="4">
        <v>253</v>
      </c>
      <c r="C2920" s="20">
        <v>41527</v>
      </c>
      <c r="D2920" s="16">
        <v>0.52430555555555558</v>
      </c>
      <c r="E2920" s="4">
        <v>210</v>
      </c>
      <c r="F2920" s="22">
        <v>19</v>
      </c>
      <c r="G2920" s="4">
        <v>0.28822353742937851</v>
      </c>
      <c r="H2920" s="4" t="s">
        <v>124</v>
      </c>
    </row>
    <row r="2921" spans="1:8" x14ac:dyDescent="0.25">
      <c r="A2921" s="4">
        <v>2013</v>
      </c>
      <c r="B2921" s="4">
        <v>253</v>
      </c>
      <c r="C2921" s="20">
        <v>41527</v>
      </c>
      <c r="D2921" s="16">
        <v>0.53125</v>
      </c>
      <c r="E2921" s="4">
        <v>210</v>
      </c>
      <c r="F2921" s="22">
        <v>20</v>
      </c>
      <c r="G2921" s="4">
        <v>0.28851717090395479</v>
      </c>
      <c r="H2921" s="4" t="s">
        <v>124</v>
      </c>
    </row>
    <row r="2922" spans="1:8" x14ac:dyDescent="0.25">
      <c r="A2922" s="4">
        <v>2013</v>
      </c>
      <c r="B2922" s="4">
        <v>253</v>
      </c>
      <c r="C2922" s="20">
        <v>41527</v>
      </c>
      <c r="D2922" s="16">
        <v>0.38194444444444442</v>
      </c>
      <c r="E2922" s="4">
        <v>190</v>
      </c>
      <c r="F2922" s="22">
        <v>1</v>
      </c>
      <c r="G2922" s="4">
        <v>0.27042934887005649</v>
      </c>
      <c r="H2922" s="4" t="s">
        <v>123</v>
      </c>
    </row>
    <row r="2923" spans="1:8" x14ac:dyDescent="0.25">
      <c r="A2923" s="4">
        <v>2013</v>
      </c>
      <c r="B2923" s="4">
        <v>253</v>
      </c>
      <c r="C2923" s="20">
        <v>41527</v>
      </c>
      <c r="D2923" s="16">
        <v>0.3888888888888889</v>
      </c>
      <c r="E2923" s="4">
        <v>190</v>
      </c>
      <c r="F2923" s="22">
        <v>2</v>
      </c>
      <c r="G2923" s="4">
        <v>0.27508833333333338</v>
      </c>
      <c r="H2923" s="4" t="s">
        <v>123</v>
      </c>
    </row>
    <row r="2924" spans="1:8" x14ac:dyDescent="0.25">
      <c r="A2924" s="4">
        <v>2013</v>
      </c>
      <c r="B2924" s="4">
        <v>253</v>
      </c>
      <c r="C2924" s="20">
        <v>41527</v>
      </c>
      <c r="D2924" s="16">
        <v>0.39652777777777781</v>
      </c>
      <c r="E2924" s="4">
        <v>190</v>
      </c>
      <c r="F2924" s="22">
        <v>3</v>
      </c>
      <c r="G2924" s="4">
        <v>0.28060864265536728</v>
      </c>
      <c r="H2924" s="4" t="s">
        <v>123</v>
      </c>
    </row>
    <row r="2925" spans="1:8" x14ac:dyDescent="0.25">
      <c r="A2925" s="4">
        <v>2013</v>
      </c>
      <c r="B2925" s="4">
        <v>253</v>
      </c>
      <c r="C2925" s="20">
        <v>41527</v>
      </c>
      <c r="D2925" s="16">
        <v>0.40972222222222227</v>
      </c>
      <c r="E2925" s="4">
        <v>190</v>
      </c>
      <c r="F2925" s="22">
        <v>4</v>
      </c>
      <c r="G2925" s="4">
        <v>0.28765584604519778</v>
      </c>
      <c r="H2925" s="4" t="s">
        <v>123</v>
      </c>
    </row>
    <row r="2926" spans="1:8" x14ac:dyDescent="0.25">
      <c r="A2926" s="4">
        <v>2013</v>
      </c>
      <c r="B2926" s="4">
        <v>253</v>
      </c>
      <c r="C2926" s="20">
        <v>41527</v>
      </c>
      <c r="D2926" s="16">
        <v>0.41805555555555557</v>
      </c>
      <c r="E2926" s="4">
        <v>190</v>
      </c>
      <c r="F2926" s="22">
        <v>5</v>
      </c>
      <c r="G2926" s="4">
        <v>0.32939095056497175</v>
      </c>
      <c r="H2926" s="4" t="s">
        <v>0</v>
      </c>
    </row>
    <row r="2927" spans="1:8" x14ac:dyDescent="0.25">
      <c r="A2927" s="4">
        <v>2013</v>
      </c>
      <c r="B2927" s="4">
        <v>253</v>
      </c>
      <c r="C2927" s="20">
        <v>41527</v>
      </c>
      <c r="D2927" s="16">
        <v>0.42430555555555555</v>
      </c>
      <c r="E2927" s="4">
        <v>190</v>
      </c>
      <c r="F2927" s="22">
        <v>6</v>
      </c>
      <c r="G2927" s="4">
        <v>0.33311030790960455</v>
      </c>
      <c r="H2927" s="4" t="s">
        <v>0</v>
      </c>
    </row>
    <row r="2928" spans="1:8" x14ac:dyDescent="0.25">
      <c r="A2928" s="4">
        <v>2013</v>
      </c>
      <c r="B2928" s="4">
        <v>253</v>
      </c>
      <c r="C2928" s="20">
        <v>41527</v>
      </c>
      <c r="D2928" s="16">
        <v>0.42430555555555555</v>
      </c>
      <c r="E2928" s="4">
        <v>190</v>
      </c>
      <c r="F2928" s="22">
        <v>7</v>
      </c>
      <c r="G2928" s="4">
        <v>0.26823688559322034</v>
      </c>
      <c r="H2928" s="4" t="s">
        <v>123</v>
      </c>
    </row>
    <row r="2929" spans="1:8" x14ac:dyDescent="0.25">
      <c r="A2929" s="4">
        <v>2013</v>
      </c>
      <c r="B2929" s="4">
        <v>253</v>
      </c>
      <c r="C2929" s="20">
        <v>41527</v>
      </c>
      <c r="D2929" s="16">
        <v>0.4381944444444445</v>
      </c>
      <c r="E2929" s="4">
        <v>190</v>
      </c>
      <c r="F2929" s="22">
        <v>8</v>
      </c>
      <c r="G2929" s="4">
        <v>0.28513059816384179</v>
      </c>
      <c r="H2929" s="4" t="s">
        <v>123</v>
      </c>
    </row>
    <row r="2930" spans="1:8" x14ac:dyDescent="0.25">
      <c r="A2930" s="4">
        <v>2013</v>
      </c>
      <c r="B2930" s="4">
        <v>253</v>
      </c>
      <c r="C2930" s="20">
        <v>41527</v>
      </c>
      <c r="D2930" s="16">
        <v>0.4458333333333333</v>
      </c>
      <c r="E2930" s="4">
        <v>190</v>
      </c>
      <c r="F2930" s="22">
        <v>9</v>
      </c>
      <c r="G2930" s="4">
        <v>0.27307205014124292</v>
      </c>
      <c r="H2930" s="4" t="s">
        <v>123</v>
      </c>
    </row>
    <row r="2931" spans="1:8" x14ac:dyDescent="0.25">
      <c r="A2931" s="4">
        <v>2013</v>
      </c>
      <c r="B2931" s="4">
        <v>253</v>
      </c>
      <c r="C2931" s="20">
        <v>41527</v>
      </c>
      <c r="D2931" s="16">
        <v>0.45416666666666666</v>
      </c>
      <c r="E2931" s="4">
        <v>190</v>
      </c>
      <c r="F2931" s="22">
        <v>10</v>
      </c>
      <c r="G2931" s="4">
        <v>0.28280110593220342</v>
      </c>
      <c r="H2931" s="4" t="s">
        <v>123</v>
      </c>
    </row>
    <row r="2932" spans="1:8" x14ac:dyDescent="0.25">
      <c r="A2932" s="4">
        <v>2013</v>
      </c>
      <c r="B2932" s="4">
        <v>253</v>
      </c>
      <c r="C2932" s="20">
        <v>41527</v>
      </c>
      <c r="D2932" s="16">
        <v>0.47291666666666665</v>
      </c>
      <c r="E2932" s="4">
        <v>190</v>
      </c>
      <c r="F2932" s="22">
        <v>11</v>
      </c>
      <c r="G2932" s="4">
        <v>0.30114341031073449</v>
      </c>
      <c r="H2932" s="4" t="s">
        <v>124</v>
      </c>
    </row>
    <row r="2933" spans="1:8" x14ac:dyDescent="0.25">
      <c r="A2933" s="4">
        <v>2013</v>
      </c>
      <c r="B2933" s="4">
        <v>253</v>
      </c>
      <c r="C2933" s="20">
        <v>41527</v>
      </c>
      <c r="D2933" s="16">
        <v>0.47986111111111113</v>
      </c>
      <c r="E2933" s="4">
        <v>190</v>
      </c>
      <c r="F2933" s="22">
        <v>12</v>
      </c>
      <c r="G2933" s="4">
        <v>0.30437337853107349</v>
      </c>
      <c r="H2933" s="4" t="s">
        <v>124</v>
      </c>
    </row>
    <row r="2934" spans="1:8" x14ac:dyDescent="0.25">
      <c r="A2934" s="4">
        <v>2013</v>
      </c>
      <c r="B2934" s="4">
        <v>253</v>
      </c>
      <c r="C2934" s="20">
        <v>41527</v>
      </c>
      <c r="D2934" s="16">
        <v>0.4861111111111111</v>
      </c>
      <c r="E2934" s="4">
        <v>190</v>
      </c>
      <c r="F2934" s="22">
        <v>13</v>
      </c>
      <c r="G2934" s="4">
        <v>0.29636697245762711</v>
      </c>
      <c r="H2934" s="4" t="s">
        <v>124</v>
      </c>
    </row>
    <row r="2935" spans="1:8" x14ac:dyDescent="0.25">
      <c r="A2935" s="4">
        <v>2013</v>
      </c>
      <c r="B2935" s="4">
        <v>253</v>
      </c>
      <c r="C2935" s="20">
        <v>41527</v>
      </c>
      <c r="D2935" s="16">
        <v>0.4861111111111111</v>
      </c>
      <c r="E2935" s="4">
        <v>190</v>
      </c>
      <c r="F2935" s="22">
        <v>14</v>
      </c>
      <c r="G2935" s="4">
        <v>0.2928825218926554</v>
      </c>
      <c r="H2935" s="4" t="s">
        <v>124</v>
      </c>
    </row>
    <row r="2936" spans="1:8" x14ac:dyDescent="0.25">
      <c r="A2936" s="4">
        <v>2013</v>
      </c>
      <c r="B2936" s="4">
        <v>253</v>
      </c>
      <c r="C2936" s="20">
        <v>41527</v>
      </c>
      <c r="D2936" s="16">
        <v>0.49791666666666662</v>
      </c>
      <c r="E2936" s="4">
        <v>190</v>
      </c>
      <c r="F2936" s="22">
        <v>15</v>
      </c>
      <c r="G2936" s="4">
        <v>0.32909731709039547</v>
      </c>
      <c r="H2936" s="4" t="s">
        <v>1</v>
      </c>
    </row>
    <row r="2937" spans="1:8" x14ac:dyDescent="0.25">
      <c r="A2937" s="4">
        <v>2013</v>
      </c>
      <c r="B2937" s="4">
        <v>253</v>
      </c>
      <c r="C2937" s="20">
        <v>41527</v>
      </c>
      <c r="D2937" s="16">
        <v>0.50347222222222221</v>
      </c>
      <c r="E2937" s="4">
        <v>190</v>
      </c>
      <c r="F2937" s="22">
        <v>16</v>
      </c>
      <c r="G2937" s="4">
        <v>0.32555413983050852</v>
      </c>
      <c r="H2937" s="4" t="s">
        <v>1</v>
      </c>
    </row>
    <row r="2938" spans="1:8" x14ac:dyDescent="0.25">
      <c r="A2938" s="4">
        <v>2013</v>
      </c>
      <c r="B2938" s="4">
        <v>253</v>
      </c>
      <c r="C2938" s="20">
        <v>41527</v>
      </c>
      <c r="D2938" s="16">
        <v>0.51041666666666663</v>
      </c>
      <c r="E2938" s="4">
        <v>190</v>
      </c>
      <c r="F2938" s="22">
        <v>17</v>
      </c>
      <c r="G2938" s="4">
        <v>0.30954132768361581</v>
      </c>
      <c r="H2938" s="4" t="s">
        <v>124</v>
      </c>
    </row>
    <row r="2939" spans="1:8" x14ac:dyDescent="0.25">
      <c r="A2939" s="4">
        <v>2013</v>
      </c>
      <c r="B2939" s="4">
        <v>253</v>
      </c>
      <c r="C2939" s="20">
        <v>41527</v>
      </c>
      <c r="D2939" s="16">
        <v>0.51736111111111105</v>
      </c>
      <c r="E2939" s="4">
        <v>190</v>
      </c>
      <c r="F2939" s="22">
        <v>18</v>
      </c>
      <c r="G2939" s="4">
        <v>0.30570451694915257</v>
      </c>
      <c r="H2939" s="4" t="s">
        <v>124</v>
      </c>
    </row>
    <row r="2940" spans="1:8" x14ac:dyDescent="0.25">
      <c r="A2940" s="4">
        <v>2013</v>
      </c>
      <c r="B2940" s="4">
        <v>253</v>
      </c>
      <c r="C2940" s="20">
        <v>41527</v>
      </c>
      <c r="D2940" s="16">
        <v>0.52430555555555558</v>
      </c>
      <c r="E2940" s="4">
        <v>190</v>
      </c>
      <c r="F2940" s="22">
        <v>19</v>
      </c>
      <c r="G2940" s="4">
        <v>0.30055614336158193</v>
      </c>
      <c r="H2940" s="4" t="s">
        <v>124</v>
      </c>
    </row>
    <row r="2941" spans="1:8" x14ac:dyDescent="0.25">
      <c r="A2941" s="4">
        <v>2013</v>
      </c>
      <c r="B2941" s="4">
        <v>253</v>
      </c>
      <c r="C2941" s="20">
        <v>41527</v>
      </c>
      <c r="D2941" s="16">
        <v>0.53125</v>
      </c>
      <c r="E2941" s="4">
        <v>190</v>
      </c>
      <c r="F2941" s="22">
        <v>20</v>
      </c>
      <c r="G2941" s="4">
        <v>0.29570140324858757</v>
      </c>
      <c r="H2941" s="4" t="s">
        <v>124</v>
      </c>
    </row>
    <row r="2942" spans="1:8" x14ac:dyDescent="0.25">
      <c r="A2942" s="4">
        <v>2013</v>
      </c>
      <c r="B2942" s="4">
        <v>253</v>
      </c>
      <c r="C2942" s="20">
        <v>41527</v>
      </c>
      <c r="D2942" s="16">
        <v>0.38194444444444442</v>
      </c>
      <c r="E2942" s="4">
        <v>170</v>
      </c>
      <c r="F2942" s="22">
        <v>1</v>
      </c>
      <c r="G2942" s="4">
        <v>0.26197270480225987</v>
      </c>
      <c r="H2942" s="4" t="s">
        <v>123</v>
      </c>
    </row>
    <row r="2943" spans="1:8" x14ac:dyDescent="0.25">
      <c r="A2943" s="4">
        <v>2013</v>
      </c>
      <c r="B2943" s="4">
        <v>253</v>
      </c>
      <c r="C2943" s="20">
        <v>41527</v>
      </c>
      <c r="D2943" s="16">
        <v>0.3888888888888889</v>
      </c>
      <c r="E2943" s="4">
        <v>170</v>
      </c>
      <c r="F2943" s="22">
        <v>2</v>
      </c>
      <c r="G2943" s="4">
        <v>0.25747032485875704</v>
      </c>
      <c r="H2943" s="4" t="s">
        <v>123</v>
      </c>
    </row>
    <row r="2944" spans="1:8" x14ac:dyDescent="0.25">
      <c r="A2944" s="4">
        <v>2013</v>
      </c>
      <c r="B2944" s="4">
        <v>253</v>
      </c>
      <c r="C2944" s="20">
        <v>41527</v>
      </c>
      <c r="D2944" s="16">
        <v>0.39652777777777781</v>
      </c>
      <c r="E2944" s="4">
        <v>170</v>
      </c>
      <c r="F2944" s="22">
        <v>3</v>
      </c>
      <c r="G2944" s="4">
        <v>0.27516663559322035</v>
      </c>
      <c r="H2944" s="4" t="s">
        <v>123</v>
      </c>
    </row>
    <row r="2945" spans="1:8" x14ac:dyDescent="0.25">
      <c r="A2945" s="4">
        <v>2013</v>
      </c>
      <c r="B2945" s="4">
        <v>253</v>
      </c>
      <c r="C2945" s="20">
        <v>41527</v>
      </c>
      <c r="D2945" s="16">
        <v>0.40972222222222227</v>
      </c>
      <c r="E2945" s="4">
        <v>170</v>
      </c>
      <c r="F2945" s="22">
        <v>4</v>
      </c>
      <c r="G2945" s="4">
        <v>0.28399521539548023</v>
      </c>
      <c r="H2945" s="4" t="s">
        <v>123</v>
      </c>
    </row>
    <row r="2946" spans="1:8" x14ac:dyDescent="0.25">
      <c r="A2946" s="4">
        <v>2013</v>
      </c>
      <c r="B2946" s="4">
        <v>253</v>
      </c>
      <c r="C2946" s="20">
        <v>41527</v>
      </c>
      <c r="D2946" s="16">
        <v>0.41805555555555557</v>
      </c>
      <c r="E2946" s="4">
        <v>170</v>
      </c>
      <c r="F2946" s="22">
        <v>5</v>
      </c>
      <c r="G2946" s="4">
        <v>0.31574678177966103</v>
      </c>
      <c r="H2946" s="4" t="s">
        <v>0</v>
      </c>
    </row>
    <row r="2947" spans="1:8" x14ac:dyDescent="0.25">
      <c r="A2947" s="4">
        <v>2013</v>
      </c>
      <c r="B2947" s="4">
        <v>253</v>
      </c>
      <c r="C2947" s="20">
        <v>41527</v>
      </c>
      <c r="D2947" s="16">
        <v>0.42430555555555555</v>
      </c>
      <c r="E2947" s="4">
        <v>170</v>
      </c>
      <c r="F2947" s="22">
        <v>6</v>
      </c>
      <c r="G2947" s="4">
        <v>0.32122793997175142</v>
      </c>
      <c r="H2947" s="4" t="s">
        <v>0</v>
      </c>
    </row>
    <row r="2948" spans="1:8" x14ac:dyDescent="0.25">
      <c r="A2948" s="4">
        <v>2013</v>
      </c>
      <c r="B2948" s="4">
        <v>253</v>
      </c>
      <c r="C2948" s="20">
        <v>41527</v>
      </c>
      <c r="D2948" s="16">
        <v>0.42430555555555555</v>
      </c>
      <c r="E2948" s="4">
        <v>170</v>
      </c>
      <c r="F2948" s="22">
        <v>7</v>
      </c>
      <c r="G2948" s="4">
        <v>0.29209949929378531</v>
      </c>
      <c r="H2948" s="4" t="s">
        <v>123</v>
      </c>
    </row>
    <row r="2949" spans="1:8" x14ac:dyDescent="0.25">
      <c r="A2949" s="4">
        <v>2013</v>
      </c>
      <c r="B2949" s="4">
        <v>253</v>
      </c>
      <c r="C2949" s="20">
        <v>41527</v>
      </c>
      <c r="D2949" s="16">
        <v>0.4381944444444445</v>
      </c>
      <c r="E2949" s="4">
        <v>170</v>
      </c>
      <c r="F2949" s="22">
        <v>8</v>
      </c>
      <c r="G2949" s="4">
        <v>0.29726744844632769</v>
      </c>
      <c r="H2949" s="4" t="s">
        <v>123</v>
      </c>
    </row>
    <row r="2950" spans="1:8" x14ac:dyDescent="0.25">
      <c r="A2950" s="4">
        <v>2013</v>
      </c>
      <c r="B2950" s="4">
        <v>253</v>
      </c>
      <c r="C2950" s="20">
        <v>41527</v>
      </c>
      <c r="D2950" s="16">
        <v>0.4458333333333333</v>
      </c>
      <c r="E2950" s="4">
        <v>170</v>
      </c>
      <c r="F2950" s="22">
        <v>9</v>
      </c>
      <c r="G2950" s="4">
        <v>0.29010279166666669</v>
      </c>
      <c r="H2950" s="4" t="s">
        <v>123</v>
      </c>
    </row>
    <row r="2951" spans="1:8" x14ac:dyDescent="0.25">
      <c r="A2951" s="4">
        <v>2013</v>
      </c>
      <c r="B2951" s="4">
        <v>253</v>
      </c>
      <c r="C2951" s="20">
        <v>41527</v>
      </c>
      <c r="D2951" s="16">
        <v>0.45416666666666666</v>
      </c>
      <c r="E2951" s="4">
        <v>170</v>
      </c>
      <c r="F2951" s="22">
        <v>10</v>
      </c>
      <c r="G2951" s="4">
        <v>0.29660187923728815</v>
      </c>
      <c r="H2951" s="4" t="s">
        <v>123</v>
      </c>
    </row>
    <row r="2952" spans="1:8" x14ac:dyDescent="0.25">
      <c r="A2952" s="4">
        <v>2013</v>
      </c>
      <c r="B2952" s="4">
        <v>253</v>
      </c>
      <c r="C2952" s="20">
        <v>41527</v>
      </c>
      <c r="D2952" s="16">
        <v>0.47291666666666665</v>
      </c>
      <c r="E2952" s="4">
        <v>170</v>
      </c>
      <c r="F2952" s="22">
        <v>11</v>
      </c>
      <c r="G2952" s="4">
        <v>0.32030788841807911</v>
      </c>
      <c r="H2952" s="4" t="s">
        <v>124</v>
      </c>
    </row>
    <row r="2953" spans="1:8" x14ac:dyDescent="0.25">
      <c r="A2953" s="4">
        <v>2013</v>
      </c>
      <c r="B2953" s="4">
        <v>253</v>
      </c>
      <c r="C2953" s="20">
        <v>41527</v>
      </c>
      <c r="D2953" s="16">
        <v>0.47986111111111113</v>
      </c>
      <c r="E2953" s="4">
        <v>170</v>
      </c>
      <c r="F2953" s="22">
        <v>12</v>
      </c>
      <c r="G2953" s="4">
        <v>0.32345955437853108</v>
      </c>
      <c r="H2953" s="4" t="s">
        <v>124</v>
      </c>
    </row>
    <row r="2954" spans="1:8" x14ac:dyDescent="0.25">
      <c r="A2954" s="4">
        <v>2013</v>
      </c>
      <c r="B2954" s="4">
        <v>253</v>
      </c>
      <c r="C2954" s="20">
        <v>41527</v>
      </c>
      <c r="D2954" s="16">
        <v>0.4861111111111111</v>
      </c>
      <c r="E2954" s="4">
        <v>170</v>
      </c>
      <c r="F2954" s="22">
        <v>13</v>
      </c>
      <c r="G2954" s="4">
        <v>0.30511725000000001</v>
      </c>
      <c r="H2954" s="4" t="s">
        <v>124</v>
      </c>
    </row>
    <row r="2955" spans="1:8" x14ac:dyDescent="0.25">
      <c r="A2955" s="4">
        <v>2013</v>
      </c>
      <c r="B2955" s="4">
        <v>253</v>
      </c>
      <c r="C2955" s="20">
        <v>41527</v>
      </c>
      <c r="D2955" s="16">
        <v>0.4861111111111111</v>
      </c>
      <c r="E2955" s="4">
        <v>170</v>
      </c>
      <c r="F2955" s="22">
        <v>14</v>
      </c>
      <c r="G2955" s="4">
        <v>0.31568805508474579</v>
      </c>
      <c r="H2955" s="4" t="s">
        <v>124</v>
      </c>
    </row>
    <row r="2956" spans="1:8" x14ac:dyDescent="0.25">
      <c r="A2956" s="4">
        <v>2013</v>
      </c>
      <c r="B2956" s="4">
        <v>253</v>
      </c>
      <c r="C2956" s="20">
        <v>41527</v>
      </c>
      <c r="D2956" s="16">
        <v>0.49791666666666662</v>
      </c>
      <c r="E2956" s="4">
        <v>170</v>
      </c>
      <c r="F2956" s="22">
        <v>15</v>
      </c>
      <c r="G2956" s="4">
        <v>0.32504517514124298</v>
      </c>
      <c r="H2956" s="4" t="s">
        <v>1</v>
      </c>
    </row>
    <row r="2957" spans="1:8" x14ac:dyDescent="0.25">
      <c r="A2957" s="4">
        <v>2013</v>
      </c>
      <c r="B2957" s="4">
        <v>253</v>
      </c>
      <c r="C2957" s="20">
        <v>41527</v>
      </c>
      <c r="D2957" s="16">
        <v>0.50347222222222221</v>
      </c>
      <c r="E2957" s="4">
        <v>170</v>
      </c>
      <c r="F2957" s="22">
        <v>16</v>
      </c>
      <c r="G2957" s="4">
        <v>0.31842863418079098</v>
      </c>
      <c r="H2957" s="4" t="s">
        <v>1</v>
      </c>
    </row>
    <row r="2958" spans="1:8" x14ac:dyDescent="0.25">
      <c r="A2958" s="4">
        <v>2013</v>
      </c>
      <c r="B2958" s="4">
        <v>253</v>
      </c>
      <c r="C2958" s="20">
        <v>41527</v>
      </c>
      <c r="D2958" s="16">
        <v>0.51041666666666663</v>
      </c>
      <c r="E2958" s="4">
        <v>170</v>
      </c>
      <c r="F2958" s="22">
        <v>17</v>
      </c>
      <c r="G2958" s="4">
        <v>0.31171421539548028</v>
      </c>
      <c r="H2958" s="4" t="s">
        <v>124</v>
      </c>
    </row>
    <row r="2959" spans="1:8" x14ac:dyDescent="0.25">
      <c r="A2959" s="4">
        <v>2013</v>
      </c>
      <c r="B2959" s="4">
        <v>253</v>
      </c>
      <c r="C2959" s="20">
        <v>41527</v>
      </c>
      <c r="D2959" s="16">
        <v>0.51736111111111105</v>
      </c>
      <c r="E2959" s="4">
        <v>170</v>
      </c>
      <c r="F2959" s="22">
        <v>18</v>
      </c>
      <c r="G2959" s="4">
        <v>0.32285271186440678</v>
      </c>
      <c r="H2959" s="4" t="s">
        <v>124</v>
      </c>
    </row>
    <row r="2960" spans="1:8" x14ac:dyDescent="0.25">
      <c r="A2960" s="4">
        <v>2013</v>
      </c>
      <c r="B2960" s="4">
        <v>253</v>
      </c>
      <c r="C2960" s="20">
        <v>41527</v>
      </c>
      <c r="D2960" s="16">
        <v>0.52430555555555558</v>
      </c>
      <c r="E2960" s="4">
        <v>170</v>
      </c>
      <c r="F2960" s="22">
        <v>19</v>
      </c>
      <c r="G2960" s="4">
        <v>0.30875830508474578</v>
      </c>
      <c r="H2960" s="4" t="s">
        <v>124</v>
      </c>
    </row>
    <row r="2961" spans="1:8" x14ac:dyDescent="0.25">
      <c r="A2961" s="4">
        <v>2013</v>
      </c>
      <c r="B2961" s="4">
        <v>253</v>
      </c>
      <c r="C2961" s="20">
        <v>41527</v>
      </c>
      <c r="D2961" s="16">
        <v>0.53125</v>
      </c>
      <c r="E2961" s="4">
        <v>170</v>
      </c>
      <c r="F2961" s="22">
        <v>20</v>
      </c>
      <c r="G2961" s="4">
        <v>0.30936514759887007</v>
      </c>
      <c r="H2961" s="4" t="s">
        <v>124</v>
      </c>
    </row>
    <row r="2962" spans="1:8" x14ac:dyDescent="0.25">
      <c r="A2962" s="4">
        <v>2013</v>
      </c>
      <c r="B2962" s="4">
        <v>253</v>
      </c>
      <c r="C2962" s="20">
        <v>41527</v>
      </c>
      <c r="D2962" s="16">
        <v>0.38194444444444442</v>
      </c>
      <c r="E2962" s="4">
        <v>150</v>
      </c>
      <c r="F2962" s="22">
        <v>1</v>
      </c>
      <c r="G2962" s="4">
        <v>0.3236553100282486</v>
      </c>
      <c r="H2962" s="4" t="s">
        <v>123</v>
      </c>
    </row>
    <row r="2963" spans="1:8" x14ac:dyDescent="0.25">
      <c r="A2963" s="4">
        <v>2013</v>
      </c>
      <c r="B2963" s="4">
        <v>253</v>
      </c>
      <c r="C2963" s="20">
        <v>41527</v>
      </c>
      <c r="D2963" s="16">
        <v>0.3888888888888889</v>
      </c>
      <c r="E2963" s="4">
        <v>150</v>
      </c>
      <c r="F2963" s="22">
        <v>2</v>
      </c>
      <c r="G2963" s="4">
        <v>0.31510078813559322</v>
      </c>
      <c r="H2963" s="4" t="s">
        <v>123</v>
      </c>
    </row>
    <row r="2964" spans="1:8" x14ac:dyDescent="0.25">
      <c r="A2964" s="4">
        <v>2013</v>
      </c>
      <c r="B2964" s="4">
        <v>253</v>
      </c>
      <c r="C2964" s="20">
        <v>41527</v>
      </c>
      <c r="D2964" s="16">
        <v>0.39652777777777781</v>
      </c>
      <c r="E2964" s="4">
        <v>150</v>
      </c>
      <c r="F2964" s="22">
        <v>3</v>
      </c>
      <c r="G2964" s="4">
        <v>0.29256931285310733</v>
      </c>
      <c r="H2964" s="4" t="s">
        <v>123</v>
      </c>
    </row>
    <row r="2965" spans="1:8" x14ac:dyDescent="0.25">
      <c r="A2965" s="4">
        <v>2013</v>
      </c>
      <c r="B2965" s="4">
        <v>253</v>
      </c>
      <c r="C2965" s="20">
        <v>41527</v>
      </c>
      <c r="D2965" s="16">
        <v>0.40972222222222227</v>
      </c>
      <c r="E2965" s="4">
        <v>150</v>
      </c>
      <c r="F2965" s="22">
        <v>4</v>
      </c>
      <c r="G2965" s="4">
        <v>0.27972774223163843</v>
      </c>
      <c r="H2965" s="4" t="s">
        <v>123</v>
      </c>
    </row>
    <row r="2966" spans="1:8" x14ac:dyDescent="0.25">
      <c r="A2966" s="4">
        <v>2013</v>
      </c>
      <c r="B2966" s="4">
        <v>253</v>
      </c>
      <c r="C2966" s="20">
        <v>41527</v>
      </c>
      <c r="D2966" s="16">
        <v>0.41805555555555557</v>
      </c>
      <c r="E2966" s="4">
        <v>150</v>
      </c>
      <c r="F2966" s="22">
        <v>5</v>
      </c>
      <c r="G2966" s="4">
        <v>0.34902524223163844</v>
      </c>
      <c r="H2966" s="4" t="s">
        <v>0</v>
      </c>
    </row>
    <row r="2967" spans="1:8" x14ac:dyDescent="0.25">
      <c r="A2967" s="4">
        <v>2013</v>
      </c>
      <c r="B2967" s="4">
        <v>253</v>
      </c>
      <c r="C2967" s="20">
        <v>41527</v>
      </c>
      <c r="D2967" s="16">
        <v>0.42430555555555555</v>
      </c>
      <c r="E2967" s="4">
        <v>150</v>
      </c>
      <c r="F2967" s="22">
        <v>6</v>
      </c>
      <c r="G2967" s="4">
        <v>0.33637942725988701</v>
      </c>
      <c r="H2967" s="4" t="s">
        <v>0</v>
      </c>
    </row>
    <row r="2968" spans="1:8" x14ac:dyDescent="0.25">
      <c r="A2968" s="4">
        <v>2013</v>
      </c>
      <c r="B2968" s="4">
        <v>253</v>
      </c>
      <c r="C2968" s="20">
        <v>41527</v>
      </c>
      <c r="D2968" s="16">
        <v>0.42430555555555555</v>
      </c>
      <c r="E2968" s="4">
        <v>150</v>
      </c>
      <c r="F2968" s="22">
        <v>7</v>
      </c>
      <c r="G2968" s="4">
        <v>0.3158446596045198</v>
      </c>
      <c r="H2968" s="4" t="s">
        <v>123</v>
      </c>
    </row>
    <row r="2969" spans="1:8" x14ac:dyDescent="0.25">
      <c r="A2969" s="4">
        <v>2013</v>
      </c>
      <c r="B2969" s="4">
        <v>253</v>
      </c>
      <c r="C2969" s="20">
        <v>41527</v>
      </c>
      <c r="D2969" s="16">
        <v>0.4381944444444445</v>
      </c>
      <c r="E2969" s="4">
        <v>150</v>
      </c>
      <c r="F2969" s="22">
        <v>8</v>
      </c>
      <c r="G2969" s="4">
        <v>0.32676782485875705</v>
      </c>
      <c r="H2969" s="4" t="s">
        <v>123</v>
      </c>
    </row>
    <row r="2970" spans="1:8" x14ac:dyDescent="0.25">
      <c r="A2970" s="4">
        <v>2013</v>
      </c>
      <c r="B2970" s="4">
        <v>253</v>
      </c>
      <c r="C2970" s="20">
        <v>41527</v>
      </c>
      <c r="D2970" s="16">
        <v>0.4458333333333333</v>
      </c>
      <c r="E2970" s="4">
        <v>150</v>
      </c>
      <c r="F2970" s="22">
        <v>9</v>
      </c>
      <c r="G2970" s="4">
        <v>0.32105175988700568</v>
      </c>
      <c r="H2970" s="4" t="s">
        <v>123</v>
      </c>
    </row>
    <row r="2971" spans="1:8" x14ac:dyDescent="0.25">
      <c r="A2971" s="4">
        <v>2013</v>
      </c>
      <c r="B2971" s="4">
        <v>253</v>
      </c>
      <c r="C2971" s="20">
        <v>41527</v>
      </c>
      <c r="D2971" s="16">
        <v>0.45416666666666666</v>
      </c>
      <c r="E2971" s="4">
        <v>150</v>
      </c>
      <c r="F2971" s="22">
        <v>10</v>
      </c>
      <c r="G2971" s="4">
        <v>0.32933222387005651</v>
      </c>
      <c r="H2971" s="4" t="s">
        <v>123</v>
      </c>
    </row>
    <row r="2972" spans="1:8" x14ac:dyDescent="0.25">
      <c r="A2972" s="4">
        <v>2013</v>
      </c>
      <c r="B2972" s="4">
        <v>253</v>
      </c>
      <c r="C2972" s="20">
        <v>41527</v>
      </c>
      <c r="D2972" s="16">
        <v>0.47291666666666665</v>
      </c>
      <c r="E2972" s="4">
        <v>150</v>
      </c>
      <c r="F2972" s="22">
        <v>11</v>
      </c>
      <c r="G2972" s="4">
        <v>0.32903859039548022</v>
      </c>
      <c r="H2972" s="4" t="s">
        <v>124</v>
      </c>
    </row>
    <row r="2973" spans="1:8" x14ac:dyDescent="0.25">
      <c r="A2973" s="4">
        <v>2013</v>
      </c>
      <c r="B2973" s="4">
        <v>253</v>
      </c>
      <c r="C2973" s="20">
        <v>41527</v>
      </c>
      <c r="D2973" s="16">
        <v>0.47986111111111113</v>
      </c>
      <c r="E2973" s="4">
        <v>150</v>
      </c>
      <c r="F2973" s="22">
        <v>12</v>
      </c>
      <c r="G2973" s="4">
        <v>0.33187704731638423</v>
      </c>
      <c r="H2973" s="4" t="s">
        <v>124</v>
      </c>
    </row>
    <row r="2974" spans="1:8" x14ac:dyDescent="0.25">
      <c r="A2974" s="4">
        <v>2013</v>
      </c>
      <c r="B2974" s="4">
        <v>253</v>
      </c>
      <c r="C2974" s="20">
        <v>41527</v>
      </c>
      <c r="D2974" s="16">
        <v>0.4861111111111111</v>
      </c>
      <c r="E2974" s="4">
        <v>150</v>
      </c>
      <c r="F2974" s="22">
        <v>13</v>
      </c>
      <c r="G2974" s="4">
        <v>0.30813188700564975</v>
      </c>
      <c r="H2974" s="4" t="s">
        <v>124</v>
      </c>
    </row>
    <row r="2975" spans="1:8" x14ac:dyDescent="0.25">
      <c r="A2975" s="4">
        <v>2013</v>
      </c>
      <c r="B2975" s="4">
        <v>253</v>
      </c>
      <c r="C2975" s="20">
        <v>41527</v>
      </c>
      <c r="D2975" s="16">
        <v>0.4861111111111111</v>
      </c>
      <c r="E2975" s="4">
        <v>150</v>
      </c>
      <c r="F2975" s="22">
        <v>14</v>
      </c>
      <c r="G2975" s="4">
        <v>0.29421366031073448</v>
      </c>
      <c r="H2975" s="4" t="s">
        <v>124</v>
      </c>
    </row>
    <row r="2976" spans="1:8" x14ac:dyDescent="0.25">
      <c r="A2976" s="4">
        <v>2013</v>
      </c>
      <c r="B2976" s="4">
        <v>253</v>
      </c>
      <c r="C2976" s="20">
        <v>41527</v>
      </c>
      <c r="D2976" s="16">
        <v>0.49791666666666662</v>
      </c>
      <c r="E2976" s="4">
        <v>150</v>
      </c>
      <c r="F2976" s="22">
        <v>15</v>
      </c>
      <c r="G2976" s="4">
        <v>0.33379545268361582</v>
      </c>
      <c r="H2976" s="4" t="s">
        <v>1</v>
      </c>
    </row>
    <row r="2977" spans="1:8" x14ac:dyDescent="0.25">
      <c r="A2977" s="4">
        <v>2013</v>
      </c>
      <c r="B2977" s="4">
        <v>253</v>
      </c>
      <c r="C2977" s="20">
        <v>41527</v>
      </c>
      <c r="D2977" s="16">
        <v>0.50347222222222221</v>
      </c>
      <c r="E2977" s="4">
        <v>150</v>
      </c>
      <c r="F2977" s="22">
        <v>16</v>
      </c>
      <c r="G2977" s="4">
        <v>0.32226544491525422</v>
      </c>
      <c r="H2977" s="4" t="s">
        <v>1</v>
      </c>
    </row>
    <row r="2978" spans="1:8" x14ac:dyDescent="0.25">
      <c r="A2978" s="4">
        <v>2013</v>
      </c>
      <c r="B2978" s="4">
        <v>253</v>
      </c>
      <c r="C2978" s="20">
        <v>41527</v>
      </c>
      <c r="D2978" s="16">
        <v>0.51041666666666663</v>
      </c>
      <c r="E2978" s="4">
        <v>150</v>
      </c>
      <c r="F2978" s="22">
        <v>17</v>
      </c>
      <c r="G2978" s="4">
        <v>0.3057240925141243</v>
      </c>
      <c r="H2978" s="4" t="s">
        <v>124</v>
      </c>
    </row>
    <row r="2979" spans="1:8" x14ac:dyDescent="0.25">
      <c r="A2979" s="4">
        <v>2013</v>
      </c>
      <c r="B2979" s="4">
        <v>253</v>
      </c>
      <c r="C2979" s="20">
        <v>41527</v>
      </c>
      <c r="D2979" s="16">
        <v>0.51736111111111105</v>
      </c>
      <c r="E2979" s="4">
        <v>150</v>
      </c>
      <c r="F2979" s="22">
        <v>18</v>
      </c>
      <c r="G2979" s="4">
        <v>0.3228918629943503</v>
      </c>
      <c r="H2979" s="4" t="s">
        <v>124</v>
      </c>
    </row>
    <row r="2980" spans="1:8" x14ac:dyDescent="0.25">
      <c r="A2980" s="4">
        <v>2013</v>
      </c>
      <c r="B2980" s="4">
        <v>253</v>
      </c>
      <c r="C2980" s="20">
        <v>41527</v>
      </c>
      <c r="D2980" s="16">
        <v>0.52430555555555558</v>
      </c>
      <c r="E2980" s="4">
        <v>150</v>
      </c>
      <c r="F2980" s="22">
        <v>19</v>
      </c>
      <c r="G2980" s="4">
        <v>0.32477111723163843</v>
      </c>
      <c r="H2980" s="4" t="s">
        <v>124</v>
      </c>
    </row>
    <row r="2981" spans="1:8" x14ac:dyDescent="0.25">
      <c r="A2981" s="4">
        <v>2013</v>
      </c>
      <c r="B2981" s="4">
        <v>253</v>
      </c>
      <c r="C2981" s="20">
        <v>41527</v>
      </c>
      <c r="D2981" s="16">
        <v>0.53125</v>
      </c>
      <c r="E2981" s="4">
        <v>150</v>
      </c>
      <c r="F2981" s="22">
        <v>20</v>
      </c>
      <c r="G2981" s="4">
        <v>0.3278053298022599</v>
      </c>
      <c r="H2981" s="4" t="s">
        <v>124</v>
      </c>
    </row>
    <row r="2982" spans="1:8" x14ac:dyDescent="0.25">
      <c r="A2982" s="4">
        <v>2013</v>
      </c>
      <c r="B2982" s="4">
        <v>253</v>
      </c>
      <c r="C2982" s="20">
        <v>41527</v>
      </c>
      <c r="D2982" s="16">
        <v>0.38194444444444442</v>
      </c>
      <c r="E2982" s="4">
        <v>130</v>
      </c>
      <c r="F2982" s="22">
        <v>1</v>
      </c>
      <c r="G2982" s="4">
        <v>0.3045299830508475</v>
      </c>
      <c r="H2982" s="4" t="s">
        <v>123</v>
      </c>
    </row>
    <row r="2983" spans="1:8" x14ac:dyDescent="0.25">
      <c r="A2983" s="4">
        <v>2013</v>
      </c>
      <c r="B2983" s="4">
        <v>253</v>
      </c>
      <c r="C2983" s="20">
        <v>41527</v>
      </c>
      <c r="D2983" s="16">
        <v>0.3888888888888889</v>
      </c>
      <c r="E2983" s="4">
        <v>130</v>
      </c>
      <c r="F2983" s="22">
        <v>2</v>
      </c>
      <c r="G2983" s="4">
        <v>0.29006364053672318</v>
      </c>
      <c r="H2983" s="4" t="s">
        <v>123</v>
      </c>
    </row>
    <row r="2984" spans="1:8" x14ac:dyDescent="0.25">
      <c r="A2984" s="4">
        <v>2013</v>
      </c>
      <c r="B2984" s="4">
        <v>253</v>
      </c>
      <c r="C2984" s="20">
        <v>41527</v>
      </c>
      <c r="D2984" s="16">
        <v>0.39652777777777781</v>
      </c>
      <c r="E2984" s="4">
        <v>130</v>
      </c>
      <c r="F2984" s="22">
        <v>3</v>
      </c>
      <c r="G2984" s="4">
        <v>0.29313700423728817</v>
      </c>
      <c r="H2984" s="4" t="s">
        <v>123</v>
      </c>
    </row>
    <row r="2985" spans="1:8" x14ac:dyDescent="0.25">
      <c r="A2985" s="4">
        <v>2013</v>
      </c>
      <c r="B2985" s="4">
        <v>253</v>
      </c>
      <c r="C2985" s="20">
        <v>41527</v>
      </c>
      <c r="D2985" s="16">
        <v>0.40972222222222227</v>
      </c>
      <c r="E2985" s="4">
        <v>130</v>
      </c>
      <c r="F2985" s="22">
        <v>4</v>
      </c>
      <c r="G2985" s="4">
        <v>0.29940118502824858</v>
      </c>
      <c r="H2985" s="4" t="s">
        <v>123</v>
      </c>
    </row>
    <row r="2986" spans="1:8" x14ac:dyDescent="0.25">
      <c r="A2986" s="4">
        <v>2013</v>
      </c>
      <c r="B2986" s="4">
        <v>253</v>
      </c>
      <c r="C2986" s="20">
        <v>41527</v>
      </c>
      <c r="D2986" s="16">
        <v>0.41805555555555557</v>
      </c>
      <c r="E2986" s="4">
        <v>130</v>
      </c>
      <c r="F2986" s="22">
        <v>5</v>
      </c>
      <c r="G2986" s="4">
        <v>0.31555102612994351</v>
      </c>
      <c r="H2986" s="4" t="s">
        <v>0</v>
      </c>
    </row>
    <row r="2987" spans="1:8" x14ac:dyDescent="0.25">
      <c r="A2987" s="4">
        <v>2013</v>
      </c>
      <c r="B2987" s="4">
        <v>253</v>
      </c>
      <c r="C2987" s="20">
        <v>41527</v>
      </c>
      <c r="D2987" s="16">
        <v>0.42430555555555555</v>
      </c>
      <c r="E2987" s="4">
        <v>130</v>
      </c>
      <c r="F2987" s="22">
        <v>6</v>
      </c>
      <c r="G2987" s="4">
        <v>0.30188728177966101</v>
      </c>
      <c r="H2987" s="4" t="s">
        <v>0</v>
      </c>
    </row>
    <row r="2988" spans="1:8" x14ac:dyDescent="0.25">
      <c r="A2988" s="4">
        <v>2013</v>
      </c>
      <c r="B2988" s="4">
        <v>253</v>
      </c>
      <c r="C2988" s="20">
        <v>41527</v>
      </c>
      <c r="D2988" s="16">
        <v>0.42430555555555555</v>
      </c>
      <c r="E2988" s="4">
        <v>130</v>
      </c>
      <c r="F2988" s="22">
        <v>7</v>
      </c>
      <c r="G2988" s="4">
        <v>0.30196558403954804</v>
      </c>
      <c r="H2988" s="4" t="s">
        <v>123</v>
      </c>
    </row>
    <row r="2989" spans="1:8" x14ac:dyDescent="0.25">
      <c r="A2989" s="4">
        <v>2013</v>
      </c>
      <c r="B2989" s="4">
        <v>253</v>
      </c>
      <c r="C2989" s="20">
        <v>41527</v>
      </c>
      <c r="D2989" s="16">
        <v>0.4381944444444445</v>
      </c>
      <c r="E2989" s="4">
        <v>130</v>
      </c>
      <c r="F2989" s="22">
        <v>8</v>
      </c>
      <c r="G2989" s="4">
        <v>0.33187704731638423</v>
      </c>
      <c r="H2989" s="4" t="s">
        <v>123</v>
      </c>
    </row>
    <row r="2990" spans="1:8" x14ac:dyDescent="0.25">
      <c r="A2990" s="4">
        <v>2013</v>
      </c>
      <c r="B2990" s="4">
        <v>253</v>
      </c>
      <c r="C2990" s="20">
        <v>41527</v>
      </c>
      <c r="D2990" s="16">
        <v>0.4458333333333333</v>
      </c>
      <c r="E2990" s="4">
        <v>130</v>
      </c>
      <c r="F2990" s="22">
        <v>9</v>
      </c>
      <c r="G2990" s="4">
        <v>0.29211907485875704</v>
      </c>
      <c r="H2990" s="4" t="s">
        <v>123</v>
      </c>
    </row>
    <row r="2991" spans="1:8" x14ac:dyDescent="0.25">
      <c r="A2991" s="4">
        <v>2013</v>
      </c>
      <c r="B2991" s="4">
        <v>253</v>
      </c>
      <c r="C2991" s="20">
        <v>41527</v>
      </c>
      <c r="D2991" s="16">
        <v>0.45416666666666666</v>
      </c>
      <c r="E2991" s="4">
        <v>130</v>
      </c>
      <c r="F2991" s="22">
        <v>10</v>
      </c>
      <c r="G2991" s="4">
        <v>0.29466389830508477</v>
      </c>
      <c r="H2991" s="4" t="s">
        <v>123</v>
      </c>
    </row>
    <row r="2992" spans="1:8" x14ac:dyDescent="0.25">
      <c r="A2992" s="4">
        <v>2013</v>
      </c>
      <c r="B2992" s="4">
        <v>253</v>
      </c>
      <c r="C2992" s="20">
        <v>41527</v>
      </c>
      <c r="D2992" s="16">
        <v>0.47291666666666665</v>
      </c>
      <c r="E2992" s="4">
        <v>130</v>
      </c>
      <c r="F2992" s="22">
        <v>11</v>
      </c>
      <c r="G2992" s="4">
        <v>0.29370469562146895</v>
      </c>
      <c r="H2992" s="4" t="s">
        <v>124</v>
      </c>
    </row>
    <row r="2993" spans="1:8" x14ac:dyDescent="0.25">
      <c r="A2993" s="4">
        <v>2013</v>
      </c>
      <c r="B2993" s="4">
        <v>253</v>
      </c>
      <c r="C2993" s="20">
        <v>41527</v>
      </c>
      <c r="D2993" s="16">
        <v>0.47986111111111113</v>
      </c>
      <c r="E2993" s="4">
        <v>130</v>
      </c>
      <c r="F2993" s="22">
        <v>12</v>
      </c>
      <c r="G2993" s="4">
        <v>0.28092185169491529</v>
      </c>
      <c r="H2993" s="4" t="s">
        <v>124</v>
      </c>
    </row>
    <row r="2994" spans="1:8" x14ac:dyDescent="0.25">
      <c r="A2994" s="4">
        <v>2013</v>
      </c>
      <c r="B2994" s="4">
        <v>253</v>
      </c>
      <c r="C2994" s="20">
        <v>41527</v>
      </c>
      <c r="D2994" s="16">
        <v>0.4861111111111111</v>
      </c>
      <c r="E2994" s="4">
        <v>130</v>
      </c>
      <c r="F2994" s="22">
        <v>13</v>
      </c>
      <c r="G2994" s="4">
        <v>0.31580550847457628</v>
      </c>
      <c r="H2994" s="4" t="s">
        <v>124</v>
      </c>
    </row>
    <row r="2995" spans="1:8" x14ac:dyDescent="0.25">
      <c r="A2995" s="4">
        <v>2013</v>
      </c>
      <c r="B2995" s="4">
        <v>253</v>
      </c>
      <c r="C2995" s="20">
        <v>41527</v>
      </c>
      <c r="D2995" s="16">
        <v>0.4861111111111111</v>
      </c>
      <c r="E2995" s="4">
        <v>130</v>
      </c>
      <c r="F2995" s="22">
        <v>14</v>
      </c>
      <c r="G2995" s="4">
        <v>0.31003071680790961</v>
      </c>
      <c r="H2995" s="4" t="s">
        <v>124</v>
      </c>
    </row>
    <row r="2996" spans="1:8" x14ac:dyDescent="0.25">
      <c r="A2996" s="4">
        <v>2013</v>
      </c>
      <c r="B2996" s="4">
        <v>253</v>
      </c>
      <c r="C2996" s="20">
        <v>41527</v>
      </c>
      <c r="D2996" s="16">
        <v>0.49791666666666662</v>
      </c>
      <c r="E2996" s="4">
        <v>130</v>
      </c>
      <c r="F2996" s="22">
        <v>15</v>
      </c>
      <c r="G2996" s="4">
        <v>0.28877165324858761</v>
      </c>
      <c r="H2996" s="4" t="s">
        <v>1</v>
      </c>
    </row>
    <row r="2997" spans="1:8" x14ac:dyDescent="0.25">
      <c r="A2997" s="4">
        <v>2013</v>
      </c>
      <c r="B2997" s="4">
        <v>253</v>
      </c>
      <c r="C2997" s="20">
        <v>41527</v>
      </c>
      <c r="D2997" s="16">
        <v>0.50347222222222221</v>
      </c>
      <c r="E2997" s="4">
        <v>130</v>
      </c>
      <c r="F2997" s="22">
        <v>16</v>
      </c>
      <c r="G2997" s="4">
        <v>0.27763315677966099</v>
      </c>
      <c r="H2997" s="4" t="s">
        <v>1</v>
      </c>
    </row>
    <row r="2998" spans="1:8" x14ac:dyDescent="0.25">
      <c r="A2998" s="4">
        <v>2013</v>
      </c>
      <c r="B2998" s="4">
        <v>253</v>
      </c>
      <c r="C2998" s="20">
        <v>41527</v>
      </c>
      <c r="D2998" s="16">
        <v>0.51041666666666663</v>
      </c>
      <c r="E2998" s="4">
        <v>130</v>
      </c>
      <c r="F2998" s="22">
        <v>17</v>
      </c>
      <c r="G2998" s="4">
        <v>0.29942076059322037</v>
      </c>
      <c r="H2998" s="4" t="s">
        <v>124</v>
      </c>
    </row>
    <row r="2999" spans="1:8" x14ac:dyDescent="0.25">
      <c r="A2999" s="4">
        <v>2013</v>
      </c>
      <c r="B2999" s="4">
        <v>253</v>
      </c>
      <c r="C2999" s="20">
        <v>41527</v>
      </c>
      <c r="D2999" s="16">
        <v>0.51736111111111105</v>
      </c>
      <c r="E2999" s="4">
        <v>130</v>
      </c>
      <c r="F2999" s="22">
        <v>18</v>
      </c>
      <c r="G2999" s="4">
        <v>0.29979269632768363</v>
      </c>
      <c r="H2999" s="4" t="s">
        <v>124</v>
      </c>
    </row>
    <row r="3000" spans="1:8" x14ac:dyDescent="0.25">
      <c r="A3000" s="4">
        <v>2013</v>
      </c>
      <c r="B3000" s="4">
        <v>253</v>
      </c>
      <c r="C3000" s="20">
        <v>41527</v>
      </c>
      <c r="D3000" s="16">
        <v>0.52430555555555558</v>
      </c>
      <c r="E3000" s="4">
        <v>130</v>
      </c>
      <c r="F3000" s="22">
        <v>19</v>
      </c>
      <c r="G3000" s="4">
        <v>0.29769811087570625</v>
      </c>
      <c r="H3000" s="4" t="s">
        <v>124</v>
      </c>
    </row>
    <row r="3001" spans="1:8" x14ac:dyDescent="0.25">
      <c r="A3001" s="4">
        <v>2013</v>
      </c>
      <c r="B3001" s="4">
        <v>253</v>
      </c>
      <c r="C3001" s="20">
        <v>41527</v>
      </c>
      <c r="D3001" s="16">
        <v>0.53125</v>
      </c>
      <c r="E3001" s="4">
        <v>130</v>
      </c>
      <c r="F3001" s="22">
        <v>20</v>
      </c>
      <c r="G3001" s="4">
        <v>0.26026963064971753</v>
      </c>
      <c r="H3001" s="4" t="s">
        <v>124</v>
      </c>
    </row>
    <row r="3002" spans="1:8" x14ac:dyDescent="0.25">
      <c r="A3002" s="4">
        <v>2013</v>
      </c>
      <c r="B3002" s="4">
        <v>253</v>
      </c>
      <c r="C3002" s="20">
        <v>41527</v>
      </c>
      <c r="D3002" s="16">
        <v>0.38194444444444442</v>
      </c>
      <c r="E3002" s="4">
        <v>110</v>
      </c>
      <c r="F3002" s="22">
        <v>1</v>
      </c>
      <c r="G3002" s="4">
        <v>0.32298996186440676</v>
      </c>
      <c r="H3002" s="4" t="s">
        <v>123</v>
      </c>
    </row>
    <row r="3003" spans="1:8" x14ac:dyDescent="0.25">
      <c r="A3003" s="4">
        <v>2013</v>
      </c>
      <c r="B3003" s="4">
        <v>253</v>
      </c>
      <c r="C3003" s="20">
        <v>41527</v>
      </c>
      <c r="D3003" s="16">
        <v>0.3888888888888889</v>
      </c>
      <c r="E3003" s="4">
        <v>110</v>
      </c>
      <c r="F3003" s="22">
        <v>2</v>
      </c>
      <c r="G3003" s="4">
        <v>0.3050504060734463</v>
      </c>
      <c r="H3003" s="4" t="s">
        <v>123</v>
      </c>
    </row>
    <row r="3004" spans="1:8" x14ac:dyDescent="0.25">
      <c r="A3004" s="4">
        <v>2013</v>
      </c>
      <c r="B3004" s="4">
        <v>253</v>
      </c>
      <c r="C3004" s="20">
        <v>41527</v>
      </c>
      <c r="D3004" s="16">
        <v>0.39652777777777781</v>
      </c>
      <c r="E3004" s="4">
        <v>110</v>
      </c>
      <c r="F3004" s="22">
        <v>3</v>
      </c>
      <c r="G3004" s="4">
        <v>0.30189543926553675</v>
      </c>
      <c r="H3004" s="4" t="s">
        <v>123</v>
      </c>
    </row>
    <row r="3005" spans="1:8" x14ac:dyDescent="0.25">
      <c r="A3005" s="4">
        <v>2013</v>
      </c>
      <c r="B3005" s="4">
        <v>253</v>
      </c>
      <c r="C3005" s="20">
        <v>41527</v>
      </c>
      <c r="D3005" s="16">
        <v>0.40972222222222227</v>
      </c>
      <c r="E3005" s="4">
        <v>110</v>
      </c>
      <c r="F3005" s="22">
        <v>4</v>
      </c>
      <c r="G3005" s="4">
        <v>0.31714060734463273</v>
      </c>
      <c r="H3005" s="4" t="s">
        <v>123</v>
      </c>
    </row>
    <row r="3006" spans="1:8" x14ac:dyDescent="0.25">
      <c r="A3006" s="4">
        <v>2013</v>
      </c>
      <c r="B3006" s="4">
        <v>253</v>
      </c>
      <c r="C3006" s="20">
        <v>41527</v>
      </c>
      <c r="D3006" s="16">
        <v>0.41805555555555557</v>
      </c>
      <c r="E3006" s="4">
        <v>110</v>
      </c>
      <c r="F3006" s="22">
        <v>5</v>
      </c>
      <c r="G3006" s="4">
        <v>0.29337472598870057</v>
      </c>
      <c r="H3006" s="4" t="s">
        <v>0</v>
      </c>
    </row>
    <row r="3007" spans="1:8" x14ac:dyDescent="0.25">
      <c r="A3007" s="4">
        <v>2013</v>
      </c>
      <c r="B3007" s="4">
        <v>253</v>
      </c>
      <c r="C3007" s="20">
        <v>41527</v>
      </c>
      <c r="D3007" s="16">
        <v>0.42430555555555555</v>
      </c>
      <c r="E3007" s="4">
        <v>110</v>
      </c>
      <c r="F3007" s="22">
        <v>6</v>
      </c>
      <c r="G3007" s="4">
        <v>0.29682906920903951</v>
      </c>
      <c r="H3007" s="4" t="s">
        <v>0</v>
      </c>
    </row>
    <row r="3008" spans="1:8" x14ac:dyDescent="0.25">
      <c r="A3008" s="4">
        <v>2013</v>
      </c>
      <c r="B3008" s="4">
        <v>253</v>
      </c>
      <c r="C3008" s="20">
        <v>41527</v>
      </c>
      <c r="D3008" s="16">
        <v>0.42430555555555555</v>
      </c>
      <c r="E3008" s="4">
        <v>110</v>
      </c>
      <c r="F3008" s="22">
        <v>7</v>
      </c>
      <c r="G3008" s="4">
        <v>0.31948956073446327</v>
      </c>
      <c r="H3008" s="4" t="s">
        <v>123</v>
      </c>
    </row>
    <row r="3009" spans="1:8" x14ac:dyDescent="0.25">
      <c r="A3009" s="4">
        <v>2013</v>
      </c>
      <c r="B3009" s="4">
        <v>253</v>
      </c>
      <c r="C3009" s="20">
        <v>41527</v>
      </c>
      <c r="D3009" s="16">
        <v>0.4381944444444445</v>
      </c>
      <c r="E3009" s="4">
        <v>110</v>
      </c>
      <c r="F3009" s="22">
        <v>8</v>
      </c>
      <c r="G3009" s="4">
        <v>0.32467107556497177</v>
      </c>
      <c r="H3009" s="4" t="s">
        <v>123</v>
      </c>
    </row>
    <row r="3010" spans="1:8" x14ac:dyDescent="0.25">
      <c r="A3010" s="4">
        <v>2013</v>
      </c>
      <c r="B3010" s="4">
        <v>253</v>
      </c>
      <c r="C3010" s="20">
        <v>41527</v>
      </c>
      <c r="D3010" s="16">
        <v>0.4458333333333333</v>
      </c>
      <c r="E3010" s="4">
        <v>110</v>
      </c>
      <c r="F3010" s="22">
        <v>9</v>
      </c>
      <c r="G3010" s="4">
        <v>0.3151140593220339</v>
      </c>
      <c r="H3010" s="4" t="s">
        <v>123</v>
      </c>
    </row>
    <row r="3011" spans="1:8" x14ac:dyDescent="0.25">
      <c r="A3011" s="4">
        <v>2013</v>
      </c>
      <c r="B3011" s="4">
        <v>253</v>
      </c>
      <c r="C3011" s="20">
        <v>41527</v>
      </c>
      <c r="D3011" s="16">
        <v>0.45416666666666666</v>
      </c>
      <c r="E3011" s="4">
        <v>110</v>
      </c>
      <c r="F3011" s="22">
        <v>10</v>
      </c>
      <c r="G3011" s="4">
        <v>0.29383530508474576</v>
      </c>
      <c r="H3011" s="4" t="s">
        <v>123</v>
      </c>
    </row>
    <row r="3012" spans="1:8" x14ac:dyDescent="0.25">
      <c r="A3012" s="4">
        <v>2013</v>
      </c>
      <c r="B3012" s="4">
        <v>253</v>
      </c>
      <c r="C3012" s="20">
        <v>41527</v>
      </c>
      <c r="D3012" s="16">
        <v>0.47291666666666665</v>
      </c>
      <c r="E3012" s="4">
        <v>110</v>
      </c>
      <c r="F3012" s="22">
        <v>11</v>
      </c>
      <c r="G3012" s="4">
        <v>0.29243053884180786</v>
      </c>
      <c r="H3012" s="4" t="s">
        <v>124</v>
      </c>
    </row>
    <row r="3013" spans="1:8" x14ac:dyDescent="0.25">
      <c r="A3013" s="4">
        <v>2013</v>
      </c>
      <c r="B3013" s="4">
        <v>253</v>
      </c>
      <c r="C3013" s="20">
        <v>41527</v>
      </c>
      <c r="D3013" s="16">
        <v>0.47986111111111113</v>
      </c>
      <c r="E3013" s="4">
        <v>110</v>
      </c>
      <c r="F3013" s="22">
        <v>12</v>
      </c>
      <c r="G3013" s="4">
        <v>0.31681820197740113</v>
      </c>
      <c r="H3013" s="4" t="s">
        <v>124</v>
      </c>
    </row>
    <row r="3014" spans="1:8" x14ac:dyDescent="0.25">
      <c r="A3014" s="4">
        <v>2013</v>
      </c>
      <c r="B3014" s="4">
        <v>253</v>
      </c>
      <c r="C3014" s="20">
        <v>41527</v>
      </c>
      <c r="D3014" s="16">
        <v>0.4861111111111111</v>
      </c>
      <c r="E3014" s="4">
        <v>110</v>
      </c>
      <c r="F3014" s="22">
        <v>13</v>
      </c>
      <c r="G3014" s="4">
        <v>0.30408318997175138</v>
      </c>
      <c r="H3014" s="4" t="s">
        <v>124</v>
      </c>
    </row>
    <row r="3015" spans="1:8" x14ac:dyDescent="0.25">
      <c r="A3015" s="4">
        <v>2013</v>
      </c>
      <c r="B3015" s="4">
        <v>253</v>
      </c>
      <c r="C3015" s="20">
        <v>41527</v>
      </c>
      <c r="D3015" s="16">
        <v>0.4861111111111111</v>
      </c>
      <c r="E3015" s="4">
        <v>110</v>
      </c>
      <c r="F3015" s="22">
        <v>14</v>
      </c>
      <c r="G3015" s="4">
        <v>0.28637392372881354</v>
      </c>
      <c r="H3015" s="4" t="s">
        <v>124</v>
      </c>
    </row>
    <row r="3016" spans="1:8" x14ac:dyDescent="0.25">
      <c r="A3016" s="4">
        <v>2013</v>
      </c>
      <c r="B3016" s="4">
        <v>253</v>
      </c>
      <c r="C3016" s="20">
        <v>41527</v>
      </c>
      <c r="D3016" s="16">
        <v>0.49791666666666662</v>
      </c>
      <c r="E3016" s="4">
        <v>110</v>
      </c>
      <c r="F3016" s="22">
        <v>15</v>
      </c>
      <c r="G3016" s="4">
        <v>0.27313227471751411</v>
      </c>
      <c r="H3016" s="4" t="s">
        <v>1</v>
      </c>
    </row>
    <row r="3017" spans="1:8" x14ac:dyDescent="0.25">
      <c r="A3017" s="4">
        <v>2013</v>
      </c>
      <c r="B3017" s="4">
        <v>253</v>
      </c>
      <c r="C3017" s="20">
        <v>41527</v>
      </c>
      <c r="D3017" s="16">
        <v>0.50347222222222221</v>
      </c>
      <c r="E3017" s="4">
        <v>110</v>
      </c>
      <c r="F3017" s="22">
        <v>16</v>
      </c>
      <c r="G3017" s="4">
        <v>0.26744412288135594</v>
      </c>
      <c r="H3017" s="4" t="s">
        <v>1</v>
      </c>
    </row>
    <row r="3018" spans="1:8" x14ac:dyDescent="0.25">
      <c r="A3018" s="4">
        <v>2013</v>
      </c>
      <c r="B3018" s="4">
        <v>253</v>
      </c>
      <c r="C3018" s="20">
        <v>41527</v>
      </c>
      <c r="D3018" s="16">
        <v>0.51041666666666663</v>
      </c>
      <c r="E3018" s="4">
        <v>110</v>
      </c>
      <c r="F3018" s="22">
        <v>17</v>
      </c>
      <c r="G3018" s="4">
        <v>0.30138880225988701</v>
      </c>
      <c r="H3018" s="4" t="s">
        <v>124</v>
      </c>
    </row>
    <row r="3019" spans="1:8" x14ac:dyDescent="0.25">
      <c r="A3019" s="4">
        <v>2013</v>
      </c>
      <c r="B3019" s="4">
        <v>253</v>
      </c>
      <c r="C3019" s="20">
        <v>41527</v>
      </c>
      <c r="D3019" s="16">
        <v>0.51736111111111105</v>
      </c>
      <c r="E3019" s="4">
        <v>110</v>
      </c>
      <c r="F3019" s="22">
        <v>18</v>
      </c>
      <c r="G3019" s="4">
        <v>0.32282875918079096</v>
      </c>
      <c r="H3019" s="4" t="s">
        <v>124</v>
      </c>
    </row>
    <row r="3020" spans="1:8" x14ac:dyDescent="0.25">
      <c r="A3020" s="4">
        <v>2013</v>
      </c>
      <c r="B3020" s="4">
        <v>253</v>
      </c>
      <c r="C3020" s="20">
        <v>41527</v>
      </c>
      <c r="D3020" s="16">
        <v>0.52430555555555558</v>
      </c>
      <c r="E3020" s="4">
        <v>110</v>
      </c>
      <c r="F3020" s="22">
        <v>19</v>
      </c>
      <c r="G3020" s="4">
        <v>0.31509103036723163</v>
      </c>
      <c r="H3020" s="4" t="s">
        <v>124</v>
      </c>
    </row>
    <row r="3021" spans="1:8" x14ac:dyDescent="0.25">
      <c r="A3021" s="4">
        <v>2013</v>
      </c>
      <c r="B3021" s="4">
        <v>253</v>
      </c>
      <c r="C3021" s="20">
        <v>41527</v>
      </c>
      <c r="D3021" s="16">
        <v>0.53125</v>
      </c>
      <c r="E3021" s="4">
        <v>110</v>
      </c>
      <c r="F3021" s="22">
        <v>20</v>
      </c>
      <c r="G3021" s="4">
        <v>0.28658118432203389</v>
      </c>
      <c r="H3021" s="4" t="s">
        <v>124</v>
      </c>
    </row>
    <row r="3022" spans="1:8" x14ac:dyDescent="0.25">
      <c r="A3022" s="4">
        <v>2013</v>
      </c>
      <c r="B3022" s="4">
        <v>253</v>
      </c>
      <c r="C3022" s="20">
        <v>41527</v>
      </c>
      <c r="D3022" s="16">
        <v>0.38194444444444442</v>
      </c>
      <c r="E3022" s="4">
        <v>90</v>
      </c>
      <c r="F3022" s="22">
        <v>1</v>
      </c>
      <c r="G3022" s="4">
        <v>0.30212572881355931</v>
      </c>
      <c r="H3022" s="4" t="s">
        <v>123</v>
      </c>
    </row>
    <row r="3023" spans="1:8" x14ac:dyDescent="0.25">
      <c r="A3023" s="4">
        <v>2013</v>
      </c>
      <c r="B3023" s="4">
        <v>253</v>
      </c>
      <c r="C3023" s="20">
        <v>41527</v>
      </c>
      <c r="D3023" s="16">
        <v>0.3888888888888889</v>
      </c>
      <c r="E3023" s="4">
        <v>90</v>
      </c>
      <c r="F3023" s="22">
        <v>2</v>
      </c>
      <c r="G3023" s="4">
        <v>0.27018456850282485</v>
      </c>
      <c r="H3023" s="4" t="s">
        <v>123</v>
      </c>
    </row>
    <row r="3024" spans="1:8" x14ac:dyDescent="0.25">
      <c r="A3024" s="4">
        <v>2013</v>
      </c>
      <c r="B3024" s="4">
        <v>253</v>
      </c>
      <c r="C3024" s="20">
        <v>41527</v>
      </c>
      <c r="D3024" s="16">
        <v>0.39652777777777781</v>
      </c>
      <c r="E3024" s="4">
        <v>90</v>
      </c>
      <c r="F3024" s="22">
        <v>3</v>
      </c>
      <c r="G3024" s="4">
        <v>0.25705806426553668</v>
      </c>
      <c r="H3024" s="4" t="s">
        <v>123</v>
      </c>
    </row>
    <row r="3025" spans="1:8" x14ac:dyDescent="0.25">
      <c r="A3025" s="4">
        <v>2013</v>
      </c>
      <c r="B3025" s="4">
        <v>253</v>
      </c>
      <c r="C3025" s="20">
        <v>41527</v>
      </c>
      <c r="D3025" s="16">
        <v>0.40972222222222227</v>
      </c>
      <c r="E3025" s="4">
        <v>90</v>
      </c>
      <c r="F3025" s="22">
        <v>4</v>
      </c>
      <c r="G3025" s="4">
        <v>0.27181962429378531</v>
      </c>
      <c r="H3025" s="4" t="s">
        <v>123</v>
      </c>
    </row>
    <row r="3026" spans="1:8" x14ac:dyDescent="0.25">
      <c r="A3026" s="4">
        <v>2013</v>
      </c>
      <c r="B3026" s="4">
        <v>253</v>
      </c>
      <c r="C3026" s="20">
        <v>41527</v>
      </c>
      <c r="D3026" s="16">
        <v>0.41805555555555557</v>
      </c>
      <c r="E3026" s="4">
        <v>90</v>
      </c>
      <c r="F3026" s="22">
        <v>5</v>
      </c>
      <c r="G3026" s="4">
        <v>0.27679387853107346</v>
      </c>
      <c r="H3026" s="4" t="s">
        <v>0</v>
      </c>
    </row>
    <row r="3027" spans="1:8" x14ac:dyDescent="0.25">
      <c r="A3027" s="4">
        <v>2013</v>
      </c>
      <c r="B3027" s="4">
        <v>253</v>
      </c>
      <c r="C3027" s="20">
        <v>41527</v>
      </c>
      <c r="D3027" s="16">
        <v>0.42430555555555555</v>
      </c>
      <c r="E3027" s="4">
        <v>90</v>
      </c>
      <c r="F3027" s="22">
        <v>6</v>
      </c>
      <c r="G3027" s="4">
        <v>0.26518728531073443</v>
      </c>
      <c r="H3027" s="4" t="s">
        <v>0</v>
      </c>
    </row>
    <row r="3028" spans="1:8" x14ac:dyDescent="0.25">
      <c r="A3028" s="4">
        <v>2013</v>
      </c>
      <c r="B3028" s="4">
        <v>253</v>
      </c>
      <c r="C3028" s="20">
        <v>41527</v>
      </c>
      <c r="D3028" s="16">
        <v>0.42430555555555555</v>
      </c>
      <c r="E3028" s="4">
        <v>90</v>
      </c>
      <c r="F3028" s="22">
        <v>7</v>
      </c>
      <c r="G3028" s="4">
        <v>0.2675132097457627</v>
      </c>
      <c r="H3028" s="4" t="s">
        <v>123</v>
      </c>
    </row>
    <row r="3029" spans="1:8" x14ac:dyDescent="0.25">
      <c r="A3029" s="4">
        <v>2013</v>
      </c>
      <c r="B3029" s="4">
        <v>253</v>
      </c>
      <c r="C3029" s="20">
        <v>41527</v>
      </c>
      <c r="D3029" s="16">
        <v>0.4381944444444445</v>
      </c>
      <c r="E3029" s="4">
        <v>90</v>
      </c>
      <c r="F3029" s="22">
        <v>8</v>
      </c>
      <c r="G3029" s="4">
        <v>0.27564243079096046</v>
      </c>
      <c r="H3029" s="4" t="s">
        <v>123</v>
      </c>
    </row>
    <row r="3030" spans="1:8" x14ac:dyDescent="0.25">
      <c r="A3030" s="4">
        <v>2013</v>
      </c>
      <c r="B3030" s="4">
        <v>253</v>
      </c>
      <c r="C3030" s="20">
        <v>41527</v>
      </c>
      <c r="D3030" s="16">
        <v>0.4458333333333333</v>
      </c>
      <c r="E3030" s="4">
        <v>90</v>
      </c>
      <c r="F3030" s="22">
        <v>9</v>
      </c>
      <c r="G3030" s="4">
        <v>0.26728292019774008</v>
      </c>
      <c r="H3030" s="4" t="s">
        <v>123</v>
      </c>
    </row>
    <row r="3031" spans="1:8" x14ac:dyDescent="0.25">
      <c r="A3031" s="4">
        <v>2013</v>
      </c>
      <c r="B3031" s="4">
        <v>253</v>
      </c>
      <c r="C3031" s="20">
        <v>41527</v>
      </c>
      <c r="D3031" s="16">
        <v>0.45416666666666666</v>
      </c>
      <c r="E3031" s="4">
        <v>90</v>
      </c>
      <c r="F3031" s="22">
        <v>10</v>
      </c>
      <c r="G3031" s="4">
        <v>0.27670176271186436</v>
      </c>
      <c r="H3031" s="4" t="s">
        <v>123</v>
      </c>
    </row>
    <row r="3032" spans="1:8" x14ac:dyDescent="0.25">
      <c r="A3032" s="4">
        <v>2013</v>
      </c>
      <c r="B3032" s="4">
        <v>253</v>
      </c>
      <c r="C3032" s="20">
        <v>41527</v>
      </c>
      <c r="D3032" s="16">
        <v>0.47291666666666665</v>
      </c>
      <c r="E3032" s="4">
        <v>90</v>
      </c>
      <c r="F3032" s="22">
        <v>11</v>
      </c>
      <c r="G3032" s="4">
        <v>0.27152024788135593</v>
      </c>
      <c r="H3032" s="4" t="s">
        <v>124</v>
      </c>
    </row>
    <row r="3033" spans="1:8" x14ac:dyDescent="0.25">
      <c r="A3033" s="4">
        <v>2013</v>
      </c>
      <c r="B3033" s="4">
        <v>253</v>
      </c>
      <c r="C3033" s="20">
        <v>41527</v>
      </c>
      <c r="D3033" s="16">
        <v>0.47986111111111113</v>
      </c>
      <c r="E3033" s="4">
        <v>90</v>
      </c>
      <c r="F3033" s="22">
        <v>12</v>
      </c>
      <c r="G3033" s="4">
        <v>0.29201601765536722</v>
      </c>
      <c r="H3033" s="4" t="s">
        <v>124</v>
      </c>
    </row>
    <row r="3034" spans="1:8" x14ac:dyDescent="0.25">
      <c r="A3034" s="4">
        <v>2013</v>
      </c>
      <c r="B3034" s="4">
        <v>253</v>
      </c>
      <c r="C3034" s="20">
        <v>41527</v>
      </c>
      <c r="D3034" s="16">
        <v>0.4861111111111111</v>
      </c>
      <c r="E3034" s="4">
        <v>90</v>
      </c>
      <c r="F3034" s="22">
        <v>13</v>
      </c>
      <c r="G3034" s="4">
        <v>0.26613147245762708</v>
      </c>
      <c r="H3034" s="4" t="s">
        <v>124</v>
      </c>
    </row>
    <row r="3035" spans="1:8" x14ac:dyDescent="0.25">
      <c r="A3035" s="4">
        <v>2013</v>
      </c>
      <c r="B3035" s="4">
        <v>253</v>
      </c>
      <c r="C3035" s="20">
        <v>41527</v>
      </c>
      <c r="D3035" s="16">
        <v>0.4861111111111111</v>
      </c>
      <c r="E3035" s="4">
        <v>90</v>
      </c>
      <c r="F3035" s="22">
        <v>14</v>
      </c>
      <c r="G3035" s="4">
        <v>0.25611387711864408</v>
      </c>
      <c r="H3035" s="4" t="s">
        <v>124</v>
      </c>
    </row>
    <row r="3036" spans="1:8" x14ac:dyDescent="0.25">
      <c r="A3036" s="4">
        <v>2013</v>
      </c>
      <c r="B3036" s="4">
        <v>253</v>
      </c>
      <c r="C3036" s="20">
        <v>41527</v>
      </c>
      <c r="D3036" s="16">
        <v>0.49791666666666662</v>
      </c>
      <c r="E3036" s="4">
        <v>90</v>
      </c>
      <c r="F3036" s="22">
        <v>15</v>
      </c>
      <c r="G3036" s="4">
        <v>0.25155414406779658</v>
      </c>
      <c r="H3036" s="4" t="s">
        <v>1</v>
      </c>
    </row>
    <row r="3037" spans="1:8" x14ac:dyDescent="0.25">
      <c r="A3037" s="4">
        <v>2013</v>
      </c>
      <c r="B3037" s="4">
        <v>253</v>
      </c>
      <c r="C3037" s="20">
        <v>41527</v>
      </c>
      <c r="D3037" s="16">
        <v>0.50347222222222221</v>
      </c>
      <c r="E3037" s="4">
        <v>90</v>
      </c>
      <c r="F3037" s="22">
        <v>16</v>
      </c>
      <c r="G3037" s="4">
        <v>0.2447606024011299</v>
      </c>
      <c r="H3037" s="4" t="s">
        <v>1</v>
      </c>
    </row>
    <row r="3038" spans="1:8" x14ac:dyDescent="0.25">
      <c r="A3038" s="4">
        <v>2013</v>
      </c>
      <c r="B3038" s="4">
        <v>253</v>
      </c>
      <c r="C3038" s="20">
        <v>41527</v>
      </c>
      <c r="D3038" s="16">
        <v>0.51041666666666663</v>
      </c>
      <c r="E3038" s="4">
        <v>90</v>
      </c>
      <c r="F3038" s="22">
        <v>17</v>
      </c>
      <c r="G3038" s="4">
        <v>0.26484185098870056</v>
      </c>
      <c r="H3038" s="4" t="s">
        <v>124</v>
      </c>
    </row>
    <row r="3039" spans="1:8" x14ac:dyDescent="0.25">
      <c r="A3039" s="4">
        <v>2013</v>
      </c>
      <c r="B3039" s="4">
        <v>253</v>
      </c>
      <c r="C3039" s="20">
        <v>41527</v>
      </c>
      <c r="D3039" s="16">
        <v>0.51736111111111105</v>
      </c>
      <c r="E3039" s="4">
        <v>90</v>
      </c>
      <c r="F3039" s="22">
        <v>18</v>
      </c>
      <c r="G3039" s="4">
        <v>0.28245900141242936</v>
      </c>
      <c r="H3039" s="4" t="s">
        <v>124</v>
      </c>
    </row>
    <row r="3040" spans="1:8" x14ac:dyDescent="0.25">
      <c r="A3040" s="4">
        <v>2013</v>
      </c>
      <c r="B3040" s="4">
        <v>253</v>
      </c>
      <c r="C3040" s="20">
        <v>41527</v>
      </c>
      <c r="D3040" s="16">
        <v>0.52430555555555558</v>
      </c>
      <c r="E3040" s="4">
        <v>90</v>
      </c>
      <c r="F3040" s="22">
        <v>19</v>
      </c>
      <c r="G3040" s="4">
        <v>0.26576300918079093</v>
      </c>
      <c r="H3040" s="4" t="s">
        <v>124</v>
      </c>
    </row>
    <row r="3041" spans="1:8" x14ac:dyDescent="0.25">
      <c r="A3041" s="4">
        <v>2013</v>
      </c>
      <c r="B3041" s="4">
        <v>253</v>
      </c>
      <c r="C3041" s="20">
        <v>41527</v>
      </c>
      <c r="D3041" s="16">
        <v>0.53125</v>
      </c>
      <c r="E3041" s="4">
        <v>90</v>
      </c>
      <c r="F3041" s="22">
        <v>20</v>
      </c>
      <c r="G3041" s="4">
        <v>0.27743868926553672</v>
      </c>
      <c r="H3041" s="4" t="s">
        <v>124</v>
      </c>
    </row>
    <row r="3042" spans="1:8" x14ac:dyDescent="0.25">
      <c r="A3042" s="4">
        <v>2013</v>
      </c>
      <c r="B3042" s="4">
        <v>253</v>
      </c>
      <c r="C3042" s="20">
        <v>41527</v>
      </c>
      <c r="D3042" s="16">
        <v>0.38194444444444442</v>
      </c>
      <c r="E3042" s="4">
        <v>70</v>
      </c>
      <c r="F3042" s="22">
        <v>1</v>
      </c>
      <c r="G3042" s="4">
        <v>0.28872287711864408</v>
      </c>
      <c r="H3042" s="4" t="s">
        <v>123</v>
      </c>
    </row>
    <row r="3043" spans="1:8" x14ac:dyDescent="0.25">
      <c r="A3043" s="4">
        <v>2013</v>
      </c>
      <c r="B3043" s="4">
        <v>253</v>
      </c>
      <c r="C3043" s="20">
        <v>41527</v>
      </c>
      <c r="D3043" s="16">
        <v>0.3888888888888889</v>
      </c>
      <c r="E3043" s="4">
        <v>70</v>
      </c>
      <c r="F3043" s="22">
        <v>2</v>
      </c>
      <c r="G3043" s="4">
        <v>0.27591877824858757</v>
      </c>
      <c r="H3043" s="4" t="s">
        <v>123</v>
      </c>
    </row>
    <row r="3044" spans="1:8" x14ac:dyDescent="0.25">
      <c r="A3044" s="4">
        <v>2013</v>
      </c>
      <c r="B3044" s="4">
        <v>253</v>
      </c>
      <c r="C3044" s="20">
        <v>41527</v>
      </c>
      <c r="D3044" s="16">
        <v>0.39652777777777781</v>
      </c>
      <c r="E3044" s="4">
        <v>70</v>
      </c>
      <c r="F3044" s="22">
        <v>3</v>
      </c>
      <c r="G3044" s="4">
        <v>0.27552728601694915</v>
      </c>
      <c r="H3044" s="4" t="s">
        <v>123</v>
      </c>
    </row>
    <row r="3045" spans="1:8" x14ac:dyDescent="0.25">
      <c r="A3045" s="4">
        <v>2013</v>
      </c>
      <c r="B3045" s="4">
        <v>253</v>
      </c>
      <c r="C3045" s="20">
        <v>41527</v>
      </c>
      <c r="D3045" s="16">
        <v>0.40972222222222227</v>
      </c>
      <c r="E3045" s="4">
        <v>70</v>
      </c>
      <c r="F3045" s="22">
        <v>4</v>
      </c>
      <c r="G3045" s="4">
        <v>0.26405886652542371</v>
      </c>
      <c r="H3045" s="4" t="s">
        <v>123</v>
      </c>
    </row>
    <row r="3046" spans="1:8" x14ac:dyDescent="0.25">
      <c r="A3046" s="4">
        <v>2013</v>
      </c>
      <c r="B3046" s="4">
        <v>253</v>
      </c>
      <c r="C3046" s="20">
        <v>41527</v>
      </c>
      <c r="D3046" s="16">
        <v>0.41805555555555557</v>
      </c>
      <c r="E3046" s="4">
        <v>70</v>
      </c>
      <c r="F3046" s="22">
        <v>5</v>
      </c>
      <c r="G3046" s="4">
        <v>0.28384073870056492</v>
      </c>
      <c r="H3046" s="4" t="s">
        <v>0</v>
      </c>
    </row>
    <row r="3047" spans="1:8" x14ac:dyDescent="0.25">
      <c r="A3047" s="4">
        <v>2013</v>
      </c>
      <c r="B3047" s="4">
        <v>253</v>
      </c>
      <c r="C3047" s="20">
        <v>41527</v>
      </c>
      <c r="D3047" s="16">
        <v>0.42430555555555555</v>
      </c>
      <c r="E3047" s="4">
        <v>70</v>
      </c>
      <c r="F3047" s="22">
        <v>6</v>
      </c>
      <c r="G3047" s="4">
        <v>0.28545276553672316</v>
      </c>
      <c r="H3047" s="4" t="s">
        <v>0</v>
      </c>
    </row>
    <row r="3048" spans="1:8" x14ac:dyDescent="0.25">
      <c r="A3048" s="4">
        <v>2013</v>
      </c>
      <c r="B3048" s="4">
        <v>253</v>
      </c>
      <c r="C3048" s="20">
        <v>41527</v>
      </c>
      <c r="D3048" s="16">
        <v>0.42430555555555555</v>
      </c>
      <c r="E3048" s="4">
        <v>70</v>
      </c>
      <c r="F3048" s="22">
        <v>7</v>
      </c>
      <c r="G3048" s="4">
        <v>0.27748474717514121</v>
      </c>
      <c r="H3048" s="4" t="s">
        <v>123</v>
      </c>
    </row>
    <row r="3049" spans="1:8" x14ac:dyDescent="0.25">
      <c r="A3049" s="4">
        <v>2013</v>
      </c>
      <c r="B3049" s="4">
        <v>253</v>
      </c>
      <c r="C3049" s="20">
        <v>41527</v>
      </c>
      <c r="D3049" s="16">
        <v>0.4381944444444445</v>
      </c>
      <c r="E3049" s="4">
        <v>70</v>
      </c>
      <c r="F3049" s="22">
        <v>8</v>
      </c>
      <c r="G3049" s="4">
        <v>0.27430675141242938</v>
      </c>
      <c r="H3049" s="4" t="s">
        <v>123</v>
      </c>
    </row>
    <row r="3050" spans="1:8" x14ac:dyDescent="0.25">
      <c r="A3050" s="4">
        <v>2013</v>
      </c>
      <c r="B3050" s="4">
        <v>253</v>
      </c>
      <c r="C3050" s="20">
        <v>41527</v>
      </c>
      <c r="D3050" s="16">
        <v>0.4458333333333333</v>
      </c>
      <c r="E3050" s="4">
        <v>70</v>
      </c>
      <c r="F3050" s="22">
        <v>9</v>
      </c>
      <c r="G3050" s="4">
        <v>0.26532545903954802</v>
      </c>
      <c r="H3050" s="4" t="s">
        <v>123</v>
      </c>
    </row>
    <row r="3051" spans="1:8" x14ac:dyDescent="0.25">
      <c r="A3051" s="4">
        <v>2013</v>
      </c>
      <c r="B3051" s="4">
        <v>253</v>
      </c>
      <c r="C3051" s="20">
        <v>41527</v>
      </c>
      <c r="D3051" s="16">
        <v>0.45416666666666666</v>
      </c>
      <c r="E3051" s="4">
        <v>70</v>
      </c>
      <c r="F3051" s="22">
        <v>10</v>
      </c>
      <c r="G3051" s="4">
        <v>0.28998946963276834</v>
      </c>
      <c r="H3051" s="4" t="s">
        <v>123</v>
      </c>
    </row>
    <row r="3052" spans="1:8" x14ac:dyDescent="0.25">
      <c r="A3052" s="4">
        <v>2013</v>
      </c>
      <c r="B3052" s="4">
        <v>253</v>
      </c>
      <c r="C3052" s="20">
        <v>41527</v>
      </c>
      <c r="D3052" s="16">
        <v>0.47291666666666665</v>
      </c>
      <c r="E3052" s="4">
        <v>70</v>
      </c>
      <c r="F3052" s="22">
        <v>11</v>
      </c>
      <c r="G3052" s="4">
        <v>0.2897361511299435</v>
      </c>
      <c r="H3052" s="4" t="s">
        <v>124</v>
      </c>
    </row>
    <row r="3053" spans="1:8" x14ac:dyDescent="0.25">
      <c r="A3053" s="4">
        <v>2013</v>
      </c>
      <c r="B3053" s="4">
        <v>253</v>
      </c>
      <c r="C3053" s="20">
        <v>41527</v>
      </c>
      <c r="D3053" s="16">
        <v>0.47986111111111113</v>
      </c>
      <c r="E3053" s="4">
        <v>70</v>
      </c>
      <c r="F3053" s="22">
        <v>12</v>
      </c>
      <c r="G3053" s="4">
        <v>0.28536064971751407</v>
      </c>
      <c r="H3053" s="4" t="s">
        <v>124</v>
      </c>
    </row>
    <row r="3054" spans="1:8" x14ac:dyDescent="0.25">
      <c r="A3054" s="4">
        <v>2013</v>
      </c>
      <c r="B3054" s="4">
        <v>253</v>
      </c>
      <c r="C3054" s="20">
        <v>41527</v>
      </c>
      <c r="D3054" s="16">
        <v>0.4861111111111111</v>
      </c>
      <c r="E3054" s="4">
        <v>70</v>
      </c>
      <c r="F3054" s="22">
        <v>13</v>
      </c>
      <c r="G3054" s="4">
        <v>0.270553031779661</v>
      </c>
      <c r="H3054" s="4" t="s">
        <v>124</v>
      </c>
    </row>
    <row r="3055" spans="1:8" x14ac:dyDescent="0.25">
      <c r="A3055" s="4">
        <v>2013</v>
      </c>
      <c r="B3055" s="4">
        <v>253</v>
      </c>
      <c r="C3055" s="20">
        <v>41527</v>
      </c>
      <c r="D3055" s="16">
        <v>0.4861111111111111</v>
      </c>
      <c r="E3055" s="4">
        <v>70</v>
      </c>
      <c r="F3055" s="22">
        <v>14</v>
      </c>
      <c r="G3055" s="4">
        <v>0.27292501412429376</v>
      </c>
      <c r="H3055" s="4" t="s">
        <v>124</v>
      </c>
    </row>
    <row r="3056" spans="1:8" x14ac:dyDescent="0.25">
      <c r="A3056" s="4">
        <v>2013</v>
      </c>
      <c r="B3056" s="4">
        <v>253</v>
      </c>
      <c r="C3056" s="20">
        <v>41527</v>
      </c>
      <c r="D3056" s="16">
        <v>0.49791666666666662</v>
      </c>
      <c r="E3056" s="4">
        <v>70</v>
      </c>
      <c r="F3056" s="22">
        <v>15</v>
      </c>
      <c r="G3056" s="4">
        <v>0.27027668432203389</v>
      </c>
      <c r="H3056" s="4" t="s">
        <v>1</v>
      </c>
    </row>
    <row r="3057" spans="1:8" x14ac:dyDescent="0.25">
      <c r="A3057" s="4">
        <v>2013</v>
      </c>
      <c r="B3057" s="4">
        <v>253</v>
      </c>
      <c r="C3057" s="20">
        <v>41527</v>
      </c>
      <c r="D3057" s="16">
        <v>0.50347222222222221</v>
      </c>
      <c r="E3057" s="4">
        <v>70</v>
      </c>
      <c r="F3057" s="22">
        <v>16</v>
      </c>
      <c r="G3057" s="4">
        <v>0.26175597104519771</v>
      </c>
      <c r="H3057" s="4" t="s">
        <v>1</v>
      </c>
    </row>
    <row r="3058" spans="1:8" x14ac:dyDescent="0.25">
      <c r="A3058" s="4">
        <v>2013</v>
      </c>
      <c r="B3058" s="4">
        <v>253</v>
      </c>
      <c r="C3058" s="20">
        <v>41527</v>
      </c>
      <c r="D3058" s="16">
        <v>0.51041666666666663</v>
      </c>
      <c r="E3058" s="4">
        <v>70</v>
      </c>
      <c r="F3058" s="22">
        <v>17</v>
      </c>
      <c r="G3058" s="4">
        <v>0.27741566031073445</v>
      </c>
      <c r="H3058" s="4" t="s">
        <v>124</v>
      </c>
    </row>
    <row r="3059" spans="1:8" x14ac:dyDescent="0.25">
      <c r="A3059" s="4">
        <v>2013</v>
      </c>
      <c r="B3059" s="4">
        <v>253</v>
      </c>
      <c r="C3059" s="20">
        <v>41527</v>
      </c>
      <c r="D3059" s="16">
        <v>0.51736111111111105</v>
      </c>
      <c r="E3059" s="4">
        <v>70</v>
      </c>
      <c r="F3059" s="22">
        <v>18</v>
      </c>
      <c r="G3059" s="4">
        <v>0.27135904519774007</v>
      </c>
      <c r="H3059" s="4" t="s">
        <v>124</v>
      </c>
    </row>
    <row r="3060" spans="1:8" x14ac:dyDescent="0.25">
      <c r="A3060" s="4">
        <v>2013</v>
      </c>
      <c r="B3060" s="4">
        <v>253</v>
      </c>
      <c r="C3060" s="20">
        <v>41527</v>
      </c>
      <c r="D3060" s="16">
        <v>0.52430555555555558</v>
      </c>
      <c r="E3060" s="4">
        <v>70</v>
      </c>
      <c r="F3060" s="22">
        <v>19</v>
      </c>
      <c r="G3060" s="4">
        <v>0.268250136299435</v>
      </c>
      <c r="H3060" s="4" t="s">
        <v>124</v>
      </c>
    </row>
    <row r="3061" spans="1:8" x14ac:dyDescent="0.25">
      <c r="A3061" s="4">
        <v>2013</v>
      </c>
      <c r="B3061" s="4">
        <v>253</v>
      </c>
      <c r="C3061" s="20">
        <v>41527</v>
      </c>
      <c r="D3061" s="16">
        <v>0.53125</v>
      </c>
      <c r="E3061" s="4">
        <v>70</v>
      </c>
      <c r="F3061" s="22">
        <v>20</v>
      </c>
      <c r="G3061" s="4">
        <v>0.27921191878531071</v>
      </c>
      <c r="H3061" s="4" t="s">
        <v>124</v>
      </c>
    </row>
    <row r="3062" spans="1:8" x14ac:dyDescent="0.25">
      <c r="A3062" s="4">
        <v>2013</v>
      </c>
      <c r="B3062" s="4">
        <v>253</v>
      </c>
      <c r="C3062" s="20">
        <v>41527</v>
      </c>
      <c r="D3062" s="16">
        <v>0.38194444444444442</v>
      </c>
      <c r="E3062" s="4">
        <v>50</v>
      </c>
      <c r="F3062" s="22">
        <v>1</v>
      </c>
      <c r="G3062" s="4">
        <v>0.28612060522598864</v>
      </c>
      <c r="H3062" s="4" t="s">
        <v>123</v>
      </c>
    </row>
    <row r="3063" spans="1:8" x14ac:dyDescent="0.25">
      <c r="A3063" s="4">
        <v>2013</v>
      </c>
      <c r="B3063" s="4">
        <v>253</v>
      </c>
      <c r="C3063" s="20">
        <v>41527</v>
      </c>
      <c r="D3063" s="16">
        <v>0.3888888888888889</v>
      </c>
      <c r="E3063" s="4">
        <v>50</v>
      </c>
      <c r="F3063" s="22">
        <v>2</v>
      </c>
      <c r="G3063" s="4">
        <v>0.29503281073446325</v>
      </c>
      <c r="H3063" s="4" t="s">
        <v>123</v>
      </c>
    </row>
    <row r="3064" spans="1:8" x14ac:dyDescent="0.25">
      <c r="A3064" s="4">
        <v>2013</v>
      </c>
      <c r="B3064" s="4">
        <v>253</v>
      </c>
      <c r="C3064" s="20">
        <v>41527</v>
      </c>
      <c r="D3064" s="16">
        <v>0.39652777777777781</v>
      </c>
      <c r="E3064" s="4">
        <v>50</v>
      </c>
      <c r="F3064" s="22">
        <v>3</v>
      </c>
      <c r="G3064" s="4">
        <v>0.30230996045197739</v>
      </c>
      <c r="H3064" s="4" t="s">
        <v>123</v>
      </c>
    </row>
    <row r="3065" spans="1:8" x14ac:dyDescent="0.25">
      <c r="A3065" s="4">
        <v>2013</v>
      </c>
      <c r="B3065" s="4">
        <v>253</v>
      </c>
      <c r="C3065" s="20">
        <v>41527</v>
      </c>
      <c r="D3065" s="16">
        <v>0.40972222222222227</v>
      </c>
      <c r="E3065" s="4">
        <v>50</v>
      </c>
      <c r="F3065" s="22">
        <v>4</v>
      </c>
      <c r="G3065" s="4">
        <v>0.2840710282485876</v>
      </c>
      <c r="H3065" s="4" t="s">
        <v>123</v>
      </c>
    </row>
    <row r="3066" spans="1:8" x14ac:dyDescent="0.25">
      <c r="A3066" s="4">
        <v>2013</v>
      </c>
      <c r="B3066" s="4">
        <v>253</v>
      </c>
      <c r="C3066" s="20">
        <v>41527</v>
      </c>
      <c r="D3066" s="16">
        <v>0.41805555555555557</v>
      </c>
      <c r="E3066" s="4">
        <v>50</v>
      </c>
      <c r="F3066" s="22">
        <v>5</v>
      </c>
      <c r="G3066" s="4">
        <v>0.29832595127118644</v>
      </c>
      <c r="H3066" s="4" t="s">
        <v>0</v>
      </c>
    </row>
    <row r="3067" spans="1:8" x14ac:dyDescent="0.25">
      <c r="A3067" s="4">
        <v>2013</v>
      </c>
      <c r="B3067" s="4">
        <v>253</v>
      </c>
      <c r="C3067" s="20">
        <v>41527</v>
      </c>
      <c r="D3067" s="16">
        <v>0.42430555555555555</v>
      </c>
      <c r="E3067" s="4">
        <v>50</v>
      </c>
      <c r="F3067" s="22">
        <v>6</v>
      </c>
      <c r="G3067" s="4">
        <v>0.30189543926553675</v>
      </c>
      <c r="H3067" s="4" t="s">
        <v>0</v>
      </c>
    </row>
    <row r="3068" spans="1:8" x14ac:dyDescent="0.25">
      <c r="A3068" s="4">
        <v>2013</v>
      </c>
      <c r="B3068" s="4">
        <v>253</v>
      </c>
      <c r="C3068" s="20">
        <v>41527</v>
      </c>
      <c r="D3068" s="16">
        <v>0.42430555555555555</v>
      </c>
      <c r="E3068" s="4">
        <v>50</v>
      </c>
      <c r="F3068" s="22">
        <v>7</v>
      </c>
      <c r="G3068" s="4">
        <v>0.29742782203389828</v>
      </c>
      <c r="H3068" s="4" t="s">
        <v>123</v>
      </c>
    </row>
    <row r="3069" spans="1:8" x14ac:dyDescent="0.25">
      <c r="A3069" s="4">
        <v>2013</v>
      </c>
      <c r="B3069" s="4">
        <v>253</v>
      </c>
      <c r="C3069" s="20">
        <v>41527</v>
      </c>
      <c r="D3069" s="16">
        <v>0.4381944444444445</v>
      </c>
      <c r="E3069" s="4">
        <v>50</v>
      </c>
      <c r="F3069" s="22">
        <v>8</v>
      </c>
      <c r="G3069" s="4">
        <v>0.28964403531073446</v>
      </c>
      <c r="H3069" s="4" t="s">
        <v>123</v>
      </c>
    </row>
    <row r="3070" spans="1:8" x14ac:dyDescent="0.25">
      <c r="A3070" s="4">
        <v>2013</v>
      </c>
      <c r="B3070" s="4">
        <v>253</v>
      </c>
      <c r="C3070" s="20">
        <v>41527</v>
      </c>
      <c r="D3070" s="16">
        <v>0.4458333333333333</v>
      </c>
      <c r="E3070" s="4">
        <v>50</v>
      </c>
      <c r="F3070" s="22">
        <v>9</v>
      </c>
      <c r="G3070" s="4">
        <v>0.2887459060734463</v>
      </c>
      <c r="H3070" s="4" t="s">
        <v>123</v>
      </c>
    </row>
    <row r="3071" spans="1:8" x14ac:dyDescent="0.25">
      <c r="A3071" s="4">
        <v>2013</v>
      </c>
      <c r="B3071" s="4">
        <v>253</v>
      </c>
      <c r="C3071" s="20">
        <v>41527</v>
      </c>
      <c r="D3071" s="16">
        <v>0.45416666666666666</v>
      </c>
      <c r="E3071" s="4">
        <v>50</v>
      </c>
      <c r="F3071" s="22">
        <v>10</v>
      </c>
      <c r="G3071" s="4">
        <v>0.30136577330508474</v>
      </c>
      <c r="H3071" s="4" t="s">
        <v>123</v>
      </c>
    </row>
    <row r="3072" spans="1:8" x14ac:dyDescent="0.25">
      <c r="A3072" s="4">
        <v>2013</v>
      </c>
      <c r="B3072" s="4">
        <v>253</v>
      </c>
      <c r="C3072" s="20">
        <v>41527</v>
      </c>
      <c r="D3072" s="16">
        <v>0.47291666666666665</v>
      </c>
      <c r="E3072" s="4">
        <v>50</v>
      </c>
      <c r="F3072" s="22">
        <v>11</v>
      </c>
      <c r="G3072" s="4">
        <v>0.29450314477401129</v>
      </c>
      <c r="H3072" s="4" t="s">
        <v>124</v>
      </c>
    </row>
    <row r="3073" spans="1:8" x14ac:dyDescent="0.25">
      <c r="A3073" s="4">
        <v>2013</v>
      </c>
      <c r="B3073" s="4">
        <v>253</v>
      </c>
      <c r="C3073" s="20">
        <v>41527</v>
      </c>
      <c r="D3073" s="16">
        <v>0.47986111111111113</v>
      </c>
      <c r="E3073" s="4">
        <v>50</v>
      </c>
      <c r="F3073" s="22">
        <v>12</v>
      </c>
      <c r="G3073" s="4">
        <v>0.30493526129943505</v>
      </c>
      <c r="H3073" s="4" t="s">
        <v>124</v>
      </c>
    </row>
    <row r="3074" spans="1:8" x14ac:dyDescent="0.25">
      <c r="A3074" s="4">
        <v>2013</v>
      </c>
      <c r="B3074" s="4">
        <v>253</v>
      </c>
      <c r="C3074" s="20">
        <v>41527</v>
      </c>
      <c r="D3074" s="16">
        <v>0.4861111111111111</v>
      </c>
      <c r="E3074" s="4">
        <v>50</v>
      </c>
      <c r="F3074" s="22">
        <v>13</v>
      </c>
      <c r="G3074" s="4">
        <v>0.28116937994350277</v>
      </c>
      <c r="H3074" s="4" t="s">
        <v>124</v>
      </c>
    </row>
    <row r="3075" spans="1:8" x14ac:dyDescent="0.25">
      <c r="A3075" s="4">
        <v>2013</v>
      </c>
      <c r="B3075" s="4">
        <v>253</v>
      </c>
      <c r="C3075" s="20">
        <v>41527</v>
      </c>
      <c r="D3075" s="16">
        <v>0.4861111111111111</v>
      </c>
      <c r="E3075" s="4">
        <v>50</v>
      </c>
      <c r="F3075" s="22">
        <v>14</v>
      </c>
      <c r="G3075" s="4">
        <v>0.289160427259887</v>
      </c>
      <c r="H3075" s="4" t="s">
        <v>124</v>
      </c>
    </row>
    <row r="3076" spans="1:8" x14ac:dyDescent="0.25">
      <c r="A3076" s="4">
        <v>2013</v>
      </c>
      <c r="B3076" s="4">
        <v>253</v>
      </c>
      <c r="C3076" s="20">
        <v>41527</v>
      </c>
      <c r="D3076" s="16">
        <v>0.49791666666666662</v>
      </c>
      <c r="E3076" s="4">
        <v>50</v>
      </c>
      <c r="F3076" s="22">
        <v>15</v>
      </c>
      <c r="G3076" s="4">
        <v>0.29132514901129941</v>
      </c>
      <c r="H3076" s="4" t="s">
        <v>1</v>
      </c>
    </row>
    <row r="3077" spans="1:8" x14ac:dyDescent="0.25">
      <c r="A3077" s="4">
        <v>2013</v>
      </c>
      <c r="B3077" s="4">
        <v>253</v>
      </c>
      <c r="C3077" s="20">
        <v>41527</v>
      </c>
      <c r="D3077" s="16">
        <v>0.50347222222222221</v>
      </c>
      <c r="E3077" s="4">
        <v>50</v>
      </c>
      <c r="F3077" s="22">
        <v>16</v>
      </c>
      <c r="G3077" s="4">
        <v>0.27672479166666664</v>
      </c>
      <c r="H3077" s="4" t="s">
        <v>1</v>
      </c>
    </row>
    <row r="3078" spans="1:8" x14ac:dyDescent="0.25">
      <c r="A3078" s="4">
        <v>2013</v>
      </c>
      <c r="B3078" s="4">
        <v>253</v>
      </c>
      <c r="C3078" s="20">
        <v>41527</v>
      </c>
      <c r="D3078" s="16">
        <v>0.51041666666666663</v>
      </c>
      <c r="E3078" s="4">
        <v>50</v>
      </c>
      <c r="F3078" s="22">
        <v>17</v>
      </c>
      <c r="G3078" s="4">
        <v>0.31168274505649718</v>
      </c>
      <c r="H3078" s="4" t="s">
        <v>124</v>
      </c>
    </row>
    <row r="3079" spans="1:8" x14ac:dyDescent="0.25">
      <c r="A3079" s="4">
        <v>2013</v>
      </c>
      <c r="B3079" s="4">
        <v>253</v>
      </c>
      <c r="C3079" s="20">
        <v>41527</v>
      </c>
      <c r="D3079" s="16">
        <v>0.51736111111111105</v>
      </c>
      <c r="E3079" s="4">
        <v>50</v>
      </c>
      <c r="F3079" s="22">
        <v>18</v>
      </c>
      <c r="G3079" s="4">
        <v>0.29084154096045195</v>
      </c>
      <c r="H3079" s="4" t="s">
        <v>124</v>
      </c>
    </row>
    <row r="3080" spans="1:8" x14ac:dyDescent="0.25">
      <c r="A3080" s="4">
        <v>2013</v>
      </c>
      <c r="B3080" s="4">
        <v>253</v>
      </c>
      <c r="C3080" s="20">
        <v>41527</v>
      </c>
      <c r="D3080" s="16">
        <v>0.52430555555555558</v>
      </c>
      <c r="E3080" s="4">
        <v>50</v>
      </c>
      <c r="F3080" s="22">
        <v>19</v>
      </c>
      <c r="G3080" s="4">
        <v>0.30055975988700567</v>
      </c>
      <c r="H3080" s="4" t="s">
        <v>124</v>
      </c>
    </row>
    <row r="3081" spans="1:8" x14ac:dyDescent="0.25">
      <c r="A3081" s="4">
        <v>2013</v>
      </c>
      <c r="B3081" s="4">
        <v>253</v>
      </c>
      <c r="C3081" s="20">
        <v>41527</v>
      </c>
      <c r="D3081" s="16">
        <v>0.53125</v>
      </c>
      <c r="E3081" s="4">
        <v>50</v>
      </c>
      <c r="F3081" s="22">
        <v>20</v>
      </c>
      <c r="G3081" s="4">
        <v>0.3122814978813559</v>
      </c>
      <c r="H3081" s="4" t="s">
        <v>124</v>
      </c>
    </row>
    <row r="3082" spans="1:8" x14ac:dyDescent="0.25">
      <c r="A3082" s="4">
        <v>2013</v>
      </c>
      <c r="B3082" s="4">
        <v>253</v>
      </c>
      <c r="C3082" s="20">
        <v>41527</v>
      </c>
      <c r="D3082" s="16">
        <v>0.38194444444444442</v>
      </c>
      <c r="E3082" s="4">
        <v>30</v>
      </c>
      <c r="F3082" s="22">
        <v>1</v>
      </c>
      <c r="G3082" s="4">
        <v>0.28073182980225986</v>
      </c>
      <c r="H3082" s="4" t="s">
        <v>123</v>
      </c>
    </row>
    <row r="3083" spans="1:8" x14ac:dyDescent="0.25">
      <c r="A3083" s="4">
        <v>2013</v>
      </c>
      <c r="B3083" s="4">
        <v>253</v>
      </c>
      <c r="C3083" s="20">
        <v>41527</v>
      </c>
      <c r="D3083" s="16">
        <v>0.3888888888888889</v>
      </c>
      <c r="E3083" s="4">
        <v>30</v>
      </c>
      <c r="F3083" s="22">
        <v>2</v>
      </c>
      <c r="G3083" s="4">
        <v>0.2781065289548022</v>
      </c>
      <c r="H3083" s="4" t="s">
        <v>123</v>
      </c>
    </row>
    <row r="3084" spans="1:8" x14ac:dyDescent="0.25">
      <c r="A3084" s="4">
        <v>2013</v>
      </c>
      <c r="B3084" s="4">
        <v>253</v>
      </c>
      <c r="C3084" s="20">
        <v>41527</v>
      </c>
      <c r="D3084" s="16">
        <v>0.39652777777777781</v>
      </c>
      <c r="E3084" s="4">
        <v>30</v>
      </c>
      <c r="F3084" s="22">
        <v>3</v>
      </c>
      <c r="G3084" s="4">
        <v>0.29222327824858757</v>
      </c>
      <c r="H3084" s="4" t="s">
        <v>123</v>
      </c>
    </row>
    <row r="3085" spans="1:8" x14ac:dyDescent="0.25">
      <c r="A3085" s="4">
        <v>2013</v>
      </c>
      <c r="B3085" s="4">
        <v>253</v>
      </c>
      <c r="C3085" s="20">
        <v>41527</v>
      </c>
      <c r="D3085" s="16">
        <v>0.40972222222222227</v>
      </c>
      <c r="E3085" s="4">
        <v>30</v>
      </c>
      <c r="F3085" s="22">
        <v>4</v>
      </c>
      <c r="G3085" s="4">
        <v>0.25903855437853107</v>
      </c>
      <c r="H3085" s="4" t="s">
        <v>123</v>
      </c>
    </row>
    <row r="3086" spans="1:8" x14ac:dyDescent="0.25">
      <c r="A3086" s="4">
        <v>2013</v>
      </c>
      <c r="B3086" s="4">
        <v>253</v>
      </c>
      <c r="C3086" s="20">
        <v>41527</v>
      </c>
      <c r="D3086" s="16">
        <v>0.41805555555555557</v>
      </c>
      <c r="E3086" s="4">
        <v>30</v>
      </c>
      <c r="F3086" s="22">
        <v>5</v>
      </c>
      <c r="G3086" s="4">
        <v>0.29961557274011297</v>
      </c>
      <c r="H3086" s="4" t="s">
        <v>0</v>
      </c>
    </row>
    <row r="3087" spans="1:8" x14ac:dyDescent="0.25">
      <c r="A3087" s="4">
        <v>2013</v>
      </c>
      <c r="B3087" s="4">
        <v>253</v>
      </c>
      <c r="C3087" s="20">
        <v>41527</v>
      </c>
      <c r="D3087" s="16">
        <v>0.42430555555555555</v>
      </c>
      <c r="E3087" s="4">
        <v>30</v>
      </c>
      <c r="F3087" s="22">
        <v>6</v>
      </c>
      <c r="G3087" s="4">
        <v>0.28948283262711866</v>
      </c>
      <c r="H3087" s="4" t="s">
        <v>0</v>
      </c>
    </row>
    <row r="3088" spans="1:8" x14ac:dyDescent="0.25">
      <c r="A3088" s="4">
        <v>2013</v>
      </c>
      <c r="B3088" s="4">
        <v>253</v>
      </c>
      <c r="C3088" s="20">
        <v>41527</v>
      </c>
      <c r="D3088" s="16">
        <v>0.42430555555555555</v>
      </c>
      <c r="E3088" s="4">
        <v>30</v>
      </c>
      <c r="F3088" s="22">
        <v>7</v>
      </c>
      <c r="G3088" s="4">
        <v>0.29275294420903952</v>
      </c>
      <c r="H3088" s="4" t="s">
        <v>123</v>
      </c>
    </row>
    <row r="3089" spans="1:8" x14ac:dyDescent="0.25">
      <c r="A3089" s="4">
        <v>2013</v>
      </c>
      <c r="B3089" s="4">
        <v>253</v>
      </c>
      <c r="C3089" s="20">
        <v>41527</v>
      </c>
      <c r="D3089" s="16">
        <v>0.4381944444444445</v>
      </c>
      <c r="E3089" s="4">
        <v>30</v>
      </c>
      <c r="F3089" s="22">
        <v>8</v>
      </c>
      <c r="G3089" s="4">
        <v>0.29917802259887</v>
      </c>
      <c r="H3089" s="4" t="s">
        <v>123</v>
      </c>
    </row>
    <row r="3090" spans="1:8" x14ac:dyDescent="0.25">
      <c r="A3090" s="4">
        <v>2013</v>
      </c>
      <c r="B3090" s="4">
        <v>253</v>
      </c>
      <c r="C3090" s="20">
        <v>41527</v>
      </c>
      <c r="D3090" s="16">
        <v>0.4458333333333333</v>
      </c>
      <c r="E3090" s="4">
        <v>30</v>
      </c>
      <c r="F3090" s="22">
        <v>9</v>
      </c>
      <c r="G3090" s="4">
        <v>0.28556791031073442</v>
      </c>
      <c r="H3090" s="4" t="s">
        <v>123</v>
      </c>
    </row>
    <row r="3091" spans="1:8" x14ac:dyDescent="0.25">
      <c r="A3091" s="4">
        <v>2013</v>
      </c>
      <c r="B3091" s="4">
        <v>253</v>
      </c>
      <c r="C3091" s="20">
        <v>41527</v>
      </c>
      <c r="D3091" s="16">
        <v>0.45416666666666666</v>
      </c>
      <c r="E3091" s="4">
        <v>30</v>
      </c>
      <c r="F3091" s="22">
        <v>10</v>
      </c>
      <c r="G3091" s="4">
        <v>0.28215962500000002</v>
      </c>
      <c r="H3091" s="4" t="s">
        <v>123</v>
      </c>
    </row>
    <row r="3092" spans="1:8" x14ac:dyDescent="0.25">
      <c r="A3092" s="4">
        <v>2013</v>
      </c>
      <c r="B3092" s="4">
        <v>253</v>
      </c>
      <c r="C3092" s="20">
        <v>41527</v>
      </c>
      <c r="D3092" s="16">
        <v>0.47291666666666665</v>
      </c>
      <c r="E3092" s="4">
        <v>30</v>
      </c>
      <c r="F3092" s="22">
        <v>11</v>
      </c>
      <c r="G3092" s="4">
        <v>0.28252808827683612</v>
      </c>
      <c r="H3092" s="4" t="s">
        <v>124</v>
      </c>
    </row>
    <row r="3093" spans="1:8" x14ac:dyDescent="0.25">
      <c r="A3093" s="4">
        <v>2013</v>
      </c>
      <c r="B3093" s="4">
        <v>253</v>
      </c>
      <c r="C3093" s="20">
        <v>41527</v>
      </c>
      <c r="D3093" s="16">
        <v>0.47986111111111113</v>
      </c>
      <c r="E3093" s="4">
        <v>30</v>
      </c>
      <c r="F3093" s="22">
        <v>12</v>
      </c>
      <c r="G3093" s="4">
        <v>0.30069793361581915</v>
      </c>
      <c r="H3093" s="4" t="s">
        <v>124</v>
      </c>
    </row>
    <row r="3094" spans="1:8" x14ac:dyDescent="0.25">
      <c r="A3094" s="4">
        <v>2013</v>
      </c>
      <c r="B3094" s="4">
        <v>253</v>
      </c>
      <c r="C3094" s="20">
        <v>41527</v>
      </c>
      <c r="D3094" s="16">
        <v>0.4861111111111111</v>
      </c>
      <c r="E3094" s="4">
        <v>30</v>
      </c>
      <c r="F3094" s="22">
        <v>13</v>
      </c>
      <c r="G3094" s="4">
        <v>0.27297107203389831</v>
      </c>
      <c r="H3094" s="4" t="s">
        <v>124</v>
      </c>
    </row>
    <row r="3095" spans="1:8" x14ac:dyDescent="0.25">
      <c r="A3095" s="4">
        <v>2013</v>
      </c>
      <c r="B3095" s="4">
        <v>253</v>
      </c>
      <c r="C3095" s="20">
        <v>41527</v>
      </c>
      <c r="D3095" s="16">
        <v>0.4861111111111111</v>
      </c>
      <c r="E3095" s="4">
        <v>30</v>
      </c>
      <c r="F3095" s="22">
        <v>14</v>
      </c>
      <c r="G3095" s="4">
        <v>0.26813499152542369</v>
      </c>
      <c r="H3095" s="4" t="s">
        <v>124</v>
      </c>
    </row>
    <row r="3096" spans="1:8" x14ac:dyDescent="0.25">
      <c r="A3096" s="4">
        <v>2013</v>
      </c>
      <c r="B3096" s="4">
        <v>253</v>
      </c>
      <c r="C3096" s="20">
        <v>41527</v>
      </c>
      <c r="D3096" s="16">
        <v>0.49791666666666662</v>
      </c>
      <c r="E3096" s="4">
        <v>30</v>
      </c>
      <c r="F3096" s="22">
        <v>15</v>
      </c>
      <c r="G3096" s="4">
        <v>0.31516011723163839</v>
      </c>
      <c r="H3096" s="4" t="s">
        <v>1</v>
      </c>
    </row>
    <row r="3097" spans="1:8" x14ac:dyDescent="0.25">
      <c r="A3097" s="4">
        <v>2013</v>
      </c>
      <c r="B3097" s="4">
        <v>253</v>
      </c>
      <c r="C3097" s="20">
        <v>41527</v>
      </c>
      <c r="D3097" s="16">
        <v>0.50347222222222221</v>
      </c>
      <c r="E3097" s="4">
        <v>30</v>
      </c>
      <c r="F3097" s="22">
        <v>16</v>
      </c>
      <c r="G3097" s="4">
        <v>0.26990822104519774</v>
      </c>
      <c r="H3097" s="4" t="s">
        <v>1</v>
      </c>
    </row>
    <row r="3098" spans="1:8" x14ac:dyDescent="0.25">
      <c r="A3098" s="4">
        <v>2013</v>
      </c>
      <c r="B3098" s="4">
        <v>253</v>
      </c>
      <c r="C3098" s="20">
        <v>41527</v>
      </c>
      <c r="D3098" s="16">
        <v>0.51041666666666663</v>
      </c>
      <c r="E3098" s="4">
        <v>30</v>
      </c>
      <c r="F3098" s="22">
        <v>17</v>
      </c>
      <c r="G3098" s="4">
        <v>0.30661637499999994</v>
      </c>
      <c r="H3098" s="4" t="s">
        <v>124</v>
      </c>
    </row>
    <row r="3099" spans="1:8" x14ac:dyDescent="0.25">
      <c r="A3099" s="4">
        <v>2013</v>
      </c>
      <c r="B3099" s="4">
        <v>253</v>
      </c>
      <c r="C3099" s="20">
        <v>41527</v>
      </c>
      <c r="D3099" s="16">
        <v>0.51736111111111105</v>
      </c>
      <c r="E3099" s="4">
        <v>30</v>
      </c>
      <c r="F3099" s="22">
        <v>18</v>
      </c>
      <c r="G3099" s="4">
        <v>0.29908590677966101</v>
      </c>
      <c r="H3099" s="4" t="s">
        <v>124</v>
      </c>
    </row>
    <row r="3100" spans="1:8" x14ac:dyDescent="0.25">
      <c r="A3100" s="4">
        <v>2013</v>
      </c>
      <c r="B3100" s="4">
        <v>253</v>
      </c>
      <c r="C3100" s="20">
        <v>41527</v>
      </c>
      <c r="D3100" s="16">
        <v>0.52430555555555558</v>
      </c>
      <c r="E3100" s="4">
        <v>30</v>
      </c>
      <c r="F3100" s="22">
        <v>19</v>
      </c>
      <c r="G3100" s="4">
        <v>0.29252265466101696</v>
      </c>
      <c r="H3100" s="4" t="s">
        <v>124</v>
      </c>
    </row>
    <row r="3101" spans="1:8" x14ac:dyDescent="0.25">
      <c r="A3101" s="4">
        <v>2013</v>
      </c>
      <c r="B3101" s="4">
        <v>253</v>
      </c>
      <c r="C3101" s="20">
        <v>41527</v>
      </c>
      <c r="D3101" s="16">
        <v>0.53125</v>
      </c>
      <c r="E3101" s="4">
        <v>30</v>
      </c>
      <c r="F3101" s="22">
        <v>20</v>
      </c>
      <c r="G3101" s="4">
        <v>0.28167601694915251</v>
      </c>
      <c r="H3101" s="4" t="s">
        <v>124</v>
      </c>
    </row>
    <row r="3102" spans="1:8" x14ac:dyDescent="0.25">
      <c r="A3102" s="4">
        <v>2013</v>
      </c>
      <c r="B3102" s="4">
        <v>253</v>
      </c>
      <c r="C3102" s="20">
        <v>41527</v>
      </c>
      <c r="D3102" s="16">
        <v>0.38194444444444442</v>
      </c>
      <c r="E3102" s="4">
        <v>10</v>
      </c>
      <c r="F3102" s="22">
        <v>1</v>
      </c>
      <c r="G3102" s="4">
        <v>0.19481034503631961</v>
      </c>
      <c r="H3102" s="4" t="s">
        <v>123</v>
      </c>
    </row>
    <row r="3103" spans="1:8" x14ac:dyDescent="0.25">
      <c r="A3103" s="4">
        <v>2013</v>
      </c>
      <c r="B3103" s="4">
        <v>253</v>
      </c>
      <c r="C3103" s="20">
        <v>41527</v>
      </c>
      <c r="D3103" s="16">
        <v>0.3888888888888889</v>
      </c>
      <c r="E3103" s="4">
        <v>10</v>
      </c>
      <c r="F3103" s="22">
        <v>2</v>
      </c>
      <c r="G3103" s="4">
        <v>0.20839111016949152</v>
      </c>
      <c r="H3103" s="4" t="s">
        <v>123</v>
      </c>
    </row>
    <row r="3104" spans="1:8" x14ac:dyDescent="0.25">
      <c r="A3104" s="4">
        <v>2013</v>
      </c>
      <c r="B3104" s="4">
        <v>253</v>
      </c>
      <c r="C3104" s="20">
        <v>41527</v>
      </c>
      <c r="D3104" s="16">
        <v>0.39652777777777781</v>
      </c>
      <c r="E3104" s="4">
        <v>10</v>
      </c>
      <c r="F3104" s="22">
        <v>3</v>
      </c>
      <c r="G3104" s="4">
        <v>0.2170912878329298</v>
      </c>
      <c r="H3104" s="4" t="s">
        <v>123</v>
      </c>
    </row>
    <row r="3105" spans="1:8" x14ac:dyDescent="0.25">
      <c r="A3105" s="4">
        <v>2013</v>
      </c>
      <c r="B3105" s="4">
        <v>253</v>
      </c>
      <c r="C3105" s="20">
        <v>41527</v>
      </c>
      <c r="D3105" s="16">
        <v>0.40972222222222227</v>
      </c>
      <c r="E3105" s="4">
        <v>10</v>
      </c>
      <c r="F3105" s="22">
        <v>4</v>
      </c>
      <c r="G3105" s="4">
        <v>0.18474051634382566</v>
      </c>
      <c r="H3105" s="4" t="s">
        <v>123</v>
      </c>
    </row>
    <row r="3106" spans="1:8" x14ac:dyDescent="0.25">
      <c r="A3106" s="4">
        <v>2013</v>
      </c>
      <c r="B3106" s="4">
        <v>253</v>
      </c>
      <c r="C3106" s="20">
        <v>41527</v>
      </c>
      <c r="D3106" s="16">
        <v>0.41805555555555557</v>
      </c>
      <c r="E3106" s="4">
        <v>10</v>
      </c>
      <c r="F3106" s="22">
        <v>5</v>
      </c>
      <c r="G3106" s="4">
        <v>0.22521273970944311</v>
      </c>
      <c r="H3106" s="4" t="s">
        <v>0</v>
      </c>
    </row>
    <row r="3107" spans="1:8" x14ac:dyDescent="0.25">
      <c r="A3107" s="4">
        <v>2013</v>
      </c>
      <c r="B3107" s="4">
        <v>253</v>
      </c>
      <c r="C3107" s="20">
        <v>41527</v>
      </c>
      <c r="D3107" s="16">
        <v>0.42430555555555555</v>
      </c>
      <c r="E3107" s="4">
        <v>10</v>
      </c>
      <c r="F3107" s="22">
        <v>6</v>
      </c>
      <c r="G3107" s="4">
        <v>0.20368414043583533</v>
      </c>
      <c r="H3107" s="4" t="s">
        <v>0</v>
      </c>
    </row>
    <row r="3108" spans="1:8" x14ac:dyDescent="0.25">
      <c r="A3108" s="4">
        <v>2013</v>
      </c>
      <c r="B3108" s="4">
        <v>253</v>
      </c>
      <c r="C3108" s="20">
        <v>41527</v>
      </c>
      <c r="D3108" s="16">
        <v>0.42430555555555555</v>
      </c>
      <c r="E3108" s="4">
        <v>10</v>
      </c>
      <c r="F3108" s="22">
        <v>7</v>
      </c>
      <c r="G3108" s="4">
        <v>0.22127740435835352</v>
      </c>
      <c r="H3108" s="4" t="s">
        <v>123</v>
      </c>
    </row>
    <row r="3109" spans="1:8" x14ac:dyDescent="0.25">
      <c r="A3109" s="4">
        <v>2013</v>
      </c>
      <c r="B3109" s="4">
        <v>253</v>
      </c>
      <c r="C3109" s="20">
        <v>41527</v>
      </c>
      <c r="D3109" s="16">
        <v>0.4381944444444445</v>
      </c>
      <c r="E3109" s="4">
        <v>10</v>
      </c>
      <c r="F3109" s="22">
        <v>8</v>
      </c>
      <c r="G3109" s="4">
        <v>0.22031286138014528</v>
      </c>
      <c r="H3109" s="4" t="s">
        <v>123</v>
      </c>
    </row>
    <row r="3110" spans="1:8" x14ac:dyDescent="0.25">
      <c r="A3110" s="4">
        <v>2013</v>
      </c>
      <c r="B3110" s="4">
        <v>253</v>
      </c>
      <c r="C3110" s="20">
        <v>41527</v>
      </c>
      <c r="D3110" s="16">
        <v>0.4458333333333333</v>
      </c>
      <c r="E3110" s="4">
        <v>10</v>
      </c>
      <c r="F3110" s="22">
        <v>9</v>
      </c>
      <c r="G3110" s="4">
        <v>0.21439056749394675</v>
      </c>
      <c r="H3110" s="4" t="s">
        <v>123</v>
      </c>
    </row>
    <row r="3111" spans="1:8" x14ac:dyDescent="0.25">
      <c r="A3111" s="4">
        <v>2013</v>
      </c>
      <c r="B3111" s="4">
        <v>253</v>
      </c>
      <c r="C3111" s="20">
        <v>41527</v>
      </c>
      <c r="D3111" s="16">
        <v>0.45416666666666666</v>
      </c>
      <c r="E3111" s="4">
        <v>10</v>
      </c>
      <c r="F3111" s="22">
        <v>10</v>
      </c>
      <c r="G3111" s="4">
        <v>0.19737602935835352</v>
      </c>
      <c r="H3111" s="4" t="s">
        <v>123</v>
      </c>
    </row>
    <row r="3112" spans="1:8" x14ac:dyDescent="0.25">
      <c r="A3112" s="4">
        <v>2013</v>
      </c>
      <c r="B3112" s="4">
        <v>253</v>
      </c>
      <c r="C3112" s="20">
        <v>41527</v>
      </c>
      <c r="D3112" s="16">
        <v>0.47291666666666665</v>
      </c>
      <c r="E3112" s="4">
        <v>10</v>
      </c>
      <c r="F3112" s="22">
        <v>11</v>
      </c>
      <c r="G3112" s="4">
        <v>0.18479838892251815</v>
      </c>
      <c r="H3112" s="4" t="s">
        <v>124</v>
      </c>
    </row>
    <row r="3113" spans="1:8" x14ac:dyDescent="0.25">
      <c r="A3113" s="4">
        <v>2013</v>
      </c>
      <c r="B3113" s="4">
        <v>253</v>
      </c>
      <c r="C3113" s="20">
        <v>41527</v>
      </c>
      <c r="D3113" s="16">
        <v>0.47986111111111113</v>
      </c>
      <c r="E3113" s="4">
        <v>10</v>
      </c>
      <c r="F3113" s="22">
        <v>12</v>
      </c>
      <c r="G3113" s="4">
        <v>0.21253864497578689</v>
      </c>
      <c r="H3113" s="4" t="s">
        <v>124</v>
      </c>
    </row>
    <row r="3114" spans="1:8" x14ac:dyDescent="0.25">
      <c r="A3114" s="4">
        <v>2013</v>
      </c>
      <c r="B3114" s="4">
        <v>253</v>
      </c>
      <c r="C3114" s="20">
        <v>41527</v>
      </c>
      <c r="D3114" s="16">
        <v>0.4861111111111111</v>
      </c>
      <c r="E3114" s="4">
        <v>10</v>
      </c>
      <c r="F3114" s="22">
        <v>13</v>
      </c>
      <c r="G3114" s="4">
        <v>0.17627182899515736</v>
      </c>
      <c r="H3114" s="4" t="s">
        <v>124</v>
      </c>
    </row>
    <row r="3115" spans="1:8" x14ac:dyDescent="0.25">
      <c r="A3115" s="4">
        <v>2013</v>
      </c>
      <c r="B3115" s="4">
        <v>253</v>
      </c>
      <c r="C3115" s="20">
        <v>41527</v>
      </c>
      <c r="D3115" s="16">
        <v>0.4861111111111111</v>
      </c>
      <c r="E3115" s="4">
        <v>10</v>
      </c>
      <c r="F3115" s="22">
        <v>14</v>
      </c>
      <c r="G3115" s="4">
        <v>0.16517958474576272</v>
      </c>
      <c r="H3115" s="4" t="s">
        <v>124</v>
      </c>
    </row>
    <row r="3116" spans="1:8" x14ac:dyDescent="0.25">
      <c r="A3116" s="4">
        <v>2013</v>
      </c>
      <c r="B3116" s="4">
        <v>253</v>
      </c>
      <c r="C3116" s="20">
        <v>41527</v>
      </c>
      <c r="D3116" s="16">
        <v>0.49791666666666662</v>
      </c>
      <c r="E3116" s="4">
        <v>10</v>
      </c>
      <c r="F3116" s="22">
        <v>15</v>
      </c>
      <c r="G3116" s="4">
        <v>0.22496195853510892</v>
      </c>
      <c r="H3116" s="4" t="s">
        <v>1</v>
      </c>
    </row>
    <row r="3117" spans="1:8" x14ac:dyDescent="0.25">
      <c r="A3117" s="4">
        <v>2013</v>
      </c>
      <c r="B3117" s="4">
        <v>253</v>
      </c>
      <c r="C3117" s="20">
        <v>41527</v>
      </c>
      <c r="D3117" s="16">
        <v>0.50347222222222221</v>
      </c>
      <c r="E3117" s="4">
        <v>10</v>
      </c>
      <c r="F3117" s="22">
        <v>16</v>
      </c>
      <c r="G3117" s="4">
        <v>0.19272693220338982</v>
      </c>
      <c r="H3117" s="4" t="s">
        <v>1</v>
      </c>
    </row>
    <row r="3118" spans="1:8" x14ac:dyDescent="0.25">
      <c r="A3118" s="4">
        <v>2013</v>
      </c>
      <c r="B3118" s="4">
        <v>253</v>
      </c>
      <c r="C3118" s="20">
        <v>41527</v>
      </c>
      <c r="D3118" s="16">
        <v>0.51041666666666663</v>
      </c>
      <c r="E3118" s="4">
        <v>10</v>
      </c>
      <c r="F3118" s="22">
        <v>17</v>
      </c>
      <c r="G3118" s="4">
        <v>0.19675872185230026</v>
      </c>
      <c r="H3118" s="4" t="s">
        <v>124</v>
      </c>
    </row>
    <row r="3119" spans="1:8" x14ac:dyDescent="0.25">
      <c r="A3119" s="4">
        <v>2013</v>
      </c>
      <c r="B3119" s="4">
        <v>253</v>
      </c>
      <c r="C3119" s="20">
        <v>41527</v>
      </c>
      <c r="D3119" s="16">
        <v>0.51736111111111105</v>
      </c>
      <c r="E3119" s="4">
        <v>10</v>
      </c>
      <c r="F3119" s="22">
        <v>18</v>
      </c>
      <c r="G3119" s="4">
        <v>0.18786563559322034</v>
      </c>
      <c r="H3119" s="4" t="s">
        <v>124</v>
      </c>
    </row>
    <row r="3120" spans="1:8" x14ac:dyDescent="0.25">
      <c r="A3120" s="4">
        <v>2013</v>
      </c>
      <c r="B3120" s="4">
        <v>253</v>
      </c>
      <c r="C3120" s="20">
        <v>41527</v>
      </c>
      <c r="D3120" s="16">
        <v>0.52430555555555558</v>
      </c>
      <c r="E3120" s="4">
        <v>10</v>
      </c>
      <c r="F3120" s="22">
        <v>19</v>
      </c>
      <c r="G3120" s="4">
        <v>0.16338553480629542</v>
      </c>
      <c r="H3120" s="4" t="s">
        <v>124</v>
      </c>
    </row>
    <row r="3121" spans="1:8" x14ac:dyDescent="0.25">
      <c r="A3121" s="4">
        <v>2013</v>
      </c>
      <c r="B3121" s="4">
        <v>253</v>
      </c>
      <c r="C3121" s="20">
        <v>41527</v>
      </c>
      <c r="D3121" s="16">
        <v>0.53125</v>
      </c>
      <c r="E3121" s="4">
        <v>10</v>
      </c>
      <c r="F3121" s="22">
        <v>20</v>
      </c>
      <c r="G3121" s="4">
        <v>0.15462748456416464</v>
      </c>
      <c r="H3121" s="4" t="s">
        <v>124</v>
      </c>
    </row>
    <row r="3122" spans="1:8" x14ac:dyDescent="0.25">
      <c r="A3122" s="4">
        <v>2013</v>
      </c>
      <c r="B3122" s="4">
        <v>269</v>
      </c>
      <c r="C3122" s="20">
        <v>41543</v>
      </c>
      <c r="D3122" s="16">
        <v>0.36458333333333331</v>
      </c>
      <c r="E3122" s="4">
        <v>230</v>
      </c>
      <c r="F3122" s="22">
        <v>1</v>
      </c>
      <c r="G3122" s="4">
        <v>0.29155138347457626</v>
      </c>
      <c r="H3122" s="4" t="s">
        <v>123</v>
      </c>
    </row>
    <row r="3123" spans="1:8" x14ac:dyDescent="0.25">
      <c r="A3123" s="4">
        <v>2013</v>
      </c>
      <c r="B3123" s="4">
        <v>269</v>
      </c>
      <c r="C3123" s="20">
        <v>41543</v>
      </c>
      <c r="D3123" s="16">
        <v>0.37152777777777773</v>
      </c>
      <c r="E3123" s="4">
        <v>230</v>
      </c>
      <c r="F3123" s="22">
        <v>2</v>
      </c>
      <c r="G3123" s="4">
        <v>0.29262803954802258</v>
      </c>
      <c r="H3123" s="4" t="s">
        <v>123</v>
      </c>
    </row>
    <row r="3124" spans="1:8" x14ac:dyDescent="0.25">
      <c r="A3124" s="4">
        <v>2013</v>
      </c>
      <c r="B3124" s="4">
        <v>269</v>
      </c>
      <c r="C3124" s="20">
        <v>41543</v>
      </c>
      <c r="D3124" s="16">
        <v>0.37777777777777777</v>
      </c>
      <c r="E3124" s="4">
        <v>230</v>
      </c>
      <c r="F3124" s="22">
        <v>3</v>
      </c>
      <c r="G3124" s="4">
        <v>0.2748925776836158</v>
      </c>
      <c r="H3124" s="4" t="s">
        <v>123</v>
      </c>
    </row>
    <row r="3125" spans="1:8" x14ac:dyDescent="0.25">
      <c r="A3125" s="4">
        <v>2013</v>
      </c>
      <c r="B3125" s="4">
        <v>269</v>
      </c>
      <c r="C3125" s="20">
        <v>41543</v>
      </c>
      <c r="D3125" s="16">
        <v>0.38541666666666669</v>
      </c>
      <c r="E3125" s="4">
        <v>230</v>
      </c>
      <c r="F3125" s="22">
        <v>4</v>
      </c>
      <c r="G3125" s="4">
        <v>0.27097746468926553</v>
      </c>
      <c r="H3125" s="4" t="s">
        <v>123</v>
      </c>
    </row>
    <row r="3126" spans="1:8" x14ac:dyDescent="0.25">
      <c r="A3126" s="4">
        <v>2013</v>
      </c>
      <c r="B3126" s="4">
        <v>269</v>
      </c>
      <c r="C3126" s="20">
        <v>41543</v>
      </c>
      <c r="D3126" s="16">
        <v>0.39305555555555555</v>
      </c>
      <c r="E3126" s="4">
        <v>230</v>
      </c>
      <c r="F3126" s="22">
        <v>5</v>
      </c>
      <c r="G3126" s="4" t="e">
        <v>#N/A</v>
      </c>
      <c r="H3126" s="4" t="s">
        <v>0</v>
      </c>
    </row>
    <row r="3127" spans="1:8" x14ac:dyDescent="0.25">
      <c r="A3127" s="4">
        <v>2013</v>
      </c>
      <c r="B3127" s="4">
        <v>269</v>
      </c>
      <c r="C3127" s="20">
        <v>41543</v>
      </c>
      <c r="D3127" s="16">
        <v>0.39861111111111108</v>
      </c>
      <c r="E3127" s="4">
        <v>230</v>
      </c>
      <c r="F3127" s="22">
        <v>6</v>
      </c>
      <c r="G3127" s="4" t="e">
        <v>#N/A</v>
      </c>
      <c r="H3127" s="4" t="s">
        <v>0</v>
      </c>
    </row>
    <row r="3128" spans="1:8" x14ac:dyDescent="0.25">
      <c r="A3128" s="4">
        <v>2013</v>
      </c>
      <c r="B3128" s="4">
        <v>269</v>
      </c>
      <c r="C3128" s="20">
        <v>41543</v>
      </c>
      <c r="D3128" s="16">
        <v>0.4055555555555555</v>
      </c>
      <c r="E3128" s="4">
        <v>230</v>
      </c>
      <c r="F3128" s="22">
        <v>7</v>
      </c>
      <c r="G3128" s="4">
        <v>0.26676871822033899</v>
      </c>
      <c r="H3128" s="4" t="s">
        <v>123</v>
      </c>
    </row>
    <row r="3129" spans="1:8" x14ac:dyDescent="0.25">
      <c r="A3129" s="4">
        <v>2013</v>
      </c>
      <c r="B3129" s="4">
        <v>269</v>
      </c>
      <c r="C3129" s="20">
        <v>41543</v>
      </c>
      <c r="D3129" s="16">
        <v>0.41250000000000003</v>
      </c>
      <c r="E3129" s="4">
        <v>230</v>
      </c>
      <c r="F3129" s="22">
        <v>8</v>
      </c>
      <c r="G3129" s="4">
        <v>0.31210572669491526</v>
      </c>
      <c r="H3129" s="4" t="s">
        <v>123</v>
      </c>
    </row>
    <row r="3130" spans="1:8" x14ac:dyDescent="0.25">
      <c r="A3130" s="4">
        <v>2013</v>
      </c>
      <c r="B3130" s="4">
        <v>269</v>
      </c>
      <c r="C3130" s="20">
        <v>41543</v>
      </c>
      <c r="D3130" s="16">
        <v>0.4201388888888889</v>
      </c>
      <c r="E3130" s="4">
        <v>230</v>
      </c>
      <c r="F3130" s="22">
        <v>9</v>
      </c>
      <c r="G3130" s="4">
        <v>0.30247454872881357</v>
      </c>
      <c r="H3130" s="4" t="s">
        <v>123</v>
      </c>
    </row>
    <row r="3131" spans="1:8" x14ac:dyDescent="0.25">
      <c r="A3131" s="4">
        <v>2013</v>
      </c>
      <c r="B3131" s="4">
        <v>269</v>
      </c>
      <c r="C3131" s="20">
        <v>41543</v>
      </c>
      <c r="D3131" s="16">
        <v>0.42708333333333331</v>
      </c>
      <c r="E3131" s="4">
        <v>230</v>
      </c>
      <c r="F3131" s="22">
        <v>10</v>
      </c>
      <c r="G3131" s="4">
        <v>0.25036439477401129</v>
      </c>
      <c r="H3131" s="4" t="s">
        <v>123</v>
      </c>
    </row>
    <row r="3132" spans="1:8" x14ac:dyDescent="0.25">
      <c r="A3132" s="4">
        <v>2013</v>
      </c>
      <c r="B3132" s="4">
        <v>269</v>
      </c>
      <c r="C3132" s="20">
        <v>41543</v>
      </c>
      <c r="D3132" s="16">
        <v>0.4513888888888889</v>
      </c>
      <c r="E3132" s="4">
        <v>230</v>
      </c>
      <c r="F3132" s="22">
        <v>11</v>
      </c>
      <c r="G3132" s="4">
        <v>0.28918274011299433</v>
      </c>
      <c r="H3132" s="4" t="s">
        <v>124</v>
      </c>
    </row>
    <row r="3133" spans="1:8" x14ac:dyDescent="0.25">
      <c r="A3133" s="4">
        <v>2013</v>
      </c>
      <c r="B3133" s="4">
        <v>269</v>
      </c>
      <c r="C3133" s="20">
        <v>41543</v>
      </c>
      <c r="D3133" s="16">
        <v>0.46527777777777773</v>
      </c>
      <c r="E3133" s="4">
        <v>230</v>
      </c>
      <c r="F3133" s="22">
        <v>12</v>
      </c>
      <c r="G3133" s="4">
        <v>0.28436715112994354</v>
      </c>
      <c r="H3133" s="4" t="s">
        <v>124</v>
      </c>
    </row>
    <row r="3134" spans="1:8" x14ac:dyDescent="0.25">
      <c r="A3134" s="4">
        <v>2013</v>
      </c>
      <c r="B3134" s="4">
        <v>269</v>
      </c>
      <c r="C3134" s="20">
        <v>41543</v>
      </c>
      <c r="D3134" s="16">
        <v>0.47291666666666665</v>
      </c>
      <c r="E3134" s="4">
        <v>230</v>
      </c>
      <c r="F3134" s="22">
        <v>13</v>
      </c>
      <c r="G3134" s="4">
        <v>0.28460205790960452</v>
      </c>
      <c r="H3134" s="4" t="s">
        <v>124</v>
      </c>
    </row>
    <row r="3135" spans="1:8" x14ac:dyDescent="0.25">
      <c r="A3135" s="4">
        <v>2013</v>
      </c>
      <c r="B3135" s="4">
        <v>269</v>
      </c>
      <c r="C3135" s="20">
        <v>41543</v>
      </c>
      <c r="D3135" s="16">
        <v>0.47986111111111113</v>
      </c>
      <c r="E3135" s="4">
        <v>230</v>
      </c>
      <c r="F3135" s="22">
        <v>14</v>
      </c>
      <c r="G3135" s="4">
        <v>0.28886953107344632</v>
      </c>
      <c r="H3135" s="4" t="s">
        <v>124</v>
      </c>
    </row>
    <row r="3136" spans="1:8" x14ac:dyDescent="0.25">
      <c r="A3136" s="4">
        <v>2013</v>
      </c>
      <c r="B3136" s="4">
        <v>269</v>
      </c>
      <c r="C3136" s="20">
        <v>41543</v>
      </c>
      <c r="D3136" s="16">
        <v>0.48749999999999999</v>
      </c>
      <c r="E3136" s="4">
        <v>230</v>
      </c>
      <c r="F3136" s="22">
        <v>15</v>
      </c>
      <c r="G3136" s="4" t="e">
        <v>#N/A</v>
      </c>
      <c r="H3136" s="4" t="s">
        <v>1</v>
      </c>
    </row>
    <row r="3137" spans="1:8" x14ac:dyDescent="0.25">
      <c r="A3137" s="4">
        <v>2013</v>
      </c>
      <c r="B3137" s="4">
        <v>269</v>
      </c>
      <c r="C3137" s="20">
        <v>41543</v>
      </c>
      <c r="D3137" s="16">
        <v>0.49583333333333335</v>
      </c>
      <c r="E3137" s="4">
        <v>230</v>
      </c>
      <c r="F3137" s="22">
        <v>16</v>
      </c>
      <c r="G3137" s="4" t="e">
        <v>#N/A</v>
      </c>
      <c r="H3137" s="4" t="s">
        <v>1</v>
      </c>
    </row>
    <row r="3138" spans="1:8" x14ac:dyDescent="0.25">
      <c r="A3138" s="4">
        <v>2013</v>
      </c>
      <c r="B3138" s="4">
        <v>269</v>
      </c>
      <c r="C3138" s="20">
        <v>41543</v>
      </c>
      <c r="D3138" s="16">
        <v>0.50069444444444444</v>
      </c>
      <c r="E3138" s="4">
        <v>230</v>
      </c>
      <c r="F3138" s="22">
        <v>17</v>
      </c>
      <c r="G3138" s="4">
        <v>0.28832141525423732</v>
      </c>
      <c r="H3138" s="4" t="s">
        <v>124</v>
      </c>
    </row>
    <row r="3139" spans="1:8" x14ac:dyDescent="0.25">
      <c r="A3139" s="4">
        <v>2013</v>
      </c>
      <c r="B3139" s="4">
        <v>269</v>
      </c>
      <c r="C3139" s="20">
        <v>41543</v>
      </c>
      <c r="D3139" s="16">
        <v>0.5083333333333333</v>
      </c>
      <c r="E3139" s="4">
        <v>230</v>
      </c>
      <c r="F3139" s="22">
        <v>18</v>
      </c>
      <c r="G3139" s="4">
        <v>0.29002448940677966</v>
      </c>
      <c r="H3139" s="4" t="s">
        <v>124</v>
      </c>
    </row>
    <row r="3140" spans="1:8" x14ac:dyDescent="0.25">
      <c r="A3140" s="4">
        <v>2013</v>
      </c>
      <c r="B3140" s="4">
        <v>269</v>
      </c>
      <c r="C3140" s="20">
        <v>41543</v>
      </c>
      <c r="D3140" s="16">
        <v>0.51458333333333328</v>
      </c>
      <c r="E3140" s="4">
        <v>230</v>
      </c>
      <c r="F3140" s="22">
        <v>19</v>
      </c>
      <c r="G3140" s="4">
        <v>0.27706546539548027</v>
      </c>
      <c r="H3140" s="4" t="s">
        <v>124</v>
      </c>
    </row>
    <row r="3141" spans="1:8" x14ac:dyDescent="0.25">
      <c r="A3141" s="4">
        <v>2013</v>
      </c>
      <c r="B3141" s="4">
        <v>269</v>
      </c>
      <c r="C3141" s="20">
        <v>41543</v>
      </c>
      <c r="D3141" s="16">
        <v>0.52152777777777781</v>
      </c>
      <c r="E3141" s="4">
        <v>230</v>
      </c>
      <c r="F3141" s="22">
        <v>20</v>
      </c>
      <c r="G3141" s="4">
        <v>0.28890868220338983</v>
      </c>
      <c r="H3141" s="4" t="s">
        <v>124</v>
      </c>
    </row>
    <row r="3142" spans="1:8" x14ac:dyDescent="0.25">
      <c r="A3142" s="4">
        <v>2013</v>
      </c>
      <c r="B3142" s="4">
        <v>269</v>
      </c>
      <c r="C3142" s="20">
        <v>41543</v>
      </c>
      <c r="D3142" s="16">
        <v>0.36458333333333331</v>
      </c>
      <c r="E3142" s="4">
        <v>210</v>
      </c>
      <c r="F3142" s="22">
        <v>1</v>
      </c>
      <c r="G3142" s="4">
        <v>0.29114029661016949</v>
      </c>
      <c r="H3142" s="4" t="s">
        <v>123</v>
      </c>
    </row>
    <row r="3143" spans="1:8" x14ac:dyDescent="0.25">
      <c r="A3143" s="4">
        <v>2013</v>
      </c>
      <c r="B3143" s="4">
        <v>269</v>
      </c>
      <c r="C3143" s="20">
        <v>41543</v>
      </c>
      <c r="D3143" s="16">
        <v>0.37152777777777773</v>
      </c>
      <c r="E3143" s="4">
        <v>210</v>
      </c>
      <c r="F3143" s="22">
        <v>2</v>
      </c>
      <c r="G3143" s="4">
        <v>0.29115987217514122</v>
      </c>
      <c r="H3143" s="4" t="s">
        <v>123</v>
      </c>
    </row>
    <row r="3144" spans="1:8" x14ac:dyDescent="0.25">
      <c r="A3144" s="4">
        <v>2013</v>
      </c>
      <c r="B3144" s="4">
        <v>269</v>
      </c>
      <c r="C3144" s="20">
        <v>41543</v>
      </c>
      <c r="D3144" s="16">
        <v>0.37777777777777777</v>
      </c>
      <c r="E3144" s="4">
        <v>210</v>
      </c>
      <c r="F3144" s="22">
        <v>3</v>
      </c>
      <c r="G3144" s="4">
        <v>0.25664815112994349</v>
      </c>
      <c r="H3144" s="4" t="s">
        <v>123</v>
      </c>
    </row>
    <row r="3145" spans="1:8" x14ac:dyDescent="0.25">
      <c r="A3145" s="4">
        <v>2013</v>
      </c>
      <c r="B3145" s="4">
        <v>269</v>
      </c>
      <c r="C3145" s="20">
        <v>41543</v>
      </c>
      <c r="D3145" s="16">
        <v>0.38541666666666669</v>
      </c>
      <c r="E3145" s="4">
        <v>210</v>
      </c>
      <c r="F3145" s="22">
        <v>4</v>
      </c>
      <c r="G3145" s="4">
        <v>0.27651734957627117</v>
      </c>
      <c r="H3145" s="4" t="s">
        <v>123</v>
      </c>
    </row>
    <row r="3146" spans="1:8" x14ac:dyDescent="0.25">
      <c r="A3146" s="4">
        <v>2013</v>
      </c>
      <c r="B3146" s="4">
        <v>269</v>
      </c>
      <c r="C3146" s="20">
        <v>41543</v>
      </c>
      <c r="D3146" s="16">
        <v>0.39305555555555555</v>
      </c>
      <c r="E3146" s="4">
        <v>210</v>
      </c>
      <c r="F3146" s="22">
        <v>5</v>
      </c>
      <c r="G3146" s="4" t="e">
        <v>#N/A</v>
      </c>
      <c r="H3146" s="4" t="s">
        <v>0</v>
      </c>
    </row>
    <row r="3147" spans="1:8" x14ac:dyDescent="0.25">
      <c r="A3147" s="4">
        <v>2013</v>
      </c>
      <c r="B3147" s="4">
        <v>269</v>
      </c>
      <c r="C3147" s="20">
        <v>41543</v>
      </c>
      <c r="D3147" s="16">
        <v>0.39861111111111108</v>
      </c>
      <c r="E3147" s="4">
        <v>210</v>
      </c>
      <c r="F3147" s="22">
        <v>6</v>
      </c>
      <c r="G3147" s="4" t="e">
        <v>#N/A</v>
      </c>
      <c r="H3147" s="4" t="s">
        <v>0</v>
      </c>
    </row>
    <row r="3148" spans="1:8" x14ac:dyDescent="0.25">
      <c r="A3148" s="4">
        <v>2013</v>
      </c>
      <c r="B3148" s="4">
        <v>269</v>
      </c>
      <c r="C3148" s="20">
        <v>41543</v>
      </c>
      <c r="D3148" s="16">
        <v>0.4055555555555555</v>
      </c>
      <c r="E3148" s="4">
        <v>210</v>
      </c>
      <c r="F3148" s="22">
        <v>7</v>
      </c>
      <c r="G3148" s="4">
        <v>0.25519955932203386</v>
      </c>
      <c r="H3148" s="4" t="s">
        <v>123</v>
      </c>
    </row>
    <row r="3149" spans="1:8" x14ac:dyDescent="0.25">
      <c r="A3149" s="4">
        <v>2013</v>
      </c>
      <c r="B3149" s="4">
        <v>269</v>
      </c>
      <c r="C3149" s="20">
        <v>41543</v>
      </c>
      <c r="D3149" s="16">
        <v>0.41250000000000003</v>
      </c>
      <c r="E3149" s="4">
        <v>210</v>
      </c>
      <c r="F3149" s="22">
        <v>8</v>
      </c>
      <c r="G3149" s="4">
        <v>0.29773726200564976</v>
      </c>
      <c r="H3149" s="4" t="s">
        <v>123</v>
      </c>
    </row>
    <row r="3150" spans="1:8" x14ac:dyDescent="0.25">
      <c r="A3150" s="4">
        <v>2013</v>
      </c>
      <c r="B3150" s="4">
        <v>269</v>
      </c>
      <c r="C3150" s="20">
        <v>41543</v>
      </c>
      <c r="D3150" s="16">
        <v>0.4201388888888889</v>
      </c>
      <c r="E3150" s="4">
        <v>210</v>
      </c>
      <c r="F3150" s="22">
        <v>9</v>
      </c>
      <c r="G3150" s="4">
        <v>0.28873250211864404</v>
      </c>
      <c r="H3150" s="4" t="s">
        <v>123</v>
      </c>
    </row>
    <row r="3151" spans="1:8" x14ac:dyDescent="0.25">
      <c r="A3151" s="4">
        <v>2013</v>
      </c>
      <c r="B3151" s="4">
        <v>269</v>
      </c>
      <c r="C3151" s="20">
        <v>41543</v>
      </c>
      <c r="D3151" s="16">
        <v>0.42708333333333331</v>
      </c>
      <c r="E3151" s="4">
        <v>210</v>
      </c>
      <c r="F3151" s="22">
        <v>10</v>
      </c>
      <c r="G3151" s="4">
        <v>0.24838726271186445</v>
      </c>
      <c r="H3151" s="4" t="s">
        <v>123</v>
      </c>
    </row>
    <row r="3152" spans="1:8" x14ac:dyDescent="0.25">
      <c r="A3152" s="4">
        <v>2013</v>
      </c>
      <c r="B3152" s="4">
        <v>269</v>
      </c>
      <c r="C3152" s="20">
        <v>41543</v>
      </c>
      <c r="D3152" s="16">
        <v>0.4513888888888889</v>
      </c>
      <c r="E3152" s="4">
        <v>210</v>
      </c>
      <c r="F3152" s="22">
        <v>11</v>
      </c>
      <c r="G3152" s="4">
        <v>0.29734575070621466</v>
      </c>
      <c r="H3152" s="4" t="s">
        <v>124</v>
      </c>
    </row>
    <row r="3153" spans="1:8" x14ac:dyDescent="0.25">
      <c r="A3153" s="4">
        <v>2013</v>
      </c>
      <c r="B3153" s="4">
        <v>269</v>
      </c>
      <c r="C3153" s="20">
        <v>41543</v>
      </c>
      <c r="D3153" s="16">
        <v>0.46527777777777773</v>
      </c>
      <c r="E3153" s="4">
        <v>210</v>
      </c>
      <c r="F3153" s="22">
        <v>12</v>
      </c>
      <c r="G3153" s="4">
        <v>0.29810919774011302</v>
      </c>
      <c r="H3153" s="4" t="s">
        <v>124</v>
      </c>
    </row>
    <row r="3154" spans="1:8" x14ac:dyDescent="0.25">
      <c r="A3154" s="4">
        <v>2013</v>
      </c>
      <c r="B3154" s="4">
        <v>269</v>
      </c>
      <c r="C3154" s="20">
        <v>41543</v>
      </c>
      <c r="D3154" s="16">
        <v>0.47291666666666665</v>
      </c>
      <c r="E3154" s="4">
        <v>210</v>
      </c>
      <c r="F3154" s="22">
        <v>13</v>
      </c>
      <c r="G3154" s="4">
        <v>0.29701296610169492</v>
      </c>
      <c r="H3154" s="4" t="s">
        <v>124</v>
      </c>
    </row>
    <row r="3155" spans="1:8" x14ac:dyDescent="0.25">
      <c r="A3155" s="4">
        <v>2013</v>
      </c>
      <c r="B3155" s="4">
        <v>269</v>
      </c>
      <c r="C3155" s="20">
        <v>41543</v>
      </c>
      <c r="D3155" s="16">
        <v>0.47986111111111113</v>
      </c>
      <c r="E3155" s="4">
        <v>210</v>
      </c>
      <c r="F3155" s="22">
        <v>14</v>
      </c>
      <c r="G3155" s="4">
        <v>0.26066114194915257</v>
      </c>
      <c r="H3155" s="4" t="s">
        <v>124</v>
      </c>
    </row>
    <row r="3156" spans="1:8" x14ac:dyDescent="0.25">
      <c r="A3156" s="4">
        <v>2013</v>
      </c>
      <c r="B3156" s="4">
        <v>269</v>
      </c>
      <c r="C3156" s="20">
        <v>41543</v>
      </c>
      <c r="D3156" s="16">
        <v>0.48749999999999999</v>
      </c>
      <c r="E3156" s="4">
        <v>210</v>
      </c>
      <c r="F3156" s="22">
        <v>15</v>
      </c>
      <c r="G3156" s="4" t="e">
        <v>#N/A</v>
      </c>
      <c r="H3156" s="4" t="s">
        <v>1</v>
      </c>
    </row>
    <row r="3157" spans="1:8" x14ac:dyDescent="0.25">
      <c r="A3157" s="4">
        <v>2013</v>
      </c>
      <c r="B3157" s="4">
        <v>269</v>
      </c>
      <c r="C3157" s="20">
        <v>41543</v>
      </c>
      <c r="D3157" s="16">
        <v>0.49583333333333335</v>
      </c>
      <c r="E3157" s="4">
        <v>210</v>
      </c>
      <c r="F3157" s="22">
        <v>16</v>
      </c>
      <c r="G3157" s="4" t="e">
        <v>#N/A</v>
      </c>
      <c r="H3157" s="4" t="s">
        <v>1</v>
      </c>
    </row>
    <row r="3158" spans="1:8" x14ac:dyDescent="0.25">
      <c r="A3158" s="4">
        <v>2013</v>
      </c>
      <c r="B3158" s="4">
        <v>269</v>
      </c>
      <c r="C3158" s="20">
        <v>41543</v>
      </c>
      <c r="D3158" s="16">
        <v>0.50069444444444444</v>
      </c>
      <c r="E3158" s="4">
        <v>210</v>
      </c>
      <c r="F3158" s="22">
        <v>17</v>
      </c>
      <c r="G3158" s="4">
        <v>0.29994930084745763</v>
      </c>
      <c r="H3158" s="4" t="s">
        <v>124</v>
      </c>
    </row>
    <row r="3159" spans="1:8" x14ac:dyDescent="0.25">
      <c r="A3159" s="4">
        <v>2013</v>
      </c>
      <c r="B3159" s="4">
        <v>269</v>
      </c>
      <c r="C3159" s="20">
        <v>41543</v>
      </c>
      <c r="D3159" s="16">
        <v>0.5083333333333333</v>
      </c>
      <c r="E3159" s="4">
        <v>210</v>
      </c>
      <c r="F3159" s="22">
        <v>18</v>
      </c>
      <c r="G3159" s="4">
        <v>0.29734575070621466</v>
      </c>
      <c r="H3159" s="4" t="s">
        <v>124</v>
      </c>
    </row>
    <row r="3160" spans="1:8" x14ac:dyDescent="0.25">
      <c r="A3160" s="4">
        <v>2013</v>
      </c>
      <c r="B3160" s="4">
        <v>269</v>
      </c>
      <c r="C3160" s="20">
        <v>41543</v>
      </c>
      <c r="D3160" s="16">
        <v>0.51458333333333328</v>
      </c>
      <c r="E3160" s="4">
        <v>210</v>
      </c>
      <c r="F3160" s="22">
        <v>19</v>
      </c>
      <c r="G3160" s="4">
        <v>0.28652046327683617</v>
      </c>
      <c r="H3160" s="4" t="s">
        <v>124</v>
      </c>
    </row>
    <row r="3161" spans="1:8" x14ac:dyDescent="0.25">
      <c r="A3161" s="4">
        <v>2013</v>
      </c>
      <c r="B3161" s="4">
        <v>269</v>
      </c>
      <c r="C3161" s="20">
        <v>41543</v>
      </c>
      <c r="D3161" s="16">
        <v>0.52152777777777781</v>
      </c>
      <c r="E3161" s="4">
        <v>210</v>
      </c>
      <c r="F3161" s="22">
        <v>20</v>
      </c>
      <c r="G3161" s="4">
        <v>0.2873622125706215</v>
      </c>
      <c r="H3161" s="4" t="s">
        <v>124</v>
      </c>
    </row>
    <row r="3162" spans="1:8" x14ac:dyDescent="0.25">
      <c r="A3162" s="4">
        <v>2013</v>
      </c>
      <c r="B3162" s="4">
        <v>269</v>
      </c>
      <c r="C3162" s="20">
        <v>41543</v>
      </c>
      <c r="D3162" s="16">
        <v>0.36458333333333331</v>
      </c>
      <c r="E3162" s="4">
        <v>190</v>
      </c>
      <c r="F3162" s="22">
        <v>1</v>
      </c>
      <c r="G3162" s="4">
        <v>0.27166260946327686</v>
      </c>
      <c r="H3162" s="4" t="s">
        <v>123</v>
      </c>
    </row>
    <row r="3163" spans="1:8" x14ac:dyDescent="0.25">
      <c r="A3163" s="4">
        <v>2013</v>
      </c>
      <c r="B3163" s="4">
        <v>269</v>
      </c>
      <c r="C3163" s="20">
        <v>41543</v>
      </c>
      <c r="D3163" s="16">
        <v>0.37152777777777773</v>
      </c>
      <c r="E3163" s="4">
        <v>190</v>
      </c>
      <c r="F3163" s="22">
        <v>2</v>
      </c>
      <c r="G3163" s="4">
        <v>0.27397252612994349</v>
      </c>
      <c r="H3163" s="4" t="s">
        <v>123</v>
      </c>
    </row>
    <row r="3164" spans="1:8" x14ac:dyDescent="0.25">
      <c r="A3164" s="4">
        <v>2013</v>
      </c>
      <c r="B3164" s="4">
        <v>269</v>
      </c>
      <c r="C3164" s="20">
        <v>41543</v>
      </c>
      <c r="D3164" s="16">
        <v>0.37777777777777777</v>
      </c>
      <c r="E3164" s="4">
        <v>190</v>
      </c>
      <c r="F3164" s="22">
        <v>3</v>
      </c>
      <c r="G3164" s="4">
        <v>0.26896118149717513</v>
      </c>
      <c r="H3164" s="4" t="s">
        <v>123</v>
      </c>
    </row>
    <row r="3165" spans="1:8" x14ac:dyDescent="0.25">
      <c r="A3165" s="4">
        <v>2013</v>
      </c>
      <c r="B3165" s="4">
        <v>269</v>
      </c>
      <c r="C3165" s="20">
        <v>41543</v>
      </c>
      <c r="D3165" s="16">
        <v>0.38541666666666669</v>
      </c>
      <c r="E3165" s="4">
        <v>190</v>
      </c>
      <c r="F3165" s="22">
        <v>4</v>
      </c>
      <c r="G3165" s="4">
        <v>0.28088270056497178</v>
      </c>
      <c r="H3165" s="4" t="s">
        <v>123</v>
      </c>
    </row>
    <row r="3166" spans="1:8" x14ac:dyDescent="0.25">
      <c r="A3166" s="4">
        <v>2013</v>
      </c>
      <c r="B3166" s="4">
        <v>269</v>
      </c>
      <c r="C3166" s="20">
        <v>41543</v>
      </c>
      <c r="D3166" s="16">
        <v>0.39305555555555555</v>
      </c>
      <c r="E3166" s="4">
        <v>190</v>
      </c>
      <c r="F3166" s="22">
        <v>5</v>
      </c>
      <c r="G3166" s="4">
        <v>0.3284121723163842</v>
      </c>
      <c r="H3166" s="4" t="s">
        <v>0</v>
      </c>
    </row>
    <row r="3167" spans="1:8" x14ac:dyDescent="0.25">
      <c r="A3167" s="4">
        <v>2013</v>
      </c>
      <c r="B3167" s="4">
        <v>269</v>
      </c>
      <c r="C3167" s="20">
        <v>41543</v>
      </c>
      <c r="D3167" s="16">
        <v>0.39861111111111108</v>
      </c>
      <c r="E3167" s="4">
        <v>190</v>
      </c>
      <c r="F3167" s="22">
        <v>6</v>
      </c>
      <c r="G3167" s="4">
        <v>0.33375630155367231</v>
      </c>
      <c r="H3167" s="4" t="s">
        <v>0</v>
      </c>
    </row>
    <row r="3168" spans="1:8" x14ac:dyDescent="0.25">
      <c r="A3168" s="4">
        <v>2013</v>
      </c>
      <c r="B3168" s="4">
        <v>269</v>
      </c>
      <c r="C3168" s="20">
        <v>41543</v>
      </c>
      <c r="D3168" s="16">
        <v>0.4055555555555555</v>
      </c>
      <c r="E3168" s="4">
        <v>190</v>
      </c>
      <c r="F3168" s="22">
        <v>7</v>
      </c>
      <c r="G3168" s="4">
        <v>0.26363662782485875</v>
      </c>
      <c r="H3168" s="4" t="s">
        <v>123</v>
      </c>
    </row>
    <row r="3169" spans="1:8" x14ac:dyDescent="0.25">
      <c r="A3169" s="4">
        <v>2013</v>
      </c>
      <c r="B3169" s="4">
        <v>269</v>
      </c>
      <c r="C3169" s="20">
        <v>41543</v>
      </c>
      <c r="D3169" s="16">
        <v>0.41250000000000003</v>
      </c>
      <c r="E3169" s="4">
        <v>190</v>
      </c>
      <c r="F3169" s="22">
        <v>8</v>
      </c>
      <c r="G3169" s="4">
        <v>0.28346667514124296</v>
      </c>
      <c r="H3169" s="4" t="s">
        <v>123</v>
      </c>
    </row>
    <row r="3170" spans="1:8" x14ac:dyDescent="0.25">
      <c r="A3170" s="4">
        <v>2013</v>
      </c>
      <c r="B3170" s="4">
        <v>269</v>
      </c>
      <c r="C3170" s="20">
        <v>41543</v>
      </c>
      <c r="D3170" s="16">
        <v>0.4201388888888889</v>
      </c>
      <c r="E3170" s="4">
        <v>190</v>
      </c>
      <c r="F3170" s="22">
        <v>9</v>
      </c>
      <c r="G3170" s="4">
        <v>0.27322865466101692</v>
      </c>
      <c r="H3170" s="4" t="s">
        <v>123</v>
      </c>
    </row>
    <row r="3171" spans="1:8" x14ac:dyDescent="0.25">
      <c r="A3171" s="4">
        <v>2013</v>
      </c>
      <c r="B3171" s="4">
        <v>269</v>
      </c>
      <c r="C3171" s="20">
        <v>41543</v>
      </c>
      <c r="D3171" s="16">
        <v>0.42708333333333331</v>
      </c>
      <c r="E3171" s="4">
        <v>190</v>
      </c>
      <c r="F3171" s="22">
        <v>10</v>
      </c>
      <c r="G3171" s="4">
        <v>0.27759400564971753</v>
      </c>
      <c r="H3171" s="4" t="s">
        <v>123</v>
      </c>
    </row>
    <row r="3172" spans="1:8" x14ac:dyDescent="0.25">
      <c r="A3172" s="4">
        <v>2013</v>
      </c>
      <c r="B3172" s="4">
        <v>269</v>
      </c>
      <c r="C3172" s="20">
        <v>41543</v>
      </c>
      <c r="D3172" s="16">
        <v>0.4513888888888889</v>
      </c>
      <c r="E3172" s="4">
        <v>190</v>
      </c>
      <c r="F3172" s="22">
        <v>11</v>
      </c>
      <c r="G3172" s="4">
        <v>0.29897052259887003</v>
      </c>
      <c r="H3172" s="4" t="s">
        <v>124</v>
      </c>
    </row>
    <row r="3173" spans="1:8" x14ac:dyDescent="0.25">
      <c r="A3173" s="4">
        <v>2013</v>
      </c>
      <c r="B3173" s="4">
        <v>269</v>
      </c>
      <c r="C3173" s="20">
        <v>41543</v>
      </c>
      <c r="D3173" s="16">
        <v>0.46527777777777773</v>
      </c>
      <c r="E3173" s="4">
        <v>190</v>
      </c>
      <c r="F3173" s="22">
        <v>12</v>
      </c>
      <c r="G3173" s="4">
        <v>0.30384483827683617</v>
      </c>
      <c r="H3173" s="4" t="s">
        <v>124</v>
      </c>
    </row>
    <row r="3174" spans="1:8" x14ac:dyDescent="0.25">
      <c r="A3174" s="4">
        <v>2013</v>
      </c>
      <c r="B3174" s="4">
        <v>269</v>
      </c>
      <c r="C3174" s="20">
        <v>41543</v>
      </c>
      <c r="D3174" s="16">
        <v>0.47291666666666665</v>
      </c>
      <c r="E3174" s="4">
        <v>190</v>
      </c>
      <c r="F3174" s="22">
        <v>13</v>
      </c>
      <c r="G3174" s="4">
        <v>0.2950162584745763</v>
      </c>
      <c r="H3174" s="4" t="s">
        <v>124</v>
      </c>
    </row>
    <row r="3175" spans="1:8" x14ac:dyDescent="0.25">
      <c r="A3175" s="4">
        <v>2013</v>
      </c>
      <c r="B3175" s="4">
        <v>269</v>
      </c>
      <c r="C3175" s="20">
        <v>41543</v>
      </c>
      <c r="D3175" s="16">
        <v>0.47986111111111113</v>
      </c>
      <c r="E3175" s="4">
        <v>190</v>
      </c>
      <c r="F3175" s="22">
        <v>14</v>
      </c>
      <c r="G3175" s="4">
        <v>0.29027897175141243</v>
      </c>
      <c r="H3175" s="4" t="s">
        <v>124</v>
      </c>
    </row>
    <row r="3176" spans="1:8" x14ac:dyDescent="0.25">
      <c r="A3176" s="4">
        <v>2013</v>
      </c>
      <c r="B3176" s="4">
        <v>269</v>
      </c>
      <c r="C3176" s="20">
        <v>41543</v>
      </c>
      <c r="D3176" s="16">
        <v>0.48749999999999999</v>
      </c>
      <c r="E3176" s="4">
        <v>190</v>
      </c>
      <c r="F3176" s="22">
        <v>15</v>
      </c>
      <c r="G3176" s="4">
        <v>0.32692442937853106</v>
      </c>
      <c r="H3176" s="4" t="s">
        <v>1</v>
      </c>
    </row>
    <row r="3177" spans="1:8" x14ac:dyDescent="0.25">
      <c r="A3177" s="4">
        <v>2013</v>
      </c>
      <c r="B3177" s="4">
        <v>269</v>
      </c>
      <c r="C3177" s="20">
        <v>41543</v>
      </c>
      <c r="D3177" s="16">
        <v>0.49583333333333335</v>
      </c>
      <c r="E3177" s="4">
        <v>190</v>
      </c>
      <c r="F3177" s="22">
        <v>16</v>
      </c>
      <c r="G3177" s="4">
        <v>0.32833387005649722</v>
      </c>
      <c r="H3177" s="4" t="s">
        <v>1</v>
      </c>
    </row>
    <row r="3178" spans="1:8" x14ac:dyDescent="0.25">
      <c r="A3178" s="4">
        <v>2013</v>
      </c>
      <c r="B3178" s="4">
        <v>269</v>
      </c>
      <c r="C3178" s="20">
        <v>41543</v>
      </c>
      <c r="D3178" s="16">
        <v>0.50069444444444444</v>
      </c>
      <c r="E3178" s="4">
        <v>190</v>
      </c>
      <c r="F3178" s="22">
        <v>17</v>
      </c>
      <c r="G3178" s="4">
        <v>0.31414158545197746</v>
      </c>
      <c r="H3178" s="4" t="s">
        <v>124</v>
      </c>
    </row>
    <row r="3179" spans="1:8" x14ac:dyDescent="0.25">
      <c r="A3179" s="4">
        <v>2013</v>
      </c>
      <c r="B3179" s="4">
        <v>269</v>
      </c>
      <c r="C3179" s="20">
        <v>41543</v>
      </c>
      <c r="D3179" s="16">
        <v>0.5083333333333333</v>
      </c>
      <c r="E3179" s="4">
        <v>190</v>
      </c>
      <c r="F3179" s="22">
        <v>18</v>
      </c>
      <c r="G3179" s="4">
        <v>0.30529343008474574</v>
      </c>
      <c r="H3179" s="4" t="s">
        <v>124</v>
      </c>
    </row>
    <row r="3180" spans="1:8" x14ac:dyDescent="0.25">
      <c r="A3180" s="4">
        <v>2013</v>
      </c>
      <c r="B3180" s="4">
        <v>269</v>
      </c>
      <c r="C3180" s="20">
        <v>41543</v>
      </c>
      <c r="D3180" s="16">
        <v>0.51458333333333328</v>
      </c>
      <c r="E3180" s="4">
        <v>190</v>
      </c>
      <c r="F3180" s="22">
        <v>19</v>
      </c>
      <c r="G3180" s="4">
        <v>0.29294124858757059</v>
      </c>
      <c r="H3180" s="4" t="s">
        <v>124</v>
      </c>
    </row>
    <row r="3181" spans="1:8" x14ac:dyDescent="0.25">
      <c r="A3181" s="4">
        <v>2013</v>
      </c>
      <c r="B3181" s="4">
        <v>269</v>
      </c>
      <c r="C3181" s="20">
        <v>41543</v>
      </c>
      <c r="D3181" s="16">
        <v>0.52152777777777781</v>
      </c>
      <c r="E3181" s="4">
        <v>190</v>
      </c>
      <c r="F3181" s="22">
        <v>20</v>
      </c>
      <c r="G3181" s="4">
        <v>0.29045515183615822</v>
      </c>
      <c r="H3181" s="4" t="s">
        <v>124</v>
      </c>
    </row>
    <row r="3182" spans="1:8" x14ac:dyDescent="0.25">
      <c r="A3182" s="4">
        <v>2013</v>
      </c>
      <c r="B3182" s="4">
        <v>269</v>
      </c>
      <c r="C3182" s="20">
        <v>41543</v>
      </c>
      <c r="D3182" s="16">
        <v>0.36458333333333331</v>
      </c>
      <c r="E3182" s="4">
        <v>170</v>
      </c>
      <c r="F3182" s="22">
        <v>1</v>
      </c>
      <c r="G3182" s="4">
        <v>0.26109180437853108</v>
      </c>
      <c r="H3182" s="4" t="s">
        <v>123</v>
      </c>
    </row>
    <row r="3183" spans="1:8" x14ac:dyDescent="0.25">
      <c r="A3183" s="4">
        <v>2013</v>
      </c>
      <c r="B3183" s="4">
        <v>269</v>
      </c>
      <c r="C3183" s="20">
        <v>41543</v>
      </c>
      <c r="D3183" s="16">
        <v>0.37152777777777773</v>
      </c>
      <c r="E3183" s="4">
        <v>170</v>
      </c>
      <c r="F3183" s="22">
        <v>2</v>
      </c>
      <c r="G3183" s="4">
        <v>0.2481132048022599</v>
      </c>
      <c r="H3183" s="4" t="s">
        <v>123</v>
      </c>
    </row>
    <row r="3184" spans="1:8" x14ac:dyDescent="0.25">
      <c r="A3184" s="4">
        <v>2013</v>
      </c>
      <c r="B3184" s="4">
        <v>269</v>
      </c>
      <c r="C3184" s="20">
        <v>41543</v>
      </c>
      <c r="D3184" s="16">
        <v>0.37777777777777777</v>
      </c>
      <c r="E3184" s="4">
        <v>170</v>
      </c>
      <c r="F3184" s="22">
        <v>3</v>
      </c>
      <c r="G3184" s="4">
        <v>0.27696758757062145</v>
      </c>
      <c r="H3184" s="4" t="s">
        <v>123</v>
      </c>
    </row>
    <row r="3185" spans="1:8" x14ac:dyDescent="0.25">
      <c r="A3185" s="4">
        <v>2013</v>
      </c>
      <c r="B3185" s="4">
        <v>269</v>
      </c>
      <c r="C3185" s="20">
        <v>41543</v>
      </c>
      <c r="D3185" s="16">
        <v>0.38541666666666669</v>
      </c>
      <c r="E3185" s="4">
        <v>170</v>
      </c>
      <c r="F3185" s="22">
        <v>4</v>
      </c>
      <c r="G3185" s="4">
        <v>0.27935580649717517</v>
      </c>
      <c r="H3185" s="4" t="s">
        <v>123</v>
      </c>
    </row>
    <row r="3186" spans="1:8" x14ac:dyDescent="0.25">
      <c r="A3186" s="4">
        <v>2013</v>
      </c>
      <c r="B3186" s="4">
        <v>269</v>
      </c>
      <c r="C3186" s="20">
        <v>41543</v>
      </c>
      <c r="D3186" s="16">
        <v>0.39305555555555555</v>
      </c>
      <c r="E3186" s="4">
        <v>170</v>
      </c>
      <c r="F3186" s="22">
        <v>5</v>
      </c>
      <c r="G3186" s="4">
        <v>0.32028831285310733</v>
      </c>
      <c r="H3186" s="4" t="s">
        <v>0</v>
      </c>
    </row>
    <row r="3187" spans="1:8" x14ac:dyDescent="0.25">
      <c r="A3187" s="4">
        <v>2013</v>
      </c>
      <c r="B3187" s="4">
        <v>269</v>
      </c>
      <c r="C3187" s="20">
        <v>41543</v>
      </c>
      <c r="D3187" s="16">
        <v>0.39861111111111108</v>
      </c>
      <c r="E3187" s="4">
        <v>170</v>
      </c>
      <c r="F3187" s="22">
        <v>6</v>
      </c>
      <c r="G3187" s="4">
        <v>0.31273214477401129</v>
      </c>
      <c r="H3187" s="4" t="s">
        <v>0</v>
      </c>
    </row>
    <row r="3188" spans="1:8" x14ac:dyDescent="0.25">
      <c r="A3188" s="4">
        <v>2013</v>
      </c>
      <c r="B3188" s="4">
        <v>269</v>
      </c>
      <c r="C3188" s="20">
        <v>41543</v>
      </c>
      <c r="D3188" s="16">
        <v>0.4055555555555555</v>
      </c>
      <c r="E3188" s="4">
        <v>170</v>
      </c>
      <c r="F3188" s="22">
        <v>7</v>
      </c>
      <c r="G3188" s="4">
        <v>0.28558083615819208</v>
      </c>
      <c r="H3188" s="4" t="s">
        <v>123</v>
      </c>
    </row>
    <row r="3189" spans="1:8" x14ac:dyDescent="0.25">
      <c r="A3189" s="4">
        <v>2013</v>
      </c>
      <c r="B3189" s="4">
        <v>269</v>
      </c>
      <c r="C3189" s="20">
        <v>41543</v>
      </c>
      <c r="D3189" s="16">
        <v>0.41250000000000003</v>
      </c>
      <c r="E3189" s="4">
        <v>170</v>
      </c>
      <c r="F3189" s="22">
        <v>8</v>
      </c>
      <c r="G3189" s="4">
        <v>0.29760023305084748</v>
      </c>
      <c r="H3189" s="4" t="s">
        <v>123</v>
      </c>
    </row>
    <row r="3190" spans="1:8" x14ac:dyDescent="0.25">
      <c r="A3190" s="4">
        <v>2013</v>
      </c>
      <c r="B3190" s="4">
        <v>269</v>
      </c>
      <c r="C3190" s="20">
        <v>41543</v>
      </c>
      <c r="D3190" s="16">
        <v>0.4201388888888889</v>
      </c>
      <c r="E3190" s="4">
        <v>170</v>
      </c>
      <c r="F3190" s="22">
        <v>9</v>
      </c>
      <c r="G3190" s="4">
        <v>0.28655961440677968</v>
      </c>
      <c r="H3190" s="4" t="s">
        <v>123</v>
      </c>
    </row>
    <row r="3191" spans="1:8" x14ac:dyDescent="0.25">
      <c r="A3191" s="4">
        <v>2013</v>
      </c>
      <c r="B3191" s="4">
        <v>269</v>
      </c>
      <c r="C3191" s="20">
        <v>41543</v>
      </c>
      <c r="D3191" s="16">
        <v>0.42708333333333331</v>
      </c>
      <c r="E3191" s="4">
        <v>170</v>
      </c>
      <c r="F3191" s="22">
        <v>10</v>
      </c>
      <c r="G3191" s="4">
        <v>0.29237355720338987</v>
      </c>
      <c r="H3191" s="4" t="s">
        <v>123</v>
      </c>
    </row>
    <row r="3192" spans="1:8" x14ac:dyDescent="0.25">
      <c r="A3192" s="4">
        <v>2013</v>
      </c>
      <c r="B3192" s="4">
        <v>269</v>
      </c>
      <c r="C3192" s="20">
        <v>41543</v>
      </c>
      <c r="D3192" s="16">
        <v>0.4513888888888889</v>
      </c>
      <c r="E3192" s="4">
        <v>170</v>
      </c>
      <c r="F3192" s="22">
        <v>11</v>
      </c>
      <c r="G3192" s="4">
        <v>0.31382837641242939</v>
      </c>
      <c r="H3192" s="4" t="s">
        <v>124</v>
      </c>
    </row>
    <row r="3193" spans="1:8" x14ac:dyDescent="0.25">
      <c r="A3193" s="4">
        <v>2013</v>
      </c>
      <c r="B3193" s="4">
        <v>269</v>
      </c>
      <c r="C3193" s="20">
        <v>41543</v>
      </c>
      <c r="D3193" s="16">
        <v>0.46527777777777773</v>
      </c>
      <c r="E3193" s="4">
        <v>170</v>
      </c>
      <c r="F3193" s="22">
        <v>12</v>
      </c>
      <c r="G3193" s="4">
        <v>0.32514305296610169</v>
      </c>
      <c r="H3193" s="4" t="s">
        <v>124</v>
      </c>
    </row>
    <row r="3194" spans="1:8" x14ac:dyDescent="0.25">
      <c r="A3194" s="4">
        <v>2013</v>
      </c>
      <c r="B3194" s="4">
        <v>269</v>
      </c>
      <c r="C3194" s="20">
        <v>41543</v>
      </c>
      <c r="D3194" s="16">
        <v>0.47291666666666665</v>
      </c>
      <c r="E3194" s="4">
        <v>170</v>
      </c>
      <c r="F3194" s="22">
        <v>13</v>
      </c>
      <c r="G3194" s="4">
        <v>0.30043868997175138</v>
      </c>
      <c r="H3194" s="4" t="s">
        <v>124</v>
      </c>
    </row>
    <row r="3195" spans="1:8" x14ac:dyDescent="0.25">
      <c r="A3195" s="4">
        <v>2013</v>
      </c>
      <c r="B3195" s="4">
        <v>269</v>
      </c>
      <c r="C3195" s="20">
        <v>41543</v>
      </c>
      <c r="D3195" s="16">
        <v>0.47986111111111113</v>
      </c>
      <c r="E3195" s="4">
        <v>170</v>
      </c>
      <c r="F3195" s="22">
        <v>14</v>
      </c>
      <c r="G3195" s="4">
        <v>0.31236020903954803</v>
      </c>
      <c r="H3195" s="4" t="s">
        <v>124</v>
      </c>
    </row>
    <row r="3196" spans="1:8" x14ac:dyDescent="0.25">
      <c r="A3196" s="4">
        <v>2013</v>
      </c>
      <c r="B3196" s="4">
        <v>269</v>
      </c>
      <c r="C3196" s="20">
        <v>41543</v>
      </c>
      <c r="D3196" s="16">
        <v>0.48749999999999999</v>
      </c>
      <c r="E3196" s="4">
        <v>170</v>
      </c>
      <c r="F3196" s="22">
        <v>15</v>
      </c>
      <c r="G3196" s="4">
        <v>0.32486899505649719</v>
      </c>
      <c r="H3196" s="4" t="s">
        <v>1</v>
      </c>
    </row>
    <row r="3197" spans="1:8" x14ac:dyDescent="0.25">
      <c r="A3197" s="4">
        <v>2013</v>
      </c>
      <c r="B3197" s="4">
        <v>269</v>
      </c>
      <c r="C3197" s="20">
        <v>41543</v>
      </c>
      <c r="D3197" s="16">
        <v>0.49583333333333335</v>
      </c>
      <c r="E3197" s="4">
        <v>170</v>
      </c>
      <c r="F3197" s="22">
        <v>16</v>
      </c>
      <c r="G3197" s="4">
        <v>0.3220696892655367</v>
      </c>
      <c r="H3197" s="4" t="s">
        <v>1</v>
      </c>
    </row>
    <row r="3198" spans="1:8" x14ac:dyDescent="0.25">
      <c r="A3198" s="4">
        <v>2013</v>
      </c>
      <c r="B3198" s="4">
        <v>269</v>
      </c>
      <c r="C3198" s="20">
        <v>41543</v>
      </c>
      <c r="D3198" s="16">
        <v>0.50069444444444444</v>
      </c>
      <c r="E3198" s="4">
        <v>170</v>
      </c>
      <c r="F3198" s="22">
        <v>17</v>
      </c>
      <c r="G3198" s="4">
        <v>0.31057883262711866</v>
      </c>
      <c r="H3198" s="4" t="s">
        <v>124</v>
      </c>
    </row>
    <row r="3199" spans="1:8" x14ac:dyDescent="0.25">
      <c r="A3199" s="4">
        <v>2013</v>
      </c>
      <c r="B3199" s="4">
        <v>269</v>
      </c>
      <c r="C3199" s="20">
        <v>41543</v>
      </c>
      <c r="D3199" s="16">
        <v>0.5083333333333333</v>
      </c>
      <c r="E3199" s="4">
        <v>170</v>
      </c>
      <c r="F3199" s="22">
        <v>18</v>
      </c>
      <c r="G3199" s="4">
        <v>0.31823287853107346</v>
      </c>
      <c r="H3199" s="4" t="s">
        <v>124</v>
      </c>
    </row>
    <row r="3200" spans="1:8" x14ac:dyDescent="0.25">
      <c r="A3200" s="4">
        <v>2013</v>
      </c>
      <c r="B3200" s="4">
        <v>269</v>
      </c>
      <c r="C3200" s="20">
        <v>41543</v>
      </c>
      <c r="D3200" s="16">
        <v>0.51458333333333328</v>
      </c>
      <c r="E3200" s="4">
        <v>170</v>
      </c>
      <c r="F3200" s="22">
        <v>19</v>
      </c>
      <c r="G3200" s="4">
        <v>0.30488234322033902</v>
      </c>
      <c r="H3200" s="4" t="s">
        <v>124</v>
      </c>
    </row>
    <row r="3201" spans="1:8" x14ac:dyDescent="0.25">
      <c r="A3201" s="4">
        <v>2013</v>
      </c>
      <c r="B3201" s="4">
        <v>269</v>
      </c>
      <c r="C3201" s="20">
        <v>41543</v>
      </c>
      <c r="D3201" s="16">
        <v>0.52152777777777781</v>
      </c>
      <c r="E3201" s="4">
        <v>170</v>
      </c>
      <c r="F3201" s="22">
        <v>20</v>
      </c>
      <c r="G3201" s="4">
        <v>0.30566536581920906</v>
      </c>
      <c r="H3201" s="4" t="s">
        <v>124</v>
      </c>
    </row>
    <row r="3202" spans="1:8" x14ac:dyDescent="0.25">
      <c r="A3202" s="4">
        <v>2013</v>
      </c>
      <c r="B3202" s="4">
        <v>269</v>
      </c>
      <c r="C3202" s="20">
        <v>41543</v>
      </c>
      <c r="D3202" s="16">
        <v>0.36458333333333331</v>
      </c>
      <c r="E3202" s="4">
        <v>150</v>
      </c>
      <c r="F3202" s="22">
        <v>1</v>
      </c>
      <c r="G3202" s="4">
        <v>0.31876141878531072</v>
      </c>
      <c r="H3202" s="4" t="s">
        <v>123</v>
      </c>
    </row>
    <row r="3203" spans="1:8" x14ac:dyDescent="0.25">
      <c r="A3203" s="4">
        <v>2013</v>
      </c>
      <c r="B3203" s="4">
        <v>269</v>
      </c>
      <c r="C3203" s="20">
        <v>41543</v>
      </c>
      <c r="D3203" s="16">
        <v>0.37152777777777773</v>
      </c>
      <c r="E3203" s="4">
        <v>150</v>
      </c>
      <c r="F3203" s="22">
        <v>2</v>
      </c>
      <c r="G3203" s="4">
        <v>0.31120525070621474</v>
      </c>
      <c r="H3203" s="4" t="s">
        <v>123</v>
      </c>
    </row>
    <row r="3204" spans="1:8" x14ac:dyDescent="0.25">
      <c r="A3204" s="4">
        <v>2013</v>
      </c>
      <c r="B3204" s="4">
        <v>269</v>
      </c>
      <c r="C3204" s="20">
        <v>41543</v>
      </c>
      <c r="D3204" s="16">
        <v>0.37777777777777777</v>
      </c>
      <c r="E3204" s="4">
        <v>150</v>
      </c>
      <c r="F3204" s="22">
        <v>3</v>
      </c>
      <c r="G3204" s="4">
        <v>0.28317304166666668</v>
      </c>
      <c r="H3204" s="4" t="s">
        <v>123</v>
      </c>
    </row>
    <row r="3205" spans="1:8" x14ac:dyDescent="0.25">
      <c r="A3205" s="4">
        <v>2013</v>
      </c>
      <c r="B3205" s="4">
        <v>269</v>
      </c>
      <c r="C3205" s="20">
        <v>41543</v>
      </c>
      <c r="D3205" s="16">
        <v>0.38541666666666669</v>
      </c>
      <c r="E3205" s="4">
        <v>150</v>
      </c>
      <c r="F3205" s="22">
        <v>4</v>
      </c>
      <c r="G3205" s="4">
        <v>0.27438361299435027</v>
      </c>
      <c r="H3205" s="4" t="s">
        <v>123</v>
      </c>
    </row>
    <row r="3206" spans="1:8" x14ac:dyDescent="0.25">
      <c r="A3206" s="4">
        <v>2013</v>
      </c>
      <c r="B3206" s="4">
        <v>269</v>
      </c>
      <c r="C3206" s="20">
        <v>41543</v>
      </c>
      <c r="D3206" s="16">
        <v>0.39305555555555555</v>
      </c>
      <c r="E3206" s="4">
        <v>150</v>
      </c>
      <c r="F3206" s="22">
        <v>5</v>
      </c>
      <c r="G3206" s="4">
        <v>0.3478115572033898</v>
      </c>
      <c r="H3206" s="4" t="s">
        <v>0</v>
      </c>
    </row>
    <row r="3207" spans="1:8" x14ac:dyDescent="0.25">
      <c r="A3207" s="4">
        <v>2013</v>
      </c>
      <c r="B3207" s="4">
        <v>269</v>
      </c>
      <c r="C3207" s="20">
        <v>41543</v>
      </c>
      <c r="D3207" s="16">
        <v>0.39861111111111108</v>
      </c>
      <c r="E3207" s="4">
        <v>150</v>
      </c>
      <c r="F3207" s="22">
        <v>6</v>
      </c>
      <c r="G3207" s="4">
        <v>0.33757353672316387</v>
      </c>
      <c r="H3207" s="4" t="s">
        <v>0</v>
      </c>
    </row>
    <row r="3208" spans="1:8" x14ac:dyDescent="0.25">
      <c r="A3208" s="4">
        <v>2013</v>
      </c>
      <c r="B3208" s="4">
        <v>269</v>
      </c>
      <c r="C3208" s="20">
        <v>41543</v>
      </c>
      <c r="D3208" s="16">
        <v>0.4055555555555555</v>
      </c>
      <c r="E3208" s="4">
        <v>150</v>
      </c>
      <c r="F3208" s="22">
        <v>7</v>
      </c>
      <c r="G3208" s="4">
        <v>0.31132270409604518</v>
      </c>
      <c r="H3208" s="4" t="s">
        <v>123</v>
      </c>
    </row>
    <row r="3209" spans="1:8" x14ac:dyDescent="0.25">
      <c r="A3209" s="4">
        <v>2013</v>
      </c>
      <c r="B3209" s="4">
        <v>269</v>
      </c>
      <c r="C3209" s="20">
        <v>41543</v>
      </c>
      <c r="D3209" s="16">
        <v>0.41250000000000003</v>
      </c>
      <c r="E3209" s="4">
        <v>150</v>
      </c>
      <c r="F3209" s="22">
        <v>8</v>
      </c>
      <c r="G3209" s="4">
        <v>0.31928995903954804</v>
      </c>
      <c r="H3209" s="4" t="s">
        <v>123</v>
      </c>
    </row>
    <row r="3210" spans="1:8" x14ac:dyDescent="0.25">
      <c r="A3210" s="4">
        <v>2013</v>
      </c>
      <c r="B3210" s="4">
        <v>269</v>
      </c>
      <c r="C3210" s="20">
        <v>41543</v>
      </c>
      <c r="D3210" s="16">
        <v>0.4201388888888889</v>
      </c>
      <c r="E3210" s="4">
        <v>150</v>
      </c>
      <c r="F3210" s="22">
        <v>9</v>
      </c>
      <c r="G3210" s="4">
        <v>0.31326068502824861</v>
      </c>
      <c r="H3210" s="4" t="s">
        <v>123</v>
      </c>
    </row>
    <row r="3211" spans="1:8" x14ac:dyDescent="0.25">
      <c r="A3211" s="4">
        <v>2013</v>
      </c>
      <c r="B3211" s="4">
        <v>269</v>
      </c>
      <c r="C3211" s="20">
        <v>41543</v>
      </c>
      <c r="D3211" s="16">
        <v>0.42708333333333331</v>
      </c>
      <c r="E3211" s="4">
        <v>150</v>
      </c>
      <c r="F3211" s="22">
        <v>10</v>
      </c>
      <c r="G3211" s="4">
        <v>0.32551498870056494</v>
      </c>
      <c r="H3211" s="4" t="s">
        <v>123</v>
      </c>
    </row>
    <row r="3212" spans="1:8" x14ac:dyDescent="0.25">
      <c r="A3212" s="4">
        <v>2013</v>
      </c>
      <c r="B3212" s="4">
        <v>269</v>
      </c>
      <c r="C3212" s="20">
        <v>41543</v>
      </c>
      <c r="D3212" s="16">
        <v>0.4513888888888889</v>
      </c>
      <c r="E3212" s="4">
        <v>150</v>
      </c>
      <c r="F3212" s="22">
        <v>11</v>
      </c>
      <c r="G3212" s="4">
        <v>0.32571074435028252</v>
      </c>
      <c r="H3212" s="4" t="s">
        <v>124</v>
      </c>
    </row>
    <row r="3213" spans="1:8" x14ac:dyDescent="0.25">
      <c r="A3213" s="4">
        <v>2013</v>
      </c>
      <c r="B3213" s="4">
        <v>269</v>
      </c>
      <c r="C3213" s="20">
        <v>41543</v>
      </c>
      <c r="D3213" s="16">
        <v>0.46527777777777773</v>
      </c>
      <c r="E3213" s="4">
        <v>150</v>
      </c>
      <c r="F3213" s="22">
        <v>12</v>
      </c>
      <c r="G3213" s="4">
        <v>0.32849047457627123</v>
      </c>
      <c r="H3213" s="4" t="s">
        <v>124</v>
      </c>
    </row>
    <row r="3214" spans="1:8" x14ac:dyDescent="0.25">
      <c r="A3214" s="4">
        <v>2013</v>
      </c>
      <c r="B3214" s="4">
        <v>269</v>
      </c>
      <c r="C3214" s="20">
        <v>41543</v>
      </c>
      <c r="D3214" s="16">
        <v>0.47291666666666665</v>
      </c>
      <c r="E3214" s="4">
        <v>150</v>
      </c>
      <c r="F3214" s="22">
        <v>13</v>
      </c>
      <c r="G3214" s="4">
        <v>0.30357078036723167</v>
      </c>
      <c r="H3214" s="4" t="s">
        <v>124</v>
      </c>
    </row>
    <row r="3215" spans="1:8" x14ac:dyDescent="0.25">
      <c r="A3215" s="4">
        <v>2013</v>
      </c>
      <c r="B3215" s="4">
        <v>269</v>
      </c>
      <c r="C3215" s="20">
        <v>41543</v>
      </c>
      <c r="D3215" s="16">
        <v>0.47986111111111113</v>
      </c>
      <c r="E3215" s="4">
        <v>150</v>
      </c>
      <c r="F3215" s="22">
        <v>14</v>
      </c>
      <c r="G3215" s="4">
        <v>0.2939200268361582</v>
      </c>
      <c r="H3215" s="4" t="s">
        <v>124</v>
      </c>
    </row>
    <row r="3216" spans="1:8" x14ac:dyDescent="0.25">
      <c r="A3216" s="4">
        <v>2013</v>
      </c>
      <c r="B3216" s="4">
        <v>269</v>
      </c>
      <c r="C3216" s="20">
        <v>41543</v>
      </c>
      <c r="D3216" s="16">
        <v>0.48749999999999999</v>
      </c>
      <c r="E3216" s="4">
        <v>150</v>
      </c>
      <c r="F3216" s="22">
        <v>15</v>
      </c>
      <c r="G3216" s="4">
        <v>0.33228813418079095</v>
      </c>
      <c r="H3216" s="4" t="s">
        <v>1</v>
      </c>
    </row>
    <row r="3217" spans="1:8" x14ac:dyDescent="0.25">
      <c r="A3217" s="4">
        <v>2013</v>
      </c>
      <c r="B3217" s="4">
        <v>269</v>
      </c>
      <c r="C3217" s="20">
        <v>41543</v>
      </c>
      <c r="D3217" s="16">
        <v>0.49583333333333335</v>
      </c>
      <c r="E3217" s="4">
        <v>150</v>
      </c>
      <c r="F3217" s="22">
        <v>16</v>
      </c>
      <c r="G3217" s="4">
        <v>0.32265695621468926</v>
      </c>
      <c r="H3217" s="4" t="s">
        <v>1</v>
      </c>
    </row>
    <row r="3218" spans="1:8" x14ac:dyDescent="0.25">
      <c r="A3218" s="4">
        <v>2013</v>
      </c>
      <c r="B3218" s="4">
        <v>269</v>
      </c>
      <c r="C3218" s="20">
        <v>41543</v>
      </c>
      <c r="D3218" s="16">
        <v>0.50069444444444444</v>
      </c>
      <c r="E3218" s="4">
        <v>150</v>
      </c>
      <c r="F3218" s="22">
        <v>17</v>
      </c>
      <c r="G3218" s="4">
        <v>0.30840594491525425</v>
      </c>
      <c r="H3218" s="4" t="s">
        <v>124</v>
      </c>
    </row>
    <row r="3219" spans="1:8" x14ac:dyDescent="0.25">
      <c r="A3219" s="4">
        <v>2013</v>
      </c>
      <c r="B3219" s="4">
        <v>269</v>
      </c>
      <c r="C3219" s="20">
        <v>41543</v>
      </c>
      <c r="D3219" s="16">
        <v>0.5083333333333333</v>
      </c>
      <c r="E3219" s="4">
        <v>150</v>
      </c>
      <c r="F3219" s="22">
        <v>18</v>
      </c>
      <c r="G3219" s="4">
        <v>0.32361615889830508</v>
      </c>
      <c r="H3219" s="4" t="s">
        <v>124</v>
      </c>
    </row>
    <row r="3220" spans="1:8" x14ac:dyDescent="0.25">
      <c r="A3220" s="4">
        <v>2013</v>
      </c>
      <c r="B3220" s="4">
        <v>269</v>
      </c>
      <c r="C3220" s="20">
        <v>41543</v>
      </c>
      <c r="D3220" s="16">
        <v>0.51458333333333328</v>
      </c>
      <c r="E3220" s="4">
        <v>150</v>
      </c>
      <c r="F3220" s="22">
        <v>19</v>
      </c>
      <c r="G3220" s="4">
        <v>0.3261218312146893</v>
      </c>
      <c r="H3220" s="4" t="s">
        <v>124</v>
      </c>
    </row>
    <row r="3221" spans="1:8" x14ac:dyDescent="0.25">
      <c r="A3221" s="4">
        <v>2013</v>
      </c>
      <c r="B3221" s="4">
        <v>269</v>
      </c>
      <c r="C3221" s="20">
        <v>41543</v>
      </c>
      <c r="D3221" s="16">
        <v>0.52152777777777781</v>
      </c>
      <c r="E3221" s="4">
        <v>150</v>
      </c>
      <c r="F3221" s="22">
        <v>20</v>
      </c>
      <c r="G3221" s="4">
        <v>0.31995552824858758</v>
      </c>
      <c r="H3221" s="4" t="s">
        <v>124</v>
      </c>
    </row>
    <row r="3222" spans="1:8" x14ac:dyDescent="0.25">
      <c r="A3222" s="4">
        <v>2013</v>
      </c>
      <c r="B3222" s="4">
        <v>269</v>
      </c>
      <c r="C3222" s="20">
        <v>41543</v>
      </c>
      <c r="D3222" s="16">
        <v>0.36458333333333331</v>
      </c>
      <c r="E3222" s="4">
        <v>130</v>
      </c>
      <c r="F3222" s="22">
        <v>1</v>
      </c>
      <c r="G3222" s="4">
        <v>0.30090850353107346</v>
      </c>
      <c r="H3222" s="4" t="s">
        <v>123</v>
      </c>
    </row>
    <row r="3223" spans="1:8" x14ac:dyDescent="0.25">
      <c r="A3223" s="4">
        <v>2013</v>
      </c>
      <c r="B3223" s="4">
        <v>269</v>
      </c>
      <c r="C3223" s="20">
        <v>41543</v>
      </c>
      <c r="D3223" s="16">
        <v>0.37152777777777773</v>
      </c>
      <c r="E3223" s="4">
        <v>130</v>
      </c>
      <c r="F3223" s="22">
        <v>2</v>
      </c>
      <c r="G3223" s="4">
        <v>0.29192331920903958</v>
      </c>
      <c r="H3223" s="4" t="s">
        <v>123</v>
      </c>
    </row>
    <row r="3224" spans="1:8" x14ac:dyDescent="0.25">
      <c r="A3224" s="4">
        <v>2013</v>
      </c>
      <c r="B3224" s="4">
        <v>269</v>
      </c>
      <c r="C3224" s="20">
        <v>41543</v>
      </c>
      <c r="D3224" s="16">
        <v>0.37777777777777777</v>
      </c>
      <c r="E3224" s="4">
        <v>130</v>
      </c>
      <c r="F3224" s="22">
        <v>3</v>
      </c>
      <c r="G3224" s="4">
        <v>0.287792875</v>
      </c>
      <c r="H3224" s="4" t="s">
        <v>123</v>
      </c>
    </row>
    <row r="3225" spans="1:8" x14ac:dyDescent="0.25">
      <c r="A3225" s="4">
        <v>2013</v>
      </c>
      <c r="B3225" s="4">
        <v>269</v>
      </c>
      <c r="C3225" s="20">
        <v>41543</v>
      </c>
      <c r="D3225" s="16">
        <v>0.38541666666666669</v>
      </c>
      <c r="E3225" s="4">
        <v>130</v>
      </c>
      <c r="F3225" s="22">
        <v>4</v>
      </c>
      <c r="G3225" s="4">
        <v>0.2913556278248588</v>
      </c>
      <c r="H3225" s="4" t="s">
        <v>123</v>
      </c>
    </row>
    <row r="3226" spans="1:8" x14ac:dyDescent="0.25">
      <c r="A3226" s="4">
        <v>2013</v>
      </c>
      <c r="B3226" s="4">
        <v>269</v>
      </c>
      <c r="C3226" s="20">
        <v>41543</v>
      </c>
      <c r="D3226" s="16">
        <v>0.39305555555555555</v>
      </c>
      <c r="E3226" s="4">
        <v>130</v>
      </c>
      <c r="F3226" s="22">
        <v>5</v>
      </c>
      <c r="G3226" s="4">
        <v>0.31564890395480227</v>
      </c>
      <c r="H3226" s="4" t="s">
        <v>0</v>
      </c>
    </row>
    <row r="3227" spans="1:8" x14ac:dyDescent="0.25">
      <c r="A3227" s="4">
        <v>2013</v>
      </c>
      <c r="B3227" s="4">
        <v>269</v>
      </c>
      <c r="C3227" s="20">
        <v>41543</v>
      </c>
      <c r="D3227" s="16">
        <v>0.39861111111111108</v>
      </c>
      <c r="E3227" s="4">
        <v>130</v>
      </c>
      <c r="F3227" s="22">
        <v>6</v>
      </c>
      <c r="G3227" s="4">
        <v>0.29456602048022601</v>
      </c>
      <c r="H3227" s="4" t="s">
        <v>0</v>
      </c>
    </row>
    <row r="3228" spans="1:8" x14ac:dyDescent="0.25">
      <c r="A3228" s="4">
        <v>2013</v>
      </c>
      <c r="B3228" s="4">
        <v>269</v>
      </c>
      <c r="C3228" s="20">
        <v>41543</v>
      </c>
      <c r="D3228" s="16">
        <v>0.4055555555555555</v>
      </c>
      <c r="E3228" s="4">
        <v>130</v>
      </c>
      <c r="F3228" s="22">
        <v>7</v>
      </c>
      <c r="G3228" s="4">
        <v>0.30642881285310736</v>
      </c>
      <c r="H3228" s="4" t="s">
        <v>123</v>
      </c>
    </row>
    <row r="3229" spans="1:8" x14ac:dyDescent="0.25">
      <c r="A3229" s="4">
        <v>2013</v>
      </c>
      <c r="B3229" s="4">
        <v>269</v>
      </c>
      <c r="C3229" s="20">
        <v>41543</v>
      </c>
      <c r="D3229" s="16">
        <v>0.41250000000000003</v>
      </c>
      <c r="E3229" s="4">
        <v>130</v>
      </c>
      <c r="F3229" s="22">
        <v>8</v>
      </c>
      <c r="G3229" s="4">
        <v>0.34164525423728814</v>
      </c>
      <c r="H3229" s="4" t="s">
        <v>123</v>
      </c>
    </row>
    <row r="3230" spans="1:8" x14ac:dyDescent="0.25">
      <c r="A3230" s="4">
        <v>2013</v>
      </c>
      <c r="B3230" s="4">
        <v>269</v>
      </c>
      <c r="C3230" s="20">
        <v>41543</v>
      </c>
      <c r="D3230" s="16">
        <v>0.4201388888888889</v>
      </c>
      <c r="E3230" s="4">
        <v>130</v>
      </c>
      <c r="F3230" s="22">
        <v>9</v>
      </c>
      <c r="G3230" s="4">
        <v>0.28585489406779663</v>
      </c>
      <c r="H3230" s="4" t="s">
        <v>123</v>
      </c>
    </row>
    <row r="3231" spans="1:8" x14ac:dyDescent="0.25">
      <c r="A3231" s="4">
        <v>2013</v>
      </c>
      <c r="B3231" s="4">
        <v>269</v>
      </c>
      <c r="C3231" s="20">
        <v>41543</v>
      </c>
      <c r="D3231" s="16">
        <v>0.42708333333333331</v>
      </c>
      <c r="E3231" s="4">
        <v>130</v>
      </c>
      <c r="F3231" s="22">
        <v>10</v>
      </c>
      <c r="G3231" s="4">
        <v>0.2951728629943503</v>
      </c>
      <c r="H3231" s="4" t="s">
        <v>123</v>
      </c>
    </row>
    <row r="3232" spans="1:8" x14ac:dyDescent="0.25">
      <c r="A3232" s="4">
        <v>2013</v>
      </c>
      <c r="B3232" s="4">
        <v>269</v>
      </c>
      <c r="C3232" s="20">
        <v>41543</v>
      </c>
      <c r="D3232" s="16">
        <v>0.4513888888888889</v>
      </c>
      <c r="E3232" s="4">
        <v>130</v>
      </c>
      <c r="F3232" s="22">
        <v>11</v>
      </c>
      <c r="G3232" s="4">
        <v>0.29051387853107341</v>
      </c>
      <c r="H3232" s="4" t="s">
        <v>124</v>
      </c>
    </row>
    <row r="3233" spans="1:8" x14ac:dyDescent="0.25">
      <c r="A3233" s="4">
        <v>2013</v>
      </c>
      <c r="B3233" s="4">
        <v>269</v>
      </c>
      <c r="C3233" s="20">
        <v>41543</v>
      </c>
      <c r="D3233" s="16">
        <v>0.46527777777777773</v>
      </c>
      <c r="E3233" s="4">
        <v>130</v>
      </c>
      <c r="F3233" s="22">
        <v>12</v>
      </c>
      <c r="G3233" s="4">
        <v>0.27865108615819212</v>
      </c>
      <c r="H3233" s="4" t="s">
        <v>124</v>
      </c>
    </row>
    <row r="3234" spans="1:8" x14ac:dyDescent="0.25">
      <c r="A3234" s="4">
        <v>2013</v>
      </c>
      <c r="B3234" s="4">
        <v>269</v>
      </c>
      <c r="C3234" s="20">
        <v>41543</v>
      </c>
      <c r="D3234" s="16">
        <v>0.47291666666666665</v>
      </c>
      <c r="E3234" s="4">
        <v>130</v>
      </c>
      <c r="F3234" s="22">
        <v>13</v>
      </c>
      <c r="G3234" s="4">
        <v>0.30965878107344635</v>
      </c>
      <c r="H3234" s="4" t="s">
        <v>124</v>
      </c>
    </row>
    <row r="3235" spans="1:8" x14ac:dyDescent="0.25">
      <c r="A3235" s="4">
        <v>2013</v>
      </c>
      <c r="B3235" s="4">
        <v>269</v>
      </c>
      <c r="C3235" s="20">
        <v>41543</v>
      </c>
      <c r="D3235" s="16">
        <v>0.47986111111111113</v>
      </c>
      <c r="E3235" s="4">
        <v>130</v>
      </c>
      <c r="F3235" s="22">
        <v>14</v>
      </c>
      <c r="G3235" s="4">
        <v>0.30582197033898306</v>
      </c>
      <c r="H3235" s="4" t="s">
        <v>124</v>
      </c>
    </row>
    <row r="3236" spans="1:8" x14ac:dyDescent="0.25">
      <c r="A3236" s="4">
        <v>2013</v>
      </c>
      <c r="B3236" s="4">
        <v>269</v>
      </c>
      <c r="C3236" s="20">
        <v>41543</v>
      </c>
      <c r="D3236" s="16">
        <v>0.48749999999999999</v>
      </c>
      <c r="E3236" s="4">
        <v>130</v>
      </c>
      <c r="F3236" s="22">
        <v>15</v>
      </c>
      <c r="G3236" s="4">
        <v>0.2934893644067797</v>
      </c>
      <c r="H3236" s="4" t="s">
        <v>1</v>
      </c>
    </row>
    <row r="3237" spans="1:8" x14ac:dyDescent="0.25">
      <c r="A3237" s="4">
        <v>2013</v>
      </c>
      <c r="B3237" s="4">
        <v>269</v>
      </c>
      <c r="C3237" s="20">
        <v>41543</v>
      </c>
      <c r="D3237" s="16">
        <v>0.49583333333333335</v>
      </c>
      <c r="E3237" s="4">
        <v>130</v>
      </c>
      <c r="F3237" s="22">
        <v>16</v>
      </c>
      <c r="G3237" s="4">
        <v>0.28712730579096046</v>
      </c>
      <c r="H3237" s="4" t="s">
        <v>1</v>
      </c>
    </row>
    <row r="3238" spans="1:8" x14ac:dyDescent="0.25">
      <c r="A3238" s="4">
        <v>2013</v>
      </c>
      <c r="B3238" s="4">
        <v>269</v>
      </c>
      <c r="C3238" s="20">
        <v>41543</v>
      </c>
      <c r="D3238" s="16">
        <v>0.50069444444444444</v>
      </c>
      <c r="E3238" s="4">
        <v>130</v>
      </c>
      <c r="F3238" s="22">
        <v>17</v>
      </c>
      <c r="G3238" s="4">
        <v>0.29983184745762714</v>
      </c>
      <c r="H3238" s="4" t="s">
        <v>124</v>
      </c>
    </row>
    <row r="3239" spans="1:8" x14ac:dyDescent="0.25">
      <c r="A3239" s="4">
        <v>2013</v>
      </c>
      <c r="B3239" s="4">
        <v>269</v>
      </c>
      <c r="C3239" s="20">
        <v>41543</v>
      </c>
      <c r="D3239" s="16">
        <v>0.5083333333333333</v>
      </c>
      <c r="E3239" s="4">
        <v>130</v>
      </c>
      <c r="F3239" s="22">
        <v>18</v>
      </c>
      <c r="G3239" s="4">
        <v>0.29724787288135596</v>
      </c>
      <c r="H3239" s="4" t="s">
        <v>124</v>
      </c>
    </row>
    <row r="3240" spans="1:8" x14ac:dyDescent="0.25">
      <c r="A3240" s="4">
        <v>2013</v>
      </c>
      <c r="B3240" s="4">
        <v>269</v>
      </c>
      <c r="C3240" s="20">
        <v>41543</v>
      </c>
      <c r="D3240" s="16">
        <v>0.51458333333333328</v>
      </c>
      <c r="E3240" s="4">
        <v>130</v>
      </c>
      <c r="F3240" s="22">
        <v>19</v>
      </c>
      <c r="G3240" s="4">
        <v>0.29503583403954803</v>
      </c>
      <c r="H3240" s="4" t="s">
        <v>124</v>
      </c>
    </row>
    <row r="3241" spans="1:8" x14ac:dyDescent="0.25">
      <c r="A3241" s="4">
        <v>2013</v>
      </c>
      <c r="B3241" s="4">
        <v>269</v>
      </c>
      <c r="C3241" s="20">
        <v>41543</v>
      </c>
      <c r="D3241" s="16">
        <v>0.52152777777777781</v>
      </c>
      <c r="E3241" s="4">
        <v>130</v>
      </c>
      <c r="F3241" s="22">
        <v>20</v>
      </c>
      <c r="G3241" s="4">
        <v>0.25290921822033896</v>
      </c>
      <c r="H3241" s="4" t="s">
        <v>124</v>
      </c>
    </row>
    <row r="3242" spans="1:8" x14ac:dyDescent="0.25">
      <c r="A3242" s="4">
        <v>2013</v>
      </c>
      <c r="B3242" s="4">
        <v>269</v>
      </c>
      <c r="C3242" s="20">
        <v>41543</v>
      </c>
      <c r="D3242" s="16">
        <v>0.36458333333333331</v>
      </c>
      <c r="E3242" s="4">
        <v>110</v>
      </c>
      <c r="F3242" s="22">
        <v>1</v>
      </c>
      <c r="G3242" s="4">
        <v>0.32531588629943503</v>
      </c>
      <c r="H3242" s="4" t="s">
        <v>123</v>
      </c>
    </row>
    <row r="3243" spans="1:8" x14ac:dyDescent="0.25">
      <c r="A3243" s="4">
        <v>2013</v>
      </c>
      <c r="B3243" s="4">
        <v>269</v>
      </c>
      <c r="C3243" s="20">
        <v>41543</v>
      </c>
      <c r="D3243" s="16">
        <v>0.37152777777777773</v>
      </c>
      <c r="E3243" s="4">
        <v>110</v>
      </c>
      <c r="F3243" s="22">
        <v>2</v>
      </c>
      <c r="G3243" s="4">
        <v>0.30355352401129942</v>
      </c>
      <c r="H3243" s="4" t="s">
        <v>123</v>
      </c>
    </row>
    <row r="3244" spans="1:8" x14ac:dyDescent="0.25">
      <c r="A3244" s="4">
        <v>2013</v>
      </c>
      <c r="B3244" s="4">
        <v>269</v>
      </c>
      <c r="C3244" s="20">
        <v>41543</v>
      </c>
      <c r="D3244" s="16">
        <v>0.37777777777777777</v>
      </c>
      <c r="E3244" s="4">
        <v>110</v>
      </c>
      <c r="F3244" s="22">
        <v>3</v>
      </c>
      <c r="G3244" s="4">
        <v>0.30099731002824859</v>
      </c>
      <c r="H3244" s="4" t="s">
        <v>123</v>
      </c>
    </row>
    <row r="3245" spans="1:8" x14ac:dyDescent="0.25">
      <c r="A3245" s="4">
        <v>2013</v>
      </c>
      <c r="B3245" s="4">
        <v>269</v>
      </c>
      <c r="C3245" s="20">
        <v>41543</v>
      </c>
      <c r="D3245" s="16">
        <v>0.38541666666666669</v>
      </c>
      <c r="E3245" s="4">
        <v>110</v>
      </c>
      <c r="F3245" s="22">
        <v>4</v>
      </c>
      <c r="G3245" s="4">
        <v>0.31066947104519771</v>
      </c>
      <c r="H3245" s="4" t="s">
        <v>123</v>
      </c>
    </row>
    <row r="3246" spans="1:8" x14ac:dyDescent="0.25">
      <c r="A3246" s="4">
        <v>2013</v>
      </c>
      <c r="B3246" s="4">
        <v>269</v>
      </c>
      <c r="C3246" s="20">
        <v>41543</v>
      </c>
      <c r="D3246" s="16">
        <v>0.39305555555555555</v>
      </c>
      <c r="E3246" s="4">
        <v>110</v>
      </c>
      <c r="F3246" s="22">
        <v>5</v>
      </c>
      <c r="G3246" s="4">
        <v>0.30330020550847459</v>
      </c>
      <c r="H3246" s="4" t="s">
        <v>0</v>
      </c>
    </row>
    <row r="3247" spans="1:8" x14ac:dyDescent="0.25">
      <c r="A3247" s="4">
        <v>2013</v>
      </c>
      <c r="B3247" s="4">
        <v>269</v>
      </c>
      <c r="C3247" s="20">
        <v>41543</v>
      </c>
      <c r="D3247" s="16">
        <v>0.39861111111111108</v>
      </c>
      <c r="E3247" s="4">
        <v>110</v>
      </c>
      <c r="F3247" s="22">
        <v>6</v>
      </c>
      <c r="G3247" s="4">
        <v>0.3060406511299435</v>
      </c>
      <c r="H3247" s="4" t="s">
        <v>0</v>
      </c>
    </row>
    <row r="3248" spans="1:8" x14ac:dyDescent="0.25">
      <c r="A3248" s="4">
        <v>2013</v>
      </c>
      <c r="B3248" s="4">
        <v>269</v>
      </c>
      <c r="C3248" s="20">
        <v>41543</v>
      </c>
      <c r="D3248" s="16">
        <v>0.4055555555555555</v>
      </c>
      <c r="E3248" s="4">
        <v>110</v>
      </c>
      <c r="F3248" s="22">
        <v>7</v>
      </c>
      <c r="G3248" s="4">
        <v>0.31753209957627115</v>
      </c>
      <c r="H3248" s="4" t="s">
        <v>123</v>
      </c>
    </row>
    <row r="3249" spans="1:8" x14ac:dyDescent="0.25">
      <c r="A3249" s="4">
        <v>2013</v>
      </c>
      <c r="B3249" s="4">
        <v>269</v>
      </c>
      <c r="C3249" s="20">
        <v>41543</v>
      </c>
      <c r="D3249" s="16">
        <v>0.41250000000000003</v>
      </c>
      <c r="E3249" s="4">
        <v>110</v>
      </c>
      <c r="F3249" s="22">
        <v>8</v>
      </c>
      <c r="G3249" s="4">
        <v>0.32607584180790961</v>
      </c>
      <c r="H3249" s="4" t="s">
        <v>123</v>
      </c>
    </row>
    <row r="3250" spans="1:8" x14ac:dyDescent="0.25">
      <c r="A3250" s="4">
        <v>2013</v>
      </c>
      <c r="B3250" s="4">
        <v>269</v>
      </c>
      <c r="C3250" s="20">
        <v>41543</v>
      </c>
      <c r="D3250" s="16">
        <v>0.4201388888888889</v>
      </c>
      <c r="E3250" s="4">
        <v>110</v>
      </c>
      <c r="F3250" s="22">
        <v>9</v>
      </c>
      <c r="G3250" s="4">
        <v>0.31497588559322032</v>
      </c>
      <c r="H3250" s="4" t="s">
        <v>123</v>
      </c>
    </row>
    <row r="3251" spans="1:8" x14ac:dyDescent="0.25">
      <c r="A3251" s="4">
        <v>2013</v>
      </c>
      <c r="B3251" s="4">
        <v>269</v>
      </c>
      <c r="C3251" s="20">
        <v>41543</v>
      </c>
      <c r="D3251" s="16">
        <v>0.42708333333333331</v>
      </c>
      <c r="E3251" s="4">
        <v>110</v>
      </c>
      <c r="F3251" s="22">
        <v>10</v>
      </c>
      <c r="G3251" s="4">
        <v>0.29401953672316383</v>
      </c>
      <c r="H3251" s="4" t="s">
        <v>123</v>
      </c>
    </row>
    <row r="3252" spans="1:8" x14ac:dyDescent="0.25">
      <c r="A3252" s="4">
        <v>2013</v>
      </c>
      <c r="B3252" s="4">
        <v>269</v>
      </c>
      <c r="C3252" s="20">
        <v>41543</v>
      </c>
      <c r="D3252" s="16">
        <v>0.4513888888888889</v>
      </c>
      <c r="E3252" s="4">
        <v>110</v>
      </c>
      <c r="F3252" s="22">
        <v>11</v>
      </c>
      <c r="G3252" s="4">
        <v>0.28070880084745758</v>
      </c>
      <c r="H3252" s="4" t="s">
        <v>124</v>
      </c>
    </row>
    <row r="3253" spans="1:8" x14ac:dyDescent="0.25">
      <c r="A3253" s="4">
        <v>2013</v>
      </c>
      <c r="B3253" s="4">
        <v>269</v>
      </c>
      <c r="C3253" s="20">
        <v>41543</v>
      </c>
      <c r="D3253" s="16">
        <v>0.46527777777777773</v>
      </c>
      <c r="E3253" s="4">
        <v>110</v>
      </c>
      <c r="F3253" s="22">
        <v>12</v>
      </c>
      <c r="G3253" s="4">
        <v>0.31433107485875705</v>
      </c>
      <c r="H3253" s="4" t="s">
        <v>124</v>
      </c>
    </row>
    <row r="3254" spans="1:8" x14ac:dyDescent="0.25">
      <c r="A3254" s="4">
        <v>2013</v>
      </c>
      <c r="B3254" s="4">
        <v>269</v>
      </c>
      <c r="C3254" s="20">
        <v>41543</v>
      </c>
      <c r="D3254" s="16">
        <v>0.47291666666666665</v>
      </c>
      <c r="E3254" s="4">
        <v>110</v>
      </c>
      <c r="F3254" s="22">
        <v>13</v>
      </c>
      <c r="G3254" s="4">
        <v>0.30030644138418078</v>
      </c>
      <c r="H3254" s="4" t="s">
        <v>124</v>
      </c>
    </row>
    <row r="3255" spans="1:8" x14ac:dyDescent="0.25">
      <c r="A3255" s="4">
        <v>2013</v>
      </c>
      <c r="B3255" s="4">
        <v>269</v>
      </c>
      <c r="C3255" s="20">
        <v>41543</v>
      </c>
      <c r="D3255" s="16">
        <v>0.47986111111111113</v>
      </c>
      <c r="E3255" s="4">
        <v>110</v>
      </c>
      <c r="F3255" s="22">
        <v>14</v>
      </c>
      <c r="G3255" s="4">
        <v>0.29597699788135595</v>
      </c>
      <c r="H3255" s="4" t="s">
        <v>124</v>
      </c>
    </row>
    <row r="3256" spans="1:8" x14ac:dyDescent="0.25">
      <c r="A3256" s="4">
        <v>2013</v>
      </c>
      <c r="B3256" s="4">
        <v>269</v>
      </c>
      <c r="C3256" s="20">
        <v>41543</v>
      </c>
      <c r="D3256" s="16">
        <v>0.48749999999999999</v>
      </c>
      <c r="E3256" s="4">
        <v>110</v>
      </c>
      <c r="F3256" s="22">
        <v>15</v>
      </c>
      <c r="G3256" s="4">
        <v>0.28879196398305085</v>
      </c>
      <c r="H3256" s="4" t="s">
        <v>1</v>
      </c>
    </row>
    <row r="3257" spans="1:8" x14ac:dyDescent="0.25">
      <c r="A3257" s="4">
        <v>2013</v>
      </c>
      <c r="B3257" s="4">
        <v>269</v>
      </c>
      <c r="C3257" s="20">
        <v>41543</v>
      </c>
      <c r="D3257" s="16">
        <v>0.49583333333333335</v>
      </c>
      <c r="E3257" s="4">
        <v>110</v>
      </c>
      <c r="F3257" s="22">
        <v>16</v>
      </c>
      <c r="G3257" s="4">
        <v>0.2775308050847457</v>
      </c>
      <c r="H3257" s="4" t="s">
        <v>1</v>
      </c>
    </row>
    <row r="3258" spans="1:8" x14ac:dyDescent="0.25">
      <c r="A3258" s="4">
        <v>2013</v>
      </c>
      <c r="B3258" s="4">
        <v>269</v>
      </c>
      <c r="C3258" s="20">
        <v>41543</v>
      </c>
      <c r="D3258" s="16">
        <v>0.50069444444444444</v>
      </c>
      <c r="E3258" s="4">
        <v>110</v>
      </c>
      <c r="F3258" s="22">
        <v>17</v>
      </c>
      <c r="G3258" s="4">
        <v>0.30138880225988701</v>
      </c>
      <c r="H3258" s="4" t="s">
        <v>124</v>
      </c>
    </row>
    <row r="3259" spans="1:8" x14ac:dyDescent="0.25">
      <c r="A3259" s="4">
        <v>2013</v>
      </c>
      <c r="B3259" s="4">
        <v>269</v>
      </c>
      <c r="C3259" s="20">
        <v>41543</v>
      </c>
      <c r="D3259" s="16">
        <v>0.5083333333333333</v>
      </c>
      <c r="E3259" s="4">
        <v>110</v>
      </c>
      <c r="F3259" s="22">
        <v>18</v>
      </c>
      <c r="G3259" s="4">
        <v>0.3114985134180791</v>
      </c>
      <c r="H3259" s="4" t="s">
        <v>124</v>
      </c>
    </row>
    <row r="3260" spans="1:8" x14ac:dyDescent="0.25">
      <c r="A3260" s="4">
        <v>2013</v>
      </c>
      <c r="B3260" s="4">
        <v>269</v>
      </c>
      <c r="C3260" s="20">
        <v>41543</v>
      </c>
      <c r="D3260" s="16">
        <v>0.51458333333333328</v>
      </c>
      <c r="E3260" s="4">
        <v>110</v>
      </c>
      <c r="F3260" s="22">
        <v>19</v>
      </c>
      <c r="G3260" s="4">
        <v>0.31198212146892651</v>
      </c>
      <c r="H3260" s="4" t="s">
        <v>124</v>
      </c>
    </row>
    <row r="3261" spans="1:8" x14ac:dyDescent="0.25">
      <c r="A3261" s="4">
        <v>2013</v>
      </c>
      <c r="B3261" s="4">
        <v>269</v>
      </c>
      <c r="C3261" s="20">
        <v>41543</v>
      </c>
      <c r="D3261" s="16">
        <v>0.52152777777777781</v>
      </c>
      <c r="E3261" s="4">
        <v>110</v>
      </c>
      <c r="F3261" s="22">
        <v>20</v>
      </c>
      <c r="G3261" s="4">
        <v>0.27508973587570623</v>
      </c>
      <c r="H3261" s="4" t="s">
        <v>124</v>
      </c>
    </row>
    <row r="3262" spans="1:8" x14ac:dyDescent="0.25">
      <c r="A3262" s="4">
        <v>2013</v>
      </c>
      <c r="B3262" s="4">
        <v>269</v>
      </c>
      <c r="C3262" s="20">
        <v>41543</v>
      </c>
      <c r="D3262" s="16">
        <v>0.36458333333333331</v>
      </c>
      <c r="E3262" s="4">
        <v>90</v>
      </c>
      <c r="F3262" s="22">
        <v>1</v>
      </c>
      <c r="G3262" s="4">
        <v>0.29001249858757061</v>
      </c>
      <c r="H3262" s="4" t="s">
        <v>123</v>
      </c>
    </row>
    <row r="3263" spans="1:8" x14ac:dyDescent="0.25">
      <c r="A3263" s="4">
        <v>2013</v>
      </c>
      <c r="B3263" s="4">
        <v>269</v>
      </c>
      <c r="C3263" s="20">
        <v>41543</v>
      </c>
      <c r="D3263" s="16">
        <v>0.37152777777777773</v>
      </c>
      <c r="E3263" s="4">
        <v>90</v>
      </c>
      <c r="F3263" s="22">
        <v>2</v>
      </c>
      <c r="G3263" s="4">
        <v>0.26369040324858756</v>
      </c>
      <c r="H3263" s="4" t="s">
        <v>123</v>
      </c>
    </row>
    <row r="3264" spans="1:8" x14ac:dyDescent="0.25">
      <c r="A3264" s="4">
        <v>2013</v>
      </c>
      <c r="B3264" s="4">
        <v>269</v>
      </c>
      <c r="C3264" s="20">
        <v>41543</v>
      </c>
      <c r="D3264" s="16">
        <v>0.37777777777777777</v>
      </c>
      <c r="E3264" s="4">
        <v>90</v>
      </c>
      <c r="F3264" s="22">
        <v>3</v>
      </c>
      <c r="G3264" s="4">
        <v>0.25860100423728816</v>
      </c>
      <c r="H3264" s="4" t="s">
        <v>123</v>
      </c>
    </row>
    <row r="3265" spans="1:8" x14ac:dyDescent="0.25">
      <c r="A3265" s="4">
        <v>2013</v>
      </c>
      <c r="B3265" s="4">
        <v>269</v>
      </c>
      <c r="C3265" s="20">
        <v>41543</v>
      </c>
      <c r="D3265" s="16">
        <v>0.38541666666666669</v>
      </c>
      <c r="E3265" s="4">
        <v>90</v>
      </c>
      <c r="F3265" s="22">
        <v>4</v>
      </c>
      <c r="G3265" s="4">
        <v>0.26702960169491524</v>
      </c>
      <c r="H3265" s="4" t="s">
        <v>123</v>
      </c>
    </row>
    <row r="3266" spans="1:8" x14ac:dyDescent="0.25">
      <c r="A3266" s="4">
        <v>2013</v>
      </c>
      <c r="B3266" s="4">
        <v>269</v>
      </c>
      <c r="C3266" s="20">
        <v>41543</v>
      </c>
      <c r="D3266" s="16">
        <v>0.39305555555555555</v>
      </c>
      <c r="E3266" s="4">
        <v>90</v>
      </c>
      <c r="F3266" s="22">
        <v>5</v>
      </c>
      <c r="G3266" s="4">
        <v>0.27115178460451977</v>
      </c>
      <c r="H3266" s="4" t="s">
        <v>0</v>
      </c>
    </row>
    <row r="3267" spans="1:8" x14ac:dyDescent="0.25">
      <c r="A3267" s="4">
        <v>2013</v>
      </c>
      <c r="B3267" s="4">
        <v>269</v>
      </c>
      <c r="C3267" s="20">
        <v>41543</v>
      </c>
      <c r="D3267" s="16">
        <v>0.39861111111111108</v>
      </c>
      <c r="E3267" s="4">
        <v>90</v>
      </c>
      <c r="F3267" s="22">
        <v>6</v>
      </c>
      <c r="G3267" s="4">
        <v>0.26260804237288132</v>
      </c>
      <c r="H3267" s="4" t="s">
        <v>0</v>
      </c>
    </row>
    <row r="3268" spans="1:8" x14ac:dyDescent="0.25">
      <c r="A3268" s="4">
        <v>2013</v>
      </c>
      <c r="B3268" s="4">
        <v>269</v>
      </c>
      <c r="C3268" s="20">
        <v>41543</v>
      </c>
      <c r="D3268" s="16">
        <v>0.4055555555555555</v>
      </c>
      <c r="E3268" s="4">
        <v>90</v>
      </c>
      <c r="F3268" s="22">
        <v>7</v>
      </c>
      <c r="G3268" s="4">
        <v>0.26380554802259887</v>
      </c>
      <c r="H3268" s="4" t="s">
        <v>123</v>
      </c>
    </row>
    <row r="3269" spans="1:8" x14ac:dyDescent="0.25">
      <c r="A3269" s="4">
        <v>2013</v>
      </c>
      <c r="B3269" s="4">
        <v>269</v>
      </c>
      <c r="C3269" s="20">
        <v>41543</v>
      </c>
      <c r="D3269" s="16">
        <v>0.41250000000000003</v>
      </c>
      <c r="E3269" s="4">
        <v>90</v>
      </c>
      <c r="F3269" s="22">
        <v>8</v>
      </c>
      <c r="G3269" s="4">
        <v>0.27644844420903952</v>
      </c>
      <c r="H3269" s="4" t="s">
        <v>123</v>
      </c>
    </row>
    <row r="3270" spans="1:8" x14ac:dyDescent="0.25">
      <c r="A3270" s="4">
        <v>2013</v>
      </c>
      <c r="B3270" s="4">
        <v>269</v>
      </c>
      <c r="C3270" s="20">
        <v>41543</v>
      </c>
      <c r="D3270" s="16">
        <v>0.4201388888888889</v>
      </c>
      <c r="E3270" s="4">
        <v>90</v>
      </c>
      <c r="F3270" s="22">
        <v>9</v>
      </c>
      <c r="G3270" s="4">
        <v>0.26643084887005647</v>
      </c>
      <c r="H3270" s="4" t="s">
        <v>123</v>
      </c>
    </row>
    <row r="3271" spans="1:8" x14ac:dyDescent="0.25">
      <c r="A3271" s="4">
        <v>2013</v>
      </c>
      <c r="B3271" s="4">
        <v>269</v>
      </c>
      <c r="C3271" s="20">
        <v>41543</v>
      </c>
      <c r="D3271" s="16">
        <v>0.42708333333333331</v>
      </c>
      <c r="E3271" s="4">
        <v>90</v>
      </c>
      <c r="F3271" s="22">
        <v>10</v>
      </c>
      <c r="G3271" s="4">
        <v>0.27025365536723162</v>
      </c>
      <c r="H3271" s="4" t="s">
        <v>123</v>
      </c>
    </row>
    <row r="3272" spans="1:8" x14ac:dyDescent="0.25">
      <c r="A3272" s="4">
        <v>2013</v>
      </c>
      <c r="B3272" s="4">
        <v>269</v>
      </c>
      <c r="C3272" s="20">
        <v>41543</v>
      </c>
      <c r="D3272" s="16">
        <v>0.4513888888888889</v>
      </c>
      <c r="E3272" s="4">
        <v>90</v>
      </c>
      <c r="F3272" s="22">
        <v>11</v>
      </c>
      <c r="G3272" s="4">
        <v>0.26613147245762708</v>
      </c>
      <c r="H3272" s="4" t="s">
        <v>124</v>
      </c>
    </row>
    <row r="3273" spans="1:8" x14ac:dyDescent="0.25">
      <c r="A3273" s="4">
        <v>2013</v>
      </c>
      <c r="B3273" s="4">
        <v>269</v>
      </c>
      <c r="C3273" s="20">
        <v>41543</v>
      </c>
      <c r="D3273" s="16">
        <v>0.46527777777777773</v>
      </c>
      <c r="E3273" s="4">
        <v>90</v>
      </c>
      <c r="F3273" s="22">
        <v>12</v>
      </c>
      <c r="G3273" s="4">
        <v>0.2806166850282486</v>
      </c>
      <c r="H3273" s="4" t="s">
        <v>124</v>
      </c>
    </row>
    <row r="3274" spans="1:8" x14ac:dyDescent="0.25">
      <c r="A3274" s="4">
        <v>2013</v>
      </c>
      <c r="B3274" s="4">
        <v>269</v>
      </c>
      <c r="C3274" s="20">
        <v>41543</v>
      </c>
      <c r="D3274" s="16">
        <v>0.47291666666666665</v>
      </c>
      <c r="E3274" s="4">
        <v>90</v>
      </c>
      <c r="F3274" s="22">
        <v>13</v>
      </c>
      <c r="G3274" s="4">
        <v>0.25719623799435026</v>
      </c>
      <c r="H3274" s="4" t="s">
        <v>124</v>
      </c>
    </row>
    <row r="3275" spans="1:8" x14ac:dyDescent="0.25">
      <c r="A3275" s="4">
        <v>2013</v>
      </c>
      <c r="B3275" s="4">
        <v>269</v>
      </c>
      <c r="C3275" s="20">
        <v>41543</v>
      </c>
      <c r="D3275" s="16">
        <v>0.47986111111111113</v>
      </c>
      <c r="E3275" s="4">
        <v>90</v>
      </c>
      <c r="F3275" s="22">
        <v>14</v>
      </c>
      <c r="G3275" s="4">
        <v>0.25689686158192093</v>
      </c>
      <c r="H3275" s="4" t="s">
        <v>124</v>
      </c>
    </row>
    <row r="3276" spans="1:8" x14ac:dyDescent="0.25">
      <c r="A3276" s="4">
        <v>2013</v>
      </c>
      <c r="B3276" s="4">
        <v>269</v>
      </c>
      <c r="C3276" s="20">
        <v>41543</v>
      </c>
      <c r="D3276" s="16">
        <v>0.48749999999999999</v>
      </c>
      <c r="E3276" s="4">
        <v>90</v>
      </c>
      <c r="F3276" s="22">
        <v>15</v>
      </c>
      <c r="G3276" s="4">
        <v>0.25362675000000001</v>
      </c>
      <c r="H3276" s="4" t="s">
        <v>1</v>
      </c>
    </row>
    <row r="3277" spans="1:8" x14ac:dyDescent="0.25">
      <c r="A3277" s="4">
        <v>2013</v>
      </c>
      <c r="B3277" s="4">
        <v>269</v>
      </c>
      <c r="C3277" s="20">
        <v>41543</v>
      </c>
      <c r="D3277" s="16">
        <v>0.49583333333333335</v>
      </c>
      <c r="E3277" s="4">
        <v>90</v>
      </c>
      <c r="F3277" s="22">
        <v>16</v>
      </c>
      <c r="G3277" s="4">
        <v>0.2406614484463277</v>
      </c>
      <c r="H3277" s="4" t="s">
        <v>1</v>
      </c>
    </row>
    <row r="3278" spans="1:8" x14ac:dyDescent="0.25">
      <c r="A3278" s="4">
        <v>2013</v>
      </c>
      <c r="B3278" s="4">
        <v>269</v>
      </c>
      <c r="C3278" s="20">
        <v>41543</v>
      </c>
      <c r="D3278" s="16">
        <v>0.50069444444444444</v>
      </c>
      <c r="E3278" s="4">
        <v>90</v>
      </c>
      <c r="F3278" s="22">
        <v>17</v>
      </c>
      <c r="G3278" s="4">
        <v>0.26629267514124294</v>
      </c>
      <c r="H3278" s="4" t="s">
        <v>124</v>
      </c>
    </row>
    <row r="3279" spans="1:8" x14ac:dyDescent="0.25">
      <c r="A3279" s="4">
        <v>2013</v>
      </c>
      <c r="B3279" s="4">
        <v>269</v>
      </c>
      <c r="C3279" s="20">
        <v>41543</v>
      </c>
      <c r="D3279" s="16">
        <v>0.5083333333333333</v>
      </c>
      <c r="E3279" s="4">
        <v>90</v>
      </c>
      <c r="F3279" s="22">
        <v>18</v>
      </c>
      <c r="G3279" s="4">
        <v>0.27568848870056495</v>
      </c>
      <c r="H3279" s="4" t="s">
        <v>124</v>
      </c>
    </row>
    <row r="3280" spans="1:8" x14ac:dyDescent="0.25">
      <c r="A3280" s="4">
        <v>2013</v>
      </c>
      <c r="B3280" s="4">
        <v>269</v>
      </c>
      <c r="C3280" s="20">
        <v>41543</v>
      </c>
      <c r="D3280" s="16">
        <v>0.51458333333333328</v>
      </c>
      <c r="E3280" s="4">
        <v>90</v>
      </c>
      <c r="F3280" s="22">
        <v>19</v>
      </c>
      <c r="G3280" s="4">
        <v>0.27041485805084742</v>
      </c>
      <c r="H3280" s="4" t="s">
        <v>124</v>
      </c>
    </row>
    <row r="3281" spans="1:8" x14ac:dyDescent="0.25">
      <c r="A3281" s="4">
        <v>2013</v>
      </c>
      <c r="B3281" s="4">
        <v>269</v>
      </c>
      <c r="C3281" s="20">
        <v>41543</v>
      </c>
      <c r="D3281" s="16">
        <v>0.52152777777777781</v>
      </c>
      <c r="E3281" s="4">
        <v>90</v>
      </c>
      <c r="F3281" s="22">
        <v>20</v>
      </c>
      <c r="G3281" s="4">
        <v>0.26696051483050842</v>
      </c>
      <c r="H3281" s="4" t="s">
        <v>124</v>
      </c>
    </row>
    <row r="3282" spans="1:8" x14ac:dyDescent="0.25">
      <c r="A3282" s="4">
        <v>2013</v>
      </c>
      <c r="B3282" s="4">
        <v>269</v>
      </c>
      <c r="C3282" s="20">
        <v>41543</v>
      </c>
      <c r="D3282" s="16">
        <v>0.36458333333333331</v>
      </c>
      <c r="E3282" s="4">
        <v>70</v>
      </c>
      <c r="F3282" s="22">
        <v>1</v>
      </c>
      <c r="G3282" s="4">
        <v>0.27637935734463276</v>
      </c>
      <c r="H3282" s="4" t="s">
        <v>123</v>
      </c>
    </row>
    <row r="3283" spans="1:8" x14ac:dyDescent="0.25">
      <c r="A3283" s="4">
        <v>2013</v>
      </c>
      <c r="B3283" s="4">
        <v>269</v>
      </c>
      <c r="C3283" s="20">
        <v>41543</v>
      </c>
      <c r="D3283" s="16">
        <v>0.37152777777777773</v>
      </c>
      <c r="E3283" s="4">
        <v>70</v>
      </c>
      <c r="F3283" s="22">
        <v>2</v>
      </c>
      <c r="G3283" s="4">
        <v>0.27534305437853107</v>
      </c>
      <c r="H3283" s="4" t="s">
        <v>123</v>
      </c>
    </row>
    <row r="3284" spans="1:8" x14ac:dyDescent="0.25">
      <c r="A3284" s="4">
        <v>2013</v>
      </c>
      <c r="B3284" s="4">
        <v>269</v>
      </c>
      <c r="C3284" s="20">
        <v>41543</v>
      </c>
      <c r="D3284" s="16">
        <v>0.37777777777777777</v>
      </c>
      <c r="E3284" s="4">
        <v>70</v>
      </c>
      <c r="F3284" s="22">
        <v>3</v>
      </c>
      <c r="G3284" s="4">
        <v>0.26682234110169489</v>
      </c>
      <c r="H3284" s="4" t="s">
        <v>123</v>
      </c>
    </row>
    <row r="3285" spans="1:8" x14ac:dyDescent="0.25">
      <c r="A3285" s="4">
        <v>2013</v>
      </c>
      <c r="B3285" s="4">
        <v>269</v>
      </c>
      <c r="C3285" s="20">
        <v>41543</v>
      </c>
      <c r="D3285" s="16">
        <v>0.38541666666666669</v>
      </c>
      <c r="E3285" s="4">
        <v>70</v>
      </c>
      <c r="F3285" s="22">
        <v>4</v>
      </c>
      <c r="G3285" s="4">
        <v>0.26099601553672314</v>
      </c>
      <c r="H3285" s="4" t="s">
        <v>123</v>
      </c>
    </row>
    <row r="3286" spans="1:8" x14ac:dyDescent="0.25">
      <c r="A3286" s="4">
        <v>2013</v>
      </c>
      <c r="B3286" s="4">
        <v>269</v>
      </c>
      <c r="C3286" s="20">
        <v>41543</v>
      </c>
      <c r="D3286" s="16">
        <v>0.39305555555555555</v>
      </c>
      <c r="E3286" s="4">
        <v>70</v>
      </c>
      <c r="F3286" s="22">
        <v>5</v>
      </c>
      <c r="G3286" s="4">
        <v>0.28153784322033892</v>
      </c>
      <c r="H3286" s="4" t="s">
        <v>0</v>
      </c>
    </row>
    <row r="3287" spans="1:8" x14ac:dyDescent="0.25">
      <c r="A3287" s="4">
        <v>2013</v>
      </c>
      <c r="B3287" s="4">
        <v>269</v>
      </c>
      <c r="C3287" s="20">
        <v>41543</v>
      </c>
      <c r="D3287" s="16">
        <v>0.39861111111111108</v>
      </c>
      <c r="E3287" s="4">
        <v>70</v>
      </c>
      <c r="F3287" s="22">
        <v>6</v>
      </c>
      <c r="G3287" s="4">
        <v>0.27658661793785305</v>
      </c>
      <c r="H3287" s="4" t="s">
        <v>0</v>
      </c>
    </row>
    <row r="3288" spans="1:8" x14ac:dyDescent="0.25">
      <c r="A3288" s="4">
        <v>2013</v>
      </c>
      <c r="B3288" s="4">
        <v>269</v>
      </c>
      <c r="C3288" s="20">
        <v>41543</v>
      </c>
      <c r="D3288" s="16">
        <v>0.4055555555555555</v>
      </c>
      <c r="E3288" s="4">
        <v>70</v>
      </c>
      <c r="F3288" s="22">
        <v>7</v>
      </c>
      <c r="G3288" s="4">
        <v>0.27200385593220339</v>
      </c>
      <c r="H3288" s="4" t="s">
        <v>123</v>
      </c>
    </row>
    <row r="3289" spans="1:8" x14ac:dyDescent="0.25">
      <c r="A3289" s="4">
        <v>2013</v>
      </c>
      <c r="B3289" s="4">
        <v>269</v>
      </c>
      <c r="C3289" s="20">
        <v>41543</v>
      </c>
      <c r="D3289" s="16">
        <v>0.41250000000000003</v>
      </c>
      <c r="E3289" s="4">
        <v>70</v>
      </c>
      <c r="F3289" s="22">
        <v>8</v>
      </c>
      <c r="G3289" s="4">
        <v>0.26647690677966102</v>
      </c>
      <c r="H3289" s="4" t="s">
        <v>123</v>
      </c>
    </row>
    <row r="3290" spans="1:8" x14ac:dyDescent="0.25">
      <c r="A3290" s="4">
        <v>2013</v>
      </c>
      <c r="B3290" s="4">
        <v>269</v>
      </c>
      <c r="C3290" s="20">
        <v>41543</v>
      </c>
      <c r="D3290" s="16">
        <v>0.4201388888888889</v>
      </c>
      <c r="E3290" s="4">
        <v>70</v>
      </c>
      <c r="F3290" s="22">
        <v>9</v>
      </c>
      <c r="G3290" s="4">
        <v>0.26023606002824856</v>
      </c>
      <c r="H3290" s="4" t="s">
        <v>123</v>
      </c>
    </row>
    <row r="3291" spans="1:8" x14ac:dyDescent="0.25">
      <c r="A3291" s="4">
        <v>2013</v>
      </c>
      <c r="B3291" s="4">
        <v>269</v>
      </c>
      <c r="C3291" s="20">
        <v>41543</v>
      </c>
      <c r="D3291" s="16">
        <v>0.42708333333333331</v>
      </c>
      <c r="E3291" s="4">
        <v>70</v>
      </c>
      <c r="F3291" s="22">
        <v>10</v>
      </c>
      <c r="G3291" s="4">
        <v>0.2858672867231638</v>
      </c>
      <c r="H3291" s="4" t="s">
        <v>123</v>
      </c>
    </row>
    <row r="3292" spans="1:8" x14ac:dyDescent="0.25">
      <c r="A3292" s="4">
        <v>2013</v>
      </c>
      <c r="B3292" s="4">
        <v>269</v>
      </c>
      <c r="C3292" s="20">
        <v>41543</v>
      </c>
      <c r="D3292" s="16">
        <v>0.4513888888888889</v>
      </c>
      <c r="E3292" s="4">
        <v>70</v>
      </c>
      <c r="F3292" s="22">
        <v>11</v>
      </c>
      <c r="G3292" s="4">
        <v>0.28278140677966102</v>
      </c>
      <c r="H3292" s="4" t="s">
        <v>124</v>
      </c>
    </row>
    <row r="3293" spans="1:8" x14ac:dyDescent="0.25">
      <c r="A3293" s="4">
        <v>2013</v>
      </c>
      <c r="B3293" s="4">
        <v>269</v>
      </c>
      <c r="C3293" s="20">
        <v>41543</v>
      </c>
      <c r="D3293" s="16">
        <v>0.46527777777777773</v>
      </c>
      <c r="E3293" s="4">
        <v>70</v>
      </c>
      <c r="F3293" s="22">
        <v>12</v>
      </c>
      <c r="G3293" s="4">
        <v>0.27356982485875708</v>
      </c>
      <c r="H3293" s="4" t="s">
        <v>124</v>
      </c>
    </row>
    <row r="3294" spans="1:8" x14ac:dyDescent="0.25">
      <c r="A3294" s="4">
        <v>2013</v>
      </c>
      <c r="B3294" s="4">
        <v>269</v>
      </c>
      <c r="C3294" s="20">
        <v>41543</v>
      </c>
      <c r="D3294" s="16">
        <v>0.47291666666666665</v>
      </c>
      <c r="E3294" s="4">
        <v>70</v>
      </c>
      <c r="F3294" s="22">
        <v>13</v>
      </c>
      <c r="G3294" s="4">
        <v>0.26286136087570622</v>
      </c>
      <c r="H3294" s="4" t="s">
        <v>124</v>
      </c>
    </row>
    <row r="3295" spans="1:8" x14ac:dyDescent="0.25">
      <c r="A3295" s="4">
        <v>2013</v>
      </c>
      <c r="B3295" s="4">
        <v>269</v>
      </c>
      <c r="C3295" s="20">
        <v>41543</v>
      </c>
      <c r="D3295" s="16">
        <v>0.47986111111111113</v>
      </c>
      <c r="E3295" s="4">
        <v>70</v>
      </c>
      <c r="F3295" s="22">
        <v>14</v>
      </c>
      <c r="G3295" s="4">
        <v>0.2707142344632768</v>
      </c>
      <c r="H3295" s="4" t="s">
        <v>124</v>
      </c>
    </row>
    <row r="3296" spans="1:8" x14ac:dyDescent="0.25">
      <c r="A3296" s="4">
        <v>2013</v>
      </c>
      <c r="B3296" s="4">
        <v>269</v>
      </c>
      <c r="C3296" s="20">
        <v>41543</v>
      </c>
      <c r="D3296" s="16">
        <v>0.48749999999999999</v>
      </c>
      <c r="E3296" s="4">
        <v>70</v>
      </c>
      <c r="F3296" s="22">
        <v>15</v>
      </c>
      <c r="G3296" s="4">
        <v>0.26521031426553671</v>
      </c>
      <c r="H3296" s="4" t="s">
        <v>1</v>
      </c>
    </row>
    <row r="3297" spans="1:8" x14ac:dyDescent="0.25">
      <c r="A3297" s="4">
        <v>2013</v>
      </c>
      <c r="B3297" s="4">
        <v>269</v>
      </c>
      <c r="C3297" s="20">
        <v>41543</v>
      </c>
      <c r="D3297" s="16">
        <v>0.49583333333333335</v>
      </c>
      <c r="E3297" s="4">
        <v>70</v>
      </c>
      <c r="F3297" s="22">
        <v>16</v>
      </c>
      <c r="G3297" s="4">
        <v>0.25530786370056496</v>
      </c>
      <c r="H3297" s="4" t="s">
        <v>1</v>
      </c>
    </row>
    <row r="3298" spans="1:8" x14ac:dyDescent="0.25">
      <c r="A3298" s="4">
        <v>2013</v>
      </c>
      <c r="B3298" s="4">
        <v>269</v>
      </c>
      <c r="C3298" s="20">
        <v>41543</v>
      </c>
      <c r="D3298" s="16">
        <v>0.50069444444444444</v>
      </c>
      <c r="E3298" s="4">
        <v>70</v>
      </c>
      <c r="F3298" s="22">
        <v>17</v>
      </c>
      <c r="G3298" s="4">
        <v>0.27442189618644064</v>
      </c>
      <c r="H3298" s="4" t="s">
        <v>124</v>
      </c>
    </row>
    <row r="3299" spans="1:8" x14ac:dyDescent="0.25">
      <c r="A3299" s="4">
        <v>2013</v>
      </c>
      <c r="B3299" s="4">
        <v>269</v>
      </c>
      <c r="C3299" s="20">
        <v>41543</v>
      </c>
      <c r="D3299" s="16">
        <v>0.5083333333333333</v>
      </c>
      <c r="E3299" s="4">
        <v>70</v>
      </c>
      <c r="F3299" s="22">
        <v>18</v>
      </c>
      <c r="G3299" s="4">
        <v>0.26532545903954802</v>
      </c>
      <c r="H3299" s="4" t="s">
        <v>124</v>
      </c>
    </row>
    <row r="3300" spans="1:8" x14ac:dyDescent="0.25">
      <c r="A3300" s="4">
        <v>2013</v>
      </c>
      <c r="B3300" s="4">
        <v>269</v>
      </c>
      <c r="C3300" s="20">
        <v>41543</v>
      </c>
      <c r="D3300" s="16">
        <v>0.51458333333333328</v>
      </c>
      <c r="E3300" s="4">
        <v>70</v>
      </c>
      <c r="F3300" s="22">
        <v>19</v>
      </c>
      <c r="G3300" s="4">
        <v>0.26085784180790955</v>
      </c>
      <c r="H3300" s="4" t="s">
        <v>124</v>
      </c>
    </row>
    <row r="3301" spans="1:8" x14ac:dyDescent="0.25">
      <c r="A3301" s="4">
        <v>2013</v>
      </c>
      <c r="B3301" s="4">
        <v>269</v>
      </c>
      <c r="C3301" s="20">
        <v>41543</v>
      </c>
      <c r="D3301" s="16">
        <v>0.52152777777777781</v>
      </c>
      <c r="E3301" s="4">
        <v>70</v>
      </c>
      <c r="F3301" s="22">
        <v>20</v>
      </c>
      <c r="G3301" s="4">
        <v>0.27409949081920898</v>
      </c>
      <c r="H3301" s="4" t="s">
        <v>124</v>
      </c>
    </row>
    <row r="3302" spans="1:8" x14ac:dyDescent="0.25">
      <c r="A3302" s="4">
        <v>2013</v>
      </c>
      <c r="B3302" s="4">
        <v>269</v>
      </c>
      <c r="C3302" s="20">
        <v>41543</v>
      </c>
      <c r="D3302" s="16">
        <v>0.36458333333333331</v>
      </c>
      <c r="E3302" s="4">
        <v>50</v>
      </c>
      <c r="F3302" s="22">
        <v>1</v>
      </c>
      <c r="G3302" s="4">
        <v>0.2804094244350282</v>
      </c>
      <c r="H3302" s="4" t="s">
        <v>123</v>
      </c>
    </row>
    <row r="3303" spans="1:8" x14ac:dyDescent="0.25">
      <c r="A3303" s="4">
        <v>2013</v>
      </c>
      <c r="B3303" s="4">
        <v>269</v>
      </c>
      <c r="C3303" s="20">
        <v>41543</v>
      </c>
      <c r="D3303" s="16">
        <v>0.37152777777777773</v>
      </c>
      <c r="E3303" s="4">
        <v>50</v>
      </c>
      <c r="F3303" s="22">
        <v>2</v>
      </c>
      <c r="G3303" s="4">
        <v>0.28342621751412428</v>
      </c>
      <c r="H3303" s="4" t="s">
        <v>123</v>
      </c>
    </row>
    <row r="3304" spans="1:8" x14ac:dyDescent="0.25">
      <c r="A3304" s="4">
        <v>2013</v>
      </c>
      <c r="B3304" s="4">
        <v>269</v>
      </c>
      <c r="C3304" s="20">
        <v>41543</v>
      </c>
      <c r="D3304" s="16">
        <v>0.37777777777777777</v>
      </c>
      <c r="E3304" s="4">
        <v>50</v>
      </c>
      <c r="F3304" s="22">
        <v>3</v>
      </c>
      <c r="G3304" s="4">
        <v>0.29187784392655364</v>
      </c>
      <c r="H3304" s="4" t="s">
        <v>123</v>
      </c>
    </row>
    <row r="3305" spans="1:8" x14ac:dyDescent="0.25">
      <c r="A3305" s="4">
        <v>2013</v>
      </c>
      <c r="B3305" s="4">
        <v>269</v>
      </c>
      <c r="C3305" s="20">
        <v>41543</v>
      </c>
      <c r="D3305" s="16">
        <v>0.38541666666666669</v>
      </c>
      <c r="E3305" s="4">
        <v>50</v>
      </c>
      <c r="F3305" s="22">
        <v>4</v>
      </c>
      <c r="G3305" s="4">
        <v>0.2789355713276836</v>
      </c>
      <c r="H3305" s="4" t="s">
        <v>123</v>
      </c>
    </row>
    <row r="3306" spans="1:8" x14ac:dyDescent="0.25">
      <c r="A3306" s="4">
        <v>2013</v>
      </c>
      <c r="B3306" s="4">
        <v>269</v>
      </c>
      <c r="C3306" s="20">
        <v>41543</v>
      </c>
      <c r="D3306" s="16">
        <v>0.39305555555555555</v>
      </c>
      <c r="E3306" s="4">
        <v>50</v>
      </c>
      <c r="F3306" s="22">
        <v>5</v>
      </c>
      <c r="G3306" s="4">
        <v>0.29114091737288134</v>
      </c>
      <c r="H3306" s="4" t="s">
        <v>0</v>
      </c>
    </row>
    <row r="3307" spans="1:8" x14ac:dyDescent="0.25">
      <c r="A3307" s="4">
        <v>2013</v>
      </c>
      <c r="B3307" s="4">
        <v>269</v>
      </c>
      <c r="C3307" s="20">
        <v>41543</v>
      </c>
      <c r="D3307" s="16">
        <v>0.39861111111111108</v>
      </c>
      <c r="E3307" s="4">
        <v>50</v>
      </c>
      <c r="F3307" s="22">
        <v>6</v>
      </c>
      <c r="G3307" s="4">
        <v>0.29738176412429379</v>
      </c>
      <c r="H3307" s="4" t="s">
        <v>0</v>
      </c>
    </row>
    <row r="3308" spans="1:8" x14ac:dyDescent="0.25">
      <c r="A3308" s="4">
        <v>2013</v>
      </c>
      <c r="B3308" s="4">
        <v>269</v>
      </c>
      <c r="C3308" s="20">
        <v>41543</v>
      </c>
      <c r="D3308" s="16">
        <v>0.4055555555555555</v>
      </c>
      <c r="E3308" s="4">
        <v>50</v>
      </c>
      <c r="F3308" s="22">
        <v>7</v>
      </c>
      <c r="G3308" s="4">
        <v>0.28595940254237284</v>
      </c>
      <c r="H3308" s="4" t="s">
        <v>123</v>
      </c>
    </row>
    <row r="3309" spans="1:8" x14ac:dyDescent="0.25">
      <c r="A3309" s="4">
        <v>2013</v>
      </c>
      <c r="B3309" s="4">
        <v>269</v>
      </c>
      <c r="C3309" s="20">
        <v>41543</v>
      </c>
      <c r="D3309" s="16">
        <v>0.41250000000000003</v>
      </c>
      <c r="E3309" s="4">
        <v>50</v>
      </c>
      <c r="F3309" s="22">
        <v>8</v>
      </c>
      <c r="G3309" s="4">
        <v>0.28303472528248586</v>
      </c>
      <c r="H3309" s="4" t="s">
        <v>123</v>
      </c>
    </row>
    <row r="3310" spans="1:8" x14ac:dyDescent="0.25">
      <c r="A3310" s="4">
        <v>2013</v>
      </c>
      <c r="B3310" s="4">
        <v>269</v>
      </c>
      <c r="C3310" s="20">
        <v>41543</v>
      </c>
      <c r="D3310" s="16">
        <v>0.4201388888888889</v>
      </c>
      <c r="E3310" s="4">
        <v>50</v>
      </c>
      <c r="F3310" s="22">
        <v>9</v>
      </c>
      <c r="G3310" s="4">
        <v>0.27939615042372878</v>
      </c>
      <c r="H3310" s="4" t="s">
        <v>123</v>
      </c>
    </row>
    <row r="3311" spans="1:8" x14ac:dyDescent="0.25">
      <c r="A3311" s="4">
        <v>2013</v>
      </c>
      <c r="B3311" s="4">
        <v>269</v>
      </c>
      <c r="C3311" s="20">
        <v>41543</v>
      </c>
      <c r="D3311" s="16">
        <v>0.42708333333333331</v>
      </c>
      <c r="E3311" s="4">
        <v>50</v>
      </c>
      <c r="F3311" s="22">
        <v>10</v>
      </c>
      <c r="G3311" s="4">
        <v>0.29272991525423731</v>
      </c>
      <c r="H3311" s="4" t="s">
        <v>123</v>
      </c>
    </row>
    <row r="3312" spans="1:8" x14ac:dyDescent="0.25">
      <c r="A3312" s="4">
        <v>2013</v>
      </c>
      <c r="B3312" s="4">
        <v>269</v>
      </c>
      <c r="C3312" s="20">
        <v>41543</v>
      </c>
      <c r="D3312" s="16">
        <v>0.4513888888888889</v>
      </c>
      <c r="E3312" s="4">
        <v>50</v>
      </c>
      <c r="F3312" s="22">
        <v>11</v>
      </c>
      <c r="G3312" s="4">
        <v>0.28243597245762708</v>
      </c>
      <c r="H3312" s="4" t="s">
        <v>124</v>
      </c>
    </row>
    <row r="3313" spans="1:8" x14ac:dyDescent="0.25">
      <c r="A3313" s="4">
        <v>2013</v>
      </c>
      <c r="B3313" s="4">
        <v>269</v>
      </c>
      <c r="C3313" s="20">
        <v>41543</v>
      </c>
      <c r="D3313" s="16">
        <v>0.46527777777777773</v>
      </c>
      <c r="E3313" s="4">
        <v>50</v>
      </c>
      <c r="F3313" s="22">
        <v>12</v>
      </c>
      <c r="G3313" s="4">
        <v>0.30290871327683616</v>
      </c>
      <c r="H3313" s="4" t="s">
        <v>124</v>
      </c>
    </row>
    <row r="3314" spans="1:8" x14ac:dyDescent="0.25">
      <c r="A3314" s="4">
        <v>2013</v>
      </c>
      <c r="B3314" s="4">
        <v>269</v>
      </c>
      <c r="C3314" s="20">
        <v>41543</v>
      </c>
      <c r="D3314" s="16">
        <v>0.47291666666666665</v>
      </c>
      <c r="E3314" s="4">
        <v>50</v>
      </c>
      <c r="F3314" s="22">
        <v>13</v>
      </c>
      <c r="G3314" s="4">
        <v>0.27667873375706215</v>
      </c>
      <c r="H3314" s="4" t="s">
        <v>124</v>
      </c>
    </row>
    <row r="3315" spans="1:8" x14ac:dyDescent="0.25">
      <c r="A3315" s="4">
        <v>2013</v>
      </c>
      <c r="B3315" s="4">
        <v>269</v>
      </c>
      <c r="C3315" s="20">
        <v>41543</v>
      </c>
      <c r="D3315" s="16">
        <v>0.47986111111111113</v>
      </c>
      <c r="E3315" s="4">
        <v>50</v>
      </c>
      <c r="F3315" s="22">
        <v>14</v>
      </c>
      <c r="G3315" s="4">
        <v>0.28810109533898304</v>
      </c>
      <c r="H3315" s="4" t="s">
        <v>124</v>
      </c>
    </row>
    <row r="3316" spans="1:8" x14ac:dyDescent="0.25">
      <c r="A3316" s="4">
        <v>2013</v>
      </c>
      <c r="B3316" s="4">
        <v>269</v>
      </c>
      <c r="C3316" s="20">
        <v>41543</v>
      </c>
      <c r="D3316" s="16">
        <v>0.48749999999999999</v>
      </c>
      <c r="E3316" s="4">
        <v>50</v>
      </c>
      <c r="F3316" s="22">
        <v>15</v>
      </c>
      <c r="G3316" s="4">
        <v>0.28476189689265535</v>
      </c>
      <c r="H3316" s="4" t="s">
        <v>1</v>
      </c>
    </row>
    <row r="3317" spans="1:8" x14ac:dyDescent="0.25">
      <c r="A3317" s="4">
        <v>2013</v>
      </c>
      <c r="B3317" s="4">
        <v>269</v>
      </c>
      <c r="C3317" s="20">
        <v>41543</v>
      </c>
      <c r="D3317" s="16">
        <v>0.49583333333333335</v>
      </c>
      <c r="E3317" s="4">
        <v>50</v>
      </c>
      <c r="F3317" s="22">
        <v>16</v>
      </c>
      <c r="G3317" s="4">
        <v>0.26919432344632765</v>
      </c>
      <c r="H3317" s="4" t="s">
        <v>1</v>
      </c>
    </row>
    <row r="3318" spans="1:8" x14ac:dyDescent="0.25">
      <c r="A3318" s="4">
        <v>2013</v>
      </c>
      <c r="B3318" s="4">
        <v>269</v>
      </c>
      <c r="C3318" s="20">
        <v>41543</v>
      </c>
      <c r="D3318" s="16">
        <v>0.50069444444444444</v>
      </c>
      <c r="E3318" s="4">
        <v>50</v>
      </c>
      <c r="F3318" s="22">
        <v>17</v>
      </c>
      <c r="G3318" s="4">
        <v>0.27082937923728811</v>
      </c>
      <c r="H3318" s="4" t="s">
        <v>124</v>
      </c>
    </row>
    <row r="3319" spans="1:8" x14ac:dyDescent="0.25">
      <c r="A3319" s="4">
        <v>2013</v>
      </c>
      <c r="B3319" s="4">
        <v>269</v>
      </c>
      <c r="C3319" s="20">
        <v>41543</v>
      </c>
      <c r="D3319" s="16">
        <v>0.5083333333333333</v>
      </c>
      <c r="E3319" s="4">
        <v>50</v>
      </c>
      <c r="F3319" s="22">
        <v>18</v>
      </c>
      <c r="G3319" s="4">
        <v>0.28589031567796608</v>
      </c>
      <c r="H3319" s="4" t="s">
        <v>124</v>
      </c>
    </row>
    <row r="3320" spans="1:8" x14ac:dyDescent="0.25">
      <c r="A3320" s="4">
        <v>2013</v>
      </c>
      <c r="B3320" s="4">
        <v>269</v>
      </c>
      <c r="C3320" s="20">
        <v>41543</v>
      </c>
      <c r="D3320" s="16">
        <v>0.51458333333333328</v>
      </c>
      <c r="E3320" s="4">
        <v>50</v>
      </c>
      <c r="F3320" s="22">
        <v>19</v>
      </c>
      <c r="G3320" s="4">
        <v>0.29703632980225986</v>
      </c>
      <c r="H3320" s="4" t="s">
        <v>124</v>
      </c>
    </row>
    <row r="3321" spans="1:8" x14ac:dyDescent="0.25">
      <c r="A3321" s="4">
        <v>2013</v>
      </c>
      <c r="B3321" s="4">
        <v>269</v>
      </c>
      <c r="C3321" s="20">
        <v>41543</v>
      </c>
      <c r="D3321" s="16">
        <v>0.52152777777777781</v>
      </c>
      <c r="E3321" s="4">
        <v>50</v>
      </c>
      <c r="F3321" s="22">
        <v>20</v>
      </c>
      <c r="G3321" s="4">
        <v>0.29675998234463274</v>
      </c>
      <c r="H3321" s="4" t="s">
        <v>124</v>
      </c>
    </row>
    <row r="3322" spans="1:8" x14ac:dyDescent="0.25">
      <c r="A3322" s="4">
        <v>2013</v>
      </c>
      <c r="B3322" s="4">
        <v>269</v>
      </c>
      <c r="C3322" s="20">
        <v>41543</v>
      </c>
      <c r="D3322" s="16">
        <v>0.36458333333333331</v>
      </c>
      <c r="E3322" s="4">
        <v>30</v>
      </c>
      <c r="F3322" s="22">
        <v>1</v>
      </c>
      <c r="G3322" s="4">
        <v>0.27485944632768355</v>
      </c>
      <c r="H3322" s="4" t="s">
        <v>123</v>
      </c>
    </row>
    <row r="3323" spans="1:8" x14ac:dyDescent="0.25">
      <c r="A3323" s="4">
        <v>2013</v>
      </c>
      <c r="B3323" s="4">
        <v>269</v>
      </c>
      <c r="C3323" s="20">
        <v>41543</v>
      </c>
      <c r="D3323" s="16">
        <v>0.37152777777777773</v>
      </c>
      <c r="E3323" s="4">
        <v>30</v>
      </c>
      <c r="F3323" s="22">
        <v>2</v>
      </c>
      <c r="G3323" s="4">
        <v>0.26267712923728814</v>
      </c>
      <c r="H3323" s="4" t="s">
        <v>123</v>
      </c>
    </row>
    <row r="3324" spans="1:8" x14ac:dyDescent="0.25">
      <c r="A3324" s="4">
        <v>2013</v>
      </c>
      <c r="B3324" s="4">
        <v>269</v>
      </c>
      <c r="C3324" s="20">
        <v>41543</v>
      </c>
      <c r="D3324" s="16">
        <v>0.37777777777777777</v>
      </c>
      <c r="E3324" s="4">
        <v>30</v>
      </c>
      <c r="F3324" s="22">
        <v>3</v>
      </c>
      <c r="G3324" s="4">
        <v>0.29141726483050845</v>
      </c>
      <c r="H3324" s="4" t="s">
        <v>123</v>
      </c>
    </row>
    <row r="3325" spans="1:8" x14ac:dyDescent="0.25">
      <c r="A3325" s="4">
        <v>2013</v>
      </c>
      <c r="B3325" s="4">
        <v>269</v>
      </c>
      <c r="C3325" s="20">
        <v>41543</v>
      </c>
      <c r="D3325" s="16">
        <v>0.38541666666666669</v>
      </c>
      <c r="E3325" s="4">
        <v>30</v>
      </c>
      <c r="F3325" s="22">
        <v>4</v>
      </c>
      <c r="G3325" s="4">
        <v>0.26159476836158191</v>
      </c>
      <c r="H3325" s="4" t="s">
        <v>123</v>
      </c>
    </row>
    <row r="3326" spans="1:8" x14ac:dyDescent="0.25">
      <c r="A3326" s="4">
        <v>2013</v>
      </c>
      <c r="B3326" s="4">
        <v>269</v>
      </c>
      <c r="C3326" s="20">
        <v>41543</v>
      </c>
      <c r="D3326" s="16">
        <v>0.39305555555555555</v>
      </c>
      <c r="E3326" s="4">
        <v>30</v>
      </c>
      <c r="F3326" s="22">
        <v>5</v>
      </c>
      <c r="G3326" s="4">
        <v>0.29887864618644067</v>
      </c>
      <c r="H3326" s="4" t="s">
        <v>0</v>
      </c>
    </row>
    <row r="3327" spans="1:8" x14ac:dyDescent="0.25">
      <c r="A3327" s="4">
        <v>2013</v>
      </c>
      <c r="B3327" s="4">
        <v>269</v>
      </c>
      <c r="C3327" s="20">
        <v>41543</v>
      </c>
      <c r="D3327" s="16">
        <v>0.39861111111111108</v>
      </c>
      <c r="E3327" s="4">
        <v>30</v>
      </c>
      <c r="F3327" s="22">
        <v>6</v>
      </c>
      <c r="G3327" s="4">
        <v>0.28236688559322032</v>
      </c>
      <c r="H3327" s="4" t="s">
        <v>0</v>
      </c>
    </row>
    <row r="3328" spans="1:8" x14ac:dyDescent="0.25">
      <c r="A3328" s="4">
        <v>2013</v>
      </c>
      <c r="B3328" s="4">
        <v>269</v>
      </c>
      <c r="C3328" s="20">
        <v>41543</v>
      </c>
      <c r="D3328" s="16">
        <v>0.4055555555555555</v>
      </c>
      <c r="E3328" s="4">
        <v>30</v>
      </c>
      <c r="F3328" s="22">
        <v>7</v>
      </c>
      <c r="G3328" s="4">
        <v>0.27518185169491521</v>
      </c>
      <c r="H3328" s="4" t="s">
        <v>123</v>
      </c>
    </row>
    <row r="3329" spans="1:8" x14ac:dyDescent="0.25">
      <c r="A3329" s="4">
        <v>2013</v>
      </c>
      <c r="B3329" s="4">
        <v>269</v>
      </c>
      <c r="C3329" s="20">
        <v>41543</v>
      </c>
      <c r="D3329" s="16">
        <v>0.41250000000000003</v>
      </c>
      <c r="E3329" s="4">
        <v>30</v>
      </c>
      <c r="F3329" s="22">
        <v>8</v>
      </c>
      <c r="G3329" s="4">
        <v>0.29307534957627118</v>
      </c>
      <c r="H3329" s="4" t="s">
        <v>123</v>
      </c>
    </row>
    <row r="3330" spans="1:8" x14ac:dyDescent="0.25">
      <c r="A3330" s="4">
        <v>2013</v>
      </c>
      <c r="B3330" s="4">
        <v>269</v>
      </c>
      <c r="C3330" s="20">
        <v>41543</v>
      </c>
      <c r="D3330" s="16">
        <v>0.4201388888888889</v>
      </c>
      <c r="E3330" s="4">
        <v>30</v>
      </c>
      <c r="F3330" s="22">
        <v>9</v>
      </c>
      <c r="G3330" s="4">
        <v>0.27923494774011298</v>
      </c>
      <c r="H3330" s="4" t="s">
        <v>123</v>
      </c>
    </row>
    <row r="3331" spans="1:8" x14ac:dyDescent="0.25">
      <c r="A3331" s="4">
        <v>2013</v>
      </c>
      <c r="B3331" s="4">
        <v>269</v>
      </c>
      <c r="C3331" s="20">
        <v>41543</v>
      </c>
      <c r="D3331" s="16">
        <v>0.42708333333333331</v>
      </c>
      <c r="E3331" s="4">
        <v>30</v>
      </c>
      <c r="F3331" s="22">
        <v>10</v>
      </c>
      <c r="G3331" s="4">
        <v>0.28356439124293786</v>
      </c>
      <c r="H3331" s="4" t="s">
        <v>123</v>
      </c>
    </row>
    <row r="3332" spans="1:8" x14ac:dyDescent="0.25">
      <c r="A3332" s="4">
        <v>2013</v>
      </c>
      <c r="B3332" s="4">
        <v>269</v>
      </c>
      <c r="C3332" s="20">
        <v>41543</v>
      </c>
      <c r="D3332" s="16">
        <v>0.4513888888888889</v>
      </c>
      <c r="E3332" s="4">
        <v>30</v>
      </c>
      <c r="F3332" s="22">
        <v>11</v>
      </c>
      <c r="G3332" s="4">
        <v>0.27527396751412431</v>
      </c>
      <c r="H3332" s="4" t="s">
        <v>124</v>
      </c>
    </row>
    <row r="3333" spans="1:8" x14ac:dyDescent="0.25">
      <c r="A3333" s="4">
        <v>2013</v>
      </c>
      <c r="B3333" s="4">
        <v>269</v>
      </c>
      <c r="C3333" s="20">
        <v>41543</v>
      </c>
      <c r="D3333" s="16">
        <v>0.46527777777777773</v>
      </c>
      <c r="E3333" s="4">
        <v>30</v>
      </c>
      <c r="F3333" s="22">
        <v>12</v>
      </c>
      <c r="G3333" s="4">
        <v>0.2826662620056497</v>
      </c>
      <c r="H3333" s="4" t="s">
        <v>124</v>
      </c>
    </row>
    <row r="3334" spans="1:8" x14ac:dyDescent="0.25">
      <c r="A3334" s="4">
        <v>2013</v>
      </c>
      <c r="B3334" s="4">
        <v>269</v>
      </c>
      <c r="C3334" s="20">
        <v>41543</v>
      </c>
      <c r="D3334" s="16">
        <v>0.47291666666666665</v>
      </c>
      <c r="E3334" s="4">
        <v>30</v>
      </c>
      <c r="F3334" s="22">
        <v>13</v>
      </c>
      <c r="G3334" s="4">
        <v>0.27520488064971749</v>
      </c>
      <c r="H3334" s="4" t="s">
        <v>124</v>
      </c>
    </row>
    <row r="3335" spans="1:8" x14ac:dyDescent="0.25">
      <c r="A3335" s="4">
        <v>2013</v>
      </c>
      <c r="B3335" s="4">
        <v>269</v>
      </c>
      <c r="C3335" s="20">
        <v>41543</v>
      </c>
      <c r="D3335" s="16">
        <v>0.47986111111111113</v>
      </c>
      <c r="E3335" s="4">
        <v>30</v>
      </c>
      <c r="F3335" s="22">
        <v>14</v>
      </c>
      <c r="G3335" s="4">
        <v>0.26778955720338982</v>
      </c>
      <c r="H3335" s="4" t="s">
        <v>124</v>
      </c>
    </row>
    <row r="3336" spans="1:8" x14ac:dyDescent="0.25">
      <c r="A3336" s="4">
        <v>2013</v>
      </c>
      <c r="B3336" s="4">
        <v>269</v>
      </c>
      <c r="C3336" s="20">
        <v>41543</v>
      </c>
      <c r="D3336" s="16">
        <v>0.48749999999999999</v>
      </c>
      <c r="E3336" s="4">
        <v>30</v>
      </c>
      <c r="F3336" s="22">
        <v>15</v>
      </c>
      <c r="G3336" s="4">
        <v>0.30861989406779661</v>
      </c>
      <c r="H3336" s="4" t="s">
        <v>1</v>
      </c>
    </row>
    <row r="3337" spans="1:8" x14ac:dyDescent="0.25">
      <c r="A3337" s="4">
        <v>2013</v>
      </c>
      <c r="B3337" s="4">
        <v>269</v>
      </c>
      <c r="C3337" s="20">
        <v>41543</v>
      </c>
      <c r="D3337" s="16">
        <v>0.49583333333333335</v>
      </c>
      <c r="E3337" s="4">
        <v>30</v>
      </c>
      <c r="F3337" s="22">
        <v>16</v>
      </c>
      <c r="G3337" s="4">
        <v>0.27520488064971749</v>
      </c>
      <c r="H3337" s="4" t="s">
        <v>1</v>
      </c>
    </row>
    <row r="3338" spans="1:8" x14ac:dyDescent="0.25">
      <c r="A3338" s="4">
        <v>2013</v>
      </c>
      <c r="B3338" s="4">
        <v>269</v>
      </c>
      <c r="C3338" s="20">
        <v>41543</v>
      </c>
      <c r="D3338" s="16">
        <v>0.50069444444444444</v>
      </c>
      <c r="E3338" s="4">
        <v>30</v>
      </c>
      <c r="F3338" s="22">
        <v>17</v>
      </c>
      <c r="G3338" s="4">
        <v>0.30385290042372881</v>
      </c>
      <c r="H3338" s="4" t="s">
        <v>124</v>
      </c>
    </row>
    <row r="3339" spans="1:8" x14ac:dyDescent="0.25">
      <c r="A3339" s="4">
        <v>2013</v>
      </c>
      <c r="B3339" s="4">
        <v>269</v>
      </c>
      <c r="C3339" s="20">
        <v>41543</v>
      </c>
      <c r="D3339" s="16">
        <v>0.5083333333333333</v>
      </c>
      <c r="E3339" s="4">
        <v>30</v>
      </c>
      <c r="F3339" s="22">
        <v>18</v>
      </c>
      <c r="G3339" s="4">
        <v>0.2935128997175141</v>
      </c>
      <c r="H3339" s="4" t="s">
        <v>124</v>
      </c>
    </row>
    <row r="3340" spans="1:8" x14ac:dyDescent="0.25">
      <c r="A3340" s="4">
        <v>2013</v>
      </c>
      <c r="B3340" s="4">
        <v>269</v>
      </c>
      <c r="C3340" s="20">
        <v>41543</v>
      </c>
      <c r="D3340" s="16">
        <v>0.51458333333333328</v>
      </c>
      <c r="E3340" s="4">
        <v>30</v>
      </c>
      <c r="F3340" s="22">
        <v>19</v>
      </c>
      <c r="G3340" s="4">
        <v>0.27990278742937852</v>
      </c>
      <c r="H3340" s="4" t="s">
        <v>124</v>
      </c>
    </row>
    <row r="3341" spans="1:8" x14ac:dyDescent="0.25">
      <c r="A3341" s="4">
        <v>2013</v>
      </c>
      <c r="B3341" s="4">
        <v>269</v>
      </c>
      <c r="C3341" s="20">
        <v>41543</v>
      </c>
      <c r="D3341" s="16">
        <v>0.52152777777777781</v>
      </c>
      <c r="E3341" s="4">
        <v>30</v>
      </c>
      <c r="F3341" s="22">
        <v>20</v>
      </c>
      <c r="G3341" s="4">
        <v>0.27631027048022599</v>
      </c>
      <c r="H3341" s="4" t="s">
        <v>124</v>
      </c>
    </row>
    <row r="3342" spans="1:8" x14ac:dyDescent="0.25">
      <c r="A3342" s="4">
        <v>2013</v>
      </c>
      <c r="B3342" s="4">
        <v>269</v>
      </c>
      <c r="C3342" s="20">
        <v>41543</v>
      </c>
      <c r="D3342" s="16">
        <v>0.36458333333333331</v>
      </c>
      <c r="E3342" s="4">
        <v>10</v>
      </c>
      <c r="F3342" s="22">
        <v>1</v>
      </c>
      <c r="G3342" s="4">
        <v>0.2566954225181598</v>
      </c>
      <c r="H3342" s="4" t="s">
        <v>123</v>
      </c>
    </row>
    <row r="3343" spans="1:8" x14ac:dyDescent="0.25">
      <c r="A3343" s="4">
        <v>2013</v>
      </c>
      <c r="B3343" s="4">
        <v>269</v>
      </c>
      <c r="C3343" s="20">
        <v>41543</v>
      </c>
      <c r="D3343" s="16">
        <v>0.37152777777777773</v>
      </c>
      <c r="E3343" s="4">
        <v>10</v>
      </c>
      <c r="F3343" s="22">
        <v>2</v>
      </c>
      <c r="G3343" s="4">
        <v>0.27367137893462468</v>
      </c>
      <c r="H3343" s="4" t="s">
        <v>123</v>
      </c>
    </row>
    <row r="3344" spans="1:8" x14ac:dyDescent="0.25">
      <c r="A3344" s="4">
        <v>2013</v>
      </c>
      <c r="B3344" s="4">
        <v>269</v>
      </c>
      <c r="C3344" s="20">
        <v>41543</v>
      </c>
      <c r="D3344" s="16">
        <v>0.37777777777777777</v>
      </c>
      <c r="E3344" s="4">
        <v>10</v>
      </c>
      <c r="F3344" s="22">
        <v>3</v>
      </c>
      <c r="G3344" s="4">
        <v>0.27714373365617434</v>
      </c>
      <c r="H3344" s="4" t="s">
        <v>123</v>
      </c>
    </row>
    <row r="3345" spans="1:8" x14ac:dyDescent="0.25">
      <c r="A3345" s="4">
        <v>2013</v>
      </c>
      <c r="B3345" s="4">
        <v>269</v>
      </c>
      <c r="C3345" s="20">
        <v>41543</v>
      </c>
      <c r="D3345" s="16">
        <v>0.38541666666666669</v>
      </c>
      <c r="E3345" s="4">
        <v>10</v>
      </c>
      <c r="F3345" s="22">
        <v>4</v>
      </c>
      <c r="G3345" s="4">
        <v>0.26138310139225179</v>
      </c>
      <c r="H3345" s="4" t="s">
        <v>123</v>
      </c>
    </row>
    <row r="3346" spans="1:8" x14ac:dyDescent="0.25">
      <c r="A3346" s="4">
        <v>2013</v>
      </c>
      <c r="B3346" s="4">
        <v>269</v>
      </c>
      <c r="C3346" s="20">
        <v>41543</v>
      </c>
      <c r="D3346" s="16">
        <v>0.39305555555555555</v>
      </c>
      <c r="E3346" s="4">
        <v>10</v>
      </c>
      <c r="F3346" s="22">
        <v>5</v>
      </c>
      <c r="G3346" s="4">
        <v>0.28738718008474579</v>
      </c>
      <c r="H3346" s="4" t="s">
        <v>0</v>
      </c>
    </row>
    <row r="3347" spans="1:8" x14ac:dyDescent="0.25">
      <c r="A3347" s="4">
        <v>2013</v>
      </c>
      <c r="B3347" s="4">
        <v>269</v>
      </c>
      <c r="C3347" s="20">
        <v>41543</v>
      </c>
      <c r="D3347" s="16">
        <v>0.39861111111111108</v>
      </c>
      <c r="E3347" s="4">
        <v>10</v>
      </c>
      <c r="F3347" s="22">
        <v>6</v>
      </c>
      <c r="G3347" s="4">
        <v>0.25740918432203391</v>
      </c>
      <c r="H3347" s="4" t="s">
        <v>0</v>
      </c>
    </row>
    <row r="3348" spans="1:8" x14ac:dyDescent="0.25">
      <c r="A3348" s="4">
        <v>2013</v>
      </c>
      <c r="B3348" s="4">
        <v>269</v>
      </c>
      <c r="C3348" s="20">
        <v>41543</v>
      </c>
      <c r="D3348" s="16">
        <v>0.4055555555555555</v>
      </c>
      <c r="E3348" s="4">
        <v>10</v>
      </c>
      <c r="F3348" s="22">
        <v>7</v>
      </c>
      <c r="G3348" s="4">
        <v>0.28813952360774819</v>
      </c>
      <c r="H3348" s="4" t="s">
        <v>123</v>
      </c>
    </row>
    <row r="3349" spans="1:8" x14ac:dyDescent="0.25">
      <c r="A3349" s="4">
        <v>2013</v>
      </c>
      <c r="B3349" s="4">
        <v>269</v>
      </c>
      <c r="C3349" s="20">
        <v>41543</v>
      </c>
      <c r="D3349" s="16">
        <v>0.41250000000000003</v>
      </c>
      <c r="E3349" s="4">
        <v>10</v>
      </c>
      <c r="F3349" s="22">
        <v>8</v>
      </c>
      <c r="G3349" s="4">
        <v>0.29394607233656173</v>
      </c>
      <c r="H3349" s="4" t="s">
        <v>123</v>
      </c>
    </row>
    <row r="3350" spans="1:8" x14ac:dyDescent="0.25">
      <c r="A3350" s="4">
        <v>2013</v>
      </c>
      <c r="B3350" s="4">
        <v>269</v>
      </c>
      <c r="C3350" s="20">
        <v>41543</v>
      </c>
      <c r="D3350" s="16">
        <v>0.4201388888888889</v>
      </c>
      <c r="E3350" s="4">
        <v>10</v>
      </c>
      <c r="F3350" s="22">
        <v>9</v>
      </c>
      <c r="G3350" s="4">
        <v>0.27847480296610166</v>
      </c>
      <c r="H3350" s="4" t="s">
        <v>123</v>
      </c>
    </row>
    <row r="3351" spans="1:8" x14ac:dyDescent="0.25">
      <c r="A3351" s="4">
        <v>2013</v>
      </c>
      <c r="B3351" s="4">
        <v>269</v>
      </c>
      <c r="C3351" s="20">
        <v>41543</v>
      </c>
      <c r="D3351" s="16">
        <v>0.42708333333333331</v>
      </c>
      <c r="E3351" s="4">
        <v>10</v>
      </c>
      <c r="F3351" s="22">
        <v>10</v>
      </c>
      <c r="G3351" s="4">
        <v>0.28505298607748186</v>
      </c>
      <c r="H3351" s="4" t="s">
        <v>123</v>
      </c>
    </row>
    <row r="3352" spans="1:8" x14ac:dyDescent="0.25">
      <c r="A3352" s="4">
        <v>2013</v>
      </c>
      <c r="B3352" s="4">
        <v>269</v>
      </c>
      <c r="C3352" s="20">
        <v>41543</v>
      </c>
      <c r="D3352" s="16">
        <v>0.4513888888888889</v>
      </c>
      <c r="E3352" s="4">
        <v>10</v>
      </c>
      <c r="F3352" s="22">
        <v>11</v>
      </c>
      <c r="G3352" s="4">
        <v>0.26628297972154963</v>
      </c>
      <c r="H3352" s="4" t="s">
        <v>124</v>
      </c>
    </row>
    <row r="3353" spans="1:8" x14ac:dyDescent="0.25">
      <c r="A3353" s="4">
        <v>2013</v>
      </c>
      <c r="B3353" s="4">
        <v>269</v>
      </c>
      <c r="C3353" s="20">
        <v>41543</v>
      </c>
      <c r="D3353" s="16">
        <v>0.46527777777777773</v>
      </c>
      <c r="E3353" s="4">
        <v>10</v>
      </c>
      <c r="F3353" s="22">
        <v>12</v>
      </c>
      <c r="G3353" s="4">
        <v>0.24527523365617432</v>
      </c>
      <c r="H3353" s="4" t="s">
        <v>124</v>
      </c>
    </row>
    <row r="3354" spans="1:8" x14ac:dyDescent="0.25">
      <c r="A3354" s="4">
        <v>2013</v>
      </c>
      <c r="B3354" s="4">
        <v>269</v>
      </c>
      <c r="C3354" s="20">
        <v>41543</v>
      </c>
      <c r="D3354" s="16">
        <v>0.47291666666666665</v>
      </c>
      <c r="E3354" s="4">
        <v>10</v>
      </c>
      <c r="F3354" s="22">
        <v>13</v>
      </c>
      <c r="G3354" s="4">
        <v>0.24807240829297816</v>
      </c>
      <c r="H3354" s="4" t="s">
        <v>124</v>
      </c>
    </row>
    <row r="3355" spans="1:8" x14ac:dyDescent="0.25">
      <c r="A3355" s="4">
        <v>2013</v>
      </c>
      <c r="B3355" s="4">
        <v>269</v>
      </c>
      <c r="C3355" s="20">
        <v>41543</v>
      </c>
      <c r="D3355" s="16">
        <v>0.47986111111111113</v>
      </c>
      <c r="E3355" s="4">
        <v>10</v>
      </c>
      <c r="F3355" s="22">
        <v>14</v>
      </c>
      <c r="G3355" s="4">
        <v>0.24774446368038738</v>
      </c>
      <c r="H3355" s="4" t="s">
        <v>124</v>
      </c>
    </row>
    <row r="3356" spans="1:8" x14ac:dyDescent="0.25">
      <c r="A3356" s="4">
        <v>2013</v>
      </c>
      <c r="B3356" s="4">
        <v>269</v>
      </c>
      <c r="C3356" s="20">
        <v>41543</v>
      </c>
      <c r="D3356" s="16">
        <v>0.48749999999999999</v>
      </c>
      <c r="E3356" s="4">
        <v>10</v>
      </c>
      <c r="F3356" s="22">
        <v>15</v>
      </c>
      <c r="G3356" s="4">
        <v>0.27629493583535109</v>
      </c>
      <c r="H3356" s="4" t="s">
        <v>1</v>
      </c>
    </row>
    <row r="3357" spans="1:8" x14ac:dyDescent="0.25">
      <c r="A3357" s="4">
        <v>2013</v>
      </c>
      <c r="B3357" s="4">
        <v>269</v>
      </c>
      <c r="C3357" s="20">
        <v>41543</v>
      </c>
      <c r="D3357" s="16">
        <v>0.49583333333333335</v>
      </c>
      <c r="E3357" s="4">
        <v>10</v>
      </c>
      <c r="F3357" s="22">
        <v>16</v>
      </c>
      <c r="G3357" s="4">
        <v>0.2586052176150121</v>
      </c>
      <c r="H3357" s="4" t="s">
        <v>1</v>
      </c>
    </row>
    <row r="3358" spans="1:8" x14ac:dyDescent="0.25">
      <c r="A3358" s="4">
        <v>2013</v>
      </c>
      <c r="B3358" s="4">
        <v>269</v>
      </c>
      <c r="C3358" s="20">
        <v>41543</v>
      </c>
      <c r="D3358" s="16">
        <v>0.50069444444444444</v>
      </c>
      <c r="E3358" s="4">
        <v>10</v>
      </c>
      <c r="F3358" s="22">
        <v>17</v>
      </c>
      <c r="G3358" s="4">
        <v>0.24745510078692495</v>
      </c>
      <c r="H3358" s="4" t="s">
        <v>124</v>
      </c>
    </row>
    <row r="3359" spans="1:8" x14ac:dyDescent="0.25">
      <c r="A3359" s="4">
        <v>2013</v>
      </c>
      <c r="B3359" s="4">
        <v>269</v>
      </c>
      <c r="C3359" s="20">
        <v>41543</v>
      </c>
      <c r="D3359" s="16">
        <v>0.5083333333333333</v>
      </c>
      <c r="E3359" s="4">
        <v>10</v>
      </c>
      <c r="F3359" s="22">
        <v>18</v>
      </c>
      <c r="G3359" s="4">
        <v>0.23487746035108958</v>
      </c>
      <c r="H3359" s="4" t="s">
        <v>124</v>
      </c>
    </row>
    <row r="3360" spans="1:8" x14ac:dyDescent="0.25">
      <c r="A3360" s="4">
        <v>2013</v>
      </c>
      <c r="B3360" s="4">
        <v>269</v>
      </c>
      <c r="C3360" s="20">
        <v>41543</v>
      </c>
      <c r="D3360" s="16">
        <v>0.51458333333333328</v>
      </c>
      <c r="E3360" s="4">
        <v>10</v>
      </c>
      <c r="F3360" s="22">
        <v>19</v>
      </c>
      <c r="G3360" s="4">
        <v>0.21689837923728811</v>
      </c>
      <c r="H3360" s="4" t="s">
        <v>124</v>
      </c>
    </row>
    <row r="3361" spans="1:8" x14ac:dyDescent="0.25">
      <c r="A3361" s="4">
        <v>2013</v>
      </c>
      <c r="B3361" s="4">
        <v>269</v>
      </c>
      <c r="C3361" s="20">
        <v>41543</v>
      </c>
      <c r="D3361" s="16">
        <v>0.52152777777777781</v>
      </c>
      <c r="E3361" s="4">
        <v>10</v>
      </c>
      <c r="F3361" s="22">
        <v>20</v>
      </c>
      <c r="G3361" s="4">
        <v>0.20721436773607749</v>
      </c>
      <c r="H3361" s="4" t="s">
        <v>124</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06AD7-1618-47F3-ABF4-38BAE65D4D32}">
  <dimension ref="A1:H5"/>
  <sheetViews>
    <sheetView tabSelected="1" workbookViewId="0">
      <selection activeCell="C2" sqref="C2"/>
    </sheetView>
  </sheetViews>
  <sheetFormatPr defaultRowHeight="13.2" x14ac:dyDescent="0.25"/>
  <cols>
    <col min="1" max="1" width="21.88671875" style="3" bestFit="1" customWidth="1"/>
    <col min="2" max="2" width="25.33203125" style="3" customWidth="1"/>
    <col min="3" max="3" width="89" style="3" customWidth="1"/>
    <col min="4" max="4" width="11.77734375" style="3" customWidth="1"/>
    <col min="5" max="5" width="11.21875" style="3" customWidth="1"/>
    <col min="6" max="6" width="12" style="3" customWidth="1"/>
    <col min="7" max="7" width="11.33203125" style="3" customWidth="1"/>
    <col min="8" max="8" width="12.109375" style="3" customWidth="1"/>
    <col min="9" max="16384" width="8.88671875" style="3"/>
  </cols>
  <sheetData>
    <row r="1" spans="1:8" ht="27.6" x14ac:dyDescent="0.25">
      <c r="A1" s="32" t="s">
        <v>71</v>
      </c>
      <c r="B1" s="32" t="s">
        <v>72</v>
      </c>
      <c r="C1" s="32" t="s">
        <v>73</v>
      </c>
      <c r="D1" s="32" t="s">
        <v>74</v>
      </c>
      <c r="E1" s="32" t="s">
        <v>75</v>
      </c>
      <c r="F1" s="32" t="s">
        <v>76</v>
      </c>
      <c r="G1" s="32" t="s">
        <v>77</v>
      </c>
      <c r="H1" s="32" t="s">
        <v>78</v>
      </c>
    </row>
    <row r="2" spans="1:8" ht="39.6" x14ac:dyDescent="0.25">
      <c r="A2" s="33" t="s">
        <v>177</v>
      </c>
      <c r="B2" s="34" t="s">
        <v>120</v>
      </c>
      <c r="C2" s="40" t="s">
        <v>188</v>
      </c>
      <c r="D2" s="35" t="s">
        <v>171</v>
      </c>
      <c r="E2" s="33" t="s">
        <v>172</v>
      </c>
      <c r="F2" s="33" t="s">
        <v>171</v>
      </c>
      <c r="G2" s="33" t="s">
        <v>81</v>
      </c>
      <c r="H2" s="33" t="s">
        <v>82</v>
      </c>
    </row>
    <row r="3" spans="1:8" x14ac:dyDescent="0.25">
      <c r="A3" s="33" t="s">
        <v>177</v>
      </c>
      <c r="B3" s="34" t="s">
        <v>169</v>
      </c>
      <c r="C3" s="35" t="s">
        <v>170</v>
      </c>
      <c r="D3" s="35" t="s">
        <v>83</v>
      </c>
      <c r="E3" s="33"/>
      <c r="F3" s="33" t="s">
        <v>187</v>
      </c>
      <c r="G3" s="33" t="s">
        <v>81</v>
      </c>
      <c r="H3" s="33" t="s">
        <v>82</v>
      </c>
    </row>
    <row r="4" spans="1:8" x14ac:dyDescent="0.25">
      <c r="A4" s="33" t="s">
        <v>177</v>
      </c>
      <c r="B4" s="34" t="s">
        <v>173</v>
      </c>
      <c r="C4" s="35" t="s">
        <v>174</v>
      </c>
      <c r="D4" s="35" t="s">
        <v>88</v>
      </c>
      <c r="E4" s="33"/>
      <c r="F4" s="33"/>
      <c r="G4" s="33" t="s">
        <v>81</v>
      </c>
      <c r="H4" s="33" t="s">
        <v>82</v>
      </c>
    </row>
    <row r="5" spans="1:8" x14ac:dyDescent="0.25">
      <c r="A5" s="33" t="s">
        <v>177</v>
      </c>
      <c r="B5" s="34" t="s">
        <v>175</v>
      </c>
      <c r="C5" s="35" t="s">
        <v>176</v>
      </c>
      <c r="D5" s="35" t="s">
        <v>88</v>
      </c>
      <c r="E5" s="33"/>
      <c r="F5" s="33"/>
      <c r="G5" s="33" t="s">
        <v>81</v>
      </c>
      <c r="H5" s="33" t="s">
        <v>82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4"/>
  <dimension ref="A1:F21"/>
  <sheetViews>
    <sheetView workbookViewId="0">
      <selection activeCell="A17" sqref="A17"/>
    </sheetView>
  </sheetViews>
  <sheetFormatPr defaultRowHeight="13.2" x14ac:dyDescent="0.25"/>
  <sheetData>
    <row r="1" spans="1:6" ht="26.4" x14ac:dyDescent="0.25">
      <c r="A1" s="36" t="s">
        <v>120</v>
      </c>
      <c r="B1" s="37" t="s">
        <v>169</v>
      </c>
      <c r="C1" s="37" t="s">
        <v>185</v>
      </c>
      <c r="D1" s="37" t="s">
        <v>186</v>
      </c>
      <c r="E1" s="37"/>
      <c r="F1" s="37"/>
    </row>
    <row r="2" spans="1:6" x14ac:dyDescent="0.25">
      <c r="A2" s="38" t="s">
        <v>2</v>
      </c>
      <c r="B2" s="31">
        <v>1</v>
      </c>
      <c r="C2" s="31">
        <v>35.188352820182971</v>
      </c>
      <c r="D2" s="31">
        <v>-102.0954008454278</v>
      </c>
      <c r="E2" s="31"/>
      <c r="F2" s="31"/>
    </row>
    <row r="3" spans="1:6" x14ac:dyDescent="0.25">
      <c r="A3" s="39" t="s">
        <v>2</v>
      </c>
      <c r="B3" s="31">
        <v>2</v>
      </c>
      <c r="C3" s="31">
        <v>35.188352820182971</v>
      </c>
      <c r="D3" s="31">
        <v>-102.09568771755626</v>
      </c>
      <c r="E3" s="31"/>
      <c r="F3" s="31"/>
    </row>
    <row r="4" spans="1:6" x14ac:dyDescent="0.25">
      <c r="A4" s="38" t="s">
        <v>2</v>
      </c>
      <c r="B4" s="31">
        <v>3</v>
      </c>
      <c r="C4">
        <v>35.188269750099899</v>
      </c>
      <c r="D4">
        <v>-102.09568992002941</v>
      </c>
    </row>
    <row r="5" spans="1:6" x14ac:dyDescent="0.25">
      <c r="A5" s="38" t="s">
        <v>2</v>
      </c>
      <c r="B5" s="31">
        <v>4</v>
      </c>
      <c r="C5">
        <v>35.188269750099899</v>
      </c>
      <c r="D5">
        <v>-102.09540745284727</v>
      </c>
    </row>
    <row r="6" spans="1:6" x14ac:dyDescent="0.25">
      <c r="A6" s="38" t="s">
        <v>0</v>
      </c>
      <c r="B6" s="31">
        <v>5</v>
      </c>
      <c r="C6" s="31">
        <v>35.188173270003418</v>
      </c>
      <c r="D6" s="31">
        <v>-102.09553024072567</v>
      </c>
      <c r="E6" s="31"/>
      <c r="F6" s="31"/>
    </row>
    <row r="7" spans="1:6" x14ac:dyDescent="0.25">
      <c r="A7" s="38" t="s">
        <v>0</v>
      </c>
      <c r="B7" s="31">
        <v>6</v>
      </c>
      <c r="C7" s="31">
        <v>35.188166429996585</v>
      </c>
      <c r="D7" s="31">
        <v>-102.09554675927434</v>
      </c>
      <c r="E7" s="31"/>
      <c r="F7" s="31"/>
    </row>
    <row r="8" spans="1:6" x14ac:dyDescent="0.25">
      <c r="A8" s="38" t="s">
        <v>2</v>
      </c>
      <c r="B8" s="31">
        <v>7</v>
      </c>
      <c r="C8" s="31">
        <v>35.188118189948341</v>
      </c>
      <c r="D8" s="31">
        <v>-102.09568771755626</v>
      </c>
      <c r="E8" s="31"/>
      <c r="F8" s="31"/>
    </row>
    <row r="9" spans="1:6" x14ac:dyDescent="0.25">
      <c r="A9" s="38" t="s">
        <v>2</v>
      </c>
      <c r="B9" s="31">
        <v>8</v>
      </c>
      <c r="C9" s="31">
        <v>35.188118189948341</v>
      </c>
      <c r="D9" s="31">
        <v>-102.09540106567512</v>
      </c>
      <c r="E9" s="31"/>
      <c r="F9" s="31"/>
    </row>
    <row r="10" spans="1:6" x14ac:dyDescent="0.25">
      <c r="A10" s="38" t="s">
        <v>2</v>
      </c>
      <c r="B10" s="31">
        <v>9</v>
      </c>
      <c r="C10">
        <v>35.1880429498731</v>
      </c>
      <c r="D10">
        <v>-102.09540271752999</v>
      </c>
    </row>
    <row r="11" spans="1:6" x14ac:dyDescent="0.25">
      <c r="A11" s="38" t="s">
        <v>2</v>
      </c>
      <c r="B11" s="31">
        <v>10</v>
      </c>
      <c r="C11">
        <v>35.1880429498731</v>
      </c>
      <c r="D11">
        <v>-102.09568430372288</v>
      </c>
    </row>
    <row r="12" spans="1:6" x14ac:dyDescent="0.25">
      <c r="A12" s="38" t="s">
        <v>3</v>
      </c>
      <c r="B12" s="31">
        <v>11</v>
      </c>
      <c r="C12" s="31">
        <v>35.186280760140676</v>
      </c>
      <c r="D12" s="31">
        <v>-102.09541963630969</v>
      </c>
      <c r="E12" s="31"/>
      <c r="F12" s="31"/>
    </row>
    <row r="13" spans="1:6" x14ac:dyDescent="0.25">
      <c r="A13" s="38" t="s">
        <v>3</v>
      </c>
      <c r="B13" s="31">
        <v>12</v>
      </c>
      <c r="C13" s="31">
        <v>35.186280760140676</v>
      </c>
      <c r="D13" s="31">
        <v>-102.09570155287355</v>
      </c>
      <c r="E13" s="31"/>
      <c r="F13" s="31"/>
    </row>
    <row r="14" spans="1:6" x14ac:dyDescent="0.25">
      <c r="A14" s="38" t="s">
        <v>3</v>
      </c>
      <c r="B14" s="31">
        <v>13</v>
      </c>
      <c r="C14">
        <v>35.186198320058232</v>
      </c>
      <c r="D14">
        <v>-102.09569957064771</v>
      </c>
    </row>
    <row r="15" spans="1:6" x14ac:dyDescent="0.25">
      <c r="A15" s="38" t="s">
        <v>3</v>
      </c>
      <c r="B15" s="31">
        <v>14</v>
      </c>
      <c r="C15">
        <v>35.186198320058232</v>
      </c>
      <c r="D15">
        <v>-102.095419856557</v>
      </c>
    </row>
    <row r="16" spans="1:6" x14ac:dyDescent="0.25">
      <c r="A16" s="38" t="s">
        <v>1</v>
      </c>
      <c r="B16" s="31">
        <v>15</v>
      </c>
      <c r="C16" s="31">
        <v>35.186143510003419</v>
      </c>
      <c r="D16" s="31">
        <v>-102.09553934072567</v>
      </c>
      <c r="E16" s="31"/>
      <c r="F16" s="31"/>
    </row>
    <row r="17" spans="1:6" x14ac:dyDescent="0.25">
      <c r="A17" s="38" t="s">
        <v>1</v>
      </c>
      <c r="B17" s="31">
        <v>16</v>
      </c>
      <c r="C17" s="31">
        <v>35.186136669996586</v>
      </c>
      <c r="D17" s="31">
        <v>-102.09555585927434</v>
      </c>
      <c r="E17" s="31"/>
      <c r="F17" s="31"/>
    </row>
    <row r="18" spans="1:6" x14ac:dyDescent="0.25">
      <c r="A18" s="38" t="s">
        <v>3</v>
      </c>
      <c r="B18" s="31">
        <v>17</v>
      </c>
      <c r="C18">
        <v>35.186046489906403</v>
      </c>
      <c r="D18">
        <v>-102.09569902002941</v>
      </c>
    </row>
    <row r="19" spans="1:6" x14ac:dyDescent="0.25">
      <c r="A19" s="38" t="s">
        <v>3</v>
      </c>
      <c r="B19" s="31">
        <v>18</v>
      </c>
      <c r="C19">
        <v>35.186046489906403</v>
      </c>
      <c r="D19">
        <v>-102.095419856557</v>
      </c>
    </row>
    <row r="20" spans="1:6" x14ac:dyDescent="0.25">
      <c r="A20" s="38" t="s">
        <v>3</v>
      </c>
      <c r="B20" s="31">
        <v>19</v>
      </c>
      <c r="C20">
        <v>35.185964409824322</v>
      </c>
      <c r="D20">
        <v>-102.09542260964845</v>
      </c>
    </row>
    <row r="21" spans="1:6" x14ac:dyDescent="0.25">
      <c r="A21" s="38" t="s">
        <v>3</v>
      </c>
      <c r="B21" s="31">
        <v>20</v>
      </c>
      <c r="C21">
        <v>35.185964409824322</v>
      </c>
      <c r="D21">
        <v>-102.09569868965845</v>
      </c>
    </row>
  </sheetData>
  <pageMargins left="0.75" right="0.75" top="1" bottom="1" header="0.5" footer="0.5"/>
  <pageSetup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246AF-573F-4F0D-9D7E-8187D4AA778A}">
  <dimension ref="Y1:CB199"/>
  <sheetViews>
    <sheetView zoomScale="80" zoomScaleNormal="80" workbookViewId="0">
      <selection activeCell="L1" sqref="L1"/>
    </sheetView>
  </sheetViews>
  <sheetFormatPr defaultRowHeight="13.2" x14ac:dyDescent="0.25"/>
  <cols>
    <col min="1" max="24" width="8.88671875" style="4"/>
    <col min="25" max="25" width="10.21875" style="4" bestFit="1" customWidth="1"/>
    <col min="26" max="26" width="10.77734375" style="4" bestFit="1" customWidth="1"/>
    <col min="27" max="27" width="10.6640625" style="4" bestFit="1" customWidth="1"/>
    <col min="28" max="28" width="10.77734375" style="4" bestFit="1" customWidth="1"/>
    <col min="29" max="29" width="10.6640625" style="4" bestFit="1" customWidth="1"/>
    <col min="30" max="48" width="8.88671875" style="4"/>
    <col min="49" max="50" width="12.21875" style="4" customWidth="1"/>
    <col min="51" max="51" width="15" style="4" customWidth="1"/>
    <col min="52" max="65" width="8.88671875" style="4"/>
    <col min="66" max="66" width="10.33203125" style="4" bestFit="1" customWidth="1"/>
    <col min="67" max="16384" width="8.88671875" style="4"/>
  </cols>
  <sheetData>
    <row r="1" spans="25:80" s="11" customFormat="1" ht="105.6" x14ac:dyDescent="0.25">
      <c r="Y1" s="11" t="s">
        <v>6</v>
      </c>
      <c r="Z1" s="11">
        <v>230</v>
      </c>
      <c r="AA1" s="11">
        <v>210</v>
      </c>
      <c r="AB1" s="11">
        <v>190</v>
      </c>
      <c r="AC1" s="11">
        <v>170</v>
      </c>
      <c r="AD1" s="11">
        <v>150</v>
      </c>
      <c r="AE1" s="11">
        <v>130</v>
      </c>
      <c r="AF1" s="11">
        <v>110</v>
      </c>
      <c r="AG1" s="11">
        <v>90</v>
      </c>
      <c r="AH1" s="11">
        <v>70</v>
      </c>
      <c r="AI1" s="11">
        <v>50</v>
      </c>
      <c r="AJ1" s="11">
        <v>30</v>
      </c>
      <c r="AK1" s="11">
        <v>10</v>
      </c>
      <c r="AW1" s="4" t="s">
        <v>150</v>
      </c>
      <c r="AX1" s="4" t="s">
        <v>79</v>
      </c>
      <c r="AY1" s="21" t="s">
        <v>86</v>
      </c>
      <c r="AZ1" s="21" t="s">
        <v>90</v>
      </c>
      <c r="BA1" s="21" t="s">
        <v>92</v>
      </c>
      <c r="BB1" s="21" t="s">
        <v>94</v>
      </c>
      <c r="BC1" s="2" t="s">
        <v>107</v>
      </c>
      <c r="BD1" s="2" t="s">
        <v>108</v>
      </c>
      <c r="BE1" s="2" t="s">
        <v>154</v>
      </c>
      <c r="BF1" s="2" t="s">
        <v>141</v>
      </c>
      <c r="BG1" s="1" t="s">
        <v>142</v>
      </c>
      <c r="BH1" s="1" t="s">
        <v>143</v>
      </c>
      <c r="BI1" s="1" t="s">
        <v>144</v>
      </c>
      <c r="BJ1" s="1" t="s">
        <v>155</v>
      </c>
      <c r="BK1" s="1" t="s">
        <v>145</v>
      </c>
      <c r="BL1" s="1" t="s">
        <v>146</v>
      </c>
      <c r="BM1" s="4" t="s">
        <v>150</v>
      </c>
      <c r="BN1" s="4" t="s">
        <v>79</v>
      </c>
      <c r="BO1" s="21" t="s">
        <v>86</v>
      </c>
      <c r="BP1" s="21" t="s">
        <v>90</v>
      </c>
      <c r="BQ1" s="21" t="s">
        <v>92</v>
      </c>
      <c r="BR1" s="21" t="s">
        <v>94</v>
      </c>
      <c r="BS1" s="2" t="s">
        <v>107</v>
      </c>
      <c r="BT1" s="2" t="s">
        <v>108</v>
      </c>
      <c r="BU1" s="2" t="s">
        <v>154</v>
      </c>
      <c r="BV1" s="2" t="s">
        <v>141</v>
      </c>
      <c r="BW1" s="1" t="s">
        <v>142</v>
      </c>
      <c r="BX1" s="1" t="s">
        <v>143</v>
      </c>
      <c r="BY1" s="1" t="s">
        <v>144</v>
      </c>
      <c r="BZ1" s="1" t="s">
        <v>155</v>
      </c>
      <c r="CA1" s="1" t="s">
        <v>145</v>
      </c>
      <c r="CB1" s="1" t="s">
        <v>146</v>
      </c>
    </row>
    <row r="2" spans="25:80" x14ac:dyDescent="0.25">
      <c r="Y2" s="9" t="s">
        <v>125</v>
      </c>
      <c r="AA2" s="18">
        <v>0.46977987421383649</v>
      </c>
      <c r="AB2" s="18">
        <v>0.46911949685534593</v>
      </c>
      <c r="AC2" s="18">
        <v>0.45975262054507327</v>
      </c>
      <c r="AD2" s="18">
        <v>0.46509433962264146</v>
      </c>
      <c r="AE2" s="18">
        <v>0.42485115303983223</v>
      </c>
      <c r="AF2" s="18">
        <v>0.41714734950584009</v>
      </c>
      <c r="AG2" s="18">
        <v>0.44435759209344106</v>
      </c>
      <c r="AH2" s="18">
        <v>0.45478559176672384</v>
      </c>
      <c r="AI2" s="18">
        <v>0.43505765199161417</v>
      </c>
      <c r="AJ2" s="18">
        <v>0.45794811320754714</v>
      </c>
      <c r="AK2" s="18">
        <v>0.48951841868822998</v>
      </c>
      <c r="BM2" s="24" t="s">
        <v>151</v>
      </c>
      <c r="BN2" s="24"/>
    </row>
    <row r="3" spans="25:80" x14ac:dyDescent="0.25">
      <c r="AC3" s="14" t="s">
        <v>117</v>
      </c>
      <c r="AD3" s="14" t="s">
        <v>117</v>
      </c>
      <c r="AE3" s="14" t="s">
        <v>117</v>
      </c>
      <c r="AF3" s="14" t="s">
        <v>117</v>
      </c>
      <c r="AG3" s="14" t="s">
        <v>117</v>
      </c>
      <c r="AH3" s="14" t="s">
        <v>117</v>
      </c>
      <c r="AI3" s="14" t="s">
        <v>117</v>
      </c>
      <c r="AJ3" s="14" t="s">
        <v>117</v>
      </c>
      <c r="AK3" s="14" t="s">
        <v>117</v>
      </c>
      <c r="AL3" s="14" t="s">
        <v>117</v>
      </c>
      <c r="AM3" s="14" t="s">
        <v>117</v>
      </c>
      <c r="AN3" s="14" t="s">
        <v>117</v>
      </c>
      <c r="BM3" s="4" t="s">
        <v>152</v>
      </c>
    </row>
    <row r="4" spans="25:80" x14ac:dyDescent="0.25">
      <c r="AC4" s="14" t="s">
        <v>126</v>
      </c>
      <c r="AD4" s="14" t="s">
        <v>126</v>
      </c>
      <c r="AE4" s="14" t="s">
        <v>126</v>
      </c>
      <c r="AF4" s="14" t="s">
        <v>126</v>
      </c>
      <c r="AG4" s="14" t="s">
        <v>126</v>
      </c>
      <c r="AH4" s="14" t="s">
        <v>126</v>
      </c>
      <c r="AI4" s="14" t="s">
        <v>126</v>
      </c>
      <c r="AJ4" s="14" t="s">
        <v>126</v>
      </c>
      <c r="AK4" s="14" t="s">
        <v>126</v>
      </c>
      <c r="AL4" s="14" t="s">
        <v>126</v>
      </c>
      <c r="AM4" s="14" t="s">
        <v>126</v>
      </c>
      <c r="AN4" s="14" t="s">
        <v>126</v>
      </c>
      <c r="BM4" s="4" t="s">
        <v>153</v>
      </c>
    </row>
    <row r="5" spans="25:80" x14ac:dyDescent="0.25">
      <c r="Y5" s="4" t="s">
        <v>5</v>
      </c>
      <c r="Z5" s="4" t="s">
        <v>43</v>
      </c>
      <c r="AA5" s="4" t="s">
        <v>79</v>
      </c>
      <c r="AB5" s="4" t="s">
        <v>4</v>
      </c>
      <c r="AC5" s="4">
        <v>1</v>
      </c>
      <c r="AD5" s="4">
        <v>2</v>
      </c>
      <c r="AE5" s="4">
        <v>3</v>
      </c>
      <c r="AF5" s="4">
        <v>4</v>
      </c>
      <c r="AG5" s="4">
        <v>5</v>
      </c>
      <c r="AH5" s="4">
        <v>6</v>
      </c>
      <c r="AI5" s="4">
        <v>7</v>
      </c>
      <c r="AJ5" s="4">
        <v>8</v>
      </c>
      <c r="AK5" s="4">
        <v>9</v>
      </c>
      <c r="AL5" s="4">
        <v>10</v>
      </c>
      <c r="AM5" s="4">
        <v>11</v>
      </c>
      <c r="AN5" s="4">
        <v>12</v>
      </c>
      <c r="AO5" s="4">
        <v>13</v>
      </c>
      <c r="AP5" s="4">
        <v>14</v>
      </c>
      <c r="AQ5" s="4">
        <v>15</v>
      </c>
      <c r="AR5" s="4">
        <v>16</v>
      </c>
      <c r="AS5" s="4">
        <v>17</v>
      </c>
      <c r="AT5" s="4">
        <v>18</v>
      </c>
      <c r="AU5" s="4">
        <v>19</v>
      </c>
      <c r="AV5" s="4">
        <v>20</v>
      </c>
      <c r="BO5" s="4">
        <v>2</v>
      </c>
      <c r="BP5" s="4">
        <v>3</v>
      </c>
      <c r="BQ5" s="4">
        <v>4</v>
      </c>
      <c r="BR5" s="4">
        <v>5</v>
      </c>
      <c r="BS5" s="4">
        <v>6</v>
      </c>
      <c r="BT5" s="4">
        <v>7</v>
      </c>
      <c r="BU5" s="4">
        <v>8</v>
      </c>
      <c r="BV5" s="4">
        <v>9</v>
      </c>
      <c r="BW5" s="4">
        <v>10</v>
      </c>
      <c r="BX5" s="4">
        <v>11</v>
      </c>
      <c r="BY5" s="4">
        <v>12</v>
      </c>
      <c r="BZ5" s="4">
        <v>13</v>
      </c>
      <c r="CA5" s="4">
        <v>14</v>
      </c>
      <c r="CB5" s="4">
        <v>15</v>
      </c>
    </row>
    <row r="6" spans="25:80" x14ac:dyDescent="0.25">
      <c r="Y6" s="4">
        <v>2013</v>
      </c>
      <c r="Z6" s="4">
        <v>156</v>
      </c>
      <c r="AA6" s="15">
        <f>DATE(Y6,1,Z6)</f>
        <v>41430</v>
      </c>
      <c r="AB6" s="4">
        <v>10</v>
      </c>
      <c r="AC6" s="4" t="e" cm="1">
        <f t="array" ref="AC6">_xlfn.XLOOKUP(1,('2013 E Maize Soil VWC'!$C$2:$C$4000=$AA6)*('2013 E Maize Soil VWC'!$E$2:$E$4000=$AB6)*('2013 E Maize Soil VWC'!$F$2:$F$4000=AC$5),'2013 E Maize Soil VWC'!$G$2:$G$4000)</f>
        <v>#N/A</v>
      </c>
      <c r="AD6" s="4" t="e" cm="1">
        <f t="array" ref="AD6">_xlfn.XLOOKUP(1,('2013 E Maize Soil VWC'!$C$2:$C$4000=$AA6)*('2013 E Maize Soil VWC'!$E$2:$E$4000=$AB6)*('2013 E Maize Soil VWC'!$F$2:$F$4000=AD$5),'2013 E Maize Soil VWC'!$G$2:$G$4000)</f>
        <v>#N/A</v>
      </c>
      <c r="AE6" s="4" t="e" cm="1">
        <f t="array" ref="AE6">_xlfn.XLOOKUP(1,('2013 E Maize Soil VWC'!$C$2:$C$4000=$AA6)*('2013 E Maize Soil VWC'!$E$2:$E$4000=$AB6)*('2013 E Maize Soil VWC'!$F$2:$F$4000=AE$5),'2013 E Maize Soil VWC'!$G$2:$G$4000)</f>
        <v>#N/A</v>
      </c>
      <c r="AF6" s="4" t="e" cm="1">
        <f t="array" ref="AF6">_xlfn.XLOOKUP(1,('2013 E Maize Soil VWC'!$C$2:$C$4000=$AA6)*('2013 E Maize Soil VWC'!$E$2:$E$4000=$AB6)*('2013 E Maize Soil VWC'!$F$2:$F$4000=AF$5),'2013 E Maize Soil VWC'!$G$2:$G$4000)</f>
        <v>#N/A</v>
      </c>
      <c r="AG6" s="4" cm="1">
        <f t="array" ref="AG6">_xlfn.XLOOKUP(1,('2013 E Maize Soil VWC'!$C$2:$C$4000=$AA6)*('2013 E Maize Soil VWC'!$E$2:$E$4000=$AB6)*('2013 E Maize Soil VWC'!$F$2:$F$4000=AG$5),'2013 E Maize Soil VWC'!$G$2:$G$4000)</f>
        <v>0.28186999424939468</v>
      </c>
      <c r="AH6" s="4" cm="1">
        <f t="array" ref="AH6">_xlfn.XLOOKUP(1,('2013 E Maize Soil VWC'!$C$2:$C$4000=$AA6)*('2013 E Maize Soil VWC'!$E$2:$E$4000=$AB6)*('2013 E Maize Soil VWC'!$F$2:$F$4000=AH$5),'2013 E Maize Soil VWC'!$G$2:$G$4000)</f>
        <v>0.26859788286924935</v>
      </c>
      <c r="AI6" s="4" t="e" cm="1">
        <f t="array" ref="AI6">_xlfn.XLOOKUP(1,('2013 E Maize Soil VWC'!$C$2:$C$4000=$AA6)*('2013 E Maize Soil VWC'!$E$2:$E$4000=$AB6)*('2013 E Maize Soil VWC'!$F$2:$F$4000=AI$5),'2013 E Maize Soil VWC'!$G$2:$G$4000)</f>
        <v>#N/A</v>
      </c>
      <c r="AJ6" s="4" t="e" cm="1">
        <f t="array" ref="AJ6">_xlfn.XLOOKUP(1,('2013 E Maize Soil VWC'!$C$2:$C$4000=$AA6)*('2013 E Maize Soil VWC'!$E$2:$E$4000=$AB6)*('2013 E Maize Soil VWC'!$F$2:$F$4000=AJ$5),'2013 E Maize Soil VWC'!$G$2:$G$4000)</f>
        <v>#N/A</v>
      </c>
      <c r="AK6" s="4" t="e" cm="1">
        <f t="array" ref="AK6">_xlfn.XLOOKUP(1,('2013 E Maize Soil VWC'!$C$2:$C$4000=$AA6)*('2013 E Maize Soil VWC'!$E$2:$E$4000=$AB6)*('2013 E Maize Soil VWC'!$F$2:$F$4000=AK$5),'2013 E Maize Soil VWC'!$G$2:$G$4000)</f>
        <v>#N/A</v>
      </c>
      <c r="AL6" s="4" t="e" cm="1">
        <f t="array" ref="AL6">_xlfn.XLOOKUP(1,('2013 E Maize Soil VWC'!$C$2:$C$4000=$AA6)*('2013 E Maize Soil VWC'!$E$2:$E$4000=$AB6)*('2013 E Maize Soil VWC'!$F$2:$F$4000=AL$5),'2013 E Maize Soil VWC'!$G$2:$G$4000)</f>
        <v>#N/A</v>
      </c>
      <c r="AM6" s="4" t="e" cm="1">
        <f t="array" ref="AM6">_xlfn.XLOOKUP(1,('2013 E Maize Soil VWC'!$C$2:$C$4000=$AA6)*('2013 E Maize Soil VWC'!$E$2:$E$4000=$AB6)*('2013 E Maize Soil VWC'!$F$2:$F$4000=AM$5),'2013 E Maize Soil VWC'!$G$2:$G$4000)</f>
        <v>#N/A</v>
      </c>
      <c r="AN6" s="4" t="e" cm="1">
        <f t="array" ref="AN6">_xlfn.XLOOKUP(1,('2013 E Maize Soil VWC'!$C$2:$C$4000=$AA6)*('2013 E Maize Soil VWC'!$E$2:$E$4000=$AB6)*('2013 E Maize Soil VWC'!$F$2:$F$4000=AN$5),'2013 E Maize Soil VWC'!$G$2:$G$4000)</f>
        <v>#N/A</v>
      </c>
      <c r="AO6" s="4" t="e" cm="1">
        <f t="array" ref="AO6">_xlfn.XLOOKUP(1,('2013 E Maize Soil VWC'!$C$2:$C$4000=$AA6)*('2013 E Maize Soil VWC'!$E$2:$E$4000=$AB6)*('2013 E Maize Soil VWC'!$F$2:$F$4000=AO$5),'2013 E Maize Soil VWC'!$G$2:$G$4000)</f>
        <v>#N/A</v>
      </c>
      <c r="AP6" s="4" t="e" cm="1">
        <f t="array" ref="AP6">_xlfn.XLOOKUP(1,('2013 E Maize Soil VWC'!$C$2:$C$4000=$AA6)*('2013 E Maize Soil VWC'!$E$2:$E$4000=$AB6)*('2013 E Maize Soil VWC'!$F$2:$F$4000=AP$5),'2013 E Maize Soil VWC'!$G$2:$G$4000)</f>
        <v>#N/A</v>
      </c>
      <c r="AQ6" s="4" cm="1">
        <f t="array" ref="AQ6">_xlfn.XLOOKUP(1,('2013 E Maize Soil VWC'!$C$2:$C$4000=$AA6)*('2013 E Maize Soil VWC'!$E$2:$E$4000=$AB6)*('2013 E Maize Soil VWC'!$F$2:$F$4000=AQ$5),'2013 E Maize Soil VWC'!$G$2:$G$4000)</f>
        <v>0.27299619884987891</v>
      </c>
      <c r="AR6" s="4" cm="1">
        <f t="array" ref="AR6">_xlfn.XLOOKUP(1,('2013 E Maize Soil VWC'!$C$2:$C$4000=$AA6)*('2013 E Maize Soil VWC'!$E$2:$E$4000=$AB6)*('2013 E Maize Soil VWC'!$F$2:$F$4000=AR$5),'2013 E Maize Soil VWC'!$G$2:$G$4000)</f>
        <v>0.26533772760290558</v>
      </c>
      <c r="AS6" s="4" t="e" cm="1">
        <f t="array" ref="AS6">_xlfn.XLOOKUP(1,('2013 E Maize Soil VWC'!$C$2:$C$4000=$AA6)*('2013 E Maize Soil VWC'!$E$2:$E$4000=$AB6)*('2013 E Maize Soil VWC'!$F$2:$F$4000=AS$5),'2013 E Maize Soil VWC'!$G$2:$G$4000)</f>
        <v>#N/A</v>
      </c>
      <c r="AT6" s="4" t="e" cm="1">
        <f t="array" ref="AT6">_xlfn.XLOOKUP(1,('2013 E Maize Soil VWC'!$C$2:$C$4000=$AA6)*('2013 E Maize Soil VWC'!$E$2:$E$4000=$AB6)*('2013 E Maize Soil VWC'!$F$2:$F$4000=AT$5),'2013 E Maize Soil VWC'!$G$2:$G$4000)</f>
        <v>#N/A</v>
      </c>
      <c r="AU6" s="4" t="e" cm="1">
        <f t="array" ref="AU6">_xlfn.XLOOKUP(1,('2013 E Maize Soil VWC'!$C$2:$C$4000=$AA6)*('2013 E Maize Soil VWC'!$E$2:$E$4000=$AB6)*('2013 E Maize Soil VWC'!$F$2:$F$4000=AU$5),'2013 E Maize Soil VWC'!$G$2:$G$4000)</f>
        <v>#N/A</v>
      </c>
      <c r="AV6" s="4" t="e" cm="1">
        <f t="array" ref="AV6">_xlfn.XLOOKUP(1,('2013 E Maize Soil VWC'!$C$2:$C$4000=$AA6)*('2013 E Maize Soil VWC'!$E$2:$E$4000=$AB6)*('2013 E Maize Soil VWC'!$F$2:$F$4000=AV$5),'2013 E Maize Soil VWC'!$G$2:$G$4000)</f>
        <v>#N/A</v>
      </c>
      <c r="AW6" s="22">
        <f>Z6</f>
        <v>156</v>
      </c>
      <c r="AX6" s="20">
        <f>AA6</f>
        <v>41430</v>
      </c>
      <c r="AY6" s="4">
        <f>1400*AVERAGE(AG6:AH12)+100*AVERAGE(AG13:AH13)</f>
        <v>506.94172288135587</v>
      </c>
      <c r="AZ6" s="4" t="e">
        <f>1400*AVERAGE(AC6:AF12,AI6:AL12)+100*AVERAGE(AC13:AF13,AI13:AL13)</f>
        <v>#N/A</v>
      </c>
      <c r="BA6" s="4">
        <f>1400*AVERAGE(AQ6:AR12)+100*AVERAGE(AQ13:AR13)</f>
        <v>495.63484006759467</v>
      </c>
      <c r="BB6" s="4" t="e">
        <f>1400*AVERAGE(AM6:AP12,AS6:AV12)+100*AVERAGE(AM13:AP13,AS13:AV13)</f>
        <v>#N/A</v>
      </c>
      <c r="BC6" s="4" t="e">
        <f>AVERAGE(AC6:AD17)*2400</f>
        <v>#N/A</v>
      </c>
      <c r="BD6" s="4" t="e">
        <f>AVERAGE(AE6:AF17)*2400</f>
        <v>#N/A</v>
      </c>
      <c r="BE6" s="4">
        <f>AVERAGE(AG6:AH15)*2000</f>
        <v>672.85675586158186</v>
      </c>
      <c r="BF6" s="4" t="e">
        <f>AVERAGE(AI6:AJ17)*2400</f>
        <v>#N/A</v>
      </c>
      <c r="BG6" s="4" t="e">
        <f>AVERAGE(AK6:AL17)*2400</f>
        <v>#N/A</v>
      </c>
      <c r="BH6" s="4" t="e">
        <f>AVERAGE(AM6:AN17)*2400</f>
        <v>#N/A</v>
      </c>
      <c r="BI6" s="4" t="e">
        <f>AVERAGE(AO6:AP17)*2400</f>
        <v>#N/A</v>
      </c>
      <c r="BJ6" s="4">
        <f>AVERAGE(AQ6:AR15)*2000</f>
        <v>655.79955083736888</v>
      </c>
      <c r="BK6" s="4" t="e">
        <f>AVERAGE(AS6:AT17)*2400</f>
        <v>#N/A</v>
      </c>
      <c r="BL6" s="4" t="e">
        <f>AVERAGE(AU6:AV17)*2400</f>
        <v>#N/A</v>
      </c>
      <c r="BM6" s="4">
        <v>156</v>
      </c>
      <c r="BN6" s="20">
        <v>41430</v>
      </c>
      <c r="BO6" s="24">
        <f t="shared" ref="BO6:CB19" si="0">VLOOKUP($BN6,$AX$6:$BL$175,BO$5)</f>
        <v>506.94172288135587</v>
      </c>
      <c r="BP6" s="24" t="e">
        <f t="shared" si="0"/>
        <v>#N/A</v>
      </c>
      <c r="BQ6" s="24">
        <f t="shared" si="0"/>
        <v>495.63484006759467</v>
      </c>
      <c r="BR6" s="24" t="e">
        <f t="shared" si="0"/>
        <v>#N/A</v>
      </c>
      <c r="BS6" s="24" t="e">
        <f t="shared" si="0"/>
        <v>#N/A</v>
      </c>
      <c r="BT6" s="24" t="e">
        <f t="shared" si="0"/>
        <v>#N/A</v>
      </c>
      <c r="BU6" s="24">
        <f t="shared" si="0"/>
        <v>672.85675586158186</v>
      </c>
      <c r="BV6" s="24" t="e">
        <f t="shared" si="0"/>
        <v>#N/A</v>
      </c>
      <c r="BW6" s="24" t="e">
        <f t="shared" si="0"/>
        <v>#N/A</v>
      </c>
      <c r="BX6" s="24" t="e">
        <f t="shared" si="0"/>
        <v>#N/A</v>
      </c>
      <c r="BY6" s="24" t="e">
        <f t="shared" si="0"/>
        <v>#N/A</v>
      </c>
      <c r="BZ6" s="24">
        <f t="shared" si="0"/>
        <v>655.79955083736888</v>
      </c>
      <c r="CA6" s="24" t="e">
        <f t="shared" si="0"/>
        <v>#N/A</v>
      </c>
      <c r="CB6" s="24" t="e">
        <f t="shared" si="0"/>
        <v>#N/A</v>
      </c>
    </row>
    <row r="7" spans="25:80" x14ac:dyDescent="0.25">
      <c r="AA7" s="15">
        <f t="shared" ref="AA7:AA17" si="1">AA6</f>
        <v>41430</v>
      </c>
      <c r="AB7" s="4">
        <f t="shared" ref="AB7:AB17" si="2">AB6+20</f>
        <v>30</v>
      </c>
      <c r="AC7" s="4" t="e" cm="1">
        <f t="array" ref="AC7">_xlfn.XLOOKUP(1,('2013 E Maize Soil VWC'!$C$2:$C$4000=$AA7)*('2013 E Maize Soil VWC'!$E$2:$E$4000=$AB7)*('2013 E Maize Soil VWC'!$F$2:$F$4000=AC$5),'2013 E Maize Soil VWC'!$G$2:$G$4000)</f>
        <v>#N/A</v>
      </c>
      <c r="AD7" s="4" t="e" cm="1">
        <f t="array" ref="AD7">_xlfn.XLOOKUP(1,('2013 E Maize Soil VWC'!$C$2:$C$4000=$AA7)*('2013 E Maize Soil VWC'!$E$2:$E$4000=$AB7)*('2013 E Maize Soil VWC'!$F$2:$F$4000=AD$5),'2013 E Maize Soil VWC'!$G$2:$G$4000)</f>
        <v>#N/A</v>
      </c>
      <c r="AE7" s="4" t="e" cm="1">
        <f t="array" ref="AE7">_xlfn.XLOOKUP(1,('2013 E Maize Soil VWC'!$C$2:$C$4000=$AA7)*('2013 E Maize Soil VWC'!$E$2:$E$4000=$AB7)*('2013 E Maize Soil VWC'!$F$2:$F$4000=AE$5),'2013 E Maize Soil VWC'!$G$2:$G$4000)</f>
        <v>#N/A</v>
      </c>
      <c r="AF7" s="4" t="e" cm="1">
        <f t="array" ref="AF7">_xlfn.XLOOKUP(1,('2013 E Maize Soil VWC'!$C$2:$C$4000=$AA7)*('2013 E Maize Soil VWC'!$E$2:$E$4000=$AB7)*('2013 E Maize Soil VWC'!$F$2:$F$4000=AF$5),'2013 E Maize Soil VWC'!$G$2:$G$4000)</f>
        <v>#N/A</v>
      </c>
      <c r="AG7" s="4" cm="1">
        <f t="array" ref="AG7">_xlfn.XLOOKUP(1,('2013 E Maize Soil VWC'!$C$2:$C$4000=$AA7)*('2013 E Maize Soil VWC'!$E$2:$E$4000=$AB7)*('2013 E Maize Soil VWC'!$F$2:$F$4000=AG$5),'2013 E Maize Soil VWC'!$G$2:$G$4000)</f>
        <v>0.35414813771186437</v>
      </c>
      <c r="AH7" s="4" cm="1">
        <f t="array" ref="AH7">_xlfn.XLOOKUP(1,('2013 E Maize Soil VWC'!$C$2:$C$4000=$AA7)*('2013 E Maize Soil VWC'!$E$2:$E$4000=$AB7)*('2013 E Maize Soil VWC'!$F$2:$F$4000=AH$5),'2013 E Maize Soil VWC'!$G$2:$G$4000)</f>
        <v>0.34569651129943502</v>
      </c>
      <c r="AI7" s="4" t="e" cm="1">
        <f t="array" ref="AI7">_xlfn.XLOOKUP(1,('2013 E Maize Soil VWC'!$C$2:$C$4000=$AA7)*('2013 E Maize Soil VWC'!$E$2:$E$4000=$AB7)*('2013 E Maize Soil VWC'!$F$2:$F$4000=AI$5),'2013 E Maize Soil VWC'!$G$2:$G$4000)</f>
        <v>#N/A</v>
      </c>
      <c r="AJ7" s="4" t="e" cm="1">
        <f t="array" ref="AJ7">_xlfn.XLOOKUP(1,('2013 E Maize Soil VWC'!$C$2:$C$4000=$AA7)*('2013 E Maize Soil VWC'!$E$2:$E$4000=$AB7)*('2013 E Maize Soil VWC'!$F$2:$F$4000=AJ$5),'2013 E Maize Soil VWC'!$G$2:$G$4000)</f>
        <v>#N/A</v>
      </c>
      <c r="AK7" s="4" t="e" cm="1">
        <f t="array" ref="AK7">_xlfn.XLOOKUP(1,('2013 E Maize Soil VWC'!$C$2:$C$4000=$AA7)*('2013 E Maize Soil VWC'!$E$2:$E$4000=$AB7)*('2013 E Maize Soil VWC'!$F$2:$F$4000=AK$5),'2013 E Maize Soil VWC'!$G$2:$G$4000)</f>
        <v>#N/A</v>
      </c>
      <c r="AL7" s="4" t="e" cm="1">
        <f t="array" ref="AL7">_xlfn.XLOOKUP(1,('2013 E Maize Soil VWC'!$C$2:$C$4000=$AA7)*('2013 E Maize Soil VWC'!$E$2:$E$4000=$AB7)*('2013 E Maize Soil VWC'!$F$2:$F$4000=AL$5),'2013 E Maize Soil VWC'!$G$2:$G$4000)</f>
        <v>#N/A</v>
      </c>
      <c r="AM7" s="4" t="e" cm="1">
        <f t="array" ref="AM7">_xlfn.XLOOKUP(1,('2013 E Maize Soil VWC'!$C$2:$C$4000=$AA7)*('2013 E Maize Soil VWC'!$E$2:$E$4000=$AB7)*('2013 E Maize Soil VWC'!$F$2:$F$4000=AM$5),'2013 E Maize Soil VWC'!$G$2:$G$4000)</f>
        <v>#N/A</v>
      </c>
      <c r="AN7" s="4" t="e" cm="1">
        <f t="array" ref="AN7">_xlfn.XLOOKUP(1,('2013 E Maize Soil VWC'!$C$2:$C$4000=$AA7)*('2013 E Maize Soil VWC'!$E$2:$E$4000=$AB7)*('2013 E Maize Soil VWC'!$F$2:$F$4000=AN$5),'2013 E Maize Soil VWC'!$G$2:$G$4000)</f>
        <v>#N/A</v>
      </c>
      <c r="AO7" s="4" t="e" cm="1">
        <f t="array" ref="AO7">_xlfn.XLOOKUP(1,('2013 E Maize Soil VWC'!$C$2:$C$4000=$AA7)*('2013 E Maize Soil VWC'!$E$2:$E$4000=$AB7)*('2013 E Maize Soil VWC'!$F$2:$F$4000=AO$5),'2013 E Maize Soil VWC'!$G$2:$G$4000)</f>
        <v>#N/A</v>
      </c>
      <c r="AP7" s="4" t="e" cm="1">
        <f t="array" ref="AP7">_xlfn.XLOOKUP(1,('2013 E Maize Soil VWC'!$C$2:$C$4000=$AA7)*('2013 E Maize Soil VWC'!$E$2:$E$4000=$AB7)*('2013 E Maize Soil VWC'!$F$2:$F$4000=AP$5),'2013 E Maize Soil VWC'!$G$2:$G$4000)</f>
        <v>#N/A</v>
      </c>
      <c r="AQ7" s="4" cm="1">
        <f t="array" ref="AQ7">_xlfn.XLOOKUP(1,('2013 E Maize Soil VWC'!$C$2:$C$4000=$AA7)*('2013 E Maize Soil VWC'!$E$2:$E$4000=$AB7)*('2013 E Maize Soil VWC'!$F$2:$F$4000=AQ$5),'2013 E Maize Soil VWC'!$G$2:$G$4000)</f>
        <v>0.35290457415254234</v>
      </c>
      <c r="AR7" s="4" cm="1">
        <f t="array" ref="AR7">_xlfn.XLOOKUP(1,('2013 E Maize Soil VWC'!$C$2:$C$4000=$AA7)*('2013 E Maize Soil VWC'!$E$2:$E$4000=$AB7)*('2013 E Maize Soil VWC'!$F$2:$F$4000=AR$5),'2013 E Maize Soil VWC'!$G$2:$G$4000)</f>
        <v>0.35262822669491528</v>
      </c>
      <c r="AS7" s="4" t="e" cm="1">
        <f t="array" ref="AS7">_xlfn.XLOOKUP(1,('2013 E Maize Soil VWC'!$C$2:$C$4000=$AA7)*('2013 E Maize Soil VWC'!$E$2:$E$4000=$AB7)*('2013 E Maize Soil VWC'!$F$2:$F$4000=AS$5),'2013 E Maize Soil VWC'!$G$2:$G$4000)</f>
        <v>#N/A</v>
      </c>
      <c r="AT7" s="4" t="e" cm="1">
        <f t="array" ref="AT7">_xlfn.XLOOKUP(1,('2013 E Maize Soil VWC'!$C$2:$C$4000=$AA7)*('2013 E Maize Soil VWC'!$E$2:$E$4000=$AB7)*('2013 E Maize Soil VWC'!$F$2:$F$4000=AT$5),'2013 E Maize Soil VWC'!$G$2:$G$4000)</f>
        <v>#N/A</v>
      </c>
      <c r="AU7" s="4" t="e" cm="1">
        <f t="array" ref="AU7">_xlfn.XLOOKUP(1,('2013 E Maize Soil VWC'!$C$2:$C$4000=$AA7)*('2013 E Maize Soil VWC'!$E$2:$E$4000=$AB7)*('2013 E Maize Soil VWC'!$F$2:$F$4000=AU$5),'2013 E Maize Soil VWC'!$G$2:$G$4000)</f>
        <v>#N/A</v>
      </c>
      <c r="AV7" s="4" t="e" cm="1">
        <f t="array" ref="AV7">_xlfn.XLOOKUP(1,('2013 E Maize Soil VWC'!$C$2:$C$4000=$AA7)*('2013 E Maize Soil VWC'!$E$2:$E$4000=$AB7)*('2013 E Maize Soil VWC'!$F$2:$F$4000=AV$5),'2013 E Maize Soil VWC'!$G$2:$G$4000)</f>
        <v>#N/A</v>
      </c>
      <c r="BM7" s="4">
        <v>157</v>
      </c>
      <c r="BN7" s="20">
        <v>41431</v>
      </c>
      <c r="BO7" s="24">
        <f t="shared" si="0"/>
        <v>519.514057133488</v>
      </c>
      <c r="BP7" s="24" t="e">
        <f t="shared" si="0"/>
        <v>#N/A</v>
      </c>
      <c r="BQ7" s="24">
        <f t="shared" si="0"/>
        <v>508.71275323378069</v>
      </c>
      <c r="BR7" s="24" t="e">
        <f t="shared" si="0"/>
        <v>#N/A</v>
      </c>
      <c r="BS7" s="24" t="e">
        <f t="shared" si="0"/>
        <v>#N/A</v>
      </c>
      <c r="BT7" s="24" t="e">
        <f t="shared" si="0"/>
        <v>#N/A</v>
      </c>
      <c r="BU7" s="24">
        <f t="shared" si="0"/>
        <v>687.253799293714</v>
      </c>
      <c r="BV7" s="24" t="e">
        <f t="shared" si="0"/>
        <v>#N/A</v>
      </c>
      <c r="BW7" s="24" t="e">
        <f t="shared" si="0"/>
        <v>#N/A</v>
      </c>
      <c r="BX7" s="24" t="e">
        <f t="shared" si="0"/>
        <v>#N/A</v>
      </c>
      <c r="BY7" s="24" t="e">
        <f t="shared" si="0"/>
        <v>#N/A</v>
      </c>
      <c r="BZ7" s="24">
        <f t="shared" si="0"/>
        <v>671.20800356169912</v>
      </c>
      <c r="CA7" s="24" t="e">
        <f t="shared" si="0"/>
        <v>#N/A</v>
      </c>
      <c r="CB7" s="24" t="e">
        <f t="shared" si="0"/>
        <v>#N/A</v>
      </c>
    </row>
    <row r="8" spans="25:80" x14ac:dyDescent="0.25">
      <c r="AA8" s="15">
        <f t="shared" si="1"/>
        <v>41430</v>
      </c>
      <c r="AB8" s="4">
        <f t="shared" si="2"/>
        <v>50</v>
      </c>
      <c r="AC8" s="4" t="e" cm="1">
        <f t="array" ref="AC8">_xlfn.XLOOKUP(1,('2013 E Maize Soil VWC'!$C$2:$C$4000=$AA8)*('2013 E Maize Soil VWC'!$E$2:$E$4000=$AB8)*('2013 E Maize Soil VWC'!$F$2:$F$4000=AC$5),'2013 E Maize Soil VWC'!$G$2:$G$4000)</f>
        <v>#N/A</v>
      </c>
      <c r="AD8" s="4" t="e" cm="1">
        <f t="array" ref="AD8">_xlfn.XLOOKUP(1,('2013 E Maize Soil VWC'!$C$2:$C$4000=$AA8)*('2013 E Maize Soil VWC'!$E$2:$E$4000=$AB8)*('2013 E Maize Soil VWC'!$F$2:$F$4000=AD$5),'2013 E Maize Soil VWC'!$G$2:$G$4000)</f>
        <v>#N/A</v>
      </c>
      <c r="AE8" s="4" t="e" cm="1">
        <f t="array" ref="AE8">_xlfn.XLOOKUP(1,('2013 E Maize Soil VWC'!$C$2:$C$4000=$AA8)*('2013 E Maize Soil VWC'!$E$2:$E$4000=$AB8)*('2013 E Maize Soil VWC'!$F$2:$F$4000=AE$5),'2013 E Maize Soil VWC'!$G$2:$G$4000)</f>
        <v>#N/A</v>
      </c>
      <c r="AF8" s="4" t="e" cm="1">
        <f t="array" ref="AF8">_xlfn.XLOOKUP(1,('2013 E Maize Soil VWC'!$C$2:$C$4000=$AA8)*('2013 E Maize Soil VWC'!$E$2:$E$4000=$AB8)*('2013 E Maize Soil VWC'!$F$2:$F$4000=AF$5),'2013 E Maize Soil VWC'!$G$2:$G$4000)</f>
        <v>#N/A</v>
      </c>
      <c r="AG8" s="4" cm="1">
        <f t="array" ref="AG8">_xlfn.XLOOKUP(1,('2013 E Maize Soil VWC'!$C$2:$C$4000=$AA8)*('2013 E Maize Soil VWC'!$E$2:$E$4000=$AB8)*('2013 E Maize Soil VWC'!$F$2:$F$4000=AG$5),'2013 E Maize Soil VWC'!$G$2:$G$4000)</f>
        <v>0.36121802683615817</v>
      </c>
      <c r="AH8" s="4" cm="1">
        <f t="array" ref="AH8">_xlfn.XLOOKUP(1,('2013 E Maize Soil VWC'!$C$2:$C$4000=$AA8)*('2013 E Maize Soil VWC'!$E$2:$E$4000=$AB8)*('2013 E Maize Soil VWC'!$F$2:$F$4000=AH$5),'2013 E Maize Soil VWC'!$G$2:$G$4000)</f>
        <v>0.36253067725988697</v>
      </c>
      <c r="AI8" s="4" t="e" cm="1">
        <f t="array" ref="AI8">_xlfn.XLOOKUP(1,('2013 E Maize Soil VWC'!$C$2:$C$4000=$AA8)*('2013 E Maize Soil VWC'!$E$2:$E$4000=$AB8)*('2013 E Maize Soil VWC'!$F$2:$F$4000=AI$5),'2013 E Maize Soil VWC'!$G$2:$G$4000)</f>
        <v>#N/A</v>
      </c>
      <c r="AJ8" s="4" t="e" cm="1">
        <f t="array" ref="AJ8">_xlfn.XLOOKUP(1,('2013 E Maize Soil VWC'!$C$2:$C$4000=$AA8)*('2013 E Maize Soil VWC'!$E$2:$E$4000=$AB8)*('2013 E Maize Soil VWC'!$F$2:$F$4000=AJ$5),'2013 E Maize Soil VWC'!$G$2:$G$4000)</f>
        <v>#N/A</v>
      </c>
      <c r="AK8" s="4" t="e" cm="1">
        <f t="array" ref="AK8">_xlfn.XLOOKUP(1,('2013 E Maize Soil VWC'!$C$2:$C$4000=$AA8)*('2013 E Maize Soil VWC'!$E$2:$E$4000=$AB8)*('2013 E Maize Soil VWC'!$F$2:$F$4000=AK$5),'2013 E Maize Soil VWC'!$G$2:$G$4000)</f>
        <v>#N/A</v>
      </c>
      <c r="AL8" s="4" t="e" cm="1">
        <f t="array" ref="AL8">_xlfn.XLOOKUP(1,('2013 E Maize Soil VWC'!$C$2:$C$4000=$AA8)*('2013 E Maize Soil VWC'!$E$2:$E$4000=$AB8)*('2013 E Maize Soil VWC'!$F$2:$F$4000=AL$5),'2013 E Maize Soil VWC'!$G$2:$G$4000)</f>
        <v>#N/A</v>
      </c>
      <c r="AM8" s="4" t="e" cm="1">
        <f t="array" ref="AM8">_xlfn.XLOOKUP(1,('2013 E Maize Soil VWC'!$C$2:$C$4000=$AA8)*('2013 E Maize Soil VWC'!$E$2:$E$4000=$AB8)*('2013 E Maize Soil VWC'!$F$2:$F$4000=AM$5),'2013 E Maize Soil VWC'!$G$2:$G$4000)</f>
        <v>#N/A</v>
      </c>
      <c r="AN8" s="4" t="e" cm="1">
        <f t="array" ref="AN8">_xlfn.XLOOKUP(1,('2013 E Maize Soil VWC'!$C$2:$C$4000=$AA8)*('2013 E Maize Soil VWC'!$E$2:$E$4000=$AB8)*('2013 E Maize Soil VWC'!$F$2:$F$4000=AN$5),'2013 E Maize Soil VWC'!$G$2:$G$4000)</f>
        <v>#N/A</v>
      </c>
      <c r="AO8" s="4" t="e" cm="1">
        <f t="array" ref="AO8">_xlfn.XLOOKUP(1,('2013 E Maize Soil VWC'!$C$2:$C$4000=$AA8)*('2013 E Maize Soil VWC'!$E$2:$E$4000=$AB8)*('2013 E Maize Soil VWC'!$F$2:$F$4000=AO$5),'2013 E Maize Soil VWC'!$G$2:$G$4000)</f>
        <v>#N/A</v>
      </c>
      <c r="AP8" s="4" t="e" cm="1">
        <f t="array" ref="AP8">_xlfn.XLOOKUP(1,('2013 E Maize Soil VWC'!$C$2:$C$4000=$AA8)*('2013 E Maize Soil VWC'!$E$2:$E$4000=$AB8)*('2013 E Maize Soil VWC'!$F$2:$F$4000=AP$5),'2013 E Maize Soil VWC'!$G$2:$G$4000)</f>
        <v>#N/A</v>
      </c>
      <c r="AQ8" s="4" cm="1">
        <f t="array" ref="AQ8">_xlfn.XLOOKUP(1,('2013 E Maize Soil VWC'!$C$2:$C$4000=$AA8)*('2013 E Maize Soil VWC'!$E$2:$E$4000=$AB8)*('2013 E Maize Soil VWC'!$F$2:$F$4000=AQ$5),'2013 E Maize Soil VWC'!$G$2:$G$4000)</f>
        <v>0.35198341596045196</v>
      </c>
      <c r="AR8" s="4" cm="1">
        <f t="array" ref="AR8">_xlfn.XLOOKUP(1,('2013 E Maize Soil VWC'!$C$2:$C$4000=$AA8)*('2013 E Maize Soil VWC'!$E$2:$E$4000=$AB8)*('2013 E Maize Soil VWC'!$F$2:$F$4000=AR$5),'2013 E Maize Soil VWC'!$G$2:$G$4000)</f>
        <v>0.35529958545197743</v>
      </c>
      <c r="AS8" s="4" t="e" cm="1">
        <f t="array" ref="AS8">_xlfn.XLOOKUP(1,('2013 E Maize Soil VWC'!$C$2:$C$4000=$AA8)*('2013 E Maize Soil VWC'!$E$2:$E$4000=$AB8)*('2013 E Maize Soil VWC'!$F$2:$F$4000=AS$5),'2013 E Maize Soil VWC'!$G$2:$G$4000)</f>
        <v>#N/A</v>
      </c>
      <c r="AT8" s="4" t="e" cm="1">
        <f t="array" ref="AT8">_xlfn.XLOOKUP(1,('2013 E Maize Soil VWC'!$C$2:$C$4000=$AA8)*('2013 E Maize Soil VWC'!$E$2:$E$4000=$AB8)*('2013 E Maize Soil VWC'!$F$2:$F$4000=AT$5),'2013 E Maize Soil VWC'!$G$2:$G$4000)</f>
        <v>#N/A</v>
      </c>
      <c r="AU8" s="4" t="e" cm="1">
        <f t="array" ref="AU8">_xlfn.XLOOKUP(1,('2013 E Maize Soil VWC'!$C$2:$C$4000=$AA8)*('2013 E Maize Soil VWC'!$E$2:$E$4000=$AB8)*('2013 E Maize Soil VWC'!$F$2:$F$4000=AU$5),'2013 E Maize Soil VWC'!$G$2:$G$4000)</f>
        <v>#N/A</v>
      </c>
      <c r="AV8" s="4" t="e" cm="1">
        <f t="array" ref="AV8">_xlfn.XLOOKUP(1,('2013 E Maize Soil VWC'!$C$2:$C$4000=$AA8)*('2013 E Maize Soil VWC'!$E$2:$E$4000=$AB8)*('2013 E Maize Soil VWC'!$F$2:$F$4000=AV$5),'2013 E Maize Soil VWC'!$G$2:$G$4000)</f>
        <v>#N/A</v>
      </c>
      <c r="BM8" s="4">
        <v>171</v>
      </c>
      <c r="BN8" s="20">
        <v>41445</v>
      </c>
      <c r="BO8" s="24">
        <f t="shared" si="0"/>
        <v>491.36777381456818</v>
      </c>
      <c r="BP8" s="24">
        <f t="shared" si="0"/>
        <v>498.84464141066383</v>
      </c>
      <c r="BQ8" s="24">
        <f t="shared" si="0"/>
        <v>477.96338187550441</v>
      </c>
      <c r="BR8" s="24">
        <f t="shared" si="0"/>
        <v>488.92374991046199</v>
      </c>
      <c r="BS8" s="24">
        <f t="shared" si="0"/>
        <v>766.93757141848255</v>
      </c>
      <c r="BT8" s="24">
        <f t="shared" si="0"/>
        <v>751.35443967917661</v>
      </c>
      <c r="BU8" s="24">
        <f t="shared" si="0"/>
        <v>657.68508465496382</v>
      </c>
      <c r="BV8" s="24">
        <f t="shared" si="0"/>
        <v>773.32592764326068</v>
      </c>
      <c r="BW8" s="24">
        <f t="shared" si="0"/>
        <v>775.2046620359157</v>
      </c>
      <c r="BX8" s="24">
        <f t="shared" si="0"/>
        <v>773.60151376109764</v>
      </c>
      <c r="BY8" s="24">
        <f t="shared" si="0"/>
        <v>760.18508925544791</v>
      </c>
      <c r="BZ8" s="24">
        <f t="shared" si="0"/>
        <v>641.47747181194507</v>
      </c>
      <c r="CA8" s="24">
        <f t="shared" si="0"/>
        <v>779.38130376311551</v>
      </c>
      <c r="CB8" s="24">
        <f t="shared" si="0"/>
        <v>759.8405918381759</v>
      </c>
    </row>
    <row r="9" spans="25:80" x14ac:dyDescent="0.25">
      <c r="AA9" s="15">
        <f t="shared" si="1"/>
        <v>41430</v>
      </c>
      <c r="AB9" s="4">
        <f t="shared" si="2"/>
        <v>70</v>
      </c>
      <c r="AC9" s="4" t="e" cm="1">
        <f t="array" ref="AC9">_xlfn.XLOOKUP(1,('2013 E Maize Soil VWC'!$C$2:$C$4000=$AA9)*('2013 E Maize Soil VWC'!$E$2:$E$4000=$AB9)*('2013 E Maize Soil VWC'!$F$2:$F$4000=AC$5),'2013 E Maize Soil VWC'!$G$2:$G$4000)</f>
        <v>#N/A</v>
      </c>
      <c r="AD9" s="4" t="e" cm="1">
        <f t="array" ref="AD9">_xlfn.XLOOKUP(1,('2013 E Maize Soil VWC'!$C$2:$C$4000=$AA9)*('2013 E Maize Soil VWC'!$E$2:$E$4000=$AB9)*('2013 E Maize Soil VWC'!$F$2:$F$4000=AD$5),'2013 E Maize Soil VWC'!$G$2:$G$4000)</f>
        <v>#N/A</v>
      </c>
      <c r="AE9" s="4" t="e" cm="1">
        <f t="array" ref="AE9">_xlfn.XLOOKUP(1,('2013 E Maize Soil VWC'!$C$2:$C$4000=$AA9)*('2013 E Maize Soil VWC'!$E$2:$E$4000=$AB9)*('2013 E Maize Soil VWC'!$F$2:$F$4000=AE$5),'2013 E Maize Soil VWC'!$G$2:$G$4000)</f>
        <v>#N/A</v>
      </c>
      <c r="AF9" s="4" t="e" cm="1">
        <f t="array" ref="AF9">_xlfn.XLOOKUP(1,('2013 E Maize Soil VWC'!$C$2:$C$4000=$AA9)*('2013 E Maize Soil VWC'!$E$2:$E$4000=$AB9)*('2013 E Maize Soil VWC'!$F$2:$F$4000=AF$5),'2013 E Maize Soil VWC'!$G$2:$G$4000)</f>
        <v>#N/A</v>
      </c>
      <c r="AG9" s="4" cm="1">
        <f t="array" ref="AG9">_xlfn.XLOOKUP(1,('2013 E Maize Soil VWC'!$C$2:$C$4000=$AA9)*('2013 E Maize Soil VWC'!$E$2:$E$4000=$AB9)*('2013 E Maize Soil VWC'!$F$2:$F$4000=AG$5),'2013 E Maize Soil VWC'!$G$2:$G$4000)</f>
        <v>0.36220827189265531</v>
      </c>
      <c r="AH9" s="4" cm="1">
        <f t="array" ref="AH9">_xlfn.XLOOKUP(1,('2013 E Maize Soil VWC'!$C$2:$C$4000=$AA9)*('2013 E Maize Soil VWC'!$E$2:$E$4000=$AB9)*('2013 E Maize Soil VWC'!$F$2:$F$4000=AH$5),'2013 E Maize Soil VWC'!$G$2:$G$4000)</f>
        <v>0.35472386158192093</v>
      </c>
      <c r="AI9" s="4" t="e" cm="1">
        <f t="array" ref="AI9">_xlfn.XLOOKUP(1,('2013 E Maize Soil VWC'!$C$2:$C$4000=$AA9)*('2013 E Maize Soil VWC'!$E$2:$E$4000=$AB9)*('2013 E Maize Soil VWC'!$F$2:$F$4000=AI$5),'2013 E Maize Soil VWC'!$G$2:$G$4000)</f>
        <v>#N/A</v>
      </c>
      <c r="AJ9" s="4" t="e" cm="1">
        <f t="array" ref="AJ9">_xlfn.XLOOKUP(1,('2013 E Maize Soil VWC'!$C$2:$C$4000=$AA9)*('2013 E Maize Soil VWC'!$E$2:$E$4000=$AB9)*('2013 E Maize Soil VWC'!$F$2:$F$4000=AJ$5),'2013 E Maize Soil VWC'!$G$2:$G$4000)</f>
        <v>#N/A</v>
      </c>
      <c r="AK9" s="4" t="e" cm="1">
        <f t="array" ref="AK9">_xlfn.XLOOKUP(1,('2013 E Maize Soil VWC'!$C$2:$C$4000=$AA9)*('2013 E Maize Soil VWC'!$E$2:$E$4000=$AB9)*('2013 E Maize Soil VWC'!$F$2:$F$4000=AK$5),'2013 E Maize Soil VWC'!$G$2:$G$4000)</f>
        <v>#N/A</v>
      </c>
      <c r="AL9" s="4" t="e" cm="1">
        <f t="array" ref="AL9">_xlfn.XLOOKUP(1,('2013 E Maize Soil VWC'!$C$2:$C$4000=$AA9)*('2013 E Maize Soil VWC'!$E$2:$E$4000=$AB9)*('2013 E Maize Soil VWC'!$F$2:$F$4000=AL$5),'2013 E Maize Soil VWC'!$G$2:$G$4000)</f>
        <v>#N/A</v>
      </c>
      <c r="AM9" s="4" t="e" cm="1">
        <f t="array" ref="AM9">_xlfn.XLOOKUP(1,('2013 E Maize Soil VWC'!$C$2:$C$4000=$AA9)*('2013 E Maize Soil VWC'!$E$2:$E$4000=$AB9)*('2013 E Maize Soil VWC'!$F$2:$F$4000=AM$5),'2013 E Maize Soil VWC'!$G$2:$G$4000)</f>
        <v>#N/A</v>
      </c>
      <c r="AN9" s="4" t="e" cm="1">
        <f t="array" ref="AN9">_xlfn.XLOOKUP(1,('2013 E Maize Soil VWC'!$C$2:$C$4000=$AA9)*('2013 E Maize Soil VWC'!$E$2:$E$4000=$AB9)*('2013 E Maize Soil VWC'!$F$2:$F$4000=AN$5),'2013 E Maize Soil VWC'!$G$2:$G$4000)</f>
        <v>#N/A</v>
      </c>
      <c r="AO9" s="4" t="e" cm="1">
        <f t="array" ref="AO9">_xlfn.XLOOKUP(1,('2013 E Maize Soil VWC'!$C$2:$C$4000=$AA9)*('2013 E Maize Soil VWC'!$E$2:$E$4000=$AB9)*('2013 E Maize Soil VWC'!$F$2:$F$4000=AO$5),'2013 E Maize Soil VWC'!$G$2:$G$4000)</f>
        <v>#N/A</v>
      </c>
      <c r="AP9" s="4" t="e" cm="1">
        <f t="array" ref="AP9">_xlfn.XLOOKUP(1,('2013 E Maize Soil VWC'!$C$2:$C$4000=$AA9)*('2013 E Maize Soil VWC'!$E$2:$E$4000=$AB9)*('2013 E Maize Soil VWC'!$F$2:$F$4000=AP$5),'2013 E Maize Soil VWC'!$G$2:$G$4000)</f>
        <v>#N/A</v>
      </c>
      <c r="AQ9" s="4" cm="1">
        <f t="array" ref="AQ9">_xlfn.XLOOKUP(1,('2013 E Maize Soil VWC'!$C$2:$C$4000=$AA9)*('2013 E Maize Soil VWC'!$E$2:$E$4000=$AB9)*('2013 E Maize Soil VWC'!$F$2:$F$4000=AQ$5),'2013 E Maize Soil VWC'!$G$2:$G$4000)</f>
        <v>0.34935811511299431</v>
      </c>
      <c r="AR9" s="4" cm="1">
        <f t="array" ref="AR9">_xlfn.XLOOKUP(1,('2013 E Maize Soil VWC'!$C$2:$C$4000=$AA9)*('2013 E Maize Soil VWC'!$E$2:$E$4000=$AB9)*('2013 E Maize Soil VWC'!$F$2:$F$4000=AR$5),'2013 E Maize Soil VWC'!$G$2:$G$4000)</f>
        <v>0.34026167796610168</v>
      </c>
      <c r="AS9" s="4" t="e" cm="1">
        <f t="array" ref="AS9">_xlfn.XLOOKUP(1,('2013 E Maize Soil VWC'!$C$2:$C$4000=$AA9)*('2013 E Maize Soil VWC'!$E$2:$E$4000=$AB9)*('2013 E Maize Soil VWC'!$F$2:$F$4000=AS$5),'2013 E Maize Soil VWC'!$G$2:$G$4000)</f>
        <v>#N/A</v>
      </c>
      <c r="AT9" s="4" t="e" cm="1">
        <f t="array" ref="AT9">_xlfn.XLOOKUP(1,('2013 E Maize Soil VWC'!$C$2:$C$4000=$AA9)*('2013 E Maize Soil VWC'!$E$2:$E$4000=$AB9)*('2013 E Maize Soil VWC'!$F$2:$F$4000=AT$5),'2013 E Maize Soil VWC'!$G$2:$G$4000)</f>
        <v>#N/A</v>
      </c>
      <c r="AU9" s="4" t="e" cm="1">
        <f t="array" ref="AU9">_xlfn.XLOOKUP(1,('2013 E Maize Soil VWC'!$C$2:$C$4000=$AA9)*('2013 E Maize Soil VWC'!$E$2:$E$4000=$AB9)*('2013 E Maize Soil VWC'!$F$2:$F$4000=AU$5),'2013 E Maize Soil VWC'!$G$2:$G$4000)</f>
        <v>#N/A</v>
      </c>
      <c r="AV9" s="4" t="e" cm="1">
        <f t="array" ref="AV9">_xlfn.XLOOKUP(1,('2013 E Maize Soil VWC'!$C$2:$C$4000=$AA9)*('2013 E Maize Soil VWC'!$E$2:$E$4000=$AB9)*('2013 E Maize Soil VWC'!$F$2:$F$4000=AV$5),'2013 E Maize Soil VWC'!$G$2:$G$4000)</f>
        <v>#N/A</v>
      </c>
      <c r="BM9" s="4">
        <v>176</v>
      </c>
      <c r="BN9" s="20">
        <v>41450</v>
      </c>
      <c r="BO9" s="24">
        <f t="shared" si="0"/>
        <v>475.36297006658594</v>
      </c>
      <c r="BP9" s="24">
        <f t="shared" si="0"/>
        <v>488.56181724298824</v>
      </c>
      <c r="BQ9" s="24">
        <f t="shared" si="0"/>
        <v>460.79909353813565</v>
      </c>
      <c r="BR9" s="24">
        <f t="shared" si="0"/>
        <v>481.37142112843003</v>
      </c>
      <c r="BS9" s="24">
        <f t="shared" si="0"/>
        <v>761.10964965698145</v>
      </c>
      <c r="BT9" s="24">
        <f t="shared" si="0"/>
        <v>743.99529146489101</v>
      </c>
      <c r="BU9" s="24">
        <f t="shared" si="0"/>
        <v>643.64860396489098</v>
      </c>
      <c r="BV9" s="24">
        <f t="shared" si="0"/>
        <v>761.08424967715882</v>
      </c>
      <c r="BW9" s="24">
        <f t="shared" si="0"/>
        <v>760.05022912631136</v>
      </c>
      <c r="BX9" s="24">
        <f t="shared" si="0"/>
        <v>767.86329537933807</v>
      </c>
      <c r="BY9" s="24">
        <f t="shared" si="0"/>
        <v>752.43745898910402</v>
      </c>
      <c r="BZ9" s="24">
        <f t="shared" si="0"/>
        <v>624.65771341807908</v>
      </c>
      <c r="CA9" s="24">
        <f t="shared" si="0"/>
        <v>770.94408432203397</v>
      </c>
      <c r="CB9" s="24">
        <f t="shared" si="0"/>
        <v>752.89624977804681</v>
      </c>
    </row>
    <row r="10" spans="25:80" x14ac:dyDescent="0.25">
      <c r="AA10" s="15">
        <f t="shared" si="1"/>
        <v>41430</v>
      </c>
      <c r="AB10" s="4">
        <f t="shared" si="2"/>
        <v>90</v>
      </c>
      <c r="AC10" s="4" t="e" cm="1">
        <f t="array" ref="AC10">_xlfn.XLOOKUP(1,('2013 E Maize Soil VWC'!$C$2:$C$4000=$AA10)*('2013 E Maize Soil VWC'!$E$2:$E$4000=$AB10)*('2013 E Maize Soil VWC'!$F$2:$F$4000=AC$5),'2013 E Maize Soil VWC'!$G$2:$G$4000)</f>
        <v>#N/A</v>
      </c>
      <c r="AD10" s="4" t="e" cm="1">
        <f t="array" ref="AD10">_xlfn.XLOOKUP(1,('2013 E Maize Soil VWC'!$C$2:$C$4000=$AA10)*('2013 E Maize Soil VWC'!$E$2:$E$4000=$AB10)*('2013 E Maize Soil VWC'!$F$2:$F$4000=AD$5),'2013 E Maize Soil VWC'!$G$2:$G$4000)</f>
        <v>#N/A</v>
      </c>
      <c r="AE10" s="4" t="e" cm="1">
        <f t="array" ref="AE10">_xlfn.XLOOKUP(1,('2013 E Maize Soil VWC'!$C$2:$C$4000=$AA10)*('2013 E Maize Soil VWC'!$E$2:$E$4000=$AB10)*('2013 E Maize Soil VWC'!$F$2:$F$4000=AE$5),'2013 E Maize Soil VWC'!$G$2:$G$4000)</f>
        <v>#N/A</v>
      </c>
      <c r="AF10" s="4" t="e" cm="1">
        <f t="array" ref="AF10">_xlfn.XLOOKUP(1,('2013 E Maize Soil VWC'!$C$2:$C$4000=$AA10)*('2013 E Maize Soil VWC'!$E$2:$E$4000=$AB10)*('2013 E Maize Soil VWC'!$F$2:$F$4000=AF$5),'2013 E Maize Soil VWC'!$G$2:$G$4000)</f>
        <v>#N/A</v>
      </c>
      <c r="AG10" s="4" cm="1">
        <f t="array" ref="AG10">_xlfn.XLOOKUP(1,('2013 E Maize Soil VWC'!$C$2:$C$4000=$AA10)*('2013 E Maize Soil VWC'!$E$2:$E$4000=$AB10)*('2013 E Maize Soil VWC'!$F$2:$F$4000=AG$5),'2013 E Maize Soil VWC'!$G$2:$G$4000)</f>
        <v>0.35221370550847453</v>
      </c>
      <c r="AH10" s="4" cm="1">
        <f t="array" ref="AH10">_xlfn.XLOOKUP(1,('2013 E Maize Soil VWC'!$C$2:$C$4000=$AA10)*('2013 E Maize Soil VWC'!$E$2:$E$4000=$AB10)*('2013 E Maize Soil VWC'!$F$2:$F$4000=AH$5),'2013 E Maize Soil VWC'!$G$2:$G$4000)</f>
        <v>0.34546622175141239</v>
      </c>
      <c r="AI10" s="4" t="e" cm="1">
        <f t="array" ref="AI10">_xlfn.XLOOKUP(1,('2013 E Maize Soil VWC'!$C$2:$C$4000=$AA10)*('2013 E Maize Soil VWC'!$E$2:$E$4000=$AB10)*('2013 E Maize Soil VWC'!$F$2:$F$4000=AI$5),'2013 E Maize Soil VWC'!$G$2:$G$4000)</f>
        <v>#N/A</v>
      </c>
      <c r="AJ10" s="4" t="e" cm="1">
        <f t="array" ref="AJ10">_xlfn.XLOOKUP(1,('2013 E Maize Soil VWC'!$C$2:$C$4000=$AA10)*('2013 E Maize Soil VWC'!$E$2:$E$4000=$AB10)*('2013 E Maize Soil VWC'!$F$2:$F$4000=AJ$5),'2013 E Maize Soil VWC'!$G$2:$G$4000)</f>
        <v>#N/A</v>
      </c>
      <c r="AK10" s="4" t="e" cm="1">
        <f t="array" ref="AK10">_xlfn.XLOOKUP(1,('2013 E Maize Soil VWC'!$C$2:$C$4000=$AA10)*('2013 E Maize Soil VWC'!$E$2:$E$4000=$AB10)*('2013 E Maize Soil VWC'!$F$2:$F$4000=AK$5),'2013 E Maize Soil VWC'!$G$2:$G$4000)</f>
        <v>#N/A</v>
      </c>
      <c r="AL10" s="4" t="e" cm="1">
        <f t="array" ref="AL10">_xlfn.XLOOKUP(1,('2013 E Maize Soil VWC'!$C$2:$C$4000=$AA10)*('2013 E Maize Soil VWC'!$E$2:$E$4000=$AB10)*('2013 E Maize Soil VWC'!$F$2:$F$4000=AL$5),'2013 E Maize Soil VWC'!$G$2:$G$4000)</f>
        <v>#N/A</v>
      </c>
      <c r="AM10" s="4" t="e" cm="1">
        <f t="array" ref="AM10">_xlfn.XLOOKUP(1,('2013 E Maize Soil VWC'!$C$2:$C$4000=$AA10)*('2013 E Maize Soil VWC'!$E$2:$E$4000=$AB10)*('2013 E Maize Soil VWC'!$F$2:$F$4000=AM$5),'2013 E Maize Soil VWC'!$G$2:$G$4000)</f>
        <v>#N/A</v>
      </c>
      <c r="AN10" s="4" t="e" cm="1">
        <f t="array" ref="AN10">_xlfn.XLOOKUP(1,('2013 E Maize Soil VWC'!$C$2:$C$4000=$AA10)*('2013 E Maize Soil VWC'!$E$2:$E$4000=$AB10)*('2013 E Maize Soil VWC'!$F$2:$F$4000=AN$5),'2013 E Maize Soil VWC'!$G$2:$G$4000)</f>
        <v>#N/A</v>
      </c>
      <c r="AO10" s="4" t="e" cm="1">
        <f t="array" ref="AO10">_xlfn.XLOOKUP(1,('2013 E Maize Soil VWC'!$C$2:$C$4000=$AA10)*('2013 E Maize Soil VWC'!$E$2:$E$4000=$AB10)*('2013 E Maize Soil VWC'!$F$2:$F$4000=AO$5),'2013 E Maize Soil VWC'!$G$2:$G$4000)</f>
        <v>#N/A</v>
      </c>
      <c r="AP10" s="4" t="e" cm="1">
        <f t="array" ref="AP10">_xlfn.XLOOKUP(1,('2013 E Maize Soil VWC'!$C$2:$C$4000=$AA10)*('2013 E Maize Soil VWC'!$E$2:$E$4000=$AB10)*('2013 E Maize Soil VWC'!$F$2:$F$4000=AP$5),'2013 E Maize Soil VWC'!$G$2:$G$4000)</f>
        <v>#N/A</v>
      </c>
      <c r="AQ10" s="4" cm="1">
        <f t="array" ref="AQ10">_xlfn.XLOOKUP(1,('2013 E Maize Soil VWC'!$C$2:$C$4000=$AA10)*('2013 E Maize Soil VWC'!$E$2:$E$4000=$AB10)*('2013 E Maize Soil VWC'!$F$2:$F$4000=AQ$5),'2013 E Maize Soil VWC'!$G$2:$G$4000)</f>
        <v>0.34558136652542371</v>
      </c>
      <c r="AR10" s="4" cm="1">
        <f t="array" ref="AR10">_xlfn.XLOOKUP(1,('2013 E Maize Soil VWC'!$C$2:$C$4000=$AA10)*('2013 E Maize Soil VWC'!$E$2:$E$4000=$AB10)*('2013 E Maize Soil VWC'!$F$2:$F$4000=AR$5),'2013 E Maize Soil VWC'!$G$2:$G$4000)</f>
        <v>0.34254154449152541</v>
      </c>
      <c r="AS10" s="4" t="e" cm="1">
        <f t="array" ref="AS10">_xlfn.XLOOKUP(1,('2013 E Maize Soil VWC'!$C$2:$C$4000=$AA10)*('2013 E Maize Soil VWC'!$E$2:$E$4000=$AB10)*('2013 E Maize Soil VWC'!$F$2:$F$4000=AS$5),'2013 E Maize Soil VWC'!$G$2:$G$4000)</f>
        <v>#N/A</v>
      </c>
      <c r="AT10" s="4" t="e" cm="1">
        <f t="array" ref="AT10">_xlfn.XLOOKUP(1,('2013 E Maize Soil VWC'!$C$2:$C$4000=$AA10)*('2013 E Maize Soil VWC'!$E$2:$E$4000=$AB10)*('2013 E Maize Soil VWC'!$F$2:$F$4000=AT$5),'2013 E Maize Soil VWC'!$G$2:$G$4000)</f>
        <v>#N/A</v>
      </c>
      <c r="AU10" s="4" t="e" cm="1">
        <f t="array" ref="AU10">_xlfn.XLOOKUP(1,('2013 E Maize Soil VWC'!$C$2:$C$4000=$AA10)*('2013 E Maize Soil VWC'!$E$2:$E$4000=$AB10)*('2013 E Maize Soil VWC'!$F$2:$F$4000=AU$5),'2013 E Maize Soil VWC'!$G$2:$G$4000)</f>
        <v>#N/A</v>
      </c>
      <c r="AV10" s="4" t="e" cm="1">
        <f t="array" ref="AV10">_xlfn.XLOOKUP(1,('2013 E Maize Soil VWC'!$C$2:$C$4000=$AA10)*('2013 E Maize Soil VWC'!$E$2:$E$4000=$AB10)*('2013 E Maize Soil VWC'!$F$2:$F$4000=AV$5),'2013 E Maize Soil VWC'!$G$2:$G$4000)</f>
        <v>#N/A</v>
      </c>
      <c r="BM10" s="4">
        <v>183</v>
      </c>
      <c r="BN10" s="20">
        <v>41457</v>
      </c>
      <c r="BO10" s="24">
        <f t="shared" si="0"/>
        <v>456.07393048829692</v>
      </c>
      <c r="BP10" s="24">
        <f t="shared" si="0"/>
        <v>480.07497609211049</v>
      </c>
      <c r="BQ10" s="24">
        <f t="shared" si="0"/>
        <v>444.12669636803878</v>
      </c>
      <c r="BR10" s="24">
        <f t="shared" si="0"/>
        <v>464.4346886085047</v>
      </c>
      <c r="BS10" s="24">
        <f t="shared" si="0"/>
        <v>743.27934181799833</v>
      </c>
      <c r="BT10" s="24">
        <f t="shared" si="0"/>
        <v>729.86028890234059</v>
      </c>
      <c r="BU10" s="24">
        <f t="shared" si="0"/>
        <v>623.86234503631954</v>
      </c>
      <c r="BV10" s="24">
        <f t="shared" si="0"/>
        <v>761.91322736077473</v>
      </c>
      <c r="BW10" s="24">
        <f t="shared" si="0"/>
        <v>752.30909120258275</v>
      </c>
      <c r="BX10" s="24">
        <f t="shared" si="0"/>
        <v>749.47797270984688</v>
      </c>
      <c r="BY10" s="24">
        <f t="shared" si="0"/>
        <v>737.33696992534306</v>
      </c>
      <c r="BZ10" s="24">
        <f t="shared" si="0"/>
        <v>608.67143980024207</v>
      </c>
      <c r="CA10" s="24">
        <f t="shared" si="0"/>
        <v>755.71128430185627</v>
      </c>
      <c r="CB10" s="24">
        <f t="shared" si="0"/>
        <v>738.92723621872494</v>
      </c>
    </row>
    <row r="11" spans="25:80" x14ac:dyDescent="0.25">
      <c r="AA11" s="15">
        <f t="shared" si="1"/>
        <v>41430</v>
      </c>
      <c r="AB11" s="4">
        <f t="shared" si="2"/>
        <v>110</v>
      </c>
      <c r="AC11" s="4" t="e" cm="1">
        <f t="array" ref="AC11">_xlfn.XLOOKUP(1,('2013 E Maize Soil VWC'!$C$2:$C$4000=$AA11)*('2013 E Maize Soil VWC'!$E$2:$E$4000=$AB11)*('2013 E Maize Soil VWC'!$F$2:$F$4000=AC$5),'2013 E Maize Soil VWC'!$G$2:$G$4000)</f>
        <v>#N/A</v>
      </c>
      <c r="AD11" s="4" t="e" cm="1">
        <f t="array" ref="AD11">_xlfn.XLOOKUP(1,('2013 E Maize Soil VWC'!$C$2:$C$4000=$AA11)*('2013 E Maize Soil VWC'!$E$2:$E$4000=$AB11)*('2013 E Maize Soil VWC'!$F$2:$F$4000=AD$5),'2013 E Maize Soil VWC'!$G$2:$G$4000)</f>
        <v>#N/A</v>
      </c>
      <c r="AE11" s="4" t="e" cm="1">
        <f t="array" ref="AE11">_xlfn.XLOOKUP(1,('2013 E Maize Soil VWC'!$C$2:$C$4000=$AA11)*('2013 E Maize Soil VWC'!$E$2:$E$4000=$AB11)*('2013 E Maize Soil VWC'!$F$2:$F$4000=AE$5),'2013 E Maize Soil VWC'!$G$2:$G$4000)</f>
        <v>#N/A</v>
      </c>
      <c r="AF11" s="4" t="e" cm="1">
        <f t="array" ref="AF11">_xlfn.XLOOKUP(1,('2013 E Maize Soil VWC'!$C$2:$C$4000=$AA11)*('2013 E Maize Soil VWC'!$E$2:$E$4000=$AB11)*('2013 E Maize Soil VWC'!$F$2:$F$4000=AF$5),'2013 E Maize Soil VWC'!$G$2:$G$4000)</f>
        <v>#N/A</v>
      </c>
      <c r="AG11" s="4" cm="1">
        <f t="array" ref="AG11">_xlfn.XLOOKUP(1,('2013 E Maize Soil VWC'!$C$2:$C$4000=$AA11)*('2013 E Maize Soil VWC'!$E$2:$E$4000=$AB11)*('2013 E Maize Soil VWC'!$F$2:$F$4000=AG$5),'2013 E Maize Soil VWC'!$G$2:$G$4000)</f>
        <v>0.34926599929378527</v>
      </c>
      <c r="AH11" s="4" cm="1">
        <f t="array" ref="AH11">_xlfn.XLOOKUP(1,('2013 E Maize Soil VWC'!$C$2:$C$4000=$AA11)*('2013 E Maize Soil VWC'!$E$2:$E$4000=$AB11)*('2013 E Maize Soil VWC'!$F$2:$F$4000=AH$5),'2013 E Maize Soil VWC'!$G$2:$G$4000)</f>
        <v>0.34058408333333334</v>
      </c>
      <c r="AI11" s="4" t="e" cm="1">
        <f t="array" ref="AI11">_xlfn.XLOOKUP(1,('2013 E Maize Soil VWC'!$C$2:$C$4000=$AA11)*('2013 E Maize Soil VWC'!$E$2:$E$4000=$AB11)*('2013 E Maize Soil VWC'!$F$2:$F$4000=AI$5),'2013 E Maize Soil VWC'!$G$2:$G$4000)</f>
        <v>#N/A</v>
      </c>
      <c r="AJ11" s="4" t="e" cm="1">
        <f t="array" ref="AJ11">_xlfn.XLOOKUP(1,('2013 E Maize Soil VWC'!$C$2:$C$4000=$AA11)*('2013 E Maize Soil VWC'!$E$2:$E$4000=$AB11)*('2013 E Maize Soil VWC'!$F$2:$F$4000=AJ$5),'2013 E Maize Soil VWC'!$G$2:$G$4000)</f>
        <v>#N/A</v>
      </c>
      <c r="AK11" s="4" t="e" cm="1">
        <f t="array" ref="AK11">_xlfn.XLOOKUP(1,('2013 E Maize Soil VWC'!$C$2:$C$4000=$AA11)*('2013 E Maize Soil VWC'!$E$2:$E$4000=$AB11)*('2013 E Maize Soil VWC'!$F$2:$F$4000=AK$5),'2013 E Maize Soil VWC'!$G$2:$G$4000)</f>
        <v>#N/A</v>
      </c>
      <c r="AL11" s="4" t="e" cm="1">
        <f t="array" ref="AL11">_xlfn.XLOOKUP(1,('2013 E Maize Soil VWC'!$C$2:$C$4000=$AA11)*('2013 E Maize Soil VWC'!$E$2:$E$4000=$AB11)*('2013 E Maize Soil VWC'!$F$2:$F$4000=AL$5),'2013 E Maize Soil VWC'!$G$2:$G$4000)</f>
        <v>#N/A</v>
      </c>
      <c r="AM11" s="4" t="e" cm="1">
        <f t="array" ref="AM11">_xlfn.XLOOKUP(1,('2013 E Maize Soil VWC'!$C$2:$C$4000=$AA11)*('2013 E Maize Soil VWC'!$E$2:$E$4000=$AB11)*('2013 E Maize Soil VWC'!$F$2:$F$4000=AM$5),'2013 E Maize Soil VWC'!$G$2:$G$4000)</f>
        <v>#N/A</v>
      </c>
      <c r="AN11" s="4" t="e" cm="1">
        <f t="array" ref="AN11">_xlfn.XLOOKUP(1,('2013 E Maize Soil VWC'!$C$2:$C$4000=$AA11)*('2013 E Maize Soil VWC'!$E$2:$E$4000=$AB11)*('2013 E Maize Soil VWC'!$F$2:$F$4000=AN$5),'2013 E Maize Soil VWC'!$G$2:$G$4000)</f>
        <v>#N/A</v>
      </c>
      <c r="AO11" s="4" t="e" cm="1">
        <f t="array" ref="AO11">_xlfn.XLOOKUP(1,('2013 E Maize Soil VWC'!$C$2:$C$4000=$AA11)*('2013 E Maize Soil VWC'!$E$2:$E$4000=$AB11)*('2013 E Maize Soil VWC'!$F$2:$F$4000=AO$5),'2013 E Maize Soil VWC'!$G$2:$G$4000)</f>
        <v>#N/A</v>
      </c>
      <c r="AP11" s="4" t="e" cm="1">
        <f t="array" ref="AP11">_xlfn.XLOOKUP(1,('2013 E Maize Soil VWC'!$C$2:$C$4000=$AA11)*('2013 E Maize Soil VWC'!$E$2:$E$4000=$AB11)*('2013 E Maize Soil VWC'!$F$2:$F$4000=AP$5),'2013 E Maize Soil VWC'!$G$2:$G$4000)</f>
        <v>#N/A</v>
      </c>
      <c r="AQ11" s="4" cm="1">
        <f t="array" ref="AQ11">_xlfn.XLOOKUP(1,('2013 E Maize Soil VWC'!$C$2:$C$4000=$AA11)*('2013 E Maize Soil VWC'!$E$2:$E$4000=$AB11)*('2013 E Maize Soil VWC'!$F$2:$F$4000=AQ$5),'2013 E Maize Soil VWC'!$G$2:$G$4000)</f>
        <v>0.34060711228813556</v>
      </c>
      <c r="AR11" s="4" cm="1">
        <f t="array" ref="AR11">_xlfn.XLOOKUP(1,('2013 E Maize Soil VWC'!$C$2:$C$4000=$AA11)*('2013 E Maize Soil VWC'!$E$2:$E$4000=$AB11)*('2013 E Maize Soil VWC'!$F$2:$F$4000=AR$5),'2013 E Maize Soil VWC'!$G$2:$G$4000)</f>
        <v>0.3338826574858757</v>
      </c>
      <c r="AS11" s="4" t="e" cm="1">
        <f t="array" ref="AS11">_xlfn.XLOOKUP(1,('2013 E Maize Soil VWC'!$C$2:$C$4000=$AA11)*('2013 E Maize Soil VWC'!$E$2:$E$4000=$AB11)*('2013 E Maize Soil VWC'!$F$2:$F$4000=AS$5),'2013 E Maize Soil VWC'!$G$2:$G$4000)</f>
        <v>#N/A</v>
      </c>
      <c r="AT11" s="4" t="e" cm="1">
        <f t="array" ref="AT11">_xlfn.XLOOKUP(1,('2013 E Maize Soil VWC'!$C$2:$C$4000=$AA11)*('2013 E Maize Soil VWC'!$E$2:$E$4000=$AB11)*('2013 E Maize Soil VWC'!$F$2:$F$4000=AT$5),'2013 E Maize Soil VWC'!$G$2:$G$4000)</f>
        <v>#N/A</v>
      </c>
      <c r="AU11" s="4" t="e" cm="1">
        <f t="array" ref="AU11">_xlfn.XLOOKUP(1,('2013 E Maize Soil VWC'!$C$2:$C$4000=$AA11)*('2013 E Maize Soil VWC'!$E$2:$E$4000=$AB11)*('2013 E Maize Soil VWC'!$F$2:$F$4000=AU$5),'2013 E Maize Soil VWC'!$G$2:$G$4000)</f>
        <v>#N/A</v>
      </c>
      <c r="AV11" s="4" t="e" cm="1">
        <f t="array" ref="AV11">_xlfn.XLOOKUP(1,('2013 E Maize Soil VWC'!$C$2:$C$4000=$AA11)*('2013 E Maize Soil VWC'!$E$2:$E$4000=$AB11)*('2013 E Maize Soil VWC'!$F$2:$F$4000=AV$5),'2013 E Maize Soil VWC'!$G$2:$G$4000)</f>
        <v>#N/A</v>
      </c>
      <c r="BM11" s="4">
        <v>189</v>
      </c>
      <c r="BN11" s="20">
        <v>41463</v>
      </c>
      <c r="BO11" s="24">
        <f t="shared" si="0"/>
        <v>459.89125556396283</v>
      </c>
      <c r="BP11" s="24">
        <f t="shared" si="0"/>
        <v>493.56863118063956</v>
      </c>
      <c r="BQ11" s="24">
        <f t="shared" si="0"/>
        <v>443.71050808615814</v>
      </c>
      <c r="BR11" s="24">
        <f t="shared" si="0"/>
        <v>479.82985249949559</v>
      </c>
      <c r="BS11" s="24">
        <f t="shared" si="0"/>
        <v>760.807095338983</v>
      </c>
      <c r="BT11" s="24">
        <f t="shared" si="0"/>
        <v>747.56899355326891</v>
      </c>
      <c r="BU11" s="24">
        <f t="shared" si="0"/>
        <v>628.91978215294603</v>
      </c>
      <c r="BV11" s="24">
        <f t="shared" si="0"/>
        <v>776.75581714083944</v>
      </c>
      <c r="BW11" s="24">
        <f t="shared" si="0"/>
        <v>763.09036858353522</v>
      </c>
      <c r="BX11" s="24">
        <f t="shared" si="0"/>
        <v>763.88474769975812</v>
      </c>
      <c r="BY11" s="24">
        <f t="shared" si="0"/>
        <v>754.06790954398707</v>
      </c>
      <c r="BZ11" s="24">
        <f t="shared" si="0"/>
        <v>608.9276721751412</v>
      </c>
      <c r="CA11" s="24">
        <f t="shared" si="0"/>
        <v>770.27880620460041</v>
      </c>
      <c r="CB11" s="24">
        <f t="shared" si="0"/>
        <v>752.5622318603713</v>
      </c>
    </row>
    <row r="12" spans="25:80" x14ac:dyDescent="0.25">
      <c r="AA12" s="15">
        <f t="shared" si="1"/>
        <v>41430</v>
      </c>
      <c r="AB12" s="4">
        <f t="shared" si="2"/>
        <v>130</v>
      </c>
      <c r="AC12" s="4" t="e" cm="1">
        <f t="array" ref="AC12">_xlfn.XLOOKUP(1,('2013 E Maize Soil VWC'!$C$2:$C$4000=$AA12)*('2013 E Maize Soil VWC'!$E$2:$E$4000=$AB12)*('2013 E Maize Soil VWC'!$F$2:$F$4000=AC$5),'2013 E Maize Soil VWC'!$G$2:$G$4000)</f>
        <v>#N/A</v>
      </c>
      <c r="AD12" s="4" t="e" cm="1">
        <f t="array" ref="AD12">_xlfn.XLOOKUP(1,('2013 E Maize Soil VWC'!$C$2:$C$4000=$AA12)*('2013 E Maize Soil VWC'!$E$2:$E$4000=$AB12)*('2013 E Maize Soil VWC'!$F$2:$F$4000=AD$5),'2013 E Maize Soil VWC'!$G$2:$G$4000)</f>
        <v>#N/A</v>
      </c>
      <c r="AE12" s="4" t="e" cm="1">
        <f t="array" ref="AE12">_xlfn.XLOOKUP(1,('2013 E Maize Soil VWC'!$C$2:$C$4000=$AA12)*('2013 E Maize Soil VWC'!$E$2:$E$4000=$AB12)*('2013 E Maize Soil VWC'!$F$2:$F$4000=AE$5),'2013 E Maize Soil VWC'!$G$2:$G$4000)</f>
        <v>#N/A</v>
      </c>
      <c r="AF12" s="4" t="e" cm="1">
        <f t="array" ref="AF12">_xlfn.XLOOKUP(1,('2013 E Maize Soil VWC'!$C$2:$C$4000=$AA12)*('2013 E Maize Soil VWC'!$E$2:$E$4000=$AB12)*('2013 E Maize Soil VWC'!$F$2:$F$4000=AF$5),'2013 E Maize Soil VWC'!$G$2:$G$4000)</f>
        <v>#N/A</v>
      </c>
      <c r="AG12" s="4" cm="1">
        <f t="array" ref="AG12">_xlfn.XLOOKUP(1,('2013 E Maize Soil VWC'!$C$2:$C$4000=$AA12)*('2013 E Maize Soil VWC'!$E$2:$E$4000=$AB12)*('2013 E Maize Soil VWC'!$F$2:$F$4000=AG$5),'2013 E Maize Soil VWC'!$G$2:$G$4000)</f>
        <v>0.32060152189265539</v>
      </c>
      <c r="AH12" s="4" cm="1">
        <f t="array" ref="AH12">_xlfn.XLOOKUP(1,('2013 E Maize Soil VWC'!$C$2:$C$4000=$AA12)*('2013 E Maize Soil VWC'!$E$2:$E$4000=$AB12)*('2013 E Maize Soil VWC'!$F$2:$F$4000=AH$5),'2013 E Maize Soil VWC'!$G$2:$G$4000)</f>
        <v>0.31314323163841806</v>
      </c>
      <c r="AI12" s="4" t="e" cm="1">
        <f t="array" ref="AI12">_xlfn.XLOOKUP(1,('2013 E Maize Soil VWC'!$C$2:$C$4000=$AA12)*('2013 E Maize Soil VWC'!$E$2:$E$4000=$AB12)*('2013 E Maize Soil VWC'!$F$2:$F$4000=AI$5),'2013 E Maize Soil VWC'!$G$2:$G$4000)</f>
        <v>#N/A</v>
      </c>
      <c r="AJ12" s="4" t="e" cm="1">
        <f t="array" ref="AJ12">_xlfn.XLOOKUP(1,('2013 E Maize Soil VWC'!$C$2:$C$4000=$AA12)*('2013 E Maize Soil VWC'!$E$2:$E$4000=$AB12)*('2013 E Maize Soil VWC'!$F$2:$F$4000=AJ$5),'2013 E Maize Soil VWC'!$G$2:$G$4000)</f>
        <v>#N/A</v>
      </c>
      <c r="AK12" s="4" t="e" cm="1">
        <f t="array" ref="AK12">_xlfn.XLOOKUP(1,('2013 E Maize Soil VWC'!$C$2:$C$4000=$AA12)*('2013 E Maize Soil VWC'!$E$2:$E$4000=$AB12)*('2013 E Maize Soil VWC'!$F$2:$F$4000=AK$5),'2013 E Maize Soil VWC'!$G$2:$G$4000)</f>
        <v>#N/A</v>
      </c>
      <c r="AL12" s="4" t="e" cm="1">
        <f t="array" ref="AL12">_xlfn.XLOOKUP(1,('2013 E Maize Soil VWC'!$C$2:$C$4000=$AA12)*('2013 E Maize Soil VWC'!$E$2:$E$4000=$AB12)*('2013 E Maize Soil VWC'!$F$2:$F$4000=AL$5),'2013 E Maize Soil VWC'!$G$2:$G$4000)</f>
        <v>#N/A</v>
      </c>
      <c r="AM12" s="4" t="e" cm="1">
        <f t="array" ref="AM12">_xlfn.XLOOKUP(1,('2013 E Maize Soil VWC'!$C$2:$C$4000=$AA12)*('2013 E Maize Soil VWC'!$E$2:$E$4000=$AB12)*('2013 E Maize Soil VWC'!$F$2:$F$4000=AM$5),'2013 E Maize Soil VWC'!$G$2:$G$4000)</f>
        <v>#N/A</v>
      </c>
      <c r="AN12" s="4" t="e" cm="1">
        <f t="array" ref="AN12">_xlfn.XLOOKUP(1,('2013 E Maize Soil VWC'!$C$2:$C$4000=$AA12)*('2013 E Maize Soil VWC'!$E$2:$E$4000=$AB12)*('2013 E Maize Soil VWC'!$F$2:$F$4000=AN$5),'2013 E Maize Soil VWC'!$G$2:$G$4000)</f>
        <v>#N/A</v>
      </c>
      <c r="AO12" s="4" t="e" cm="1">
        <f t="array" ref="AO12">_xlfn.XLOOKUP(1,('2013 E Maize Soil VWC'!$C$2:$C$4000=$AA12)*('2013 E Maize Soil VWC'!$E$2:$E$4000=$AB12)*('2013 E Maize Soil VWC'!$F$2:$F$4000=AO$5),'2013 E Maize Soil VWC'!$G$2:$G$4000)</f>
        <v>#N/A</v>
      </c>
      <c r="AP12" s="4" t="e" cm="1">
        <f t="array" ref="AP12">_xlfn.XLOOKUP(1,('2013 E Maize Soil VWC'!$C$2:$C$4000=$AA12)*('2013 E Maize Soil VWC'!$E$2:$E$4000=$AB12)*('2013 E Maize Soil VWC'!$F$2:$F$4000=AP$5),'2013 E Maize Soil VWC'!$G$2:$G$4000)</f>
        <v>#N/A</v>
      </c>
      <c r="AQ12" s="4" cm="1">
        <f t="array" ref="AQ12">_xlfn.XLOOKUP(1,('2013 E Maize Soil VWC'!$C$2:$C$4000=$AA12)*('2013 E Maize Soil VWC'!$E$2:$E$4000=$AB12)*('2013 E Maize Soil VWC'!$F$2:$F$4000=AQ$5),'2013 E Maize Soil VWC'!$G$2:$G$4000)</f>
        <v>0.3093847231638418</v>
      </c>
      <c r="AR12" s="4" cm="1">
        <f t="array" ref="AR12">_xlfn.XLOOKUP(1,('2013 E Maize Soil VWC'!$C$2:$C$4000=$AA12)*('2013 E Maize Soil VWC'!$E$2:$E$4000=$AB12)*('2013 E Maize Soil VWC'!$F$2:$F$4000=AR$5),'2013 E Maize Soil VWC'!$G$2:$G$4000)</f>
        <v>0.30570451694915257</v>
      </c>
      <c r="AS12" s="4" t="e" cm="1">
        <f t="array" ref="AS12">_xlfn.XLOOKUP(1,('2013 E Maize Soil VWC'!$C$2:$C$4000=$AA12)*('2013 E Maize Soil VWC'!$E$2:$E$4000=$AB12)*('2013 E Maize Soil VWC'!$F$2:$F$4000=AS$5),'2013 E Maize Soil VWC'!$G$2:$G$4000)</f>
        <v>#N/A</v>
      </c>
      <c r="AT12" s="4" t="e" cm="1">
        <f t="array" ref="AT12">_xlfn.XLOOKUP(1,('2013 E Maize Soil VWC'!$C$2:$C$4000=$AA12)*('2013 E Maize Soil VWC'!$E$2:$E$4000=$AB12)*('2013 E Maize Soil VWC'!$F$2:$F$4000=AT$5),'2013 E Maize Soil VWC'!$G$2:$G$4000)</f>
        <v>#N/A</v>
      </c>
      <c r="AU12" s="4" t="e" cm="1">
        <f t="array" ref="AU12">_xlfn.XLOOKUP(1,('2013 E Maize Soil VWC'!$C$2:$C$4000=$AA12)*('2013 E Maize Soil VWC'!$E$2:$E$4000=$AB12)*('2013 E Maize Soil VWC'!$F$2:$F$4000=AU$5),'2013 E Maize Soil VWC'!$G$2:$G$4000)</f>
        <v>#N/A</v>
      </c>
      <c r="AV12" s="4" t="e" cm="1">
        <f t="array" ref="AV12">_xlfn.XLOOKUP(1,('2013 E Maize Soil VWC'!$C$2:$C$4000=$AA12)*('2013 E Maize Soil VWC'!$E$2:$E$4000=$AB12)*('2013 E Maize Soil VWC'!$F$2:$F$4000=AV$5),'2013 E Maize Soil VWC'!$G$2:$G$4000)</f>
        <v>#N/A</v>
      </c>
      <c r="BM12" s="4">
        <v>197</v>
      </c>
      <c r="BN12" s="20">
        <v>41471</v>
      </c>
      <c r="BO12" s="24">
        <f t="shared" si="0"/>
        <v>445.7968167776433</v>
      </c>
      <c r="BP12" s="24">
        <f t="shared" si="0"/>
        <v>485.0924860573042</v>
      </c>
      <c r="BQ12" s="24">
        <f t="shared" si="0"/>
        <v>433.53709840597259</v>
      </c>
      <c r="BR12" s="24" t="e">
        <f t="shared" si="0"/>
        <v>#N/A</v>
      </c>
      <c r="BS12" s="24">
        <f t="shared" si="0"/>
        <v>761.23587511097651</v>
      </c>
      <c r="BT12" s="24">
        <f t="shared" si="0"/>
        <v>730.68937458636003</v>
      </c>
      <c r="BU12" s="24">
        <f t="shared" si="0"/>
        <v>612.81199650928181</v>
      </c>
      <c r="BV12" s="24">
        <f t="shared" si="0"/>
        <v>767.78706586965302</v>
      </c>
      <c r="BW12" s="24">
        <f t="shared" si="0"/>
        <v>747.83516941081518</v>
      </c>
      <c r="BX12" s="24">
        <f t="shared" si="0"/>
        <v>769.97202676553661</v>
      </c>
      <c r="BY12" s="24">
        <f t="shared" si="0"/>
        <v>753.24608451372069</v>
      </c>
      <c r="BZ12" s="24">
        <f t="shared" si="0"/>
        <v>597.48282955004049</v>
      </c>
      <c r="CA12" s="24" t="e">
        <f t="shared" si="0"/>
        <v>#N/A</v>
      </c>
      <c r="CB12" s="24" t="e">
        <f t="shared" si="0"/>
        <v>#N/A</v>
      </c>
    </row>
    <row r="13" spans="25:80" x14ac:dyDescent="0.25">
      <c r="AA13" s="15">
        <f t="shared" si="1"/>
        <v>41430</v>
      </c>
      <c r="AB13" s="4">
        <f t="shared" si="2"/>
        <v>150</v>
      </c>
      <c r="AC13" s="4" t="e" cm="1">
        <f t="array" ref="AC13">_xlfn.XLOOKUP(1,('2013 E Maize Soil VWC'!$C$2:$C$4000=$AA13)*('2013 E Maize Soil VWC'!$E$2:$E$4000=$AB13)*('2013 E Maize Soil VWC'!$F$2:$F$4000=AC$5),'2013 E Maize Soil VWC'!$G$2:$G$4000)</f>
        <v>#N/A</v>
      </c>
      <c r="AD13" s="4" t="e" cm="1">
        <f t="array" ref="AD13">_xlfn.XLOOKUP(1,('2013 E Maize Soil VWC'!$C$2:$C$4000=$AA13)*('2013 E Maize Soil VWC'!$E$2:$E$4000=$AB13)*('2013 E Maize Soil VWC'!$F$2:$F$4000=AD$5),'2013 E Maize Soil VWC'!$G$2:$G$4000)</f>
        <v>#N/A</v>
      </c>
      <c r="AE13" s="4" t="e" cm="1">
        <f t="array" ref="AE13">_xlfn.XLOOKUP(1,('2013 E Maize Soil VWC'!$C$2:$C$4000=$AA13)*('2013 E Maize Soil VWC'!$E$2:$E$4000=$AB13)*('2013 E Maize Soil VWC'!$F$2:$F$4000=AE$5),'2013 E Maize Soil VWC'!$G$2:$G$4000)</f>
        <v>#N/A</v>
      </c>
      <c r="AF13" s="4" t="e" cm="1">
        <f t="array" ref="AF13">_xlfn.XLOOKUP(1,('2013 E Maize Soil VWC'!$C$2:$C$4000=$AA13)*('2013 E Maize Soil VWC'!$E$2:$E$4000=$AB13)*('2013 E Maize Soil VWC'!$F$2:$F$4000=AF$5),'2013 E Maize Soil VWC'!$G$2:$G$4000)</f>
        <v>#N/A</v>
      </c>
      <c r="AG13" s="4" cm="1">
        <f t="array" ref="AG13">_xlfn.XLOOKUP(1,('2013 E Maize Soil VWC'!$C$2:$C$4000=$AA13)*('2013 E Maize Soil VWC'!$E$2:$E$4000=$AB13)*('2013 E Maize Soil VWC'!$F$2:$F$4000=AG$5),'2013 E Maize Soil VWC'!$G$2:$G$4000)</f>
        <v>0.36339370692090395</v>
      </c>
      <c r="AH13" s="4" cm="1">
        <f t="array" ref="AH13">_xlfn.XLOOKUP(1,('2013 E Maize Soil VWC'!$C$2:$C$4000=$AA13)*('2013 E Maize Soil VWC'!$E$2:$E$4000=$AB13)*('2013 E Maize Soil VWC'!$F$2:$F$4000=AH$5),'2013 E Maize Soil VWC'!$G$2:$G$4000)</f>
        <v>0.35090449646892657</v>
      </c>
      <c r="AI13" s="4" t="e" cm="1">
        <f t="array" ref="AI13">_xlfn.XLOOKUP(1,('2013 E Maize Soil VWC'!$C$2:$C$4000=$AA13)*('2013 E Maize Soil VWC'!$E$2:$E$4000=$AB13)*('2013 E Maize Soil VWC'!$F$2:$F$4000=AI$5),'2013 E Maize Soil VWC'!$G$2:$G$4000)</f>
        <v>#N/A</v>
      </c>
      <c r="AJ13" s="4" t="e" cm="1">
        <f t="array" ref="AJ13">_xlfn.XLOOKUP(1,('2013 E Maize Soil VWC'!$C$2:$C$4000=$AA13)*('2013 E Maize Soil VWC'!$E$2:$E$4000=$AB13)*('2013 E Maize Soil VWC'!$F$2:$F$4000=AJ$5),'2013 E Maize Soil VWC'!$G$2:$G$4000)</f>
        <v>#N/A</v>
      </c>
      <c r="AK13" s="4" t="e" cm="1">
        <f t="array" ref="AK13">_xlfn.XLOOKUP(1,('2013 E Maize Soil VWC'!$C$2:$C$4000=$AA13)*('2013 E Maize Soil VWC'!$E$2:$E$4000=$AB13)*('2013 E Maize Soil VWC'!$F$2:$F$4000=AK$5),'2013 E Maize Soil VWC'!$G$2:$G$4000)</f>
        <v>#N/A</v>
      </c>
      <c r="AL13" s="4" t="e" cm="1">
        <f t="array" ref="AL13">_xlfn.XLOOKUP(1,('2013 E Maize Soil VWC'!$C$2:$C$4000=$AA13)*('2013 E Maize Soil VWC'!$E$2:$E$4000=$AB13)*('2013 E Maize Soil VWC'!$F$2:$F$4000=AL$5),'2013 E Maize Soil VWC'!$G$2:$G$4000)</f>
        <v>#N/A</v>
      </c>
      <c r="AM13" s="4" t="e" cm="1">
        <f t="array" ref="AM13">_xlfn.XLOOKUP(1,('2013 E Maize Soil VWC'!$C$2:$C$4000=$AA13)*('2013 E Maize Soil VWC'!$E$2:$E$4000=$AB13)*('2013 E Maize Soil VWC'!$F$2:$F$4000=AM$5),'2013 E Maize Soil VWC'!$G$2:$G$4000)</f>
        <v>#N/A</v>
      </c>
      <c r="AN13" s="4" t="e" cm="1">
        <f t="array" ref="AN13">_xlfn.XLOOKUP(1,('2013 E Maize Soil VWC'!$C$2:$C$4000=$AA13)*('2013 E Maize Soil VWC'!$E$2:$E$4000=$AB13)*('2013 E Maize Soil VWC'!$F$2:$F$4000=AN$5),'2013 E Maize Soil VWC'!$G$2:$G$4000)</f>
        <v>#N/A</v>
      </c>
      <c r="AO13" s="4" t="e" cm="1">
        <f t="array" ref="AO13">_xlfn.XLOOKUP(1,('2013 E Maize Soil VWC'!$C$2:$C$4000=$AA13)*('2013 E Maize Soil VWC'!$E$2:$E$4000=$AB13)*('2013 E Maize Soil VWC'!$F$2:$F$4000=AO$5),'2013 E Maize Soil VWC'!$G$2:$G$4000)</f>
        <v>#N/A</v>
      </c>
      <c r="AP13" s="4" t="e" cm="1">
        <f t="array" ref="AP13">_xlfn.XLOOKUP(1,('2013 E Maize Soil VWC'!$C$2:$C$4000=$AA13)*('2013 E Maize Soil VWC'!$E$2:$E$4000=$AB13)*('2013 E Maize Soil VWC'!$F$2:$F$4000=AP$5),'2013 E Maize Soil VWC'!$G$2:$G$4000)</f>
        <v>#N/A</v>
      </c>
      <c r="AQ13" s="4" cm="1">
        <f t="array" ref="AQ13">_xlfn.XLOOKUP(1,('2013 E Maize Soil VWC'!$C$2:$C$4000=$AA13)*('2013 E Maize Soil VWC'!$E$2:$E$4000=$AB13)*('2013 E Maize Soil VWC'!$F$2:$F$4000=AQ$5),'2013 E Maize Soil VWC'!$G$2:$G$4000)</f>
        <v>0.34452286228813561</v>
      </c>
      <c r="AR13" s="4" cm="1">
        <f t="array" ref="AR13">_xlfn.XLOOKUP(1,('2013 E Maize Soil VWC'!$C$2:$C$4000=$AA13)*('2013 E Maize Soil VWC'!$E$2:$E$4000=$AB13)*('2013 E Maize Soil VWC'!$F$2:$F$4000=AR$5),'2013 E Maize Soil VWC'!$G$2:$G$4000)</f>
        <v>0.33123105367231642</v>
      </c>
      <c r="AS13" s="4" t="e" cm="1">
        <f t="array" ref="AS13">_xlfn.XLOOKUP(1,('2013 E Maize Soil VWC'!$C$2:$C$4000=$AA13)*('2013 E Maize Soil VWC'!$E$2:$E$4000=$AB13)*('2013 E Maize Soil VWC'!$F$2:$F$4000=AS$5),'2013 E Maize Soil VWC'!$G$2:$G$4000)</f>
        <v>#N/A</v>
      </c>
      <c r="AT13" s="4" t="e" cm="1">
        <f t="array" ref="AT13">_xlfn.XLOOKUP(1,('2013 E Maize Soil VWC'!$C$2:$C$4000=$AA13)*('2013 E Maize Soil VWC'!$E$2:$E$4000=$AB13)*('2013 E Maize Soil VWC'!$F$2:$F$4000=AT$5),'2013 E Maize Soil VWC'!$G$2:$G$4000)</f>
        <v>#N/A</v>
      </c>
      <c r="AU13" s="4" t="e" cm="1">
        <f t="array" ref="AU13">_xlfn.XLOOKUP(1,('2013 E Maize Soil VWC'!$C$2:$C$4000=$AA13)*('2013 E Maize Soil VWC'!$E$2:$E$4000=$AB13)*('2013 E Maize Soil VWC'!$F$2:$F$4000=AU$5),'2013 E Maize Soil VWC'!$G$2:$G$4000)</f>
        <v>#N/A</v>
      </c>
      <c r="AV13" s="4" t="e" cm="1">
        <f t="array" ref="AV13">_xlfn.XLOOKUP(1,('2013 E Maize Soil VWC'!$C$2:$C$4000=$AA13)*('2013 E Maize Soil VWC'!$E$2:$E$4000=$AB13)*('2013 E Maize Soil VWC'!$F$2:$F$4000=AV$5),'2013 E Maize Soil VWC'!$G$2:$G$4000)</f>
        <v>#N/A</v>
      </c>
      <c r="BM13" s="4">
        <v>203</v>
      </c>
      <c r="BN13" s="20">
        <v>41477</v>
      </c>
      <c r="BO13" s="24">
        <f t="shared" si="0"/>
        <v>487.84112848062961</v>
      </c>
      <c r="BP13" s="24">
        <f t="shared" si="0"/>
        <v>502.7873047921712</v>
      </c>
      <c r="BQ13" s="24">
        <f t="shared" si="0"/>
        <v>469.9871200363196</v>
      </c>
      <c r="BR13" s="24">
        <f t="shared" si="0"/>
        <v>488.64633949631752</v>
      </c>
      <c r="BS13" s="24">
        <f t="shared" si="0"/>
        <v>768.47153355528667</v>
      </c>
      <c r="BT13" s="24">
        <f t="shared" si="0"/>
        <v>759.84675849475366</v>
      </c>
      <c r="BU13" s="24">
        <f t="shared" si="0"/>
        <v>657.18775800040362</v>
      </c>
      <c r="BV13" s="24">
        <f t="shared" si="0"/>
        <v>779.47260280468117</v>
      </c>
      <c r="BW13" s="24">
        <f t="shared" si="0"/>
        <v>771.34825100887815</v>
      </c>
      <c r="BX13" s="24">
        <f t="shared" si="0"/>
        <v>770.10320594229211</v>
      </c>
      <c r="BY13" s="24">
        <f t="shared" si="0"/>
        <v>763.96475287530257</v>
      </c>
      <c r="BZ13" s="24">
        <f t="shared" si="0"/>
        <v>635.51847194309926</v>
      </c>
      <c r="CA13" s="24">
        <f t="shared" si="0"/>
        <v>780.79103368644053</v>
      </c>
      <c r="CB13" s="24">
        <f t="shared" si="0"/>
        <v>760.16216707021783</v>
      </c>
    </row>
    <row r="14" spans="25:80" x14ac:dyDescent="0.25">
      <c r="AA14" s="15">
        <f t="shared" si="1"/>
        <v>41430</v>
      </c>
      <c r="AB14" s="4">
        <f t="shared" si="2"/>
        <v>170</v>
      </c>
      <c r="AC14" s="4" t="e" cm="1">
        <f t="array" ref="AC14">_xlfn.XLOOKUP(1,('2013 E Maize Soil VWC'!$C$2:$C$4000=$AA14)*('2013 E Maize Soil VWC'!$E$2:$E$4000=$AB14)*('2013 E Maize Soil VWC'!$F$2:$F$4000=AC$5),'2013 E Maize Soil VWC'!$G$2:$G$4000)</f>
        <v>#N/A</v>
      </c>
      <c r="AD14" s="4" t="e" cm="1">
        <f t="array" ref="AD14">_xlfn.XLOOKUP(1,('2013 E Maize Soil VWC'!$C$2:$C$4000=$AA14)*('2013 E Maize Soil VWC'!$E$2:$E$4000=$AB14)*('2013 E Maize Soil VWC'!$F$2:$F$4000=AD$5),'2013 E Maize Soil VWC'!$G$2:$G$4000)</f>
        <v>#N/A</v>
      </c>
      <c r="AE14" s="4" t="e" cm="1">
        <f t="array" ref="AE14">_xlfn.XLOOKUP(1,('2013 E Maize Soil VWC'!$C$2:$C$4000=$AA14)*('2013 E Maize Soil VWC'!$E$2:$E$4000=$AB14)*('2013 E Maize Soil VWC'!$F$2:$F$4000=AE$5),'2013 E Maize Soil VWC'!$G$2:$G$4000)</f>
        <v>#N/A</v>
      </c>
      <c r="AF14" s="4" t="e" cm="1">
        <f t="array" ref="AF14">_xlfn.XLOOKUP(1,('2013 E Maize Soil VWC'!$C$2:$C$4000=$AA14)*('2013 E Maize Soil VWC'!$E$2:$E$4000=$AB14)*('2013 E Maize Soil VWC'!$F$2:$F$4000=AF$5),'2013 E Maize Soil VWC'!$G$2:$G$4000)</f>
        <v>#N/A</v>
      </c>
      <c r="AG14" s="4" cm="1">
        <f t="array" ref="AG14">_xlfn.XLOOKUP(1,('2013 E Maize Soil VWC'!$C$2:$C$4000=$AA14)*('2013 E Maize Soil VWC'!$E$2:$E$4000=$AB14)*('2013 E Maize Soil VWC'!$F$2:$F$4000=AG$5),'2013 E Maize Soil VWC'!$G$2:$G$4000)</f>
        <v>0.32506475070621471</v>
      </c>
      <c r="AH14" s="4" cm="1">
        <f t="array" ref="AH14">_xlfn.XLOOKUP(1,('2013 E Maize Soil VWC'!$C$2:$C$4000=$AA14)*('2013 E Maize Soil VWC'!$E$2:$E$4000=$AB14)*('2013 E Maize Soil VWC'!$F$2:$F$4000=AH$5),'2013 E Maize Soil VWC'!$G$2:$G$4000)</f>
        <v>0.32340082768361583</v>
      </c>
      <c r="AI14" s="4" t="e" cm="1">
        <f t="array" ref="AI14">_xlfn.XLOOKUP(1,('2013 E Maize Soil VWC'!$C$2:$C$4000=$AA14)*('2013 E Maize Soil VWC'!$E$2:$E$4000=$AB14)*('2013 E Maize Soil VWC'!$F$2:$F$4000=AI$5),'2013 E Maize Soil VWC'!$G$2:$G$4000)</f>
        <v>#N/A</v>
      </c>
      <c r="AJ14" s="4" t="e" cm="1">
        <f t="array" ref="AJ14">_xlfn.XLOOKUP(1,('2013 E Maize Soil VWC'!$C$2:$C$4000=$AA14)*('2013 E Maize Soil VWC'!$E$2:$E$4000=$AB14)*('2013 E Maize Soil VWC'!$F$2:$F$4000=AJ$5),'2013 E Maize Soil VWC'!$G$2:$G$4000)</f>
        <v>#N/A</v>
      </c>
      <c r="AK14" s="4" t="e" cm="1">
        <f t="array" ref="AK14">_xlfn.XLOOKUP(1,('2013 E Maize Soil VWC'!$C$2:$C$4000=$AA14)*('2013 E Maize Soil VWC'!$E$2:$E$4000=$AB14)*('2013 E Maize Soil VWC'!$F$2:$F$4000=AK$5),'2013 E Maize Soil VWC'!$G$2:$G$4000)</f>
        <v>#N/A</v>
      </c>
      <c r="AL14" s="4" t="e" cm="1">
        <f t="array" ref="AL14">_xlfn.XLOOKUP(1,('2013 E Maize Soil VWC'!$C$2:$C$4000=$AA14)*('2013 E Maize Soil VWC'!$E$2:$E$4000=$AB14)*('2013 E Maize Soil VWC'!$F$2:$F$4000=AL$5),'2013 E Maize Soil VWC'!$G$2:$G$4000)</f>
        <v>#N/A</v>
      </c>
      <c r="AM14" s="4" t="e" cm="1">
        <f t="array" ref="AM14">_xlfn.XLOOKUP(1,('2013 E Maize Soil VWC'!$C$2:$C$4000=$AA14)*('2013 E Maize Soil VWC'!$E$2:$E$4000=$AB14)*('2013 E Maize Soil VWC'!$F$2:$F$4000=AM$5),'2013 E Maize Soil VWC'!$G$2:$G$4000)</f>
        <v>#N/A</v>
      </c>
      <c r="AN14" s="4" t="e" cm="1">
        <f t="array" ref="AN14">_xlfn.XLOOKUP(1,('2013 E Maize Soil VWC'!$C$2:$C$4000=$AA14)*('2013 E Maize Soil VWC'!$E$2:$E$4000=$AB14)*('2013 E Maize Soil VWC'!$F$2:$F$4000=AN$5),'2013 E Maize Soil VWC'!$G$2:$G$4000)</f>
        <v>#N/A</v>
      </c>
      <c r="AO14" s="4" t="e" cm="1">
        <f t="array" ref="AO14">_xlfn.XLOOKUP(1,('2013 E Maize Soil VWC'!$C$2:$C$4000=$AA14)*('2013 E Maize Soil VWC'!$E$2:$E$4000=$AB14)*('2013 E Maize Soil VWC'!$F$2:$F$4000=AO$5),'2013 E Maize Soil VWC'!$G$2:$G$4000)</f>
        <v>#N/A</v>
      </c>
      <c r="AP14" s="4" t="e" cm="1">
        <f t="array" ref="AP14">_xlfn.XLOOKUP(1,('2013 E Maize Soil VWC'!$C$2:$C$4000=$AA14)*('2013 E Maize Soil VWC'!$E$2:$E$4000=$AB14)*('2013 E Maize Soil VWC'!$F$2:$F$4000=AP$5),'2013 E Maize Soil VWC'!$G$2:$G$4000)</f>
        <v>#N/A</v>
      </c>
      <c r="AQ14" s="4" cm="1">
        <f t="array" ref="AQ14">_xlfn.XLOOKUP(1,('2013 E Maize Soil VWC'!$C$2:$C$4000=$AA14)*('2013 E Maize Soil VWC'!$E$2:$E$4000=$AB14)*('2013 E Maize Soil VWC'!$F$2:$F$4000=AQ$5),'2013 E Maize Soil VWC'!$G$2:$G$4000)</f>
        <v>0.3302131242937853</v>
      </c>
      <c r="AR14" s="4" cm="1">
        <f t="array" ref="AR14">_xlfn.XLOOKUP(1,('2013 E Maize Soil VWC'!$C$2:$C$4000=$AA14)*('2013 E Maize Soil VWC'!$E$2:$E$4000=$AB14)*('2013 E Maize Soil VWC'!$F$2:$F$4000=AR$5),'2013 E Maize Soil VWC'!$G$2:$G$4000)</f>
        <v>0.32085600423728816</v>
      </c>
      <c r="AS14" s="4" t="e" cm="1">
        <f t="array" ref="AS14">_xlfn.XLOOKUP(1,('2013 E Maize Soil VWC'!$C$2:$C$4000=$AA14)*('2013 E Maize Soil VWC'!$E$2:$E$4000=$AB14)*('2013 E Maize Soil VWC'!$F$2:$F$4000=AS$5),'2013 E Maize Soil VWC'!$G$2:$G$4000)</f>
        <v>#N/A</v>
      </c>
      <c r="AT14" s="4" t="e" cm="1">
        <f t="array" ref="AT14">_xlfn.XLOOKUP(1,('2013 E Maize Soil VWC'!$C$2:$C$4000=$AA14)*('2013 E Maize Soil VWC'!$E$2:$E$4000=$AB14)*('2013 E Maize Soil VWC'!$F$2:$F$4000=AT$5),'2013 E Maize Soil VWC'!$G$2:$G$4000)</f>
        <v>#N/A</v>
      </c>
      <c r="AU14" s="4" t="e" cm="1">
        <f t="array" ref="AU14">_xlfn.XLOOKUP(1,('2013 E Maize Soil VWC'!$C$2:$C$4000=$AA14)*('2013 E Maize Soil VWC'!$E$2:$E$4000=$AB14)*('2013 E Maize Soil VWC'!$F$2:$F$4000=AU$5),'2013 E Maize Soil VWC'!$G$2:$G$4000)</f>
        <v>#N/A</v>
      </c>
      <c r="AV14" s="4" t="e" cm="1">
        <f t="array" ref="AV14">_xlfn.XLOOKUP(1,('2013 E Maize Soil VWC'!$C$2:$C$4000=$AA14)*('2013 E Maize Soil VWC'!$E$2:$E$4000=$AB14)*('2013 E Maize Soil VWC'!$F$2:$F$4000=AV$5),'2013 E Maize Soil VWC'!$G$2:$G$4000)</f>
        <v>#N/A</v>
      </c>
      <c r="BM14" s="4">
        <v>210</v>
      </c>
      <c r="BN14" s="20">
        <v>41484</v>
      </c>
      <c r="BO14" s="24">
        <f t="shared" si="0"/>
        <v>441.97994689265533</v>
      </c>
      <c r="BP14" s="24">
        <f t="shared" si="0"/>
        <v>462.97862539094024</v>
      </c>
      <c r="BQ14" s="24">
        <f t="shared" si="0"/>
        <v>418.3402748032687</v>
      </c>
      <c r="BR14" s="24">
        <f t="shared" si="0"/>
        <v>446.60800122326464</v>
      </c>
      <c r="BS14" s="24">
        <f t="shared" si="0"/>
        <v>724.72467419289751</v>
      </c>
      <c r="BT14" s="24">
        <f t="shared" si="0"/>
        <v>717.32110058514945</v>
      </c>
      <c r="BU14" s="24">
        <f t="shared" si="0"/>
        <v>610.19119364406777</v>
      </c>
      <c r="BV14" s="24">
        <f t="shared" si="0"/>
        <v>739.96746605125088</v>
      </c>
      <c r="BW14" s="24">
        <f t="shared" si="0"/>
        <v>730.17645727401123</v>
      </c>
      <c r="BX14" s="24">
        <f t="shared" si="0"/>
        <v>723.79716521388229</v>
      </c>
      <c r="BY14" s="24">
        <f t="shared" si="0"/>
        <v>716.01785898910407</v>
      </c>
      <c r="BZ14" s="24">
        <f t="shared" si="0"/>
        <v>582.5003583837771</v>
      </c>
      <c r="CA14" s="24">
        <f t="shared" si="0"/>
        <v>739.95838576472943</v>
      </c>
      <c r="CB14" s="24">
        <f t="shared" si="0"/>
        <v>722.48532974172713</v>
      </c>
    </row>
    <row r="15" spans="25:80" x14ac:dyDescent="0.25">
      <c r="AA15" s="15">
        <f t="shared" si="1"/>
        <v>41430</v>
      </c>
      <c r="AB15" s="4">
        <f t="shared" si="2"/>
        <v>190</v>
      </c>
      <c r="AC15" s="4" t="e" cm="1">
        <f t="array" ref="AC15">_xlfn.XLOOKUP(1,('2013 E Maize Soil VWC'!$C$2:$C$4000=$AA15)*('2013 E Maize Soil VWC'!$E$2:$E$4000=$AB15)*('2013 E Maize Soil VWC'!$F$2:$F$4000=AC$5),'2013 E Maize Soil VWC'!$G$2:$G$4000)</f>
        <v>#N/A</v>
      </c>
      <c r="AD15" s="4" t="e" cm="1">
        <f t="array" ref="AD15">_xlfn.XLOOKUP(1,('2013 E Maize Soil VWC'!$C$2:$C$4000=$AA15)*('2013 E Maize Soil VWC'!$E$2:$E$4000=$AB15)*('2013 E Maize Soil VWC'!$F$2:$F$4000=AD$5),'2013 E Maize Soil VWC'!$G$2:$G$4000)</f>
        <v>#N/A</v>
      </c>
      <c r="AE15" s="4" t="e" cm="1">
        <f t="array" ref="AE15">_xlfn.XLOOKUP(1,('2013 E Maize Soil VWC'!$C$2:$C$4000=$AA15)*('2013 E Maize Soil VWC'!$E$2:$E$4000=$AB15)*('2013 E Maize Soil VWC'!$F$2:$F$4000=AE$5),'2013 E Maize Soil VWC'!$G$2:$G$4000)</f>
        <v>#N/A</v>
      </c>
      <c r="AF15" s="4" t="e" cm="1">
        <f t="array" ref="AF15">_xlfn.XLOOKUP(1,('2013 E Maize Soil VWC'!$C$2:$C$4000=$AA15)*('2013 E Maize Soil VWC'!$E$2:$E$4000=$AB15)*('2013 E Maize Soil VWC'!$F$2:$F$4000=AF$5),'2013 E Maize Soil VWC'!$G$2:$G$4000)</f>
        <v>#N/A</v>
      </c>
      <c r="AG15" s="4" cm="1">
        <f t="array" ref="AG15">_xlfn.XLOOKUP(1,('2013 E Maize Soil VWC'!$C$2:$C$4000=$AA15)*('2013 E Maize Soil VWC'!$E$2:$E$4000=$AB15)*('2013 E Maize Soil VWC'!$F$2:$F$4000=AG$5),'2013 E Maize Soil VWC'!$G$2:$G$4000)</f>
        <v>0.32060152189265539</v>
      </c>
      <c r="AH15" s="4" cm="1">
        <f t="array" ref="AH15">_xlfn.XLOOKUP(1,('2013 E Maize Soil VWC'!$C$2:$C$4000=$AA15)*('2013 E Maize Soil VWC'!$E$2:$E$4000=$AB15)*('2013 E Maize Soil VWC'!$F$2:$F$4000=AH$5),'2013 E Maize Soil VWC'!$G$2:$G$4000)</f>
        <v>0.33293412782485876</v>
      </c>
      <c r="AI15" s="4" t="e" cm="1">
        <f t="array" ref="AI15">_xlfn.XLOOKUP(1,('2013 E Maize Soil VWC'!$C$2:$C$4000=$AA15)*('2013 E Maize Soil VWC'!$E$2:$E$4000=$AB15)*('2013 E Maize Soil VWC'!$F$2:$F$4000=AI$5),'2013 E Maize Soil VWC'!$G$2:$G$4000)</f>
        <v>#N/A</v>
      </c>
      <c r="AJ15" s="4" t="e" cm="1">
        <f t="array" ref="AJ15">_xlfn.XLOOKUP(1,('2013 E Maize Soil VWC'!$C$2:$C$4000=$AA15)*('2013 E Maize Soil VWC'!$E$2:$E$4000=$AB15)*('2013 E Maize Soil VWC'!$F$2:$F$4000=AJ$5),'2013 E Maize Soil VWC'!$G$2:$G$4000)</f>
        <v>#N/A</v>
      </c>
      <c r="AK15" s="4" t="e" cm="1">
        <f t="array" ref="AK15">_xlfn.XLOOKUP(1,('2013 E Maize Soil VWC'!$C$2:$C$4000=$AA15)*('2013 E Maize Soil VWC'!$E$2:$E$4000=$AB15)*('2013 E Maize Soil VWC'!$F$2:$F$4000=AK$5),'2013 E Maize Soil VWC'!$G$2:$G$4000)</f>
        <v>#N/A</v>
      </c>
      <c r="AL15" s="4" t="e" cm="1">
        <f t="array" ref="AL15">_xlfn.XLOOKUP(1,('2013 E Maize Soil VWC'!$C$2:$C$4000=$AA15)*('2013 E Maize Soil VWC'!$E$2:$E$4000=$AB15)*('2013 E Maize Soil VWC'!$F$2:$F$4000=AL$5),'2013 E Maize Soil VWC'!$G$2:$G$4000)</f>
        <v>#N/A</v>
      </c>
      <c r="AM15" s="4" t="e" cm="1">
        <f t="array" ref="AM15">_xlfn.XLOOKUP(1,('2013 E Maize Soil VWC'!$C$2:$C$4000=$AA15)*('2013 E Maize Soil VWC'!$E$2:$E$4000=$AB15)*('2013 E Maize Soil VWC'!$F$2:$F$4000=AM$5),'2013 E Maize Soil VWC'!$G$2:$G$4000)</f>
        <v>#N/A</v>
      </c>
      <c r="AN15" s="4" t="e" cm="1">
        <f t="array" ref="AN15">_xlfn.XLOOKUP(1,('2013 E Maize Soil VWC'!$C$2:$C$4000=$AA15)*('2013 E Maize Soil VWC'!$E$2:$E$4000=$AB15)*('2013 E Maize Soil VWC'!$F$2:$F$4000=AN$5),'2013 E Maize Soil VWC'!$G$2:$G$4000)</f>
        <v>#N/A</v>
      </c>
      <c r="AO15" s="4" t="e" cm="1">
        <f t="array" ref="AO15">_xlfn.XLOOKUP(1,('2013 E Maize Soil VWC'!$C$2:$C$4000=$AA15)*('2013 E Maize Soil VWC'!$E$2:$E$4000=$AB15)*('2013 E Maize Soil VWC'!$F$2:$F$4000=AO$5),'2013 E Maize Soil VWC'!$G$2:$G$4000)</f>
        <v>#N/A</v>
      </c>
      <c r="AP15" s="4" t="e" cm="1">
        <f t="array" ref="AP15">_xlfn.XLOOKUP(1,('2013 E Maize Soil VWC'!$C$2:$C$4000=$AA15)*('2013 E Maize Soil VWC'!$E$2:$E$4000=$AB15)*('2013 E Maize Soil VWC'!$F$2:$F$4000=AP$5),'2013 E Maize Soil VWC'!$G$2:$G$4000)</f>
        <v>#N/A</v>
      </c>
      <c r="AQ15" s="4" cm="1">
        <f t="array" ref="AQ15">_xlfn.XLOOKUP(1,('2013 E Maize Soil VWC'!$C$2:$C$4000=$AA15)*('2013 E Maize Soil VWC'!$E$2:$E$4000=$AB15)*('2013 E Maize Soil VWC'!$F$2:$F$4000=AQ$5),'2013 E Maize Soil VWC'!$G$2:$G$4000)</f>
        <v>0.31257554025423728</v>
      </c>
      <c r="AR15" s="4" cm="1">
        <f t="array" ref="AR15">_xlfn.XLOOKUP(1,('2013 E Maize Soil VWC'!$C$2:$C$4000=$AA15)*('2013 E Maize Soil VWC'!$E$2:$E$4000=$AB15)*('2013 E Maize Soil VWC'!$F$2:$F$4000=AR$5),'2013 E Maize Soil VWC'!$G$2:$G$4000)</f>
        <v>0.30012548093220337</v>
      </c>
      <c r="AS15" s="4" t="e" cm="1">
        <f t="array" ref="AS15">_xlfn.XLOOKUP(1,('2013 E Maize Soil VWC'!$C$2:$C$4000=$AA15)*('2013 E Maize Soil VWC'!$E$2:$E$4000=$AB15)*('2013 E Maize Soil VWC'!$F$2:$F$4000=AS$5),'2013 E Maize Soil VWC'!$G$2:$G$4000)</f>
        <v>#N/A</v>
      </c>
      <c r="AT15" s="4" t="e" cm="1">
        <f t="array" ref="AT15">_xlfn.XLOOKUP(1,('2013 E Maize Soil VWC'!$C$2:$C$4000=$AA15)*('2013 E Maize Soil VWC'!$E$2:$E$4000=$AB15)*('2013 E Maize Soil VWC'!$F$2:$F$4000=AT$5),'2013 E Maize Soil VWC'!$G$2:$G$4000)</f>
        <v>#N/A</v>
      </c>
      <c r="AU15" s="4" t="e" cm="1">
        <f t="array" ref="AU15">_xlfn.XLOOKUP(1,('2013 E Maize Soil VWC'!$C$2:$C$4000=$AA15)*('2013 E Maize Soil VWC'!$E$2:$E$4000=$AB15)*('2013 E Maize Soil VWC'!$F$2:$F$4000=AU$5),'2013 E Maize Soil VWC'!$G$2:$G$4000)</f>
        <v>#N/A</v>
      </c>
      <c r="AV15" s="4" t="e" cm="1">
        <f t="array" ref="AV15">_xlfn.XLOOKUP(1,('2013 E Maize Soil VWC'!$C$2:$C$4000=$AA15)*('2013 E Maize Soil VWC'!$E$2:$E$4000=$AB15)*('2013 E Maize Soil VWC'!$F$2:$F$4000=AV$5),'2013 E Maize Soil VWC'!$G$2:$G$4000)</f>
        <v>#N/A</v>
      </c>
      <c r="BM15" s="4">
        <v>218</v>
      </c>
      <c r="BN15" s="20">
        <v>41492</v>
      </c>
      <c r="BO15" s="24">
        <f t="shared" si="0"/>
        <v>437.10029073849876</v>
      </c>
      <c r="BP15" s="24">
        <f t="shared" si="0"/>
        <v>457.46315780493342</v>
      </c>
      <c r="BQ15" s="24">
        <f t="shared" si="0"/>
        <v>419.73272322437441</v>
      </c>
      <c r="BR15" s="24">
        <f t="shared" si="0"/>
        <v>446.92443830584148</v>
      </c>
      <c r="BS15" s="24">
        <f t="shared" si="0"/>
        <v>723.85069693301034</v>
      </c>
      <c r="BT15" s="24">
        <f t="shared" si="0"/>
        <v>706.33722311339773</v>
      </c>
      <c r="BU15" s="24">
        <f t="shared" si="0"/>
        <v>603.24044271589992</v>
      </c>
      <c r="BV15" s="24">
        <f t="shared" si="0"/>
        <v>731.67619482445514</v>
      </c>
      <c r="BW15" s="24">
        <f t="shared" si="0"/>
        <v>718.2067663841807</v>
      </c>
      <c r="BX15" s="24">
        <f t="shared" si="0"/>
        <v>726.17445606335752</v>
      </c>
      <c r="BY15" s="24">
        <f t="shared" si="0"/>
        <v>714.29174470338978</v>
      </c>
      <c r="BZ15" s="24">
        <f t="shared" si="0"/>
        <v>582.37667929782083</v>
      </c>
      <c r="CA15" s="24">
        <f t="shared" si="0"/>
        <v>737.0736954701373</v>
      </c>
      <c r="CB15" s="24">
        <f t="shared" si="0"/>
        <v>720.58662976190476</v>
      </c>
    </row>
    <row r="16" spans="25:80" x14ac:dyDescent="0.25">
      <c r="AA16" s="15">
        <f t="shared" si="1"/>
        <v>41430</v>
      </c>
      <c r="AB16" s="4">
        <f t="shared" si="2"/>
        <v>210</v>
      </c>
      <c r="AC16" s="4" t="e" cm="1">
        <f t="array" ref="AC16">_xlfn.XLOOKUP(1,('2013 E Maize Soil VWC'!$C$2:$C$4000=$AA16)*('2013 E Maize Soil VWC'!$E$2:$E$4000=$AB16)*('2013 E Maize Soil VWC'!$F$2:$F$4000=AC$5),'2013 E Maize Soil VWC'!$G$2:$G$4000)</f>
        <v>#N/A</v>
      </c>
      <c r="AD16" s="4" t="e" cm="1">
        <f t="array" ref="AD16">_xlfn.XLOOKUP(1,('2013 E Maize Soil VWC'!$C$2:$C$4000=$AA16)*('2013 E Maize Soil VWC'!$E$2:$E$4000=$AB16)*('2013 E Maize Soil VWC'!$F$2:$F$4000=AD$5),'2013 E Maize Soil VWC'!$G$2:$G$4000)</f>
        <v>#N/A</v>
      </c>
      <c r="AE16" s="4" t="e" cm="1">
        <f t="array" ref="AE16">_xlfn.XLOOKUP(1,('2013 E Maize Soil VWC'!$C$2:$C$4000=$AA16)*('2013 E Maize Soil VWC'!$E$2:$E$4000=$AB16)*('2013 E Maize Soil VWC'!$F$2:$F$4000=AE$5),'2013 E Maize Soil VWC'!$G$2:$G$4000)</f>
        <v>#N/A</v>
      </c>
      <c r="AF16" s="4" t="e" cm="1">
        <f t="array" ref="AF16">_xlfn.XLOOKUP(1,('2013 E Maize Soil VWC'!$C$2:$C$4000=$AA16)*('2013 E Maize Soil VWC'!$E$2:$E$4000=$AB16)*('2013 E Maize Soil VWC'!$F$2:$F$4000=AF$5),'2013 E Maize Soil VWC'!$G$2:$G$4000)</f>
        <v>#N/A</v>
      </c>
      <c r="AG16" s="4" t="e" cm="1">
        <f t="array" ref="AG16">_xlfn.XLOOKUP(1,('2013 E Maize Soil VWC'!$C$2:$C$4000=$AA16)*('2013 E Maize Soil VWC'!$E$2:$E$4000=$AB16)*('2013 E Maize Soil VWC'!$F$2:$F$4000=AG$5),'2013 E Maize Soil VWC'!$G$2:$G$4000)</f>
        <v>#N/A</v>
      </c>
      <c r="AH16" s="4" t="e" cm="1">
        <f t="array" ref="AH16">_xlfn.XLOOKUP(1,('2013 E Maize Soil VWC'!$C$2:$C$4000=$AA16)*('2013 E Maize Soil VWC'!$E$2:$E$4000=$AB16)*('2013 E Maize Soil VWC'!$F$2:$F$4000=AH$5),'2013 E Maize Soil VWC'!$G$2:$G$4000)</f>
        <v>#N/A</v>
      </c>
      <c r="AI16" s="4" t="e" cm="1">
        <f t="array" ref="AI16">_xlfn.XLOOKUP(1,('2013 E Maize Soil VWC'!$C$2:$C$4000=$AA16)*('2013 E Maize Soil VWC'!$E$2:$E$4000=$AB16)*('2013 E Maize Soil VWC'!$F$2:$F$4000=AI$5),'2013 E Maize Soil VWC'!$G$2:$G$4000)</f>
        <v>#N/A</v>
      </c>
      <c r="AJ16" s="4" t="e" cm="1">
        <f t="array" ref="AJ16">_xlfn.XLOOKUP(1,('2013 E Maize Soil VWC'!$C$2:$C$4000=$AA16)*('2013 E Maize Soil VWC'!$E$2:$E$4000=$AB16)*('2013 E Maize Soil VWC'!$F$2:$F$4000=AJ$5),'2013 E Maize Soil VWC'!$G$2:$G$4000)</f>
        <v>#N/A</v>
      </c>
      <c r="AK16" s="4" t="e" cm="1">
        <f t="array" ref="AK16">_xlfn.XLOOKUP(1,('2013 E Maize Soil VWC'!$C$2:$C$4000=$AA16)*('2013 E Maize Soil VWC'!$E$2:$E$4000=$AB16)*('2013 E Maize Soil VWC'!$F$2:$F$4000=AK$5),'2013 E Maize Soil VWC'!$G$2:$G$4000)</f>
        <v>#N/A</v>
      </c>
      <c r="AL16" s="4" t="e" cm="1">
        <f t="array" ref="AL16">_xlfn.XLOOKUP(1,('2013 E Maize Soil VWC'!$C$2:$C$4000=$AA16)*('2013 E Maize Soil VWC'!$E$2:$E$4000=$AB16)*('2013 E Maize Soil VWC'!$F$2:$F$4000=AL$5),'2013 E Maize Soil VWC'!$G$2:$G$4000)</f>
        <v>#N/A</v>
      </c>
      <c r="AM16" s="4" t="e" cm="1">
        <f t="array" ref="AM16">_xlfn.XLOOKUP(1,('2013 E Maize Soil VWC'!$C$2:$C$4000=$AA16)*('2013 E Maize Soil VWC'!$E$2:$E$4000=$AB16)*('2013 E Maize Soil VWC'!$F$2:$F$4000=AM$5),'2013 E Maize Soil VWC'!$G$2:$G$4000)</f>
        <v>#N/A</v>
      </c>
      <c r="AN16" s="4" t="e" cm="1">
        <f t="array" ref="AN16">_xlfn.XLOOKUP(1,('2013 E Maize Soil VWC'!$C$2:$C$4000=$AA16)*('2013 E Maize Soil VWC'!$E$2:$E$4000=$AB16)*('2013 E Maize Soil VWC'!$F$2:$F$4000=AN$5),'2013 E Maize Soil VWC'!$G$2:$G$4000)</f>
        <v>#N/A</v>
      </c>
      <c r="AO16" s="4" t="e" cm="1">
        <f t="array" ref="AO16">_xlfn.XLOOKUP(1,('2013 E Maize Soil VWC'!$C$2:$C$4000=$AA16)*('2013 E Maize Soil VWC'!$E$2:$E$4000=$AB16)*('2013 E Maize Soil VWC'!$F$2:$F$4000=AO$5),'2013 E Maize Soil VWC'!$G$2:$G$4000)</f>
        <v>#N/A</v>
      </c>
      <c r="AP16" s="4" t="e" cm="1">
        <f t="array" ref="AP16">_xlfn.XLOOKUP(1,('2013 E Maize Soil VWC'!$C$2:$C$4000=$AA16)*('2013 E Maize Soil VWC'!$E$2:$E$4000=$AB16)*('2013 E Maize Soil VWC'!$F$2:$F$4000=AP$5),'2013 E Maize Soil VWC'!$G$2:$G$4000)</f>
        <v>#N/A</v>
      </c>
      <c r="AQ16" s="4" t="e" cm="1">
        <f t="array" ref="AQ16">_xlfn.XLOOKUP(1,('2013 E Maize Soil VWC'!$C$2:$C$4000=$AA16)*('2013 E Maize Soil VWC'!$E$2:$E$4000=$AB16)*('2013 E Maize Soil VWC'!$F$2:$F$4000=AQ$5),'2013 E Maize Soil VWC'!$G$2:$G$4000)</f>
        <v>#N/A</v>
      </c>
      <c r="AR16" s="4" t="e" cm="1">
        <f t="array" ref="AR16">_xlfn.XLOOKUP(1,('2013 E Maize Soil VWC'!$C$2:$C$4000=$AA16)*('2013 E Maize Soil VWC'!$E$2:$E$4000=$AB16)*('2013 E Maize Soil VWC'!$F$2:$F$4000=AR$5),'2013 E Maize Soil VWC'!$G$2:$G$4000)</f>
        <v>#N/A</v>
      </c>
      <c r="AS16" s="4" t="e" cm="1">
        <f t="array" ref="AS16">_xlfn.XLOOKUP(1,('2013 E Maize Soil VWC'!$C$2:$C$4000=$AA16)*('2013 E Maize Soil VWC'!$E$2:$E$4000=$AB16)*('2013 E Maize Soil VWC'!$F$2:$F$4000=AS$5),'2013 E Maize Soil VWC'!$G$2:$G$4000)</f>
        <v>#N/A</v>
      </c>
      <c r="AT16" s="4" t="e" cm="1">
        <f t="array" ref="AT16">_xlfn.XLOOKUP(1,('2013 E Maize Soil VWC'!$C$2:$C$4000=$AA16)*('2013 E Maize Soil VWC'!$E$2:$E$4000=$AB16)*('2013 E Maize Soil VWC'!$F$2:$F$4000=AT$5),'2013 E Maize Soil VWC'!$G$2:$G$4000)</f>
        <v>#N/A</v>
      </c>
      <c r="AU16" s="4" t="e" cm="1">
        <f t="array" ref="AU16">_xlfn.XLOOKUP(1,('2013 E Maize Soil VWC'!$C$2:$C$4000=$AA16)*('2013 E Maize Soil VWC'!$E$2:$E$4000=$AB16)*('2013 E Maize Soil VWC'!$F$2:$F$4000=AU$5),'2013 E Maize Soil VWC'!$G$2:$G$4000)</f>
        <v>#N/A</v>
      </c>
      <c r="AV16" s="4" t="e" cm="1">
        <f t="array" ref="AV16">_xlfn.XLOOKUP(1,('2013 E Maize Soil VWC'!$C$2:$C$4000=$AA16)*('2013 E Maize Soil VWC'!$E$2:$E$4000=$AB16)*('2013 E Maize Soil VWC'!$F$2:$F$4000=AV$5),'2013 E Maize Soil VWC'!$G$2:$G$4000)</f>
        <v>#N/A</v>
      </c>
      <c r="BM16" s="4">
        <v>231</v>
      </c>
      <c r="BN16" s="20">
        <v>41505</v>
      </c>
      <c r="BO16" s="24">
        <f t="shared" si="0"/>
        <v>480.21012481335754</v>
      </c>
      <c r="BP16" s="24">
        <f t="shared" si="0"/>
        <v>482.14193553647118</v>
      </c>
      <c r="BQ16" s="24">
        <f t="shared" si="0"/>
        <v>458.69813875100874</v>
      </c>
      <c r="BR16" s="24">
        <f t="shared" si="0"/>
        <v>473.03768557430379</v>
      </c>
      <c r="BS16" s="24">
        <f t="shared" si="0"/>
        <v>747.06674756860366</v>
      </c>
      <c r="BT16" s="24">
        <f t="shared" si="0"/>
        <v>730.57817083333339</v>
      </c>
      <c r="BU16" s="24">
        <f t="shared" si="0"/>
        <v>647.06184857748178</v>
      </c>
      <c r="BV16" s="24">
        <f t="shared" si="0"/>
        <v>750.85049038539137</v>
      </c>
      <c r="BW16" s="24">
        <f t="shared" si="0"/>
        <v>744.22998847861174</v>
      </c>
      <c r="BX16" s="24">
        <f t="shared" si="0"/>
        <v>751.83112310330898</v>
      </c>
      <c r="BY16" s="24">
        <f t="shared" si="0"/>
        <v>741.1273790456014</v>
      </c>
      <c r="BZ16" s="24">
        <f t="shared" si="0"/>
        <v>621.87259263518968</v>
      </c>
      <c r="CA16" s="24">
        <f t="shared" si="0"/>
        <v>764.77272360774805</v>
      </c>
      <c r="CB16" s="24">
        <f t="shared" si="0"/>
        <v>741.40886255044393</v>
      </c>
    </row>
    <row r="17" spans="25:80" x14ac:dyDescent="0.25">
      <c r="AA17" s="15">
        <f t="shared" si="1"/>
        <v>41430</v>
      </c>
      <c r="AB17" s="4">
        <f t="shared" si="2"/>
        <v>230</v>
      </c>
      <c r="AC17" s="4" t="e" cm="1">
        <f t="array" ref="AC17">_xlfn.XLOOKUP(1,('2013 E Maize Soil VWC'!$C$2:$C$4000=$AA17)*('2013 E Maize Soil VWC'!$E$2:$E$4000=$AB17)*('2013 E Maize Soil VWC'!$F$2:$F$4000=AC$5),'2013 E Maize Soil VWC'!$G$2:$G$4000)</f>
        <v>#N/A</v>
      </c>
      <c r="AD17" s="4" t="e" cm="1">
        <f t="array" ref="AD17">_xlfn.XLOOKUP(1,('2013 E Maize Soil VWC'!$C$2:$C$4000=$AA17)*('2013 E Maize Soil VWC'!$E$2:$E$4000=$AB17)*('2013 E Maize Soil VWC'!$F$2:$F$4000=AD$5),'2013 E Maize Soil VWC'!$G$2:$G$4000)</f>
        <v>#N/A</v>
      </c>
      <c r="AE17" s="4" t="e" cm="1">
        <f t="array" ref="AE17">_xlfn.XLOOKUP(1,('2013 E Maize Soil VWC'!$C$2:$C$4000=$AA17)*('2013 E Maize Soil VWC'!$E$2:$E$4000=$AB17)*('2013 E Maize Soil VWC'!$F$2:$F$4000=AE$5),'2013 E Maize Soil VWC'!$G$2:$G$4000)</f>
        <v>#N/A</v>
      </c>
      <c r="AF17" s="4" t="e" cm="1">
        <f t="array" ref="AF17">_xlfn.XLOOKUP(1,('2013 E Maize Soil VWC'!$C$2:$C$4000=$AA17)*('2013 E Maize Soil VWC'!$E$2:$E$4000=$AB17)*('2013 E Maize Soil VWC'!$F$2:$F$4000=AF$5),'2013 E Maize Soil VWC'!$G$2:$G$4000)</f>
        <v>#N/A</v>
      </c>
      <c r="AG17" s="4" t="e" cm="1">
        <f t="array" ref="AG17">_xlfn.XLOOKUP(1,('2013 E Maize Soil VWC'!$C$2:$C$4000=$AA17)*('2013 E Maize Soil VWC'!$E$2:$E$4000=$AB17)*('2013 E Maize Soil VWC'!$F$2:$F$4000=AG$5),'2013 E Maize Soil VWC'!$G$2:$G$4000)</f>
        <v>#N/A</v>
      </c>
      <c r="AH17" s="4" t="e" cm="1">
        <f t="array" ref="AH17">_xlfn.XLOOKUP(1,('2013 E Maize Soil VWC'!$C$2:$C$4000=$AA17)*('2013 E Maize Soil VWC'!$E$2:$E$4000=$AB17)*('2013 E Maize Soil VWC'!$F$2:$F$4000=AH$5),'2013 E Maize Soil VWC'!$G$2:$G$4000)</f>
        <v>#N/A</v>
      </c>
      <c r="AI17" s="4" t="e" cm="1">
        <f t="array" ref="AI17">_xlfn.XLOOKUP(1,('2013 E Maize Soil VWC'!$C$2:$C$4000=$AA17)*('2013 E Maize Soil VWC'!$E$2:$E$4000=$AB17)*('2013 E Maize Soil VWC'!$F$2:$F$4000=AI$5),'2013 E Maize Soil VWC'!$G$2:$G$4000)</f>
        <v>#N/A</v>
      </c>
      <c r="AJ17" s="4" t="e" cm="1">
        <f t="array" ref="AJ17">_xlfn.XLOOKUP(1,('2013 E Maize Soil VWC'!$C$2:$C$4000=$AA17)*('2013 E Maize Soil VWC'!$E$2:$E$4000=$AB17)*('2013 E Maize Soil VWC'!$F$2:$F$4000=AJ$5),'2013 E Maize Soil VWC'!$G$2:$G$4000)</f>
        <v>#N/A</v>
      </c>
      <c r="AK17" s="4" t="e" cm="1">
        <f t="array" ref="AK17">_xlfn.XLOOKUP(1,('2013 E Maize Soil VWC'!$C$2:$C$4000=$AA17)*('2013 E Maize Soil VWC'!$E$2:$E$4000=$AB17)*('2013 E Maize Soil VWC'!$F$2:$F$4000=AK$5),'2013 E Maize Soil VWC'!$G$2:$G$4000)</f>
        <v>#N/A</v>
      </c>
      <c r="AL17" s="4" t="e" cm="1">
        <f t="array" ref="AL17">_xlfn.XLOOKUP(1,('2013 E Maize Soil VWC'!$C$2:$C$4000=$AA17)*('2013 E Maize Soil VWC'!$E$2:$E$4000=$AB17)*('2013 E Maize Soil VWC'!$F$2:$F$4000=AL$5),'2013 E Maize Soil VWC'!$G$2:$G$4000)</f>
        <v>#N/A</v>
      </c>
      <c r="AM17" s="4" t="e" cm="1">
        <f t="array" ref="AM17">_xlfn.XLOOKUP(1,('2013 E Maize Soil VWC'!$C$2:$C$4000=$AA17)*('2013 E Maize Soil VWC'!$E$2:$E$4000=$AB17)*('2013 E Maize Soil VWC'!$F$2:$F$4000=AM$5),'2013 E Maize Soil VWC'!$G$2:$G$4000)</f>
        <v>#N/A</v>
      </c>
      <c r="AN17" s="4" t="e" cm="1">
        <f t="array" ref="AN17">_xlfn.XLOOKUP(1,('2013 E Maize Soil VWC'!$C$2:$C$4000=$AA17)*('2013 E Maize Soil VWC'!$E$2:$E$4000=$AB17)*('2013 E Maize Soil VWC'!$F$2:$F$4000=AN$5),'2013 E Maize Soil VWC'!$G$2:$G$4000)</f>
        <v>#N/A</v>
      </c>
      <c r="AO17" s="4" t="e" cm="1">
        <f t="array" ref="AO17">_xlfn.XLOOKUP(1,('2013 E Maize Soil VWC'!$C$2:$C$4000=$AA17)*('2013 E Maize Soil VWC'!$E$2:$E$4000=$AB17)*('2013 E Maize Soil VWC'!$F$2:$F$4000=AO$5),'2013 E Maize Soil VWC'!$G$2:$G$4000)</f>
        <v>#N/A</v>
      </c>
      <c r="AP17" s="4" t="e" cm="1">
        <f t="array" ref="AP17">_xlfn.XLOOKUP(1,('2013 E Maize Soil VWC'!$C$2:$C$4000=$AA17)*('2013 E Maize Soil VWC'!$E$2:$E$4000=$AB17)*('2013 E Maize Soil VWC'!$F$2:$F$4000=AP$5),'2013 E Maize Soil VWC'!$G$2:$G$4000)</f>
        <v>#N/A</v>
      </c>
      <c r="AQ17" s="4" t="e" cm="1">
        <f t="array" ref="AQ17">_xlfn.XLOOKUP(1,('2013 E Maize Soil VWC'!$C$2:$C$4000=$AA17)*('2013 E Maize Soil VWC'!$E$2:$E$4000=$AB17)*('2013 E Maize Soil VWC'!$F$2:$F$4000=AQ$5),'2013 E Maize Soil VWC'!$G$2:$G$4000)</f>
        <v>#N/A</v>
      </c>
      <c r="AR17" s="4" t="e" cm="1">
        <f t="array" ref="AR17">_xlfn.XLOOKUP(1,('2013 E Maize Soil VWC'!$C$2:$C$4000=$AA17)*('2013 E Maize Soil VWC'!$E$2:$E$4000=$AB17)*('2013 E Maize Soil VWC'!$F$2:$F$4000=AR$5),'2013 E Maize Soil VWC'!$G$2:$G$4000)</f>
        <v>#N/A</v>
      </c>
      <c r="AS17" s="4" t="e" cm="1">
        <f t="array" ref="AS17">_xlfn.XLOOKUP(1,('2013 E Maize Soil VWC'!$C$2:$C$4000=$AA17)*('2013 E Maize Soil VWC'!$E$2:$E$4000=$AB17)*('2013 E Maize Soil VWC'!$F$2:$F$4000=AS$5),'2013 E Maize Soil VWC'!$G$2:$G$4000)</f>
        <v>#N/A</v>
      </c>
      <c r="AT17" s="4" t="e" cm="1">
        <f t="array" ref="AT17">_xlfn.XLOOKUP(1,('2013 E Maize Soil VWC'!$C$2:$C$4000=$AA17)*('2013 E Maize Soil VWC'!$E$2:$E$4000=$AB17)*('2013 E Maize Soil VWC'!$F$2:$F$4000=AT$5),'2013 E Maize Soil VWC'!$G$2:$G$4000)</f>
        <v>#N/A</v>
      </c>
      <c r="AU17" s="4" t="e" cm="1">
        <f t="array" ref="AU17">_xlfn.XLOOKUP(1,('2013 E Maize Soil VWC'!$C$2:$C$4000=$AA17)*('2013 E Maize Soil VWC'!$E$2:$E$4000=$AB17)*('2013 E Maize Soil VWC'!$F$2:$F$4000=AU$5),'2013 E Maize Soil VWC'!$G$2:$G$4000)</f>
        <v>#N/A</v>
      </c>
      <c r="AV17" s="4" t="e" cm="1">
        <f t="array" ref="AV17">_xlfn.XLOOKUP(1,('2013 E Maize Soil VWC'!$C$2:$C$4000=$AA17)*('2013 E Maize Soil VWC'!$E$2:$E$4000=$AB17)*('2013 E Maize Soil VWC'!$F$2:$F$4000=AV$5),'2013 E Maize Soil VWC'!$G$2:$G$4000)</f>
        <v>#N/A</v>
      </c>
      <c r="BM17" s="4">
        <v>246</v>
      </c>
      <c r="BN17" s="20">
        <v>41520</v>
      </c>
      <c r="BO17" s="24">
        <f t="shared" si="0"/>
        <v>439.53012602401122</v>
      </c>
      <c r="BP17" s="24">
        <f t="shared" si="0"/>
        <v>432.73597193174948</v>
      </c>
      <c r="BQ17" s="24">
        <f t="shared" si="0"/>
        <v>404.66965577582721</v>
      </c>
      <c r="BR17" s="24">
        <f t="shared" si="0"/>
        <v>419.18665073269767</v>
      </c>
      <c r="BS17" s="24">
        <f t="shared" si="0"/>
        <v>689.47147173123483</v>
      </c>
      <c r="BT17" s="24">
        <f t="shared" si="0"/>
        <v>676.35599931396291</v>
      </c>
      <c r="BU17" s="24">
        <f t="shared" si="0"/>
        <v>605.42851977401097</v>
      </c>
      <c r="BV17" s="24">
        <f t="shared" si="0"/>
        <v>704.58555782889414</v>
      </c>
      <c r="BW17" s="24">
        <f t="shared" si="0"/>
        <v>690.98953360573034</v>
      </c>
      <c r="BX17" s="24">
        <f t="shared" si="0"/>
        <v>693.00076277239714</v>
      </c>
      <c r="BY17" s="24">
        <f t="shared" si="0"/>
        <v>679.58730077683629</v>
      </c>
      <c r="BZ17" s="24">
        <f t="shared" si="0"/>
        <v>569.1233728309121</v>
      </c>
      <c r="CA17" s="24">
        <f t="shared" si="0"/>
        <v>707.95283849878933</v>
      </c>
      <c r="CB17" s="24">
        <f t="shared" si="0"/>
        <v>686.2602256355932</v>
      </c>
    </row>
    <row r="18" spans="25:80" x14ac:dyDescent="0.25">
      <c r="AA18" s="15"/>
      <c r="BM18" s="4">
        <v>253</v>
      </c>
      <c r="BN18" s="20">
        <v>41527</v>
      </c>
      <c r="BO18" s="24">
        <f t="shared" si="0"/>
        <v>427.98357819814368</v>
      </c>
      <c r="BP18" s="24">
        <f t="shared" si="0"/>
        <v>420.81244861783699</v>
      </c>
      <c r="BQ18" s="24">
        <f t="shared" si="0"/>
        <v>403.4166227956012</v>
      </c>
      <c r="BR18" s="24">
        <f t="shared" si="0"/>
        <v>414.43386972861168</v>
      </c>
      <c r="BS18" s="24">
        <f t="shared" si="0"/>
        <v>678.30765674939482</v>
      </c>
      <c r="BT18" s="24">
        <f t="shared" si="0"/>
        <v>662.00200930185622</v>
      </c>
      <c r="BU18" s="24">
        <f t="shared" si="0"/>
        <v>592.20140969531883</v>
      </c>
      <c r="BV18" s="24">
        <f t="shared" si="0"/>
        <v>691.30898978006439</v>
      </c>
      <c r="BW18" s="24">
        <f t="shared" si="0"/>
        <v>674.95354118240527</v>
      </c>
      <c r="BX18" s="24">
        <f t="shared" si="0"/>
        <v>699.28921730225989</v>
      </c>
      <c r="BY18" s="24">
        <f t="shared" si="0"/>
        <v>668.95298325262308</v>
      </c>
      <c r="BZ18" s="24">
        <f t="shared" si="0"/>
        <v>566.03219429983858</v>
      </c>
      <c r="CA18" s="24">
        <f t="shared" si="0"/>
        <v>697.5040433716706</v>
      </c>
      <c r="CB18" s="24">
        <f t="shared" si="0"/>
        <v>677.14301705004038</v>
      </c>
    </row>
    <row r="19" spans="25:80" x14ac:dyDescent="0.25">
      <c r="Y19" s="4">
        <v>2013</v>
      </c>
      <c r="Z19" s="4">
        <v>157</v>
      </c>
      <c r="AA19" s="15">
        <f>DATE(Y19,1,Z19)</f>
        <v>41431</v>
      </c>
      <c r="AB19" s="4">
        <v>10</v>
      </c>
      <c r="AC19" s="4" t="e" cm="1">
        <f t="array" ref="AC19">_xlfn.XLOOKUP(1,('2013 E Maize Soil VWC'!$C$2:$C$4000=$AA19)*('2013 E Maize Soil VWC'!$E$2:$E$4000=$AB19)*('2013 E Maize Soil VWC'!$F$2:$F$4000=AC$5),'2013 E Maize Soil VWC'!$G$2:$G$4000)</f>
        <v>#N/A</v>
      </c>
      <c r="AD19" s="4" t="e" cm="1">
        <f t="array" ref="AD19">_xlfn.XLOOKUP(1,('2013 E Maize Soil VWC'!$C$2:$C$4000=$AA19)*('2013 E Maize Soil VWC'!$E$2:$E$4000=$AB19)*('2013 E Maize Soil VWC'!$F$2:$F$4000=AD$5),'2013 E Maize Soil VWC'!$G$2:$G$4000)</f>
        <v>#N/A</v>
      </c>
      <c r="AE19" s="4" t="e" cm="1">
        <f t="array" ref="AE19">_xlfn.XLOOKUP(1,('2013 E Maize Soil VWC'!$C$2:$C$4000=$AA19)*('2013 E Maize Soil VWC'!$E$2:$E$4000=$AB19)*('2013 E Maize Soil VWC'!$F$2:$F$4000=AE$5),'2013 E Maize Soil VWC'!$G$2:$G$4000)</f>
        <v>#N/A</v>
      </c>
      <c r="AF19" s="4" t="e" cm="1">
        <f t="array" ref="AF19">_xlfn.XLOOKUP(1,('2013 E Maize Soil VWC'!$C$2:$C$4000=$AA19)*('2013 E Maize Soil VWC'!$E$2:$E$4000=$AB19)*('2013 E Maize Soil VWC'!$F$2:$F$4000=AF$5),'2013 E Maize Soil VWC'!$G$2:$G$4000)</f>
        <v>#N/A</v>
      </c>
      <c r="AG19" s="4" cm="1">
        <f t="array" ref="AG19">_xlfn.XLOOKUP(1,('2013 E Maize Soil VWC'!$C$2:$C$4000=$AA19)*('2013 E Maize Soil VWC'!$E$2:$E$4000=$AB19)*('2013 E Maize Soil VWC'!$F$2:$F$4000=AG$5),'2013 E Maize Soil VWC'!$G$2:$G$4000)</f>
        <v>0.29291755665422259</v>
      </c>
      <c r="AH19" s="4" cm="1">
        <f t="array" ref="AH19">_xlfn.XLOOKUP(1,('2013 E Maize Soil VWC'!$C$2:$C$4000=$AA19)*('2013 E Maize Soil VWC'!$E$2:$E$4000=$AB19)*('2013 E Maize Soil VWC'!$F$2:$F$4000=AH$5),'2013 E Maize Soil VWC'!$G$2:$G$4000)</f>
        <v>0.27552781999798204</v>
      </c>
      <c r="AI19" s="4" t="e" cm="1">
        <f t="array" ref="AI19">_xlfn.XLOOKUP(1,('2013 E Maize Soil VWC'!$C$2:$C$4000=$AA19)*('2013 E Maize Soil VWC'!$E$2:$E$4000=$AB19)*('2013 E Maize Soil VWC'!$F$2:$F$4000=AI$5),'2013 E Maize Soil VWC'!$G$2:$G$4000)</f>
        <v>#N/A</v>
      </c>
      <c r="AJ19" s="4" t="e" cm="1">
        <f t="array" ref="AJ19">_xlfn.XLOOKUP(1,('2013 E Maize Soil VWC'!$C$2:$C$4000=$AA19)*('2013 E Maize Soil VWC'!$E$2:$E$4000=$AB19)*('2013 E Maize Soil VWC'!$F$2:$F$4000=AJ$5),'2013 E Maize Soil VWC'!$G$2:$G$4000)</f>
        <v>#N/A</v>
      </c>
      <c r="AK19" s="4" t="e" cm="1">
        <f t="array" ref="AK19">_xlfn.XLOOKUP(1,('2013 E Maize Soil VWC'!$C$2:$C$4000=$AA19)*('2013 E Maize Soil VWC'!$E$2:$E$4000=$AB19)*('2013 E Maize Soil VWC'!$F$2:$F$4000=AK$5),'2013 E Maize Soil VWC'!$G$2:$G$4000)</f>
        <v>#N/A</v>
      </c>
      <c r="AL19" s="4" t="e" cm="1">
        <f t="array" ref="AL19">_xlfn.XLOOKUP(1,('2013 E Maize Soil VWC'!$C$2:$C$4000=$AA19)*('2013 E Maize Soil VWC'!$E$2:$E$4000=$AB19)*('2013 E Maize Soil VWC'!$F$2:$F$4000=AL$5),'2013 E Maize Soil VWC'!$G$2:$G$4000)</f>
        <v>#N/A</v>
      </c>
      <c r="AM19" s="4" t="e" cm="1">
        <f t="array" ref="AM19">_xlfn.XLOOKUP(1,('2013 E Maize Soil VWC'!$C$2:$C$4000=$AA19)*('2013 E Maize Soil VWC'!$E$2:$E$4000=$AB19)*('2013 E Maize Soil VWC'!$F$2:$F$4000=AM$5),'2013 E Maize Soil VWC'!$G$2:$G$4000)</f>
        <v>#N/A</v>
      </c>
      <c r="AN19" s="4" t="e" cm="1">
        <f t="array" ref="AN19">_xlfn.XLOOKUP(1,('2013 E Maize Soil VWC'!$C$2:$C$4000=$AA19)*('2013 E Maize Soil VWC'!$E$2:$E$4000=$AB19)*('2013 E Maize Soil VWC'!$F$2:$F$4000=AN$5),'2013 E Maize Soil VWC'!$G$2:$G$4000)</f>
        <v>#N/A</v>
      </c>
      <c r="AO19" s="4" t="e" cm="1">
        <f t="array" ref="AO19">_xlfn.XLOOKUP(1,('2013 E Maize Soil VWC'!$C$2:$C$4000=$AA19)*('2013 E Maize Soil VWC'!$E$2:$E$4000=$AB19)*('2013 E Maize Soil VWC'!$F$2:$F$4000=AO$5),'2013 E Maize Soil VWC'!$G$2:$G$4000)</f>
        <v>#N/A</v>
      </c>
      <c r="AP19" s="4" t="e" cm="1">
        <f t="array" ref="AP19">_xlfn.XLOOKUP(1,('2013 E Maize Soil VWC'!$C$2:$C$4000=$AA19)*('2013 E Maize Soil VWC'!$E$2:$E$4000=$AB19)*('2013 E Maize Soil VWC'!$F$2:$F$4000=AP$5),'2013 E Maize Soil VWC'!$G$2:$G$4000)</f>
        <v>#N/A</v>
      </c>
      <c r="AQ19" s="4" cm="1">
        <f t="array" ref="AQ19">_xlfn.XLOOKUP(1,('2013 E Maize Soil VWC'!$C$2:$C$4000=$AA19)*('2013 E Maize Soil VWC'!$E$2:$E$4000=$AB19)*('2013 E Maize Soil VWC'!$F$2:$F$4000=AQ$5),'2013 E Maize Soil VWC'!$G$2:$G$4000)</f>
        <v>0.28466009888003224</v>
      </c>
      <c r="AR19" s="4" cm="1">
        <f t="array" ref="AR19">_xlfn.XLOOKUP(1,('2013 E Maize Soil VWC'!$C$2:$C$4000=$AA19)*('2013 E Maize Soil VWC'!$E$2:$E$4000=$AB19)*('2013 E Maize Soil VWC'!$F$2:$F$4000=AR$5),'2013 E Maize Soil VWC'!$G$2:$G$4000)</f>
        <v>0.27689339441025124</v>
      </c>
      <c r="AS19" s="4" t="e" cm="1">
        <f t="array" ref="AS19">_xlfn.XLOOKUP(1,('2013 E Maize Soil VWC'!$C$2:$C$4000=$AA19)*('2013 E Maize Soil VWC'!$E$2:$E$4000=$AB19)*('2013 E Maize Soil VWC'!$F$2:$F$4000=AS$5),'2013 E Maize Soil VWC'!$G$2:$G$4000)</f>
        <v>#N/A</v>
      </c>
      <c r="AT19" s="4" t="e" cm="1">
        <f t="array" ref="AT19">_xlfn.XLOOKUP(1,('2013 E Maize Soil VWC'!$C$2:$C$4000=$AA19)*('2013 E Maize Soil VWC'!$E$2:$E$4000=$AB19)*('2013 E Maize Soil VWC'!$F$2:$F$4000=AT$5),'2013 E Maize Soil VWC'!$G$2:$G$4000)</f>
        <v>#N/A</v>
      </c>
      <c r="AU19" s="4" t="e" cm="1">
        <f t="array" ref="AU19">_xlfn.XLOOKUP(1,('2013 E Maize Soil VWC'!$C$2:$C$4000=$AA19)*('2013 E Maize Soil VWC'!$E$2:$E$4000=$AB19)*('2013 E Maize Soil VWC'!$F$2:$F$4000=AU$5),'2013 E Maize Soil VWC'!$G$2:$G$4000)</f>
        <v>#N/A</v>
      </c>
      <c r="AV19" s="4" t="e" cm="1">
        <f t="array" ref="AV19">_xlfn.XLOOKUP(1,('2013 E Maize Soil VWC'!$C$2:$C$4000=$AA19)*('2013 E Maize Soil VWC'!$E$2:$E$4000=$AB19)*('2013 E Maize Soil VWC'!$F$2:$F$4000=AV$5),'2013 E Maize Soil VWC'!$G$2:$G$4000)</f>
        <v>#N/A</v>
      </c>
      <c r="AW19" s="22">
        <f>Z19</f>
        <v>157</v>
      </c>
      <c r="AX19" s="20">
        <f>AA19</f>
        <v>41431</v>
      </c>
      <c r="AY19" s="4">
        <f>1400*AVERAGE(AG19:AH25)+100*AVERAGE(AG26:AH26)</f>
        <v>519.514057133488</v>
      </c>
      <c r="AZ19" s="4" t="e">
        <f>1400*AVERAGE(AC19:AF25,AI19:AL25)+100*AVERAGE(AC26:AF26,AI26:AL26)</f>
        <v>#N/A</v>
      </c>
      <c r="BA19" s="4">
        <f>1400*AVERAGE(AQ19:AR25)+100*AVERAGE(AQ26:AR26)</f>
        <v>508.71275323378069</v>
      </c>
      <c r="BB19" s="4" t="e">
        <f>1400*AVERAGE(AM19:AP25,AS19:AV25)+100*AVERAGE(AM26:AP26,AS26:AV26)</f>
        <v>#N/A</v>
      </c>
      <c r="BC19" s="4" t="e">
        <f>AVERAGE(AC19:AD30)*2400</f>
        <v>#N/A</v>
      </c>
      <c r="BD19" s="4" t="e">
        <f>AVERAGE(AE19:AF30)*2400</f>
        <v>#N/A</v>
      </c>
      <c r="BE19" s="4">
        <f>AVERAGE(AG19:AH28)*2000</f>
        <v>687.253799293714</v>
      </c>
      <c r="BF19" s="4" t="e">
        <f>AVERAGE(AI19:AJ30)*2400</f>
        <v>#N/A</v>
      </c>
      <c r="BG19" s="4" t="e">
        <f>AVERAGE(AK19:AL30)*2400</f>
        <v>#N/A</v>
      </c>
      <c r="BH19" s="4" t="e">
        <f>AVERAGE(AM19:AN30)*2400</f>
        <v>#N/A</v>
      </c>
      <c r="BI19" s="4" t="e">
        <f>AVERAGE(AO19:AP30)*2400</f>
        <v>#N/A</v>
      </c>
      <c r="BJ19" s="4">
        <f>AVERAGE(AQ19:AR28)*2000</f>
        <v>671.20800356169912</v>
      </c>
      <c r="BK19" s="4" t="e">
        <f>AVERAGE(AS19:AT30)*2400</f>
        <v>#N/A</v>
      </c>
      <c r="BL19" s="4" t="e">
        <f>AVERAGE(AU19:AV30)*2400</f>
        <v>#N/A</v>
      </c>
      <c r="BM19" s="4">
        <v>269</v>
      </c>
      <c r="BN19" s="20">
        <v>41543</v>
      </c>
      <c r="BO19" s="24">
        <f t="shared" si="0"/>
        <v>436.86971938559321</v>
      </c>
      <c r="BP19" s="24">
        <f t="shared" si="0"/>
        <v>428.87389596448742</v>
      </c>
      <c r="BQ19" s="24">
        <f t="shared" si="0"/>
        <v>416.18995093825663</v>
      </c>
      <c r="BR19" s="24">
        <f t="shared" si="0"/>
        <v>418.99131176982434</v>
      </c>
      <c r="BS19" s="24">
        <f t="shared" si="0"/>
        <v>681.01519716505254</v>
      </c>
      <c r="BT19" s="24">
        <f t="shared" si="0"/>
        <v>664.93760038337382</v>
      </c>
      <c r="BU19" s="24">
        <f t="shared" si="0"/>
        <v>600.65786723163842</v>
      </c>
      <c r="BV19" s="24">
        <f t="shared" si="0"/>
        <v>698.2461990012107</v>
      </c>
      <c r="BW19" s="24">
        <f t="shared" si="0"/>
        <v>682.97544380548823</v>
      </c>
      <c r="BX19" s="24">
        <f t="shared" si="0"/>
        <v>698.71402070217903</v>
      </c>
      <c r="BY19" s="24">
        <f t="shared" si="0"/>
        <v>678.97546579903167</v>
      </c>
      <c r="BZ19" s="24">
        <f t="shared" si="0"/>
        <v>579.15690383373669</v>
      </c>
      <c r="CA19" s="24">
        <f t="shared" si="0"/>
        <v>698.40233980024232</v>
      </c>
      <c r="CB19" s="24">
        <f t="shared" si="0"/>
        <v>676.13500245157388</v>
      </c>
    </row>
    <row r="20" spans="25:80" x14ac:dyDescent="0.25">
      <c r="AA20" s="15">
        <f t="shared" ref="AA20:AA30" si="3">AA19</f>
        <v>41431</v>
      </c>
      <c r="AB20" s="4">
        <f t="shared" ref="AB20:AB30" si="4">AB19+20</f>
        <v>30</v>
      </c>
      <c r="AC20" s="4" t="e" cm="1">
        <f t="array" ref="AC20">_xlfn.XLOOKUP(1,('2013 E Maize Soil VWC'!$C$2:$C$4000=$AA20)*('2013 E Maize Soil VWC'!$E$2:$E$4000=$AB20)*('2013 E Maize Soil VWC'!$F$2:$F$4000=AC$5),'2013 E Maize Soil VWC'!$G$2:$G$4000)</f>
        <v>#N/A</v>
      </c>
      <c r="AD20" s="4" t="e" cm="1">
        <f t="array" ref="AD20">_xlfn.XLOOKUP(1,('2013 E Maize Soil VWC'!$C$2:$C$4000=$AA20)*('2013 E Maize Soil VWC'!$E$2:$E$4000=$AB20)*('2013 E Maize Soil VWC'!$F$2:$F$4000=AD$5),'2013 E Maize Soil VWC'!$G$2:$G$4000)</f>
        <v>#N/A</v>
      </c>
      <c r="AE20" s="4" t="e" cm="1">
        <f t="array" ref="AE20">_xlfn.XLOOKUP(1,('2013 E Maize Soil VWC'!$C$2:$C$4000=$AA20)*('2013 E Maize Soil VWC'!$E$2:$E$4000=$AB20)*('2013 E Maize Soil VWC'!$F$2:$F$4000=AE$5),'2013 E Maize Soil VWC'!$G$2:$G$4000)</f>
        <v>#N/A</v>
      </c>
      <c r="AF20" s="4" t="e" cm="1">
        <f t="array" ref="AF20">_xlfn.XLOOKUP(1,('2013 E Maize Soil VWC'!$C$2:$C$4000=$AA20)*('2013 E Maize Soil VWC'!$E$2:$E$4000=$AB20)*('2013 E Maize Soil VWC'!$F$2:$F$4000=AF$5),'2013 E Maize Soil VWC'!$G$2:$G$4000)</f>
        <v>#N/A</v>
      </c>
      <c r="AG20" s="4" cm="1">
        <f t="array" ref="AG20">_xlfn.XLOOKUP(1,('2013 E Maize Soil VWC'!$C$2:$C$4000=$AA20)*('2013 E Maize Soil VWC'!$E$2:$E$4000=$AB20)*('2013 E Maize Soil VWC'!$F$2:$F$4000=AG$5),'2013 E Maize Soil VWC'!$G$2:$G$4000)</f>
        <v>0.36712889002118859</v>
      </c>
      <c r="AH20" s="4" cm="1">
        <f t="array" ref="AH20">_xlfn.XLOOKUP(1,('2013 E Maize Soil VWC'!$C$2:$C$4000=$AA20)*('2013 E Maize Soil VWC'!$E$2:$E$4000=$AB20)*('2013 E Maize Soil VWC'!$F$2:$F$4000=AH$5),'2013 E Maize Soil VWC'!$G$2:$G$4000)</f>
        <v>0.35487236071032185</v>
      </c>
      <c r="AI20" s="4" t="e" cm="1">
        <f t="array" ref="AI20">_xlfn.XLOOKUP(1,('2013 E Maize Soil VWC'!$C$2:$C$4000=$AA20)*('2013 E Maize Soil VWC'!$E$2:$E$4000=$AB20)*('2013 E Maize Soil VWC'!$F$2:$F$4000=AI$5),'2013 E Maize Soil VWC'!$G$2:$G$4000)</f>
        <v>#N/A</v>
      </c>
      <c r="AJ20" s="4" t="e" cm="1">
        <f t="array" ref="AJ20">_xlfn.XLOOKUP(1,('2013 E Maize Soil VWC'!$C$2:$C$4000=$AA20)*('2013 E Maize Soil VWC'!$E$2:$E$4000=$AB20)*('2013 E Maize Soil VWC'!$F$2:$F$4000=AJ$5),'2013 E Maize Soil VWC'!$G$2:$G$4000)</f>
        <v>#N/A</v>
      </c>
      <c r="AK20" s="4" t="e" cm="1">
        <f t="array" ref="AK20">_xlfn.XLOOKUP(1,('2013 E Maize Soil VWC'!$C$2:$C$4000=$AA20)*('2013 E Maize Soil VWC'!$E$2:$E$4000=$AB20)*('2013 E Maize Soil VWC'!$F$2:$F$4000=AK$5),'2013 E Maize Soil VWC'!$G$2:$G$4000)</f>
        <v>#N/A</v>
      </c>
      <c r="AL20" s="4" t="e" cm="1">
        <f t="array" ref="AL20">_xlfn.XLOOKUP(1,('2013 E Maize Soil VWC'!$C$2:$C$4000=$AA20)*('2013 E Maize Soil VWC'!$E$2:$E$4000=$AB20)*('2013 E Maize Soil VWC'!$F$2:$F$4000=AL$5),'2013 E Maize Soil VWC'!$G$2:$G$4000)</f>
        <v>#N/A</v>
      </c>
      <c r="AM20" s="4" t="e" cm="1">
        <f t="array" ref="AM20">_xlfn.XLOOKUP(1,('2013 E Maize Soil VWC'!$C$2:$C$4000=$AA20)*('2013 E Maize Soil VWC'!$E$2:$E$4000=$AB20)*('2013 E Maize Soil VWC'!$F$2:$F$4000=AM$5),'2013 E Maize Soil VWC'!$G$2:$G$4000)</f>
        <v>#N/A</v>
      </c>
      <c r="AN20" s="4" t="e" cm="1">
        <f t="array" ref="AN20">_xlfn.XLOOKUP(1,('2013 E Maize Soil VWC'!$C$2:$C$4000=$AA20)*('2013 E Maize Soil VWC'!$E$2:$E$4000=$AB20)*('2013 E Maize Soil VWC'!$F$2:$F$4000=AN$5),'2013 E Maize Soil VWC'!$G$2:$G$4000)</f>
        <v>#N/A</v>
      </c>
      <c r="AO20" s="4" t="e" cm="1">
        <f t="array" ref="AO20">_xlfn.XLOOKUP(1,('2013 E Maize Soil VWC'!$C$2:$C$4000=$AA20)*('2013 E Maize Soil VWC'!$E$2:$E$4000=$AB20)*('2013 E Maize Soil VWC'!$F$2:$F$4000=AO$5),'2013 E Maize Soil VWC'!$G$2:$G$4000)</f>
        <v>#N/A</v>
      </c>
      <c r="AP20" s="4" t="e" cm="1">
        <f t="array" ref="AP20">_xlfn.XLOOKUP(1,('2013 E Maize Soil VWC'!$C$2:$C$4000=$AA20)*('2013 E Maize Soil VWC'!$E$2:$E$4000=$AB20)*('2013 E Maize Soil VWC'!$F$2:$F$4000=AP$5),'2013 E Maize Soil VWC'!$G$2:$G$4000)</f>
        <v>#N/A</v>
      </c>
      <c r="AQ20" s="4" cm="1">
        <f t="array" ref="AQ20">_xlfn.XLOOKUP(1,('2013 E Maize Soil VWC'!$C$2:$C$4000=$AA20)*('2013 E Maize Soil VWC'!$E$2:$E$4000=$AB20)*('2013 E Maize Soil VWC'!$F$2:$F$4000=AQ$5),'2013 E Maize Soil VWC'!$G$2:$G$4000)</f>
        <v>0.36219697982040155</v>
      </c>
      <c r="AR20" s="4" cm="1">
        <f t="array" ref="AR20">_xlfn.XLOOKUP(1,('2013 E Maize Soil VWC'!$C$2:$C$4000=$AA20)*('2013 E Maize Soil VWC'!$E$2:$E$4000=$AB20)*('2013 E Maize Soil VWC'!$F$2:$F$4000=AR$5),'2013 E Maize Soil VWC'!$G$2:$G$4000)</f>
        <v>0.36258762617293916</v>
      </c>
      <c r="AS20" s="4" t="e" cm="1">
        <f t="array" ref="AS20">_xlfn.XLOOKUP(1,('2013 E Maize Soil VWC'!$C$2:$C$4000=$AA20)*('2013 E Maize Soil VWC'!$E$2:$E$4000=$AB20)*('2013 E Maize Soil VWC'!$F$2:$F$4000=AS$5),'2013 E Maize Soil VWC'!$G$2:$G$4000)</f>
        <v>#N/A</v>
      </c>
      <c r="AT20" s="4" t="e" cm="1">
        <f t="array" ref="AT20">_xlfn.XLOOKUP(1,('2013 E Maize Soil VWC'!$C$2:$C$4000=$AA20)*('2013 E Maize Soil VWC'!$E$2:$E$4000=$AB20)*('2013 E Maize Soil VWC'!$F$2:$F$4000=AT$5),'2013 E Maize Soil VWC'!$G$2:$G$4000)</f>
        <v>#N/A</v>
      </c>
      <c r="AU20" s="4" t="e" cm="1">
        <f t="array" ref="AU20">_xlfn.XLOOKUP(1,('2013 E Maize Soil VWC'!$C$2:$C$4000=$AA20)*('2013 E Maize Soil VWC'!$E$2:$E$4000=$AB20)*('2013 E Maize Soil VWC'!$F$2:$F$4000=AU$5),'2013 E Maize Soil VWC'!$G$2:$G$4000)</f>
        <v>#N/A</v>
      </c>
      <c r="AV20" s="4" t="e" cm="1">
        <f t="array" ref="AV20">_xlfn.XLOOKUP(1,('2013 E Maize Soil VWC'!$C$2:$C$4000=$AA20)*('2013 E Maize Soil VWC'!$E$2:$E$4000=$AB20)*('2013 E Maize Soil VWC'!$F$2:$F$4000=AV$5),'2013 E Maize Soil VWC'!$G$2:$G$4000)</f>
        <v>#N/A</v>
      </c>
    </row>
    <row r="21" spans="25:80" x14ac:dyDescent="0.25">
      <c r="AA21" s="15">
        <f t="shared" si="3"/>
        <v>41431</v>
      </c>
      <c r="AB21" s="4">
        <f t="shared" si="4"/>
        <v>50</v>
      </c>
      <c r="AC21" s="4" t="e" cm="1">
        <f t="array" ref="AC21">_xlfn.XLOOKUP(1,('2013 E Maize Soil VWC'!$C$2:$C$4000=$AA21)*('2013 E Maize Soil VWC'!$E$2:$E$4000=$AB21)*('2013 E Maize Soil VWC'!$F$2:$F$4000=AC$5),'2013 E Maize Soil VWC'!$G$2:$G$4000)</f>
        <v>#N/A</v>
      </c>
      <c r="AD21" s="4" t="e" cm="1">
        <f t="array" ref="AD21">_xlfn.XLOOKUP(1,('2013 E Maize Soil VWC'!$C$2:$C$4000=$AA21)*('2013 E Maize Soil VWC'!$E$2:$E$4000=$AB21)*('2013 E Maize Soil VWC'!$F$2:$F$4000=AD$5),'2013 E Maize Soil VWC'!$G$2:$G$4000)</f>
        <v>#N/A</v>
      </c>
      <c r="AE21" s="4" t="e" cm="1">
        <f t="array" ref="AE21">_xlfn.XLOOKUP(1,('2013 E Maize Soil VWC'!$C$2:$C$4000=$AA21)*('2013 E Maize Soil VWC'!$E$2:$E$4000=$AB21)*('2013 E Maize Soil VWC'!$F$2:$F$4000=AE$5),'2013 E Maize Soil VWC'!$G$2:$G$4000)</f>
        <v>#N/A</v>
      </c>
      <c r="AF21" s="4" t="e" cm="1">
        <f t="array" ref="AF21">_xlfn.XLOOKUP(1,('2013 E Maize Soil VWC'!$C$2:$C$4000=$AA21)*('2013 E Maize Soil VWC'!$E$2:$E$4000=$AB21)*('2013 E Maize Soil VWC'!$F$2:$F$4000=AF$5),'2013 E Maize Soil VWC'!$G$2:$G$4000)</f>
        <v>#N/A</v>
      </c>
      <c r="AG21" s="4" cm="1">
        <f t="array" ref="AG21">_xlfn.XLOOKUP(1,('2013 E Maize Soil VWC'!$C$2:$C$4000=$AA21)*('2013 E Maize Soil VWC'!$E$2:$E$4000=$AB21)*('2013 E Maize Soil VWC'!$F$2:$F$4000=AG$5),'2013 E Maize Soil VWC'!$G$2:$G$4000)</f>
        <v>0.37384312420542831</v>
      </c>
      <c r="AH21" s="4" cm="1">
        <f t="array" ref="AH21">_xlfn.XLOOKUP(1,('2013 E Maize Soil VWC'!$C$2:$C$4000=$AA21)*('2013 E Maize Soil VWC'!$E$2:$E$4000=$AB21)*('2013 E Maize Soil VWC'!$F$2:$F$4000=AH$5),'2013 E Maize Soil VWC'!$G$2:$G$4000)</f>
        <v>0.37044938401775807</v>
      </c>
      <c r="AI21" s="4" t="e" cm="1">
        <f t="array" ref="AI21">_xlfn.XLOOKUP(1,('2013 E Maize Soil VWC'!$C$2:$C$4000=$AA21)*('2013 E Maize Soil VWC'!$E$2:$E$4000=$AB21)*('2013 E Maize Soil VWC'!$F$2:$F$4000=AI$5),'2013 E Maize Soil VWC'!$G$2:$G$4000)</f>
        <v>#N/A</v>
      </c>
      <c r="AJ21" s="4" t="e" cm="1">
        <f t="array" ref="AJ21">_xlfn.XLOOKUP(1,('2013 E Maize Soil VWC'!$C$2:$C$4000=$AA21)*('2013 E Maize Soil VWC'!$E$2:$E$4000=$AB21)*('2013 E Maize Soil VWC'!$F$2:$F$4000=AJ$5),'2013 E Maize Soil VWC'!$G$2:$G$4000)</f>
        <v>#N/A</v>
      </c>
      <c r="AK21" s="4" t="e" cm="1">
        <f t="array" ref="AK21">_xlfn.XLOOKUP(1,('2013 E Maize Soil VWC'!$C$2:$C$4000=$AA21)*('2013 E Maize Soil VWC'!$E$2:$E$4000=$AB21)*('2013 E Maize Soil VWC'!$F$2:$F$4000=AK$5),'2013 E Maize Soil VWC'!$G$2:$G$4000)</f>
        <v>#N/A</v>
      </c>
      <c r="AL21" s="4" t="e" cm="1">
        <f t="array" ref="AL21">_xlfn.XLOOKUP(1,('2013 E Maize Soil VWC'!$C$2:$C$4000=$AA21)*('2013 E Maize Soil VWC'!$E$2:$E$4000=$AB21)*('2013 E Maize Soil VWC'!$F$2:$F$4000=AL$5),'2013 E Maize Soil VWC'!$G$2:$G$4000)</f>
        <v>#N/A</v>
      </c>
      <c r="AM21" s="4" t="e" cm="1">
        <f t="array" ref="AM21">_xlfn.XLOOKUP(1,('2013 E Maize Soil VWC'!$C$2:$C$4000=$AA21)*('2013 E Maize Soil VWC'!$E$2:$E$4000=$AB21)*('2013 E Maize Soil VWC'!$F$2:$F$4000=AM$5),'2013 E Maize Soil VWC'!$G$2:$G$4000)</f>
        <v>#N/A</v>
      </c>
      <c r="AN21" s="4" t="e" cm="1">
        <f t="array" ref="AN21">_xlfn.XLOOKUP(1,('2013 E Maize Soil VWC'!$C$2:$C$4000=$AA21)*('2013 E Maize Soil VWC'!$E$2:$E$4000=$AB21)*('2013 E Maize Soil VWC'!$F$2:$F$4000=AN$5),'2013 E Maize Soil VWC'!$G$2:$G$4000)</f>
        <v>#N/A</v>
      </c>
      <c r="AO21" s="4" t="e" cm="1">
        <f t="array" ref="AO21">_xlfn.XLOOKUP(1,('2013 E Maize Soil VWC'!$C$2:$C$4000=$AA21)*('2013 E Maize Soil VWC'!$E$2:$E$4000=$AB21)*('2013 E Maize Soil VWC'!$F$2:$F$4000=AO$5),'2013 E Maize Soil VWC'!$G$2:$G$4000)</f>
        <v>#N/A</v>
      </c>
      <c r="AP21" s="4" t="e" cm="1">
        <f t="array" ref="AP21">_xlfn.XLOOKUP(1,('2013 E Maize Soil VWC'!$C$2:$C$4000=$AA21)*('2013 E Maize Soil VWC'!$E$2:$E$4000=$AB21)*('2013 E Maize Soil VWC'!$F$2:$F$4000=AP$5),'2013 E Maize Soil VWC'!$G$2:$G$4000)</f>
        <v>#N/A</v>
      </c>
      <c r="AQ21" s="4" cm="1">
        <f t="array" ref="AQ21">_xlfn.XLOOKUP(1,('2013 E Maize Soil VWC'!$C$2:$C$4000=$AA21)*('2013 E Maize Soil VWC'!$E$2:$E$4000=$AB21)*('2013 E Maize Soil VWC'!$F$2:$F$4000=AQ$5),'2013 E Maize Soil VWC'!$G$2:$G$4000)</f>
        <v>0.36322242649581271</v>
      </c>
      <c r="AR21" s="4" cm="1">
        <f t="array" ref="AR21">_xlfn.XLOOKUP(1,('2013 E Maize Soil VWC'!$C$2:$C$4000=$AA21)*('2013 E Maize Soil VWC'!$E$2:$E$4000=$AB21)*('2013 E Maize Soil VWC'!$F$2:$F$4000=AR$5),'2013 E Maize Soil VWC'!$G$2:$G$4000)</f>
        <v>0.36158659489456163</v>
      </c>
      <c r="AS21" s="4" t="e" cm="1">
        <f t="array" ref="AS21">_xlfn.XLOOKUP(1,('2013 E Maize Soil VWC'!$C$2:$C$4000=$AA21)*('2013 E Maize Soil VWC'!$E$2:$E$4000=$AB21)*('2013 E Maize Soil VWC'!$F$2:$F$4000=AS$5),'2013 E Maize Soil VWC'!$G$2:$G$4000)</f>
        <v>#N/A</v>
      </c>
      <c r="AT21" s="4" t="e" cm="1">
        <f t="array" ref="AT21">_xlfn.XLOOKUP(1,('2013 E Maize Soil VWC'!$C$2:$C$4000=$AA21)*('2013 E Maize Soil VWC'!$E$2:$E$4000=$AB21)*('2013 E Maize Soil VWC'!$F$2:$F$4000=AT$5),'2013 E Maize Soil VWC'!$G$2:$G$4000)</f>
        <v>#N/A</v>
      </c>
      <c r="AU21" s="4" t="e" cm="1">
        <f t="array" ref="AU21">_xlfn.XLOOKUP(1,('2013 E Maize Soil VWC'!$C$2:$C$4000=$AA21)*('2013 E Maize Soil VWC'!$E$2:$E$4000=$AB21)*('2013 E Maize Soil VWC'!$F$2:$F$4000=AU$5),'2013 E Maize Soil VWC'!$G$2:$G$4000)</f>
        <v>#N/A</v>
      </c>
      <c r="AV21" s="4" t="e" cm="1">
        <f t="array" ref="AV21">_xlfn.XLOOKUP(1,('2013 E Maize Soil VWC'!$C$2:$C$4000=$AA21)*('2013 E Maize Soil VWC'!$E$2:$E$4000=$AB21)*('2013 E Maize Soil VWC'!$F$2:$F$4000=AV$5),'2013 E Maize Soil VWC'!$G$2:$G$4000)</f>
        <v>#N/A</v>
      </c>
    </row>
    <row r="22" spans="25:80" x14ac:dyDescent="0.25">
      <c r="AA22" s="15">
        <f t="shared" si="3"/>
        <v>41431</v>
      </c>
      <c r="AB22" s="4">
        <f t="shared" si="4"/>
        <v>70</v>
      </c>
      <c r="AC22" s="4" t="e" cm="1">
        <f t="array" ref="AC22">_xlfn.XLOOKUP(1,('2013 E Maize Soil VWC'!$C$2:$C$4000=$AA22)*('2013 E Maize Soil VWC'!$E$2:$E$4000=$AB22)*('2013 E Maize Soil VWC'!$F$2:$F$4000=AC$5),'2013 E Maize Soil VWC'!$G$2:$G$4000)</f>
        <v>#N/A</v>
      </c>
      <c r="AD22" s="4" t="e" cm="1">
        <f t="array" ref="AD22">_xlfn.XLOOKUP(1,('2013 E Maize Soil VWC'!$C$2:$C$4000=$AA22)*('2013 E Maize Soil VWC'!$E$2:$E$4000=$AB22)*('2013 E Maize Soil VWC'!$F$2:$F$4000=AD$5),'2013 E Maize Soil VWC'!$G$2:$G$4000)</f>
        <v>#N/A</v>
      </c>
      <c r="AE22" s="4" t="e" cm="1">
        <f t="array" ref="AE22">_xlfn.XLOOKUP(1,('2013 E Maize Soil VWC'!$C$2:$C$4000=$AA22)*('2013 E Maize Soil VWC'!$E$2:$E$4000=$AB22)*('2013 E Maize Soil VWC'!$F$2:$F$4000=AE$5),'2013 E Maize Soil VWC'!$G$2:$G$4000)</f>
        <v>#N/A</v>
      </c>
      <c r="AF22" s="4" t="e" cm="1">
        <f t="array" ref="AF22">_xlfn.XLOOKUP(1,('2013 E Maize Soil VWC'!$C$2:$C$4000=$AA22)*('2013 E Maize Soil VWC'!$E$2:$E$4000=$AB22)*('2013 E Maize Soil VWC'!$F$2:$F$4000=AF$5),'2013 E Maize Soil VWC'!$G$2:$G$4000)</f>
        <v>#N/A</v>
      </c>
      <c r="AG22" s="4" cm="1">
        <f t="array" ref="AG22">_xlfn.XLOOKUP(1,('2013 E Maize Soil VWC'!$C$2:$C$4000=$AA22)*('2013 E Maize Soil VWC'!$E$2:$E$4000=$AB22)*('2013 E Maize Soil VWC'!$F$2:$F$4000=AG$5),'2013 E Maize Soil VWC'!$G$2:$G$4000)</f>
        <v>0.36642084350721421</v>
      </c>
      <c r="AH22" s="4" cm="1">
        <f t="array" ref="AH22">_xlfn.XLOOKUP(1,('2013 E Maize Soil VWC'!$C$2:$C$4000=$AA22)*('2013 E Maize Soil VWC'!$E$2:$E$4000=$AB22)*('2013 E Maize Soil VWC'!$F$2:$F$4000=AH$5),'2013 E Maize Soil VWC'!$G$2:$G$4000)</f>
        <v>0.36139127171829277</v>
      </c>
      <c r="AI22" s="4" t="e" cm="1">
        <f t="array" ref="AI22">_xlfn.XLOOKUP(1,('2013 E Maize Soil VWC'!$C$2:$C$4000=$AA22)*('2013 E Maize Soil VWC'!$E$2:$E$4000=$AB22)*('2013 E Maize Soil VWC'!$F$2:$F$4000=AI$5),'2013 E Maize Soil VWC'!$G$2:$G$4000)</f>
        <v>#N/A</v>
      </c>
      <c r="AJ22" s="4" t="e" cm="1">
        <f t="array" ref="AJ22">_xlfn.XLOOKUP(1,('2013 E Maize Soil VWC'!$C$2:$C$4000=$AA22)*('2013 E Maize Soil VWC'!$E$2:$E$4000=$AB22)*('2013 E Maize Soil VWC'!$F$2:$F$4000=AJ$5),'2013 E Maize Soil VWC'!$G$2:$G$4000)</f>
        <v>#N/A</v>
      </c>
      <c r="AK22" s="4" t="e" cm="1">
        <f t="array" ref="AK22">_xlfn.XLOOKUP(1,('2013 E Maize Soil VWC'!$C$2:$C$4000=$AA22)*('2013 E Maize Soil VWC'!$E$2:$E$4000=$AB22)*('2013 E Maize Soil VWC'!$F$2:$F$4000=AK$5),'2013 E Maize Soil VWC'!$G$2:$G$4000)</f>
        <v>#N/A</v>
      </c>
      <c r="AL22" s="4" t="e" cm="1">
        <f t="array" ref="AL22">_xlfn.XLOOKUP(1,('2013 E Maize Soil VWC'!$C$2:$C$4000=$AA22)*('2013 E Maize Soil VWC'!$E$2:$E$4000=$AB22)*('2013 E Maize Soil VWC'!$F$2:$F$4000=AL$5),'2013 E Maize Soil VWC'!$G$2:$G$4000)</f>
        <v>#N/A</v>
      </c>
      <c r="AM22" s="4" t="e" cm="1">
        <f t="array" ref="AM22">_xlfn.XLOOKUP(1,('2013 E Maize Soil VWC'!$C$2:$C$4000=$AA22)*('2013 E Maize Soil VWC'!$E$2:$E$4000=$AB22)*('2013 E Maize Soil VWC'!$F$2:$F$4000=AM$5),'2013 E Maize Soil VWC'!$G$2:$G$4000)</f>
        <v>#N/A</v>
      </c>
      <c r="AN22" s="4" t="e" cm="1">
        <f t="array" ref="AN22">_xlfn.XLOOKUP(1,('2013 E Maize Soil VWC'!$C$2:$C$4000=$AA22)*('2013 E Maize Soil VWC'!$E$2:$E$4000=$AB22)*('2013 E Maize Soil VWC'!$F$2:$F$4000=AN$5),'2013 E Maize Soil VWC'!$G$2:$G$4000)</f>
        <v>#N/A</v>
      </c>
      <c r="AO22" s="4" t="e" cm="1">
        <f t="array" ref="AO22">_xlfn.XLOOKUP(1,('2013 E Maize Soil VWC'!$C$2:$C$4000=$AA22)*('2013 E Maize Soil VWC'!$E$2:$E$4000=$AB22)*('2013 E Maize Soil VWC'!$F$2:$F$4000=AO$5),'2013 E Maize Soil VWC'!$G$2:$G$4000)</f>
        <v>#N/A</v>
      </c>
      <c r="AP22" s="4" t="e" cm="1">
        <f t="array" ref="AP22">_xlfn.XLOOKUP(1,('2013 E Maize Soil VWC'!$C$2:$C$4000=$AA22)*('2013 E Maize Soil VWC'!$E$2:$E$4000=$AB22)*('2013 E Maize Soil VWC'!$F$2:$F$4000=AP$5),'2013 E Maize Soil VWC'!$G$2:$G$4000)</f>
        <v>#N/A</v>
      </c>
      <c r="AQ22" s="4" cm="1">
        <f t="array" ref="AQ22">_xlfn.XLOOKUP(1,('2013 E Maize Soil VWC'!$C$2:$C$4000=$AA22)*('2013 E Maize Soil VWC'!$E$2:$E$4000=$AB22)*('2013 E Maize Soil VWC'!$F$2:$F$4000=AQ$5),'2013 E Maize Soil VWC'!$G$2:$G$4000)</f>
        <v>0.35902297820603374</v>
      </c>
      <c r="AR22" s="4" cm="1">
        <f t="array" ref="AR22">_xlfn.XLOOKUP(1,('2013 E Maize Soil VWC'!$C$2:$C$4000=$AA22)*('2013 E Maize Soil VWC'!$E$2:$E$4000=$AB22)*('2013 E Maize Soil VWC'!$F$2:$F$4000=AR$5),'2013 E Maize Soil VWC'!$G$2:$G$4000)</f>
        <v>0.34791397255574619</v>
      </c>
      <c r="AS22" s="4" t="e" cm="1">
        <f t="array" ref="AS22">_xlfn.XLOOKUP(1,('2013 E Maize Soil VWC'!$C$2:$C$4000=$AA22)*('2013 E Maize Soil VWC'!$E$2:$E$4000=$AB22)*('2013 E Maize Soil VWC'!$F$2:$F$4000=AS$5),'2013 E Maize Soil VWC'!$G$2:$G$4000)</f>
        <v>#N/A</v>
      </c>
      <c r="AT22" s="4" t="e" cm="1">
        <f t="array" ref="AT22">_xlfn.XLOOKUP(1,('2013 E Maize Soil VWC'!$C$2:$C$4000=$AA22)*('2013 E Maize Soil VWC'!$E$2:$E$4000=$AB22)*('2013 E Maize Soil VWC'!$F$2:$F$4000=AT$5),'2013 E Maize Soil VWC'!$G$2:$G$4000)</f>
        <v>#N/A</v>
      </c>
      <c r="AU22" s="4" t="e" cm="1">
        <f t="array" ref="AU22">_xlfn.XLOOKUP(1,('2013 E Maize Soil VWC'!$C$2:$C$4000=$AA22)*('2013 E Maize Soil VWC'!$E$2:$E$4000=$AB22)*('2013 E Maize Soil VWC'!$F$2:$F$4000=AU$5),'2013 E Maize Soil VWC'!$G$2:$G$4000)</f>
        <v>#N/A</v>
      </c>
      <c r="AV22" s="4" t="e" cm="1">
        <f t="array" ref="AV22">_xlfn.XLOOKUP(1,('2013 E Maize Soil VWC'!$C$2:$C$4000=$AA22)*('2013 E Maize Soil VWC'!$E$2:$E$4000=$AB22)*('2013 E Maize Soil VWC'!$F$2:$F$4000=AV$5),'2013 E Maize Soil VWC'!$G$2:$G$4000)</f>
        <v>#N/A</v>
      </c>
    </row>
    <row r="23" spans="25:80" x14ac:dyDescent="0.25">
      <c r="AA23" s="15">
        <f t="shared" si="3"/>
        <v>41431</v>
      </c>
      <c r="AB23" s="4">
        <f t="shared" si="4"/>
        <v>90</v>
      </c>
      <c r="AC23" s="4" t="e" cm="1">
        <f t="array" ref="AC23">_xlfn.XLOOKUP(1,('2013 E Maize Soil VWC'!$C$2:$C$4000=$AA23)*('2013 E Maize Soil VWC'!$E$2:$E$4000=$AB23)*('2013 E Maize Soil VWC'!$F$2:$F$4000=AC$5),'2013 E Maize Soil VWC'!$G$2:$G$4000)</f>
        <v>#N/A</v>
      </c>
      <c r="AD23" s="4" t="e" cm="1">
        <f t="array" ref="AD23">_xlfn.XLOOKUP(1,('2013 E Maize Soil VWC'!$C$2:$C$4000=$AA23)*('2013 E Maize Soil VWC'!$E$2:$E$4000=$AB23)*('2013 E Maize Soil VWC'!$F$2:$F$4000=AD$5),'2013 E Maize Soil VWC'!$G$2:$G$4000)</f>
        <v>#N/A</v>
      </c>
      <c r="AE23" s="4" t="e" cm="1">
        <f t="array" ref="AE23">_xlfn.XLOOKUP(1,('2013 E Maize Soil VWC'!$C$2:$C$4000=$AA23)*('2013 E Maize Soil VWC'!$E$2:$E$4000=$AB23)*('2013 E Maize Soil VWC'!$F$2:$F$4000=AE$5),'2013 E Maize Soil VWC'!$G$2:$G$4000)</f>
        <v>#N/A</v>
      </c>
      <c r="AF23" s="4" t="e" cm="1">
        <f t="array" ref="AF23">_xlfn.XLOOKUP(1,('2013 E Maize Soil VWC'!$C$2:$C$4000=$AA23)*('2013 E Maize Soil VWC'!$E$2:$E$4000=$AB23)*('2013 E Maize Soil VWC'!$F$2:$F$4000=AF$5),'2013 E Maize Soil VWC'!$G$2:$G$4000)</f>
        <v>#N/A</v>
      </c>
      <c r="AG23" s="4" cm="1">
        <f t="array" ref="AG23">_xlfn.XLOOKUP(1,('2013 E Maize Soil VWC'!$C$2:$C$4000=$AA23)*('2013 E Maize Soil VWC'!$E$2:$E$4000=$AB23)*('2013 E Maize Soil VWC'!$F$2:$F$4000=AG$5),'2013 E Maize Soil VWC'!$G$2:$G$4000)</f>
        <v>0.36080530218948648</v>
      </c>
      <c r="AH23" s="4" cm="1">
        <f t="array" ref="AH23">_xlfn.XLOOKUP(1,('2013 E Maize Soil VWC'!$C$2:$C$4000=$AA23)*('2013 E Maize Soil VWC'!$E$2:$E$4000=$AB23)*('2013 E Maize Soil VWC'!$F$2:$F$4000=AH$5),'2013 E Maize Soil VWC'!$G$2:$G$4000)</f>
        <v>0.3543352219755827</v>
      </c>
      <c r="AI23" s="4" t="e" cm="1">
        <f t="array" ref="AI23">_xlfn.XLOOKUP(1,('2013 E Maize Soil VWC'!$C$2:$C$4000=$AA23)*('2013 E Maize Soil VWC'!$E$2:$E$4000=$AB23)*('2013 E Maize Soil VWC'!$F$2:$F$4000=AI$5),'2013 E Maize Soil VWC'!$G$2:$G$4000)</f>
        <v>#N/A</v>
      </c>
      <c r="AJ23" s="4" t="e" cm="1">
        <f t="array" ref="AJ23">_xlfn.XLOOKUP(1,('2013 E Maize Soil VWC'!$C$2:$C$4000=$AA23)*('2013 E Maize Soil VWC'!$E$2:$E$4000=$AB23)*('2013 E Maize Soil VWC'!$F$2:$F$4000=AJ$5),'2013 E Maize Soil VWC'!$G$2:$G$4000)</f>
        <v>#N/A</v>
      </c>
      <c r="AK23" s="4" t="e" cm="1">
        <f t="array" ref="AK23">_xlfn.XLOOKUP(1,('2013 E Maize Soil VWC'!$C$2:$C$4000=$AA23)*('2013 E Maize Soil VWC'!$E$2:$E$4000=$AB23)*('2013 E Maize Soil VWC'!$F$2:$F$4000=AK$5),'2013 E Maize Soil VWC'!$G$2:$G$4000)</f>
        <v>#N/A</v>
      </c>
      <c r="AL23" s="4" t="e" cm="1">
        <f t="array" ref="AL23">_xlfn.XLOOKUP(1,('2013 E Maize Soil VWC'!$C$2:$C$4000=$AA23)*('2013 E Maize Soil VWC'!$E$2:$E$4000=$AB23)*('2013 E Maize Soil VWC'!$F$2:$F$4000=AL$5),'2013 E Maize Soil VWC'!$G$2:$G$4000)</f>
        <v>#N/A</v>
      </c>
      <c r="AM23" s="4" t="e" cm="1">
        <f t="array" ref="AM23">_xlfn.XLOOKUP(1,('2013 E Maize Soil VWC'!$C$2:$C$4000=$AA23)*('2013 E Maize Soil VWC'!$E$2:$E$4000=$AB23)*('2013 E Maize Soil VWC'!$F$2:$F$4000=AM$5),'2013 E Maize Soil VWC'!$G$2:$G$4000)</f>
        <v>#N/A</v>
      </c>
      <c r="AN23" s="4" t="e" cm="1">
        <f t="array" ref="AN23">_xlfn.XLOOKUP(1,('2013 E Maize Soil VWC'!$C$2:$C$4000=$AA23)*('2013 E Maize Soil VWC'!$E$2:$E$4000=$AB23)*('2013 E Maize Soil VWC'!$F$2:$F$4000=AN$5),'2013 E Maize Soil VWC'!$G$2:$G$4000)</f>
        <v>#N/A</v>
      </c>
      <c r="AO23" s="4" t="e" cm="1">
        <f t="array" ref="AO23">_xlfn.XLOOKUP(1,('2013 E Maize Soil VWC'!$C$2:$C$4000=$AA23)*('2013 E Maize Soil VWC'!$E$2:$E$4000=$AB23)*('2013 E Maize Soil VWC'!$F$2:$F$4000=AO$5),'2013 E Maize Soil VWC'!$G$2:$G$4000)</f>
        <v>#N/A</v>
      </c>
      <c r="AP23" s="4" t="e" cm="1">
        <f t="array" ref="AP23">_xlfn.XLOOKUP(1,('2013 E Maize Soil VWC'!$C$2:$C$4000=$AA23)*('2013 E Maize Soil VWC'!$E$2:$E$4000=$AB23)*('2013 E Maize Soil VWC'!$F$2:$F$4000=AP$5),'2013 E Maize Soil VWC'!$G$2:$G$4000)</f>
        <v>#N/A</v>
      </c>
      <c r="AQ23" s="4" cm="1">
        <f t="array" ref="AQ23">_xlfn.XLOOKUP(1,('2013 E Maize Soil VWC'!$C$2:$C$4000=$AA23)*('2013 E Maize Soil VWC'!$E$2:$E$4000=$AB23)*('2013 E Maize Soil VWC'!$F$2:$F$4000=AQ$5),'2013 E Maize Soil VWC'!$G$2:$G$4000)</f>
        <v>0.35299237513873477</v>
      </c>
      <c r="AR23" s="4" cm="1">
        <f t="array" ref="AR23">_xlfn.XLOOKUP(1,('2013 E Maize Soil VWC'!$C$2:$C$4000=$AA23)*('2013 E Maize Soil VWC'!$E$2:$E$4000=$AB23)*('2013 E Maize Soil VWC'!$F$2:$F$4000=AR$5),'2013 E Maize Soil VWC'!$G$2:$G$4000)</f>
        <v>0.34378777045706793</v>
      </c>
      <c r="AS23" s="4" t="e" cm="1">
        <f t="array" ref="AS23">_xlfn.XLOOKUP(1,('2013 E Maize Soil VWC'!$C$2:$C$4000=$AA23)*('2013 E Maize Soil VWC'!$E$2:$E$4000=$AB23)*('2013 E Maize Soil VWC'!$F$2:$F$4000=AS$5),'2013 E Maize Soil VWC'!$G$2:$G$4000)</f>
        <v>#N/A</v>
      </c>
      <c r="AT23" s="4" t="e" cm="1">
        <f t="array" ref="AT23">_xlfn.XLOOKUP(1,('2013 E Maize Soil VWC'!$C$2:$C$4000=$AA23)*('2013 E Maize Soil VWC'!$E$2:$E$4000=$AB23)*('2013 E Maize Soil VWC'!$F$2:$F$4000=AT$5),'2013 E Maize Soil VWC'!$G$2:$G$4000)</f>
        <v>#N/A</v>
      </c>
      <c r="AU23" s="4" t="e" cm="1">
        <f t="array" ref="AU23">_xlfn.XLOOKUP(1,('2013 E Maize Soil VWC'!$C$2:$C$4000=$AA23)*('2013 E Maize Soil VWC'!$E$2:$E$4000=$AB23)*('2013 E Maize Soil VWC'!$F$2:$F$4000=AU$5),'2013 E Maize Soil VWC'!$G$2:$G$4000)</f>
        <v>#N/A</v>
      </c>
      <c r="AV23" s="4" t="e" cm="1">
        <f t="array" ref="AV23">_xlfn.XLOOKUP(1,('2013 E Maize Soil VWC'!$C$2:$C$4000=$AA23)*('2013 E Maize Soil VWC'!$E$2:$E$4000=$AB23)*('2013 E Maize Soil VWC'!$F$2:$F$4000=AV$5),'2013 E Maize Soil VWC'!$G$2:$G$4000)</f>
        <v>#N/A</v>
      </c>
    </row>
    <row r="24" spans="25:80" x14ac:dyDescent="0.25">
      <c r="AA24" s="15">
        <f t="shared" si="3"/>
        <v>41431</v>
      </c>
      <c r="AB24" s="4">
        <f t="shared" si="4"/>
        <v>110</v>
      </c>
      <c r="AC24" s="4" t="e" cm="1">
        <f t="array" ref="AC24">_xlfn.XLOOKUP(1,('2013 E Maize Soil VWC'!$C$2:$C$4000=$AA24)*('2013 E Maize Soil VWC'!$E$2:$E$4000=$AB24)*('2013 E Maize Soil VWC'!$F$2:$F$4000=AC$5),'2013 E Maize Soil VWC'!$G$2:$G$4000)</f>
        <v>#N/A</v>
      </c>
      <c r="AD24" s="4" t="e" cm="1">
        <f t="array" ref="AD24">_xlfn.XLOOKUP(1,('2013 E Maize Soil VWC'!$C$2:$C$4000=$AA24)*('2013 E Maize Soil VWC'!$E$2:$E$4000=$AB24)*('2013 E Maize Soil VWC'!$F$2:$F$4000=AD$5),'2013 E Maize Soil VWC'!$G$2:$G$4000)</f>
        <v>#N/A</v>
      </c>
      <c r="AE24" s="4" t="e" cm="1">
        <f t="array" ref="AE24">_xlfn.XLOOKUP(1,('2013 E Maize Soil VWC'!$C$2:$C$4000=$AA24)*('2013 E Maize Soil VWC'!$E$2:$E$4000=$AB24)*('2013 E Maize Soil VWC'!$F$2:$F$4000=AE$5),'2013 E Maize Soil VWC'!$G$2:$G$4000)</f>
        <v>#N/A</v>
      </c>
      <c r="AF24" s="4" t="e" cm="1">
        <f t="array" ref="AF24">_xlfn.XLOOKUP(1,('2013 E Maize Soil VWC'!$C$2:$C$4000=$AA24)*('2013 E Maize Soil VWC'!$E$2:$E$4000=$AB24)*('2013 E Maize Soil VWC'!$F$2:$F$4000=AF$5),'2013 E Maize Soil VWC'!$G$2:$G$4000)</f>
        <v>#N/A</v>
      </c>
      <c r="AG24" s="4" cm="1">
        <f t="array" ref="AG24">_xlfn.XLOOKUP(1,('2013 E Maize Soil VWC'!$C$2:$C$4000=$AA24)*('2013 E Maize Soil VWC'!$E$2:$E$4000=$AB24)*('2013 E Maize Soil VWC'!$F$2:$F$4000=AG$5),'2013 E Maize Soil VWC'!$G$2:$G$4000)</f>
        <v>0.36031699424881447</v>
      </c>
      <c r="AH24" s="4" cm="1">
        <f t="array" ref="AH24">_xlfn.XLOOKUP(1,('2013 E Maize Soil VWC'!$C$2:$C$4000=$AA24)*('2013 E Maize Soil VWC'!$E$2:$E$4000=$AB24)*('2013 E Maize Soil VWC'!$F$2:$F$4000=AH$5),'2013 E Maize Soil VWC'!$G$2:$G$4000)</f>
        <v>0.34808488033498136</v>
      </c>
      <c r="AI24" s="4" t="e" cm="1">
        <f t="array" ref="AI24">_xlfn.XLOOKUP(1,('2013 E Maize Soil VWC'!$C$2:$C$4000=$AA24)*('2013 E Maize Soil VWC'!$E$2:$E$4000=$AB24)*('2013 E Maize Soil VWC'!$F$2:$F$4000=AI$5),'2013 E Maize Soil VWC'!$G$2:$G$4000)</f>
        <v>#N/A</v>
      </c>
      <c r="AJ24" s="4" t="e" cm="1">
        <f t="array" ref="AJ24">_xlfn.XLOOKUP(1,('2013 E Maize Soil VWC'!$C$2:$C$4000=$AA24)*('2013 E Maize Soil VWC'!$E$2:$E$4000=$AB24)*('2013 E Maize Soil VWC'!$F$2:$F$4000=AJ$5),'2013 E Maize Soil VWC'!$G$2:$G$4000)</f>
        <v>#N/A</v>
      </c>
      <c r="AK24" s="4" t="e" cm="1">
        <f t="array" ref="AK24">_xlfn.XLOOKUP(1,('2013 E Maize Soil VWC'!$C$2:$C$4000=$AA24)*('2013 E Maize Soil VWC'!$E$2:$E$4000=$AB24)*('2013 E Maize Soil VWC'!$F$2:$F$4000=AK$5),'2013 E Maize Soil VWC'!$G$2:$G$4000)</f>
        <v>#N/A</v>
      </c>
      <c r="AL24" s="4" t="e" cm="1">
        <f t="array" ref="AL24">_xlfn.XLOOKUP(1,('2013 E Maize Soil VWC'!$C$2:$C$4000=$AA24)*('2013 E Maize Soil VWC'!$E$2:$E$4000=$AB24)*('2013 E Maize Soil VWC'!$F$2:$F$4000=AL$5),'2013 E Maize Soil VWC'!$G$2:$G$4000)</f>
        <v>#N/A</v>
      </c>
      <c r="AM24" s="4" t="e" cm="1">
        <f t="array" ref="AM24">_xlfn.XLOOKUP(1,('2013 E Maize Soil VWC'!$C$2:$C$4000=$AA24)*('2013 E Maize Soil VWC'!$E$2:$E$4000=$AB24)*('2013 E Maize Soil VWC'!$F$2:$F$4000=AM$5),'2013 E Maize Soil VWC'!$G$2:$G$4000)</f>
        <v>#N/A</v>
      </c>
      <c r="AN24" s="4" t="e" cm="1">
        <f t="array" ref="AN24">_xlfn.XLOOKUP(1,('2013 E Maize Soil VWC'!$C$2:$C$4000=$AA24)*('2013 E Maize Soil VWC'!$E$2:$E$4000=$AB24)*('2013 E Maize Soil VWC'!$F$2:$F$4000=AN$5),'2013 E Maize Soil VWC'!$G$2:$G$4000)</f>
        <v>#N/A</v>
      </c>
      <c r="AO24" s="4" t="e" cm="1">
        <f t="array" ref="AO24">_xlfn.XLOOKUP(1,('2013 E Maize Soil VWC'!$C$2:$C$4000=$AA24)*('2013 E Maize Soil VWC'!$E$2:$E$4000=$AB24)*('2013 E Maize Soil VWC'!$F$2:$F$4000=AO$5),'2013 E Maize Soil VWC'!$G$2:$G$4000)</f>
        <v>#N/A</v>
      </c>
      <c r="AP24" s="4" t="e" cm="1">
        <f t="array" ref="AP24">_xlfn.XLOOKUP(1,('2013 E Maize Soil VWC'!$C$2:$C$4000=$AA24)*('2013 E Maize Soil VWC'!$E$2:$E$4000=$AB24)*('2013 E Maize Soil VWC'!$F$2:$F$4000=AP$5),'2013 E Maize Soil VWC'!$G$2:$G$4000)</f>
        <v>#N/A</v>
      </c>
      <c r="AQ24" s="4" cm="1">
        <f t="array" ref="AQ24">_xlfn.XLOOKUP(1,('2013 E Maize Soil VWC'!$C$2:$C$4000=$AA24)*('2013 E Maize Soil VWC'!$E$2:$E$4000=$AB24)*('2013 E Maize Soil VWC'!$F$2:$F$4000=AQ$5),'2013 E Maize Soil VWC'!$G$2:$G$4000)</f>
        <v>0.35096589718494597</v>
      </c>
      <c r="AR24" s="4" cm="1">
        <f t="array" ref="AR24">_xlfn.XLOOKUP(1,('2013 E Maize Soil VWC'!$C$2:$C$4000=$AA24)*('2013 E Maize Soil VWC'!$E$2:$E$4000=$AB24)*('2013 E Maize Soil VWC'!$F$2:$F$4000=AR$5),'2013 E Maize Soil VWC'!$G$2:$G$4000)</f>
        <v>0.34408075522147114</v>
      </c>
      <c r="AS24" s="4" t="e" cm="1">
        <f t="array" ref="AS24">_xlfn.XLOOKUP(1,('2013 E Maize Soil VWC'!$C$2:$C$4000=$AA24)*('2013 E Maize Soil VWC'!$E$2:$E$4000=$AB24)*('2013 E Maize Soil VWC'!$F$2:$F$4000=AS$5),'2013 E Maize Soil VWC'!$G$2:$G$4000)</f>
        <v>#N/A</v>
      </c>
      <c r="AT24" s="4" t="e" cm="1">
        <f t="array" ref="AT24">_xlfn.XLOOKUP(1,('2013 E Maize Soil VWC'!$C$2:$C$4000=$AA24)*('2013 E Maize Soil VWC'!$E$2:$E$4000=$AB24)*('2013 E Maize Soil VWC'!$F$2:$F$4000=AT$5),'2013 E Maize Soil VWC'!$G$2:$G$4000)</f>
        <v>#N/A</v>
      </c>
      <c r="AU24" s="4" t="e" cm="1">
        <f t="array" ref="AU24">_xlfn.XLOOKUP(1,('2013 E Maize Soil VWC'!$C$2:$C$4000=$AA24)*('2013 E Maize Soil VWC'!$E$2:$E$4000=$AB24)*('2013 E Maize Soil VWC'!$F$2:$F$4000=AU$5),'2013 E Maize Soil VWC'!$G$2:$G$4000)</f>
        <v>#N/A</v>
      </c>
      <c r="AV24" s="4" t="e" cm="1">
        <f t="array" ref="AV24">_xlfn.XLOOKUP(1,('2013 E Maize Soil VWC'!$C$2:$C$4000=$AA24)*('2013 E Maize Soil VWC'!$E$2:$E$4000=$AB24)*('2013 E Maize Soil VWC'!$F$2:$F$4000=AV$5),'2013 E Maize Soil VWC'!$G$2:$G$4000)</f>
        <v>#N/A</v>
      </c>
    </row>
    <row r="25" spans="25:80" x14ac:dyDescent="0.25">
      <c r="AA25" s="15">
        <f t="shared" si="3"/>
        <v>41431</v>
      </c>
      <c r="AB25" s="4">
        <f t="shared" si="4"/>
        <v>130</v>
      </c>
      <c r="AC25" s="4" t="e" cm="1">
        <f t="array" ref="AC25">_xlfn.XLOOKUP(1,('2013 E Maize Soil VWC'!$C$2:$C$4000=$AA25)*('2013 E Maize Soil VWC'!$E$2:$E$4000=$AB25)*('2013 E Maize Soil VWC'!$F$2:$F$4000=AC$5),'2013 E Maize Soil VWC'!$G$2:$G$4000)</f>
        <v>#N/A</v>
      </c>
      <c r="AD25" s="4" t="e" cm="1">
        <f t="array" ref="AD25">_xlfn.XLOOKUP(1,('2013 E Maize Soil VWC'!$C$2:$C$4000=$AA25)*('2013 E Maize Soil VWC'!$E$2:$E$4000=$AB25)*('2013 E Maize Soil VWC'!$F$2:$F$4000=AD$5),'2013 E Maize Soil VWC'!$G$2:$G$4000)</f>
        <v>#N/A</v>
      </c>
      <c r="AE25" s="4" t="e" cm="1">
        <f t="array" ref="AE25">_xlfn.XLOOKUP(1,('2013 E Maize Soil VWC'!$C$2:$C$4000=$AA25)*('2013 E Maize Soil VWC'!$E$2:$E$4000=$AB25)*('2013 E Maize Soil VWC'!$F$2:$F$4000=AE$5),'2013 E Maize Soil VWC'!$G$2:$G$4000)</f>
        <v>#N/A</v>
      </c>
      <c r="AF25" s="4" t="e" cm="1">
        <f t="array" ref="AF25">_xlfn.XLOOKUP(1,('2013 E Maize Soil VWC'!$C$2:$C$4000=$AA25)*('2013 E Maize Soil VWC'!$E$2:$E$4000=$AB25)*('2013 E Maize Soil VWC'!$F$2:$F$4000=AF$5),'2013 E Maize Soil VWC'!$G$2:$G$4000)</f>
        <v>#N/A</v>
      </c>
      <c r="AG25" s="4" cm="1">
        <f t="array" ref="AG25">_xlfn.XLOOKUP(1,('2013 E Maize Soil VWC'!$C$2:$C$4000=$AA25)*('2013 E Maize Soil VWC'!$E$2:$E$4000=$AB25)*('2013 E Maize Soil VWC'!$F$2:$F$4000=AG$5),'2013 E Maize Soil VWC'!$G$2:$G$4000)</f>
        <v>0.3314810568055695</v>
      </c>
      <c r="AH25" s="4" cm="1">
        <f t="array" ref="AH25">_xlfn.XLOOKUP(1,('2013 E Maize Soil VWC'!$C$2:$C$4000=$AA25)*('2013 E Maize Soil VWC'!$E$2:$E$4000=$AB25)*('2013 E Maize Soil VWC'!$F$2:$F$4000=AH$5),'2013 E Maize Soil VWC'!$G$2:$G$4000)</f>
        <v>0.31968375663404303</v>
      </c>
      <c r="AI25" s="4" t="e" cm="1">
        <f t="array" ref="AI25">_xlfn.XLOOKUP(1,('2013 E Maize Soil VWC'!$C$2:$C$4000=$AA25)*('2013 E Maize Soil VWC'!$E$2:$E$4000=$AB25)*('2013 E Maize Soil VWC'!$F$2:$F$4000=AI$5),'2013 E Maize Soil VWC'!$G$2:$G$4000)</f>
        <v>#N/A</v>
      </c>
      <c r="AJ25" s="4" t="e" cm="1">
        <f t="array" ref="AJ25">_xlfn.XLOOKUP(1,('2013 E Maize Soil VWC'!$C$2:$C$4000=$AA25)*('2013 E Maize Soil VWC'!$E$2:$E$4000=$AB25)*('2013 E Maize Soil VWC'!$F$2:$F$4000=AJ$5),'2013 E Maize Soil VWC'!$G$2:$G$4000)</f>
        <v>#N/A</v>
      </c>
      <c r="AK25" s="4" t="e" cm="1">
        <f t="array" ref="AK25">_xlfn.XLOOKUP(1,('2013 E Maize Soil VWC'!$C$2:$C$4000=$AA25)*('2013 E Maize Soil VWC'!$E$2:$E$4000=$AB25)*('2013 E Maize Soil VWC'!$F$2:$F$4000=AK$5),'2013 E Maize Soil VWC'!$G$2:$G$4000)</f>
        <v>#N/A</v>
      </c>
      <c r="AL25" s="4" t="e" cm="1">
        <f t="array" ref="AL25">_xlfn.XLOOKUP(1,('2013 E Maize Soil VWC'!$C$2:$C$4000=$AA25)*('2013 E Maize Soil VWC'!$E$2:$E$4000=$AB25)*('2013 E Maize Soil VWC'!$F$2:$F$4000=AL$5),'2013 E Maize Soil VWC'!$G$2:$G$4000)</f>
        <v>#N/A</v>
      </c>
      <c r="AM25" s="4" t="e" cm="1">
        <f t="array" ref="AM25">_xlfn.XLOOKUP(1,('2013 E Maize Soil VWC'!$C$2:$C$4000=$AA25)*('2013 E Maize Soil VWC'!$E$2:$E$4000=$AB25)*('2013 E Maize Soil VWC'!$F$2:$F$4000=AM$5),'2013 E Maize Soil VWC'!$G$2:$G$4000)</f>
        <v>#N/A</v>
      </c>
      <c r="AN25" s="4" t="e" cm="1">
        <f t="array" ref="AN25">_xlfn.XLOOKUP(1,('2013 E Maize Soil VWC'!$C$2:$C$4000=$AA25)*('2013 E Maize Soil VWC'!$E$2:$E$4000=$AB25)*('2013 E Maize Soil VWC'!$F$2:$F$4000=AN$5),'2013 E Maize Soil VWC'!$G$2:$G$4000)</f>
        <v>#N/A</v>
      </c>
      <c r="AO25" s="4" t="e" cm="1">
        <f t="array" ref="AO25">_xlfn.XLOOKUP(1,('2013 E Maize Soil VWC'!$C$2:$C$4000=$AA25)*('2013 E Maize Soil VWC'!$E$2:$E$4000=$AB25)*('2013 E Maize Soil VWC'!$F$2:$F$4000=AO$5),'2013 E Maize Soil VWC'!$G$2:$G$4000)</f>
        <v>#N/A</v>
      </c>
      <c r="AP25" s="4" t="e" cm="1">
        <f t="array" ref="AP25">_xlfn.XLOOKUP(1,('2013 E Maize Soil VWC'!$C$2:$C$4000=$AA25)*('2013 E Maize Soil VWC'!$E$2:$E$4000=$AB25)*('2013 E Maize Soil VWC'!$F$2:$F$4000=AP$5),'2013 E Maize Soil VWC'!$G$2:$G$4000)</f>
        <v>#N/A</v>
      </c>
      <c r="AQ25" s="4" cm="1">
        <f t="array" ref="AQ25">_xlfn.XLOOKUP(1,('2013 E Maize Soil VWC'!$C$2:$C$4000=$AA25)*('2013 E Maize Soil VWC'!$E$2:$E$4000=$AB25)*('2013 E Maize Soil VWC'!$F$2:$F$4000=AQ$5),'2013 E Maize Soil VWC'!$G$2:$G$4000)</f>
        <v>0.31860199727575422</v>
      </c>
      <c r="AR25" s="4" cm="1">
        <f t="array" ref="AR25">_xlfn.XLOOKUP(1,('2013 E Maize Soil VWC'!$C$2:$C$4000=$AA25)*('2013 E Maize Soil VWC'!$E$2:$E$4000=$AB25)*('2013 E Maize Soil VWC'!$F$2:$F$4000=AR$5),'2013 E Maize Soil VWC'!$G$2:$G$4000)</f>
        <v>0.31449947593582883</v>
      </c>
      <c r="AS25" s="4" t="e" cm="1">
        <f t="array" ref="AS25">_xlfn.XLOOKUP(1,('2013 E Maize Soil VWC'!$C$2:$C$4000=$AA25)*('2013 E Maize Soil VWC'!$E$2:$E$4000=$AB25)*('2013 E Maize Soil VWC'!$F$2:$F$4000=AS$5),'2013 E Maize Soil VWC'!$G$2:$G$4000)</f>
        <v>#N/A</v>
      </c>
      <c r="AT25" s="4" t="e" cm="1">
        <f t="array" ref="AT25">_xlfn.XLOOKUP(1,('2013 E Maize Soil VWC'!$C$2:$C$4000=$AA25)*('2013 E Maize Soil VWC'!$E$2:$E$4000=$AB25)*('2013 E Maize Soil VWC'!$F$2:$F$4000=AT$5),'2013 E Maize Soil VWC'!$G$2:$G$4000)</f>
        <v>#N/A</v>
      </c>
      <c r="AU25" s="4" t="e" cm="1">
        <f t="array" ref="AU25">_xlfn.XLOOKUP(1,('2013 E Maize Soil VWC'!$C$2:$C$4000=$AA25)*('2013 E Maize Soil VWC'!$E$2:$E$4000=$AB25)*('2013 E Maize Soil VWC'!$F$2:$F$4000=AU$5),'2013 E Maize Soil VWC'!$G$2:$G$4000)</f>
        <v>#N/A</v>
      </c>
      <c r="AV25" s="4" t="e" cm="1">
        <f t="array" ref="AV25">_xlfn.XLOOKUP(1,('2013 E Maize Soil VWC'!$C$2:$C$4000=$AA25)*('2013 E Maize Soil VWC'!$E$2:$E$4000=$AB25)*('2013 E Maize Soil VWC'!$F$2:$F$4000=AV$5),'2013 E Maize Soil VWC'!$G$2:$G$4000)</f>
        <v>#N/A</v>
      </c>
    </row>
    <row r="26" spans="25:80" x14ac:dyDescent="0.25">
      <c r="AA26" s="15">
        <f t="shared" si="3"/>
        <v>41431</v>
      </c>
      <c r="AB26" s="4">
        <f t="shared" si="4"/>
        <v>150</v>
      </c>
      <c r="AC26" s="4" t="e" cm="1">
        <f t="array" ref="AC26">_xlfn.XLOOKUP(1,('2013 E Maize Soil VWC'!$C$2:$C$4000=$AA26)*('2013 E Maize Soil VWC'!$E$2:$E$4000=$AB26)*('2013 E Maize Soil VWC'!$F$2:$F$4000=AC$5),'2013 E Maize Soil VWC'!$G$2:$G$4000)</f>
        <v>#N/A</v>
      </c>
      <c r="AD26" s="4" t="e" cm="1">
        <f t="array" ref="AD26">_xlfn.XLOOKUP(1,('2013 E Maize Soil VWC'!$C$2:$C$4000=$AA26)*('2013 E Maize Soil VWC'!$E$2:$E$4000=$AB26)*('2013 E Maize Soil VWC'!$F$2:$F$4000=AD$5),'2013 E Maize Soil VWC'!$G$2:$G$4000)</f>
        <v>#N/A</v>
      </c>
      <c r="AE26" s="4" t="e" cm="1">
        <f t="array" ref="AE26">_xlfn.XLOOKUP(1,('2013 E Maize Soil VWC'!$C$2:$C$4000=$AA26)*('2013 E Maize Soil VWC'!$E$2:$E$4000=$AB26)*('2013 E Maize Soil VWC'!$F$2:$F$4000=AE$5),'2013 E Maize Soil VWC'!$G$2:$G$4000)</f>
        <v>#N/A</v>
      </c>
      <c r="AF26" s="4" t="e" cm="1">
        <f t="array" ref="AF26">_xlfn.XLOOKUP(1,('2013 E Maize Soil VWC'!$C$2:$C$4000=$AA26)*('2013 E Maize Soil VWC'!$E$2:$E$4000=$AB26)*('2013 E Maize Soil VWC'!$F$2:$F$4000=AF$5),'2013 E Maize Soil VWC'!$G$2:$G$4000)</f>
        <v>#N/A</v>
      </c>
      <c r="AG26" s="4" cm="1">
        <f t="array" ref="AG26">_xlfn.XLOOKUP(1,('2013 E Maize Soil VWC'!$C$2:$C$4000=$AA26)*('2013 E Maize Soil VWC'!$E$2:$E$4000=$AB26)*('2013 E Maize Soil VWC'!$F$2:$F$4000=AG$5),'2013 E Maize Soil VWC'!$G$2:$G$4000)</f>
        <v>0.36301536262738376</v>
      </c>
      <c r="AH26" s="4" cm="1">
        <f t="array" ref="AH26">_xlfn.XLOOKUP(1,('2013 E Maize Soil VWC'!$C$2:$C$4000=$AA26)*('2013 E Maize Soil VWC'!$E$2:$E$4000=$AB26)*('2013 E Maize Soil VWC'!$F$2:$F$4000=AH$5),'2013 E Maize Soil VWC'!$G$2:$G$4000)</f>
        <v>0.35274885400060541</v>
      </c>
      <c r="AI26" s="4" t="e" cm="1">
        <f t="array" ref="AI26">_xlfn.XLOOKUP(1,('2013 E Maize Soil VWC'!$C$2:$C$4000=$AA26)*('2013 E Maize Soil VWC'!$E$2:$E$4000=$AB26)*('2013 E Maize Soil VWC'!$F$2:$F$4000=AI$5),'2013 E Maize Soil VWC'!$G$2:$G$4000)</f>
        <v>#N/A</v>
      </c>
      <c r="AJ26" s="4" t="e" cm="1">
        <f t="array" ref="AJ26">_xlfn.XLOOKUP(1,('2013 E Maize Soil VWC'!$C$2:$C$4000=$AA26)*('2013 E Maize Soil VWC'!$E$2:$E$4000=$AB26)*('2013 E Maize Soil VWC'!$F$2:$F$4000=AJ$5),'2013 E Maize Soil VWC'!$G$2:$G$4000)</f>
        <v>#N/A</v>
      </c>
      <c r="AK26" s="4" t="e" cm="1">
        <f t="array" ref="AK26">_xlfn.XLOOKUP(1,('2013 E Maize Soil VWC'!$C$2:$C$4000=$AA26)*('2013 E Maize Soil VWC'!$E$2:$E$4000=$AB26)*('2013 E Maize Soil VWC'!$F$2:$F$4000=AK$5),'2013 E Maize Soil VWC'!$G$2:$G$4000)</f>
        <v>#N/A</v>
      </c>
      <c r="AL26" s="4" t="e" cm="1">
        <f t="array" ref="AL26">_xlfn.XLOOKUP(1,('2013 E Maize Soil VWC'!$C$2:$C$4000=$AA26)*('2013 E Maize Soil VWC'!$E$2:$E$4000=$AB26)*('2013 E Maize Soil VWC'!$F$2:$F$4000=AL$5),'2013 E Maize Soil VWC'!$G$2:$G$4000)</f>
        <v>#N/A</v>
      </c>
      <c r="AM26" s="4" t="e" cm="1">
        <f t="array" ref="AM26">_xlfn.XLOOKUP(1,('2013 E Maize Soil VWC'!$C$2:$C$4000=$AA26)*('2013 E Maize Soil VWC'!$E$2:$E$4000=$AB26)*('2013 E Maize Soil VWC'!$F$2:$F$4000=AM$5),'2013 E Maize Soil VWC'!$G$2:$G$4000)</f>
        <v>#N/A</v>
      </c>
      <c r="AN26" s="4" t="e" cm="1">
        <f t="array" ref="AN26">_xlfn.XLOOKUP(1,('2013 E Maize Soil VWC'!$C$2:$C$4000=$AA26)*('2013 E Maize Soil VWC'!$E$2:$E$4000=$AB26)*('2013 E Maize Soil VWC'!$F$2:$F$4000=AN$5),'2013 E Maize Soil VWC'!$G$2:$G$4000)</f>
        <v>#N/A</v>
      </c>
      <c r="AO26" s="4" t="e" cm="1">
        <f t="array" ref="AO26">_xlfn.XLOOKUP(1,('2013 E Maize Soil VWC'!$C$2:$C$4000=$AA26)*('2013 E Maize Soil VWC'!$E$2:$E$4000=$AB26)*('2013 E Maize Soil VWC'!$F$2:$F$4000=AO$5),'2013 E Maize Soil VWC'!$G$2:$G$4000)</f>
        <v>#N/A</v>
      </c>
      <c r="AP26" s="4" t="e" cm="1">
        <f t="array" ref="AP26">_xlfn.XLOOKUP(1,('2013 E Maize Soil VWC'!$C$2:$C$4000=$AA26)*('2013 E Maize Soil VWC'!$E$2:$E$4000=$AB26)*('2013 E Maize Soil VWC'!$F$2:$F$4000=AP$5),'2013 E Maize Soil VWC'!$G$2:$G$4000)</f>
        <v>#N/A</v>
      </c>
      <c r="AQ26" s="4" cm="1">
        <f t="array" ref="AQ26">_xlfn.XLOOKUP(1,('2013 E Maize Soil VWC'!$C$2:$C$4000=$AA26)*('2013 E Maize Soil VWC'!$E$2:$E$4000=$AB26)*('2013 E Maize Soil VWC'!$F$2:$F$4000=AQ$5),'2013 E Maize Soil VWC'!$G$2:$G$4000)</f>
        <v>0.35264680123095549</v>
      </c>
      <c r="AR26" s="4" cm="1">
        <f t="array" ref="AR26">_xlfn.XLOOKUP(1,('2013 E Maize Soil VWC'!$C$2:$C$4000=$AA26)*('2013 E Maize Soil VWC'!$E$2:$E$4000=$AB26)*('2013 E Maize Soil VWC'!$F$2:$F$4000=AR$5),'2013 E Maize Soil VWC'!$G$2:$G$4000)</f>
        <v>0.33558357814549489</v>
      </c>
      <c r="AS26" s="4" t="e" cm="1">
        <f t="array" ref="AS26">_xlfn.XLOOKUP(1,('2013 E Maize Soil VWC'!$C$2:$C$4000=$AA26)*('2013 E Maize Soil VWC'!$E$2:$E$4000=$AB26)*('2013 E Maize Soil VWC'!$F$2:$F$4000=AS$5),'2013 E Maize Soil VWC'!$G$2:$G$4000)</f>
        <v>#N/A</v>
      </c>
      <c r="AT26" s="4" t="e" cm="1">
        <f t="array" ref="AT26">_xlfn.XLOOKUP(1,('2013 E Maize Soil VWC'!$C$2:$C$4000=$AA26)*('2013 E Maize Soil VWC'!$E$2:$E$4000=$AB26)*('2013 E Maize Soil VWC'!$F$2:$F$4000=AT$5),'2013 E Maize Soil VWC'!$G$2:$G$4000)</f>
        <v>#N/A</v>
      </c>
      <c r="AU26" s="4" t="e" cm="1">
        <f t="array" ref="AU26">_xlfn.XLOOKUP(1,('2013 E Maize Soil VWC'!$C$2:$C$4000=$AA26)*('2013 E Maize Soil VWC'!$E$2:$E$4000=$AB26)*('2013 E Maize Soil VWC'!$F$2:$F$4000=AU$5),'2013 E Maize Soil VWC'!$G$2:$G$4000)</f>
        <v>#N/A</v>
      </c>
      <c r="AV26" s="4" t="e" cm="1">
        <f t="array" ref="AV26">_xlfn.XLOOKUP(1,('2013 E Maize Soil VWC'!$C$2:$C$4000=$AA26)*('2013 E Maize Soil VWC'!$E$2:$E$4000=$AB26)*('2013 E Maize Soil VWC'!$F$2:$F$4000=AV$5),'2013 E Maize Soil VWC'!$G$2:$G$4000)</f>
        <v>#N/A</v>
      </c>
    </row>
    <row r="27" spans="25:80" x14ac:dyDescent="0.25">
      <c r="AA27" s="15">
        <f t="shared" si="3"/>
        <v>41431</v>
      </c>
      <c r="AB27" s="4">
        <f t="shared" si="4"/>
        <v>170</v>
      </c>
      <c r="AC27" s="4" t="e" cm="1">
        <f t="array" ref="AC27">_xlfn.XLOOKUP(1,('2013 E Maize Soil VWC'!$C$2:$C$4000=$AA27)*('2013 E Maize Soil VWC'!$E$2:$E$4000=$AB27)*('2013 E Maize Soil VWC'!$F$2:$F$4000=AC$5),'2013 E Maize Soil VWC'!$G$2:$G$4000)</f>
        <v>#N/A</v>
      </c>
      <c r="AD27" s="4" t="e" cm="1">
        <f t="array" ref="AD27">_xlfn.XLOOKUP(1,('2013 E Maize Soil VWC'!$C$2:$C$4000=$AA27)*('2013 E Maize Soil VWC'!$E$2:$E$4000=$AB27)*('2013 E Maize Soil VWC'!$F$2:$F$4000=AD$5),'2013 E Maize Soil VWC'!$G$2:$G$4000)</f>
        <v>#N/A</v>
      </c>
      <c r="AE27" s="4" t="e" cm="1">
        <f t="array" ref="AE27">_xlfn.XLOOKUP(1,('2013 E Maize Soil VWC'!$C$2:$C$4000=$AA27)*('2013 E Maize Soil VWC'!$E$2:$E$4000=$AB27)*('2013 E Maize Soil VWC'!$F$2:$F$4000=AE$5),'2013 E Maize Soil VWC'!$G$2:$G$4000)</f>
        <v>#N/A</v>
      </c>
      <c r="AF27" s="4" t="e" cm="1">
        <f t="array" ref="AF27">_xlfn.XLOOKUP(1,('2013 E Maize Soil VWC'!$C$2:$C$4000=$AA27)*('2013 E Maize Soil VWC'!$E$2:$E$4000=$AB27)*('2013 E Maize Soil VWC'!$F$2:$F$4000=AF$5),'2013 E Maize Soil VWC'!$G$2:$G$4000)</f>
        <v>#N/A</v>
      </c>
      <c r="AG27" s="4" cm="1">
        <f t="array" ref="AG27">_xlfn.XLOOKUP(1,('2013 E Maize Soil VWC'!$C$2:$C$4000=$AA27)*('2013 E Maize Soil VWC'!$E$2:$E$4000=$AB27)*('2013 E Maize Soil VWC'!$F$2:$F$4000=AG$5),'2013 E Maize Soil VWC'!$G$2:$G$4000)</f>
        <v>0.32480680567046716</v>
      </c>
      <c r="AH27" s="4" cm="1">
        <f t="array" ref="AH27">_xlfn.XLOOKUP(1,('2013 E Maize Soil VWC'!$C$2:$C$4000=$AA27)*('2013 E Maize Soil VWC'!$E$2:$E$4000=$AB27)*('2013 E Maize Soil VWC'!$F$2:$F$4000=AH$5),'2013 E Maize Soil VWC'!$G$2:$G$4000)</f>
        <v>0.32878686368681265</v>
      </c>
      <c r="AI27" s="4" t="e" cm="1">
        <f t="array" ref="AI27">_xlfn.XLOOKUP(1,('2013 E Maize Soil VWC'!$C$2:$C$4000=$AA27)*('2013 E Maize Soil VWC'!$E$2:$E$4000=$AB27)*('2013 E Maize Soil VWC'!$F$2:$F$4000=AI$5),'2013 E Maize Soil VWC'!$G$2:$G$4000)</f>
        <v>#N/A</v>
      </c>
      <c r="AJ27" s="4" t="e" cm="1">
        <f t="array" ref="AJ27">_xlfn.XLOOKUP(1,('2013 E Maize Soil VWC'!$C$2:$C$4000=$AA27)*('2013 E Maize Soil VWC'!$E$2:$E$4000=$AB27)*('2013 E Maize Soil VWC'!$F$2:$F$4000=AJ$5),'2013 E Maize Soil VWC'!$G$2:$G$4000)</f>
        <v>#N/A</v>
      </c>
      <c r="AK27" s="4" t="e" cm="1">
        <f t="array" ref="AK27">_xlfn.XLOOKUP(1,('2013 E Maize Soil VWC'!$C$2:$C$4000=$AA27)*('2013 E Maize Soil VWC'!$E$2:$E$4000=$AB27)*('2013 E Maize Soil VWC'!$F$2:$F$4000=AK$5),'2013 E Maize Soil VWC'!$G$2:$G$4000)</f>
        <v>#N/A</v>
      </c>
      <c r="AL27" s="4" t="e" cm="1">
        <f t="array" ref="AL27">_xlfn.XLOOKUP(1,('2013 E Maize Soil VWC'!$C$2:$C$4000=$AA27)*('2013 E Maize Soil VWC'!$E$2:$E$4000=$AB27)*('2013 E Maize Soil VWC'!$F$2:$F$4000=AL$5),'2013 E Maize Soil VWC'!$G$2:$G$4000)</f>
        <v>#N/A</v>
      </c>
      <c r="AM27" s="4" t="e" cm="1">
        <f t="array" ref="AM27">_xlfn.XLOOKUP(1,('2013 E Maize Soil VWC'!$C$2:$C$4000=$AA27)*('2013 E Maize Soil VWC'!$E$2:$E$4000=$AB27)*('2013 E Maize Soil VWC'!$F$2:$F$4000=AM$5),'2013 E Maize Soil VWC'!$G$2:$G$4000)</f>
        <v>#N/A</v>
      </c>
      <c r="AN27" s="4" t="e" cm="1">
        <f t="array" ref="AN27">_xlfn.XLOOKUP(1,('2013 E Maize Soil VWC'!$C$2:$C$4000=$AA27)*('2013 E Maize Soil VWC'!$E$2:$E$4000=$AB27)*('2013 E Maize Soil VWC'!$F$2:$F$4000=AN$5),'2013 E Maize Soil VWC'!$G$2:$G$4000)</f>
        <v>#N/A</v>
      </c>
      <c r="AO27" s="4" t="e" cm="1">
        <f t="array" ref="AO27">_xlfn.XLOOKUP(1,('2013 E Maize Soil VWC'!$C$2:$C$4000=$AA27)*('2013 E Maize Soil VWC'!$E$2:$E$4000=$AB27)*('2013 E Maize Soil VWC'!$F$2:$F$4000=AO$5),'2013 E Maize Soil VWC'!$G$2:$G$4000)</f>
        <v>#N/A</v>
      </c>
      <c r="AP27" s="4" t="e" cm="1">
        <f t="array" ref="AP27">_xlfn.XLOOKUP(1,('2013 E Maize Soil VWC'!$C$2:$C$4000=$AA27)*('2013 E Maize Soil VWC'!$E$2:$E$4000=$AB27)*('2013 E Maize Soil VWC'!$F$2:$F$4000=AP$5),'2013 E Maize Soil VWC'!$G$2:$G$4000)</f>
        <v>#N/A</v>
      </c>
      <c r="AQ27" s="4" cm="1">
        <f t="array" ref="AQ27">_xlfn.XLOOKUP(1,('2013 E Maize Soil VWC'!$C$2:$C$4000=$AA27)*('2013 E Maize Soil VWC'!$E$2:$E$4000=$AB27)*('2013 E Maize Soil VWC'!$F$2:$F$4000=AQ$5),'2013 E Maize Soil VWC'!$G$2:$G$4000)</f>
        <v>0.32941959085864192</v>
      </c>
      <c r="AR27" s="4" cm="1">
        <f t="array" ref="AR27">_xlfn.XLOOKUP(1,('2013 E Maize Soil VWC'!$C$2:$C$4000=$AA27)*('2013 E Maize Soil VWC'!$E$2:$E$4000=$AB27)*('2013 E Maize Soil VWC'!$F$2:$F$4000=AR$5),'2013 E Maize Soil VWC'!$G$2:$G$4000)</f>
        <v>0.32245959196851981</v>
      </c>
      <c r="AS27" s="4" t="e" cm="1">
        <f t="array" ref="AS27">_xlfn.XLOOKUP(1,('2013 E Maize Soil VWC'!$C$2:$C$4000=$AA27)*('2013 E Maize Soil VWC'!$E$2:$E$4000=$AB27)*('2013 E Maize Soil VWC'!$F$2:$F$4000=AS$5),'2013 E Maize Soil VWC'!$G$2:$G$4000)</f>
        <v>#N/A</v>
      </c>
      <c r="AT27" s="4" t="e" cm="1">
        <f t="array" ref="AT27">_xlfn.XLOOKUP(1,('2013 E Maize Soil VWC'!$C$2:$C$4000=$AA27)*('2013 E Maize Soil VWC'!$E$2:$E$4000=$AB27)*('2013 E Maize Soil VWC'!$F$2:$F$4000=AT$5),'2013 E Maize Soil VWC'!$G$2:$G$4000)</f>
        <v>#N/A</v>
      </c>
      <c r="AU27" s="4" t="e" cm="1">
        <f t="array" ref="AU27">_xlfn.XLOOKUP(1,('2013 E Maize Soil VWC'!$C$2:$C$4000=$AA27)*('2013 E Maize Soil VWC'!$E$2:$E$4000=$AB27)*('2013 E Maize Soil VWC'!$F$2:$F$4000=AU$5),'2013 E Maize Soil VWC'!$G$2:$G$4000)</f>
        <v>#N/A</v>
      </c>
      <c r="AV27" s="4" t="e" cm="1">
        <f t="array" ref="AV27">_xlfn.XLOOKUP(1,('2013 E Maize Soil VWC'!$C$2:$C$4000=$AA27)*('2013 E Maize Soil VWC'!$E$2:$E$4000=$AB27)*('2013 E Maize Soil VWC'!$F$2:$F$4000=AV$5),'2013 E Maize Soil VWC'!$G$2:$G$4000)</f>
        <v>#N/A</v>
      </c>
    </row>
    <row r="28" spans="25:80" x14ac:dyDescent="0.25">
      <c r="AA28" s="15">
        <f t="shared" si="3"/>
        <v>41431</v>
      </c>
      <c r="AB28" s="4">
        <f t="shared" si="4"/>
        <v>190</v>
      </c>
      <c r="AC28" s="4" t="e" cm="1">
        <f t="array" ref="AC28">_xlfn.XLOOKUP(1,('2013 E Maize Soil VWC'!$C$2:$C$4000=$AA28)*('2013 E Maize Soil VWC'!$E$2:$E$4000=$AB28)*('2013 E Maize Soil VWC'!$F$2:$F$4000=AC$5),'2013 E Maize Soil VWC'!$G$2:$G$4000)</f>
        <v>#N/A</v>
      </c>
      <c r="AD28" s="4" t="e" cm="1">
        <f t="array" ref="AD28">_xlfn.XLOOKUP(1,('2013 E Maize Soil VWC'!$C$2:$C$4000=$AA28)*('2013 E Maize Soil VWC'!$E$2:$E$4000=$AB28)*('2013 E Maize Soil VWC'!$F$2:$F$4000=AD$5),'2013 E Maize Soil VWC'!$G$2:$G$4000)</f>
        <v>#N/A</v>
      </c>
      <c r="AE28" s="4" t="e" cm="1">
        <f t="array" ref="AE28">_xlfn.XLOOKUP(1,('2013 E Maize Soil VWC'!$C$2:$C$4000=$AA28)*('2013 E Maize Soil VWC'!$E$2:$E$4000=$AB28)*('2013 E Maize Soil VWC'!$F$2:$F$4000=AE$5),'2013 E Maize Soil VWC'!$G$2:$G$4000)</f>
        <v>#N/A</v>
      </c>
      <c r="AF28" s="4" t="e" cm="1">
        <f t="array" ref="AF28">_xlfn.XLOOKUP(1,('2013 E Maize Soil VWC'!$C$2:$C$4000=$AA28)*('2013 E Maize Soil VWC'!$E$2:$E$4000=$AB28)*('2013 E Maize Soil VWC'!$F$2:$F$4000=AF$5),'2013 E Maize Soil VWC'!$G$2:$G$4000)</f>
        <v>#N/A</v>
      </c>
      <c r="AG28" s="4" cm="1">
        <f t="array" ref="AG28">_xlfn.XLOOKUP(1,('2013 E Maize Soil VWC'!$C$2:$C$4000=$AA28)*('2013 E Maize Soil VWC'!$E$2:$E$4000=$AB28)*('2013 E Maize Soil VWC'!$F$2:$F$4000=AG$5),'2013 E Maize Soil VWC'!$G$2:$G$4000)</f>
        <v>0.32646006053879528</v>
      </c>
      <c r="AH28" s="4" cm="1">
        <f t="array" ref="AH28">_xlfn.XLOOKUP(1,('2013 E Maize Soil VWC'!$C$2:$C$4000=$AA28)*('2013 E Maize Soil VWC'!$E$2:$E$4000=$AB28)*('2013 E Maize Soil VWC'!$F$2:$F$4000=AH$5),'2013 E Maize Soil VWC'!$G$2:$G$4000)</f>
        <v>0.33946158339219046</v>
      </c>
      <c r="AI28" s="4" t="e" cm="1">
        <f t="array" ref="AI28">_xlfn.XLOOKUP(1,('2013 E Maize Soil VWC'!$C$2:$C$4000=$AA28)*('2013 E Maize Soil VWC'!$E$2:$E$4000=$AB28)*('2013 E Maize Soil VWC'!$F$2:$F$4000=AI$5),'2013 E Maize Soil VWC'!$G$2:$G$4000)</f>
        <v>#N/A</v>
      </c>
      <c r="AJ28" s="4" t="e" cm="1">
        <f t="array" ref="AJ28">_xlfn.XLOOKUP(1,('2013 E Maize Soil VWC'!$C$2:$C$4000=$AA28)*('2013 E Maize Soil VWC'!$E$2:$E$4000=$AB28)*('2013 E Maize Soil VWC'!$F$2:$F$4000=AJ$5),'2013 E Maize Soil VWC'!$G$2:$G$4000)</f>
        <v>#N/A</v>
      </c>
      <c r="AK28" s="4" t="e" cm="1">
        <f t="array" ref="AK28">_xlfn.XLOOKUP(1,('2013 E Maize Soil VWC'!$C$2:$C$4000=$AA28)*('2013 E Maize Soil VWC'!$E$2:$E$4000=$AB28)*('2013 E Maize Soil VWC'!$F$2:$F$4000=AK$5),'2013 E Maize Soil VWC'!$G$2:$G$4000)</f>
        <v>#N/A</v>
      </c>
      <c r="AL28" s="4" t="e" cm="1">
        <f t="array" ref="AL28">_xlfn.XLOOKUP(1,('2013 E Maize Soil VWC'!$C$2:$C$4000=$AA28)*('2013 E Maize Soil VWC'!$E$2:$E$4000=$AB28)*('2013 E Maize Soil VWC'!$F$2:$F$4000=AL$5),'2013 E Maize Soil VWC'!$G$2:$G$4000)</f>
        <v>#N/A</v>
      </c>
      <c r="AM28" s="4" t="e" cm="1">
        <f t="array" ref="AM28">_xlfn.XLOOKUP(1,('2013 E Maize Soil VWC'!$C$2:$C$4000=$AA28)*('2013 E Maize Soil VWC'!$E$2:$E$4000=$AB28)*('2013 E Maize Soil VWC'!$F$2:$F$4000=AM$5),'2013 E Maize Soil VWC'!$G$2:$G$4000)</f>
        <v>#N/A</v>
      </c>
      <c r="AN28" s="4" t="e" cm="1">
        <f t="array" ref="AN28">_xlfn.XLOOKUP(1,('2013 E Maize Soil VWC'!$C$2:$C$4000=$AA28)*('2013 E Maize Soil VWC'!$E$2:$E$4000=$AB28)*('2013 E Maize Soil VWC'!$F$2:$F$4000=AN$5),'2013 E Maize Soil VWC'!$G$2:$G$4000)</f>
        <v>#N/A</v>
      </c>
      <c r="AO28" s="4" t="e" cm="1">
        <f t="array" ref="AO28">_xlfn.XLOOKUP(1,('2013 E Maize Soil VWC'!$C$2:$C$4000=$AA28)*('2013 E Maize Soil VWC'!$E$2:$E$4000=$AB28)*('2013 E Maize Soil VWC'!$F$2:$F$4000=AO$5),'2013 E Maize Soil VWC'!$G$2:$G$4000)</f>
        <v>#N/A</v>
      </c>
      <c r="AP28" s="4" t="e" cm="1">
        <f t="array" ref="AP28">_xlfn.XLOOKUP(1,('2013 E Maize Soil VWC'!$C$2:$C$4000=$AA28)*('2013 E Maize Soil VWC'!$E$2:$E$4000=$AB28)*('2013 E Maize Soil VWC'!$F$2:$F$4000=AP$5),'2013 E Maize Soil VWC'!$G$2:$G$4000)</f>
        <v>#N/A</v>
      </c>
      <c r="AQ28" s="4" cm="1">
        <f t="array" ref="AQ28">_xlfn.XLOOKUP(1,('2013 E Maize Soil VWC'!$C$2:$C$4000=$AA28)*('2013 E Maize Soil VWC'!$E$2:$E$4000=$AB28)*('2013 E Maize Soil VWC'!$F$2:$F$4000=AQ$5),'2013 E Maize Soil VWC'!$G$2:$G$4000)</f>
        <v>0.31703038462314592</v>
      </c>
      <c r="AR28" s="4" cm="1">
        <f t="array" ref="AR28">_xlfn.XLOOKUP(1,('2013 E Maize Soil VWC'!$C$2:$C$4000=$AA28)*('2013 E Maize Soil VWC'!$E$2:$E$4000=$AB28)*('2013 E Maize Soil VWC'!$F$2:$F$4000=AR$5),'2013 E Maize Soil VWC'!$G$2:$G$4000)</f>
        <v>0.31192774614065177</v>
      </c>
      <c r="AS28" s="4" t="e" cm="1">
        <f t="array" ref="AS28">_xlfn.XLOOKUP(1,('2013 E Maize Soil VWC'!$C$2:$C$4000=$AA28)*('2013 E Maize Soil VWC'!$E$2:$E$4000=$AB28)*('2013 E Maize Soil VWC'!$F$2:$F$4000=AS$5),'2013 E Maize Soil VWC'!$G$2:$G$4000)</f>
        <v>#N/A</v>
      </c>
      <c r="AT28" s="4" t="e" cm="1">
        <f t="array" ref="AT28">_xlfn.XLOOKUP(1,('2013 E Maize Soil VWC'!$C$2:$C$4000=$AA28)*('2013 E Maize Soil VWC'!$E$2:$E$4000=$AB28)*('2013 E Maize Soil VWC'!$F$2:$F$4000=AT$5),'2013 E Maize Soil VWC'!$G$2:$G$4000)</f>
        <v>#N/A</v>
      </c>
      <c r="AU28" s="4" t="e" cm="1">
        <f t="array" ref="AU28">_xlfn.XLOOKUP(1,('2013 E Maize Soil VWC'!$C$2:$C$4000=$AA28)*('2013 E Maize Soil VWC'!$E$2:$E$4000=$AB28)*('2013 E Maize Soil VWC'!$F$2:$F$4000=AU$5),'2013 E Maize Soil VWC'!$G$2:$G$4000)</f>
        <v>#N/A</v>
      </c>
      <c r="AV28" s="4" t="e" cm="1">
        <f t="array" ref="AV28">_xlfn.XLOOKUP(1,('2013 E Maize Soil VWC'!$C$2:$C$4000=$AA28)*('2013 E Maize Soil VWC'!$E$2:$E$4000=$AB28)*('2013 E Maize Soil VWC'!$F$2:$F$4000=AV$5),'2013 E Maize Soil VWC'!$G$2:$G$4000)</f>
        <v>#N/A</v>
      </c>
    </row>
    <row r="29" spans="25:80" x14ac:dyDescent="0.25">
      <c r="AA29" s="15">
        <f t="shared" si="3"/>
        <v>41431</v>
      </c>
      <c r="AB29" s="4">
        <f t="shared" si="4"/>
        <v>210</v>
      </c>
      <c r="AC29" s="4" t="e" cm="1">
        <f t="array" ref="AC29">_xlfn.XLOOKUP(1,('2013 E Maize Soil VWC'!$C$2:$C$4000=$AA29)*('2013 E Maize Soil VWC'!$E$2:$E$4000=$AB29)*('2013 E Maize Soil VWC'!$F$2:$F$4000=AC$5),'2013 E Maize Soil VWC'!$G$2:$G$4000)</f>
        <v>#N/A</v>
      </c>
      <c r="AD29" s="4" t="e" cm="1">
        <f t="array" ref="AD29">_xlfn.XLOOKUP(1,('2013 E Maize Soil VWC'!$C$2:$C$4000=$AA29)*('2013 E Maize Soil VWC'!$E$2:$E$4000=$AB29)*('2013 E Maize Soil VWC'!$F$2:$F$4000=AD$5),'2013 E Maize Soil VWC'!$G$2:$G$4000)</f>
        <v>#N/A</v>
      </c>
      <c r="AE29" s="4" t="e" cm="1">
        <f t="array" ref="AE29">_xlfn.XLOOKUP(1,('2013 E Maize Soil VWC'!$C$2:$C$4000=$AA29)*('2013 E Maize Soil VWC'!$E$2:$E$4000=$AB29)*('2013 E Maize Soil VWC'!$F$2:$F$4000=AE$5),'2013 E Maize Soil VWC'!$G$2:$G$4000)</f>
        <v>#N/A</v>
      </c>
      <c r="AF29" s="4" t="e" cm="1">
        <f t="array" ref="AF29">_xlfn.XLOOKUP(1,('2013 E Maize Soil VWC'!$C$2:$C$4000=$AA29)*('2013 E Maize Soil VWC'!$E$2:$E$4000=$AB29)*('2013 E Maize Soil VWC'!$F$2:$F$4000=AF$5),'2013 E Maize Soil VWC'!$G$2:$G$4000)</f>
        <v>#N/A</v>
      </c>
      <c r="AG29" s="4" t="e" cm="1">
        <f t="array" ref="AG29">_xlfn.XLOOKUP(1,('2013 E Maize Soil VWC'!$C$2:$C$4000=$AA29)*('2013 E Maize Soil VWC'!$E$2:$E$4000=$AB29)*('2013 E Maize Soil VWC'!$F$2:$F$4000=AG$5),'2013 E Maize Soil VWC'!$G$2:$G$4000)</f>
        <v>#N/A</v>
      </c>
      <c r="AH29" s="4" t="e" cm="1">
        <f t="array" ref="AH29">_xlfn.XLOOKUP(1,('2013 E Maize Soil VWC'!$C$2:$C$4000=$AA29)*('2013 E Maize Soil VWC'!$E$2:$E$4000=$AB29)*('2013 E Maize Soil VWC'!$F$2:$F$4000=AH$5),'2013 E Maize Soil VWC'!$G$2:$G$4000)</f>
        <v>#N/A</v>
      </c>
      <c r="AI29" s="4" t="e" cm="1">
        <f t="array" ref="AI29">_xlfn.XLOOKUP(1,('2013 E Maize Soil VWC'!$C$2:$C$4000=$AA29)*('2013 E Maize Soil VWC'!$E$2:$E$4000=$AB29)*('2013 E Maize Soil VWC'!$F$2:$F$4000=AI$5),'2013 E Maize Soil VWC'!$G$2:$G$4000)</f>
        <v>#N/A</v>
      </c>
      <c r="AJ29" s="4" t="e" cm="1">
        <f t="array" ref="AJ29">_xlfn.XLOOKUP(1,('2013 E Maize Soil VWC'!$C$2:$C$4000=$AA29)*('2013 E Maize Soil VWC'!$E$2:$E$4000=$AB29)*('2013 E Maize Soil VWC'!$F$2:$F$4000=AJ$5),'2013 E Maize Soil VWC'!$G$2:$G$4000)</f>
        <v>#N/A</v>
      </c>
      <c r="AK29" s="4" t="e" cm="1">
        <f t="array" ref="AK29">_xlfn.XLOOKUP(1,('2013 E Maize Soil VWC'!$C$2:$C$4000=$AA29)*('2013 E Maize Soil VWC'!$E$2:$E$4000=$AB29)*('2013 E Maize Soil VWC'!$F$2:$F$4000=AK$5),'2013 E Maize Soil VWC'!$G$2:$G$4000)</f>
        <v>#N/A</v>
      </c>
      <c r="AL29" s="4" t="e" cm="1">
        <f t="array" ref="AL29">_xlfn.XLOOKUP(1,('2013 E Maize Soil VWC'!$C$2:$C$4000=$AA29)*('2013 E Maize Soil VWC'!$E$2:$E$4000=$AB29)*('2013 E Maize Soil VWC'!$F$2:$F$4000=AL$5),'2013 E Maize Soil VWC'!$G$2:$G$4000)</f>
        <v>#N/A</v>
      </c>
      <c r="AM29" s="4" t="e" cm="1">
        <f t="array" ref="AM29">_xlfn.XLOOKUP(1,('2013 E Maize Soil VWC'!$C$2:$C$4000=$AA29)*('2013 E Maize Soil VWC'!$E$2:$E$4000=$AB29)*('2013 E Maize Soil VWC'!$F$2:$F$4000=AM$5),'2013 E Maize Soil VWC'!$G$2:$G$4000)</f>
        <v>#N/A</v>
      </c>
      <c r="AN29" s="4" t="e" cm="1">
        <f t="array" ref="AN29">_xlfn.XLOOKUP(1,('2013 E Maize Soil VWC'!$C$2:$C$4000=$AA29)*('2013 E Maize Soil VWC'!$E$2:$E$4000=$AB29)*('2013 E Maize Soil VWC'!$F$2:$F$4000=AN$5),'2013 E Maize Soil VWC'!$G$2:$G$4000)</f>
        <v>#N/A</v>
      </c>
      <c r="AO29" s="4" t="e" cm="1">
        <f t="array" ref="AO29">_xlfn.XLOOKUP(1,('2013 E Maize Soil VWC'!$C$2:$C$4000=$AA29)*('2013 E Maize Soil VWC'!$E$2:$E$4000=$AB29)*('2013 E Maize Soil VWC'!$F$2:$F$4000=AO$5),'2013 E Maize Soil VWC'!$G$2:$G$4000)</f>
        <v>#N/A</v>
      </c>
      <c r="AP29" s="4" t="e" cm="1">
        <f t="array" ref="AP29">_xlfn.XLOOKUP(1,('2013 E Maize Soil VWC'!$C$2:$C$4000=$AA29)*('2013 E Maize Soil VWC'!$E$2:$E$4000=$AB29)*('2013 E Maize Soil VWC'!$F$2:$F$4000=AP$5),'2013 E Maize Soil VWC'!$G$2:$G$4000)</f>
        <v>#N/A</v>
      </c>
      <c r="AQ29" s="4" t="e" cm="1">
        <f t="array" ref="AQ29">_xlfn.XLOOKUP(1,('2013 E Maize Soil VWC'!$C$2:$C$4000=$AA29)*('2013 E Maize Soil VWC'!$E$2:$E$4000=$AB29)*('2013 E Maize Soil VWC'!$F$2:$F$4000=AQ$5),'2013 E Maize Soil VWC'!$G$2:$G$4000)</f>
        <v>#N/A</v>
      </c>
      <c r="AR29" s="4" t="e" cm="1">
        <f t="array" ref="AR29">_xlfn.XLOOKUP(1,('2013 E Maize Soil VWC'!$C$2:$C$4000=$AA29)*('2013 E Maize Soil VWC'!$E$2:$E$4000=$AB29)*('2013 E Maize Soil VWC'!$F$2:$F$4000=AR$5),'2013 E Maize Soil VWC'!$G$2:$G$4000)</f>
        <v>#N/A</v>
      </c>
      <c r="AS29" s="4" t="e" cm="1">
        <f t="array" ref="AS29">_xlfn.XLOOKUP(1,('2013 E Maize Soil VWC'!$C$2:$C$4000=$AA29)*('2013 E Maize Soil VWC'!$E$2:$E$4000=$AB29)*('2013 E Maize Soil VWC'!$F$2:$F$4000=AS$5),'2013 E Maize Soil VWC'!$G$2:$G$4000)</f>
        <v>#N/A</v>
      </c>
      <c r="AT29" s="4" t="e" cm="1">
        <f t="array" ref="AT29">_xlfn.XLOOKUP(1,('2013 E Maize Soil VWC'!$C$2:$C$4000=$AA29)*('2013 E Maize Soil VWC'!$E$2:$E$4000=$AB29)*('2013 E Maize Soil VWC'!$F$2:$F$4000=AT$5),'2013 E Maize Soil VWC'!$G$2:$G$4000)</f>
        <v>#N/A</v>
      </c>
      <c r="AU29" s="4" t="e" cm="1">
        <f t="array" ref="AU29">_xlfn.XLOOKUP(1,('2013 E Maize Soil VWC'!$C$2:$C$4000=$AA29)*('2013 E Maize Soil VWC'!$E$2:$E$4000=$AB29)*('2013 E Maize Soil VWC'!$F$2:$F$4000=AU$5),'2013 E Maize Soil VWC'!$G$2:$G$4000)</f>
        <v>#N/A</v>
      </c>
      <c r="AV29" s="4" t="e" cm="1">
        <f t="array" ref="AV29">_xlfn.XLOOKUP(1,('2013 E Maize Soil VWC'!$C$2:$C$4000=$AA29)*('2013 E Maize Soil VWC'!$E$2:$E$4000=$AB29)*('2013 E Maize Soil VWC'!$F$2:$F$4000=AV$5),'2013 E Maize Soil VWC'!$G$2:$G$4000)</f>
        <v>#N/A</v>
      </c>
    </row>
    <row r="30" spans="25:80" x14ac:dyDescent="0.25">
      <c r="AA30" s="15">
        <f t="shared" si="3"/>
        <v>41431</v>
      </c>
      <c r="AB30" s="4">
        <f t="shared" si="4"/>
        <v>230</v>
      </c>
      <c r="AC30" s="4" t="e" cm="1">
        <f t="array" ref="AC30">_xlfn.XLOOKUP(1,('2013 E Maize Soil VWC'!$C$2:$C$4000=$AA30)*('2013 E Maize Soil VWC'!$E$2:$E$4000=$AB30)*('2013 E Maize Soil VWC'!$F$2:$F$4000=AC$5),'2013 E Maize Soil VWC'!$G$2:$G$4000)</f>
        <v>#N/A</v>
      </c>
      <c r="AD30" s="4" t="e" cm="1">
        <f t="array" ref="AD30">_xlfn.XLOOKUP(1,('2013 E Maize Soil VWC'!$C$2:$C$4000=$AA30)*('2013 E Maize Soil VWC'!$E$2:$E$4000=$AB30)*('2013 E Maize Soil VWC'!$F$2:$F$4000=AD$5),'2013 E Maize Soil VWC'!$G$2:$G$4000)</f>
        <v>#N/A</v>
      </c>
      <c r="AE30" s="4" t="e" cm="1">
        <f t="array" ref="AE30">_xlfn.XLOOKUP(1,('2013 E Maize Soil VWC'!$C$2:$C$4000=$AA30)*('2013 E Maize Soil VWC'!$E$2:$E$4000=$AB30)*('2013 E Maize Soil VWC'!$F$2:$F$4000=AE$5),'2013 E Maize Soil VWC'!$G$2:$G$4000)</f>
        <v>#N/A</v>
      </c>
      <c r="AF30" s="4" t="e" cm="1">
        <f t="array" ref="AF30">_xlfn.XLOOKUP(1,('2013 E Maize Soil VWC'!$C$2:$C$4000=$AA30)*('2013 E Maize Soil VWC'!$E$2:$E$4000=$AB30)*('2013 E Maize Soil VWC'!$F$2:$F$4000=AF$5),'2013 E Maize Soil VWC'!$G$2:$G$4000)</f>
        <v>#N/A</v>
      </c>
      <c r="AG30" s="4" t="e" cm="1">
        <f t="array" ref="AG30">_xlfn.XLOOKUP(1,('2013 E Maize Soil VWC'!$C$2:$C$4000=$AA30)*('2013 E Maize Soil VWC'!$E$2:$E$4000=$AB30)*('2013 E Maize Soil VWC'!$F$2:$F$4000=AG$5),'2013 E Maize Soil VWC'!$G$2:$G$4000)</f>
        <v>#N/A</v>
      </c>
      <c r="AH30" s="4" t="e" cm="1">
        <f t="array" ref="AH30">_xlfn.XLOOKUP(1,('2013 E Maize Soil VWC'!$C$2:$C$4000=$AA30)*('2013 E Maize Soil VWC'!$E$2:$E$4000=$AB30)*('2013 E Maize Soil VWC'!$F$2:$F$4000=AH$5),'2013 E Maize Soil VWC'!$G$2:$G$4000)</f>
        <v>#N/A</v>
      </c>
      <c r="AI30" s="4" t="e" cm="1">
        <f t="array" ref="AI30">_xlfn.XLOOKUP(1,('2013 E Maize Soil VWC'!$C$2:$C$4000=$AA30)*('2013 E Maize Soil VWC'!$E$2:$E$4000=$AB30)*('2013 E Maize Soil VWC'!$F$2:$F$4000=AI$5),'2013 E Maize Soil VWC'!$G$2:$G$4000)</f>
        <v>#N/A</v>
      </c>
      <c r="AJ30" s="4" t="e" cm="1">
        <f t="array" ref="AJ30">_xlfn.XLOOKUP(1,('2013 E Maize Soil VWC'!$C$2:$C$4000=$AA30)*('2013 E Maize Soil VWC'!$E$2:$E$4000=$AB30)*('2013 E Maize Soil VWC'!$F$2:$F$4000=AJ$5),'2013 E Maize Soil VWC'!$G$2:$G$4000)</f>
        <v>#N/A</v>
      </c>
      <c r="AK30" s="4" t="e" cm="1">
        <f t="array" ref="AK30">_xlfn.XLOOKUP(1,('2013 E Maize Soil VWC'!$C$2:$C$4000=$AA30)*('2013 E Maize Soil VWC'!$E$2:$E$4000=$AB30)*('2013 E Maize Soil VWC'!$F$2:$F$4000=AK$5),'2013 E Maize Soil VWC'!$G$2:$G$4000)</f>
        <v>#N/A</v>
      </c>
      <c r="AL30" s="4" t="e" cm="1">
        <f t="array" ref="AL30">_xlfn.XLOOKUP(1,('2013 E Maize Soil VWC'!$C$2:$C$4000=$AA30)*('2013 E Maize Soil VWC'!$E$2:$E$4000=$AB30)*('2013 E Maize Soil VWC'!$F$2:$F$4000=AL$5),'2013 E Maize Soil VWC'!$G$2:$G$4000)</f>
        <v>#N/A</v>
      </c>
      <c r="AM30" s="4" t="e" cm="1">
        <f t="array" ref="AM30">_xlfn.XLOOKUP(1,('2013 E Maize Soil VWC'!$C$2:$C$4000=$AA30)*('2013 E Maize Soil VWC'!$E$2:$E$4000=$AB30)*('2013 E Maize Soil VWC'!$F$2:$F$4000=AM$5),'2013 E Maize Soil VWC'!$G$2:$G$4000)</f>
        <v>#N/A</v>
      </c>
      <c r="AN30" s="4" t="e" cm="1">
        <f t="array" ref="AN30">_xlfn.XLOOKUP(1,('2013 E Maize Soil VWC'!$C$2:$C$4000=$AA30)*('2013 E Maize Soil VWC'!$E$2:$E$4000=$AB30)*('2013 E Maize Soil VWC'!$F$2:$F$4000=AN$5),'2013 E Maize Soil VWC'!$G$2:$G$4000)</f>
        <v>#N/A</v>
      </c>
      <c r="AO30" s="4" t="e" cm="1">
        <f t="array" ref="AO30">_xlfn.XLOOKUP(1,('2013 E Maize Soil VWC'!$C$2:$C$4000=$AA30)*('2013 E Maize Soil VWC'!$E$2:$E$4000=$AB30)*('2013 E Maize Soil VWC'!$F$2:$F$4000=AO$5),'2013 E Maize Soil VWC'!$G$2:$G$4000)</f>
        <v>#N/A</v>
      </c>
      <c r="AP30" s="4" t="e" cm="1">
        <f t="array" ref="AP30">_xlfn.XLOOKUP(1,('2013 E Maize Soil VWC'!$C$2:$C$4000=$AA30)*('2013 E Maize Soil VWC'!$E$2:$E$4000=$AB30)*('2013 E Maize Soil VWC'!$F$2:$F$4000=AP$5),'2013 E Maize Soil VWC'!$G$2:$G$4000)</f>
        <v>#N/A</v>
      </c>
      <c r="AQ30" s="4" t="e" cm="1">
        <f t="array" ref="AQ30">_xlfn.XLOOKUP(1,('2013 E Maize Soil VWC'!$C$2:$C$4000=$AA30)*('2013 E Maize Soil VWC'!$E$2:$E$4000=$AB30)*('2013 E Maize Soil VWC'!$F$2:$F$4000=AQ$5),'2013 E Maize Soil VWC'!$G$2:$G$4000)</f>
        <v>#N/A</v>
      </c>
      <c r="AR30" s="4" t="e" cm="1">
        <f t="array" ref="AR30">_xlfn.XLOOKUP(1,('2013 E Maize Soil VWC'!$C$2:$C$4000=$AA30)*('2013 E Maize Soil VWC'!$E$2:$E$4000=$AB30)*('2013 E Maize Soil VWC'!$F$2:$F$4000=AR$5),'2013 E Maize Soil VWC'!$G$2:$G$4000)</f>
        <v>#N/A</v>
      </c>
      <c r="AS30" s="4" t="e" cm="1">
        <f t="array" ref="AS30">_xlfn.XLOOKUP(1,('2013 E Maize Soil VWC'!$C$2:$C$4000=$AA30)*('2013 E Maize Soil VWC'!$E$2:$E$4000=$AB30)*('2013 E Maize Soil VWC'!$F$2:$F$4000=AS$5),'2013 E Maize Soil VWC'!$G$2:$G$4000)</f>
        <v>#N/A</v>
      </c>
      <c r="AT30" s="4" t="e" cm="1">
        <f t="array" ref="AT30">_xlfn.XLOOKUP(1,('2013 E Maize Soil VWC'!$C$2:$C$4000=$AA30)*('2013 E Maize Soil VWC'!$E$2:$E$4000=$AB30)*('2013 E Maize Soil VWC'!$F$2:$F$4000=AT$5),'2013 E Maize Soil VWC'!$G$2:$G$4000)</f>
        <v>#N/A</v>
      </c>
      <c r="AU30" s="4" t="e" cm="1">
        <f t="array" ref="AU30">_xlfn.XLOOKUP(1,('2013 E Maize Soil VWC'!$C$2:$C$4000=$AA30)*('2013 E Maize Soil VWC'!$E$2:$E$4000=$AB30)*('2013 E Maize Soil VWC'!$F$2:$F$4000=AU$5),'2013 E Maize Soil VWC'!$G$2:$G$4000)</f>
        <v>#N/A</v>
      </c>
      <c r="AV30" s="4" t="e" cm="1">
        <f t="array" ref="AV30">_xlfn.XLOOKUP(1,('2013 E Maize Soil VWC'!$C$2:$C$4000=$AA30)*('2013 E Maize Soil VWC'!$E$2:$E$4000=$AB30)*('2013 E Maize Soil VWC'!$F$2:$F$4000=AV$5),'2013 E Maize Soil VWC'!$G$2:$G$4000)</f>
        <v>#N/A</v>
      </c>
    </row>
    <row r="31" spans="25:80" x14ac:dyDescent="0.25">
      <c r="AA31" s="15"/>
    </row>
    <row r="32" spans="25:80" x14ac:dyDescent="0.25">
      <c r="Y32" s="4">
        <v>2013</v>
      </c>
      <c r="Z32" s="4">
        <v>171</v>
      </c>
      <c r="AA32" s="15">
        <f>DATE(Y32,1,Z32)</f>
        <v>41445</v>
      </c>
      <c r="AB32" s="4">
        <v>10</v>
      </c>
      <c r="AC32" s="4" cm="1">
        <f t="array" ref="AC32">_xlfn.XLOOKUP(1,('2013 E Maize Soil VWC'!$C$2:$C$4000=$AA32)*('2013 E Maize Soil VWC'!$E$2:$E$4000=$AB32)*('2013 E Maize Soil VWC'!$F$2:$F$4000=AC$5),'2013 E Maize Soil VWC'!$G$2:$G$4000)</f>
        <v>0.30498044400726393</v>
      </c>
      <c r="AD32" s="4" cm="1">
        <f t="array" ref="AD32">_xlfn.XLOOKUP(1,('2013 E Maize Soil VWC'!$C$2:$C$4000=$AA32)*('2013 E Maize Soil VWC'!$E$2:$E$4000=$AB32)*('2013 E Maize Soil VWC'!$F$2:$F$4000=AD$5),'2013 E Maize Soil VWC'!$G$2:$G$4000)</f>
        <v>0.29487203359564162</v>
      </c>
      <c r="AE32" s="4" cm="1">
        <f t="array" ref="AE32">_xlfn.XLOOKUP(1,('2013 E Maize Soil VWC'!$C$2:$C$4000=$AA32)*('2013 E Maize Soil VWC'!$E$2:$E$4000=$AB32)*('2013 E Maize Soil VWC'!$F$2:$F$4000=AE$5),'2013 E Maize Soil VWC'!$G$2:$G$4000)</f>
        <v>0.30719889285714286</v>
      </c>
      <c r="AF32" s="4" cm="1">
        <f t="array" ref="AF32">_xlfn.XLOOKUP(1,('2013 E Maize Soil VWC'!$C$2:$C$4000=$AA32)*('2013 E Maize Soil VWC'!$E$2:$E$4000=$AB32)*('2013 E Maize Soil VWC'!$F$2:$F$4000=AF$5),'2013 E Maize Soil VWC'!$G$2:$G$4000)</f>
        <v>0.25017511198547215</v>
      </c>
      <c r="AG32" s="4" cm="1">
        <f t="array" ref="AG32">_xlfn.XLOOKUP(1,('2013 E Maize Soil VWC'!$C$2:$C$4000=$AA32)*('2013 E Maize Soil VWC'!$E$2:$E$4000=$AB32)*('2013 E Maize Soil VWC'!$F$2:$F$4000=AG$5),'2013 E Maize Soil VWC'!$G$2:$G$4000)</f>
        <v>0.27388357838983046</v>
      </c>
      <c r="AH32" s="4" cm="1">
        <f t="array" ref="AH32">_xlfn.XLOOKUP(1,('2013 E Maize Soil VWC'!$C$2:$C$4000=$AA32)*('2013 E Maize Soil VWC'!$E$2:$E$4000=$AB32)*('2013 E Maize Soil VWC'!$F$2:$F$4000=AH$5),'2013 E Maize Soil VWC'!$G$2:$G$4000)</f>
        <v>0.25339668553268768</v>
      </c>
      <c r="AI32" s="4" cm="1">
        <f t="array" ref="AI32">_xlfn.XLOOKUP(1,('2013 E Maize Soil VWC'!$C$2:$C$4000=$AA32)*('2013 E Maize Soil VWC'!$E$2:$E$4000=$AB32)*('2013 E Maize Soil VWC'!$F$2:$F$4000=AI$5),'2013 E Maize Soil VWC'!$G$2:$G$4000)</f>
        <v>0.30660087621065374</v>
      </c>
      <c r="AJ32" s="4" cm="1">
        <f t="array" ref="AJ32">_xlfn.XLOOKUP(1,('2013 E Maize Soil VWC'!$C$2:$C$4000=$AA32)*('2013 E Maize Soil VWC'!$E$2:$E$4000=$AB32)*('2013 E Maize Soil VWC'!$F$2:$F$4000=AJ$5),'2013 E Maize Soil VWC'!$G$2:$G$4000)</f>
        <v>0.27324698002421305</v>
      </c>
      <c r="AK32" s="4" cm="1">
        <f t="array" ref="AK32">_xlfn.XLOOKUP(1,('2013 E Maize Soil VWC'!$C$2:$C$4000=$AA32)*('2013 E Maize Soil VWC'!$E$2:$E$4000=$AB32)*('2013 E Maize Soil VWC'!$F$2:$F$4000=AK$5),'2013 E Maize Soil VWC'!$G$2:$G$4000)</f>
        <v>0.31599552481840193</v>
      </c>
      <c r="AL32" s="4" cm="1">
        <f t="array" ref="AL32">_xlfn.XLOOKUP(1,('2013 E Maize Soil VWC'!$C$2:$C$4000=$AA32)*('2013 E Maize Soil VWC'!$E$2:$E$4000=$AB32)*('2013 E Maize Soil VWC'!$F$2:$F$4000=AL$5),'2013 E Maize Soil VWC'!$G$2:$G$4000)</f>
        <v>0.27857125726392251</v>
      </c>
      <c r="AM32" s="4" cm="1">
        <f t="array" ref="AM32">_xlfn.XLOOKUP(1,('2013 E Maize Soil VWC'!$C$2:$C$4000=$AA32)*('2013 E Maize Soil VWC'!$E$2:$E$4000=$AB32)*('2013 E Maize Soil VWC'!$F$2:$F$4000=AM$5),'2013 E Maize Soil VWC'!$G$2:$G$4000)</f>
        <v>0.24228515042372878</v>
      </c>
      <c r="AN32" s="4" cm="1">
        <f t="array" ref="AN32">_xlfn.XLOOKUP(1,('2013 E Maize Soil VWC'!$C$2:$C$4000=$AA32)*('2013 E Maize Soil VWC'!$E$2:$E$4000=$AB32)*('2013 E Maize Soil VWC'!$F$2:$F$4000=AN$5),'2013 E Maize Soil VWC'!$G$2:$G$4000)</f>
        <v>0.28186999424939468</v>
      </c>
      <c r="AO32" s="4" cm="1">
        <f t="array" ref="AO32">_xlfn.XLOOKUP(1,('2013 E Maize Soil VWC'!$C$2:$C$4000=$AA32)*('2013 E Maize Soil VWC'!$E$2:$E$4000=$AB32)*('2013 E Maize Soil VWC'!$F$2:$F$4000=AO$5),'2013 E Maize Soil VWC'!$G$2:$G$4000)</f>
        <v>0.26337005992736079</v>
      </c>
      <c r="AP32" s="4" cm="1">
        <f t="array" ref="AP32">_xlfn.XLOOKUP(1,('2013 E Maize Soil VWC'!$C$2:$C$4000=$AA32)*('2013 E Maize Soil VWC'!$E$2:$E$4000=$AB32)*('2013 E Maize Soil VWC'!$F$2:$F$4000=AP$5),'2013 E Maize Soil VWC'!$G$2:$G$4000)</f>
        <v>0.25929968855932201</v>
      </c>
      <c r="AQ32" s="4" cm="1">
        <f t="array" ref="AQ32">_xlfn.XLOOKUP(1,('2013 E Maize Soil VWC'!$C$2:$C$4000=$AA32)*('2013 E Maize Soil VWC'!$E$2:$E$4000=$AB32)*('2013 E Maize Soil VWC'!$F$2:$F$4000=AQ$5),'2013 E Maize Soil VWC'!$G$2:$G$4000)</f>
        <v>0.24483154388619854</v>
      </c>
      <c r="AR32" s="4" cm="1">
        <f t="array" ref="AR32">_xlfn.XLOOKUP(1,('2013 E Maize Soil VWC'!$C$2:$C$4000=$AA32)*('2013 E Maize Soil VWC'!$E$2:$E$4000=$AB32)*('2013 E Maize Soil VWC'!$F$2:$F$4000=AR$5),'2013 E Maize Soil VWC'!$G$2:$G$4000)</f>
        <v>0.23854272366828089</v>
      </c>
      <c r="AS32" s="4" cm="1">
        <f t="array" ref="AS32">_xlfn.XLOOKUP(1,('2013 E Maize Soil VWC'!$C$2:$C$4000=$AA32)*('2013 E Maize Soil VWC'!$E$2:$E$4000=$AB32)*('2013 E Maize Soil VWC'!$F$2:$F$4000=AS$5),'2013 E Maize Soil VWC'!$G$2:$G$4000)</f>
        <v>0.27942005508474577</v>
      </c>
      <c r="AT32" s="4" cm="1">
        <f t="array" ref="AT32">_xlfn.XLOOKUP(1,('2013 E Maize Soil VWC'!$C$2:$C$4000=$AA32)*('2013 E Maize Soil VWC'!$E$2:$E$4000=$AB32)*('2013 E Maize Soil VWC'!$F$2:$F$4000=AT$5),'2013 E Maize Soil VWC'!$G$2:$G$4000)</f>
        <v>0.25926110684019371</v>
      </c>
      <c r="AU32" s="4" cm="1">
        <f t="array" ref="AU32">_xlfn.XLOOKUP(1,('2013 E Maize Soil VWC'!$C$2:$C$4000=$AA32)*('2013 E Maize Soil VWC'!$E$2:$E$4000=$AB32)*('2013 E Maize Soil VWC'!$F$2:$F$4000=AU$5),'2013 E Maize Soil VWC'!$G$2:$G$4000)</f>
        <v>0.23622782052058111</v>
      </c>
      <c r="AV32" s="4" cm="1">
        <f t="array" ref="AV32">_xlfn.XLOOKUP(1,('2013 E Maize Soil VWC'!$C$2:$C$4000=$AA32)*('2013 E Maize Soil VWC'!$E$2:$E$4000=$AB32)*('2013 E Maize Soil VWC'!$F$2:$F$4000=AV$5),'2013 E Maize Soil VWC'!$G$2:$G$4000)</f>
        <v>0.23275546579903145</v>
      </c>
      <c r="AW32" s="22">
        <f>Z32</f>
        <v>171</v>
      </c>
      <c r="AX32" s="20">
        <f>AA32</f>
        <v>41445</v>
      </c>
      <c r="AY32" s="4">
        <f>1400*AVERAGE(AG32:AH38)+100*AVERAGE(AG39:AH39)</f>
        <v>491.36777381456818</v>
      </c>
      <c r="AZ32" s="4">
        <f>1400*AVERAGE(AC32:AF38,AI32:AL38)+100*AVERAGE(AC39:AF39,AI39:AL39)</f>
        <v>498.84464141066383</v>
      </c>
      <c r="BA32" s="4">
        <f>1400*AVERAGE(AQ32:AR38)+100*AVERAGE(AQ39:AR39)</f>
        <v>477.96338187550441</v>
      </c>
      <c r="BB32" s="4">
        <f>1400*AVERAGE(AM32:AP38,AS32:AV38)+100*AVERAGE(AM39:AP39,AS39:AV39)</f>
        <v>488.92374991046199</v>
      </c>
      <c r="BC32" s="4">
        <f>AVERAGE(AC32:AD43)*2400</f>
        <v>766.93757141848255</v>
      </c>
      <c r="BD32" s="4">
        <f>AVERAGE(AE32:AF43)*2400</f>
        <v>751.35443967917661</v>
      </c>
      <c r="BE32" s="4">
        <f>AVERAGE(AG32:AH41)*2000</f>
        <v>657.68508465496382</v>
      </c>
      <c r="BF32" s="4">
        <f>AVERAGE(AI32:AJ43)*2400</f>
        <v>773.32592764326068</v>
      </c>
      <c r="BG32" s="4">
        <f>AVERAGE(AK32:AL43)*2400</f>
        <v>775.2046620359157</v>
      </c>
      <c r="BH32" s="4">
        <f>AVERAGE(AM32:AN43)*2400</f>
        <v>773.60151376109764</v>
      </c>
      <c r="BI32" s="4">
        <f>AVERAGE(AO32:AP43)*2400</f>
        <v>760.18508925544791</v>
      </c>
      <c r="BJ32" s="4">
        <f>AVERAGE(AQ32:AR41)*2000</f>
        <v>641.47747181194507</v>
      </c>
      <c r="BK32" s="4">
        <f>AVERAGE(AS32:AT43)*2400</f>
        <v>779.38130376311551</v>
      </c>
      <c r="BL32" s="4">
        <f>AVERAGE(AU32:AV43)*2400</f>
        <v>759.8405918381759</v>
      </c>
    </row>
    <row r="33" spans="25:64" x14ac:dyDescent="0.25">
      <c r="AA33" s="15">
        <f t="shared" ref="AA33:AA43" si="5">AA32</f>
        <v>41445</v>
      </c>
      <c r="AB33" s="4">
        <f t="shared" ref="AB33:AB43" si="6">AB32+20</f>
        <v>30</v>
      </c>
      <c r="AC33" s="4" cm="1">
        <f t="array" ref="AC33">_xlfn.XLOOKUP(1,('2013 E Maize Soil VWC'!$C$2:$C$4000=$AA33)*('2013 E Maize Soil VWC'!$E$2:$E$4000=$AB33)*('2013 E Maize Soil VWC'!$F$2:$F$4000=AC$5),'2013 E Maize Soil VWC'!$G$2:$G$4000)</f>
        <v>0.34776911723163839</v>
      </c>
      <c r="AD33" s="4" cm="1">
        <f t="array" ref="AD33">_xlfn.XLOOKUP(1,('2013 E Maize Soil VWC'!$C$2:$C$4000=$AA33)*('2013 E Maize Soil VWC'!$E$2:$E$4000=$AB33)*('2013 E Maize Soil VWC'!$F$2:$F$4000=AD$5),'2013 E Maize Soil VWC'!$G$2:$G$4000)</f>
        <v>0.33646190042372881</v>
      </c>
      <c r="AE33" s="4" cm="1">
        <f t="array" ref="AE33">_xlfn.XLOOKUP(1,('2013 E Maize Soil VWC'!$C$2:$C$4000=$AA33)*('2013 E Maize Soil VWC'!$E$2:$E$4000=$AB33)*('2013 E Maize Soil VWC'!$F$2:$F$4000=AE$5),'2013 E Maize Soil VWC'!$G$2:$G$4000)</f>
        <v>0.35472386158192093</v>
      </c>
      <c r="AF33" s="4" cm="1">
        <f t="array" ref="AF33">_xlfn.XLOOKUP(1,('2013 E Maize Soil VWC'!$C$2:$C$4000=$AA33)*('2013 E Maize Soil VWC'!$E$2:$E$4000=$AB33)*('2013 E Maize Soil VWC'!$F$2:$F$4000=AF$5),'2013 E Maize Soil VWC'!$G$2:$G$4000)</f>
        <v>0.32702002895480226</v>
      </c>
      <c r="AG33" s="4" cm="1">
        <f t="array" ref="AG33">_xlfn.XLOOKUP(1,('2013 E Maize Soil VWC'!$C$2:$C$4000=$AA33)*('2013 E Maize Soil VWC'!$E$2:$E$4000=$AB33)*('2013 E Maize Soil VWC'!$F$2:$F$4000=AG$5),'2013 E Maize Soil VWC'!$G$2:$G$4000)</f>
        <v>0.35175312641242934</v>
      </c>
      <c r="AH33" s="4" cm="1">
        <f t="array" ref="AH33">_xlfn.XLOOKUP(1,('2013 E Maize Soil VWC'!$C$2:$C$4000=$AA33)*('2013 E Maize Soil VWC'!$E$2:$E$4000=$AB33)*('2013 E Maize Soil VWC'!$F$2:$F$4000=AH$5),'2013 E Maize Soil VWC'!$G$2:$G$4000)</f>
        <v>0.3365079583333333</v>
      </c>
      <c r="AI33" s="4" cm="1">
        <f t="array" ref="AI33">_xlfn.XLOOKUP(1,('2013 E Maize Soil VWC'!$C$2:$C$4000=$AA33)*('2013 E Maize Soil VWC'!$E$2:$E$4000=$AB33)*('2013 E Maize Soil VWC'!$F$2:$F$4000=AI$5),'2013 E Maize Soil VWC'!$G$2:$G$4000)</f>
        <v>0.34196582062146891</v>
      </c>
      <c r="AJ33" s="4" cm="1">
        <f t="array" ref="AJ33">_xlfn.XLOOKUP(1,('2013 E Maize Soil VWC'!$C$2:$C$4000=$AA33)*('2013 E Maize Soil VWC'!$E$2:$E$4000=$AB33)*('2013 E Maize Soil VWC'!$F$2:$F$4000=AJ$5),'2013 E Maize Soil VWC'!$G$2:$G$4000)</f>
        <v>0.34249548658192092</v>
      </c>
      <c r="AK33" s="4" cm="1">
        <f t="array" ref="AK33">_xlfn.XLOOKUP(1,('2013 E Maize Soil VWC'!$C$2:$C$4000=$AA33)*('2013 E Maize Soil VWC'!$E$2:$E$4000=$AB33)*('2013 E Maize Soil VWC'!$F$2:$F$4000=AK$5),'2013 E Maize Soil VWC'!$G$2:$G$4000)</f>
        <v>0.35555290395480227</v>
      </c>
      <c r="AL33" s="4" cm="1">
        <f t="array" ref="AL33">_xlfn.XLOOKUP(1,('2013 E Maize Soil VWC'!$C$2:$C$4000=$AA33)*('2013 E Maize Soil VWC'!$E$2:$E$4000=$AB33)*('2013 E Maize Soil VWC'!$F$2:$F$4000=AL$5),'2013 E Maize Soil VWC'!$G$2:$G$4000)</f>
        <v>0.36303731426553665</v>
      </c>
      <c r="AM33" s="4" cm="1">
        <f t="array" ref="AM33">_xlfn.XLOOKUP(1,('2013 E Maize Soil VWC'!$C$2:$C$4000=$AA33)*('2013 E Maize Soil VWC'!$E$2:$E$4000=$AB33)*('2013 E Maize Soil VWC'!$F$2:$F$4000=AM$5),'2013 E Maize Soil VWC'!$G$2:$G$4000)</f>
        <v>0.33455049717514124</v>
      </c>
      <c r="AN33" s="4" cm="1">
        <f t="array" ref="AN33">_xlfn.XLOOKUP(1,('2013 E Maize Soil VWC'!$C$2:$C$4000=$AA33)*('2013 E Maize Soil VWC'!$E$2:$E$4000=$AB33)*('2013 E Maize Soil VWC'!$F$2:$F$4000=AN$5),'2013 E Maize Soil VWC'!$G$2:$G$4000)</f>
        <v>0.34136706779661019</v>
      </c>
      <c r="AO33" s="4" cm="1">
        <f t="array" ref="AO33">_xlfn.XLOOKUP(1,('2013 E Maize Soil VWC'!$C$2:$C$4000=$AA33)*('2013 E Maize Soil VWC'!$E$2:$E$4000=$AB33)*('2013 E Maize Soil VWC'!$F$2:$F$4000=AO$5),'2013 E Maize Soil VWC'!$G$2:$G$4000)</f>
        <v>0.33636978460451977</v>
      </c>
      <c r="AP33" s="4" cm="1">
        <f t="array" ref="AP33">_xlfn.XLOOKUP(1,('2013 E Maize Soil VWC'!$C$2:$C$4000=$AA33)*('2013 E Maize Soil VWC'!$E$2:$E$4000=$AB33)*('2013 E Maize Soil VWC'!$F$2:$F$4000=AP$5),'2013 E Maize Soil VWC'!$G$2:$G$4000)</f>
        <v>0.33643887146892654</v>
      </c>
      <c r="AQ33" s="4" cm="1">
        <f t="array" ref="AQ33">_xlfn.XLOOKUP(1,('2013 E Maize Soil VWC'!$C$2:$C$4000=$AA33)*('2013 E Maize Soil VWC'!$E$2:$E$4000=$AB33)*('2013 E Maize Soil VWC'!$F$2:$F$4000=AQ$5),'2013 E Maize Soil VWC'!$G$2:$G$4000)</f>
        <v>0.33844239053672315</v>
      </c>
      <c r="AR33" s="4" cm="1">
        <f t="array" ref="AR33">_xlfn.XLOOKUP(1,('2013 E Maize Soil VWC'!$C$2:$C$4000=$AA33)*('2013 E Maize Soil VWC'!$E$2:$E$4000=$AB33)*('2013 E Maize Soil VWC'!$F$2:$F$4000=AR$5),'2013 E Maize Soil VWC'!$G$2:$G$4000)</f>
        <v>0.33899508545197737</v>
      </c>
      <c r="AS33" s="4" cm="1">
        <f t="array" ref="AS33">_xlfn.XLOOKUP(1,('2013 E Maize Soil VWC'!$C$2:$C$4000=$AA33)*('2013 E Maize Soil VWC'!$E$2:$E$4000=$AB33)*('2013 E Maize Soil VWC'!$F$2:$F$4000=AS$5),'2013 E Maize Soil VWC'!$G$2:$G$4000)</f>
        <v>0.34779214618644066</v>
      </c>
      <c r="AT33" s="4" cm="1">
        <f t="array" ref="AT33">_xlfn.XLOOKUP(1,('2013 E Maize Soil VWC'!$C$2:$C$4000=$AA33)*('2013 E Maize Soil VWC'!$E$2:$E$4000=$AB33)*('2013 E Maize Soil VWC'!$F$2:$F$4000=AT$5),'2013 E Maize Soil VWC'!$G$2:$G$4000)</f>
        <v>0.3503483601694915</v>
      </c>
      <c r="AU33" s="4" cm="1">
        <f t="array" ref="AU33">_xlfn.XLOOKUP(1,('2013 E Maize Soil VWC'!$C$2:$C$4000=$AA33)*('2013 E Maize Soil VWC'!$E$2:$E$4000=$AB33)*('2013 E Maize Soil VWC'!$F$2:$F$4000=AU$5),'2013 E Maize Soil VWC'!$G$2:$G$4000)</f>
        <v>0.32183851412429376</v>
      </c>
      <c r="AV33" s="4" cm="1">
        <f t="array" ref="AV33">_xlfn.XLOOKUP(1,('2013 E Maize Soil VWC'!$C$2:$C$4000=$AA33)*('2013 E Maize Soil VWC'!$E$2:$E$4000=$AB33)*('2013 E Maize Soil VWC'!$F$2:$F$4000=AV$5),'2013 E Maize Soil VWC'!$G$2:$G$4000)</f>
        <v>0.34447597669491525</v>
      </c>
    </row>
    <row r="34" spans="25:64" x14ac:dyDescent="0.25">
      <c r="AA34" s="15">
        <f t="shared" si="5"/>
        <v>41445</v>
      </c>
      <c r="AB34" s="4">
        <f t="shared" si="6"/>
        <v>50</v>
      </c>
      <c r="AC34" s="4" cm="1">
        <f t="array" ref="AC34">_xlfn.XLOOKUP(1,('2013 E Maize Soil VWC'!$C$2:$C$4000=$AA34)*('2013 E Maize Soil VWC'!$E$2:$E$4000=$AB34)*('2013 E Maize Soil VWC'!$F$2:$F$4000=AC$5),'2013 E Maize Soil VWC'!$G$2:$G$4000)</f>
        <v>0.35467780367231633</v>
      </c>
      <c r="AD34" s="4" cm="1">
        <f t="array" ref="AD34">_xlfn.XLOOKUP(1,('2013 E Maize Soil VWC'!$C$2:$C$4000=$AA34)*('2013 E Maize Soil VWC'!$E$2:$E$4000=$AB34)*('2013 E Maize Soil VWC'!$F$2:$F$4000=AD$5),'2013 E Maize Soil VWC'!$G$2:$G$4000)</f>
        <v>0.35780974152542372</v>
      </c>
      <c r="AE34" s="4" cm="1">
        <f t="array" ref="AE34">_xlfn.XLOOKUP(1,('2013 E Maize Soil VWC'!$C$2:$C$4000=$AA34)*('2013 E Maize Soil VWC'!$E$2:$E$4000=$AB34)*('2013 E Maize Soil VWC'!$F$2:$F$4000=AE$5),'2013 E Maize Soil VWC'!$G$2:$G$4000)</f>
        <v>0.35633588841807906</v>
      </c>
      <c r="AF34" s="4" cm="1">
        <f t="array" ref="AF34">_xlfn.XLOOKUP(1,('2013 E Maize Soil VWC'!$C$2:$C$4000=$AA34)*('2013 E Maize Soil VWC'!$E$2:$E$4000=$AB34)*('2013 E Maize Soil VWC'!$F$2:$F$4000=AF$5),'2013 E Maize Soil VWC'!$G$2:$G$4000)</f>
        <v>0.34512078742937852</v>
      </c>
      <c r="AG34" s="4" cm="1">
        <f t="array" ref="AG34">_xlfn.XLOOKUP(1,('2013 E Maize Soil VWC'!$C$2:$C$4000=$AA34)*('2013 E Maize Soil VWC'!$E$2:$E$4000=$AB34)*('2013 E Maize Soil VWC'!$F$2:$F$4000=AG$5),'2013 E Maize Soil VWC'!$G$2:$G$4000)</f>
        <v>0.35573713559322034</v>
      </c>
      <c r="AH34" s="4" cm="1">
        <f t="array" ref="AH34">_xlfn.XLOOKUP(1,('2013 E Maize Soil VWC'!$C$2:$C$4000=$AA34)*('2013 E Maize Soil VWC'!$E$2:$E$4000=$AB34)*('2013 E Maize Soil VWC'!$F$2:$F$4000=AH$5),'2013 E Maize Soil VWC'!$G$2:$G$4000)</f>
        <v>0.34947325988700562</v>
      </c>
      <c r="AI34" s="4" cm="1">
        <f t="array" ref="AI34">_xlfn.XLOOKUP(1,('2013 E Maize Soil VWC'!$C$2:$C$4000=$AA34)*('2013 E Maize Soil VWC'!$E$2:$E$4000=$AB34)*('2013 E Maize Soil VWC'!$F$2:$F$4000=AI$5),'2013 E Maize Soil VWC'!$G$2:$G$4000)</f>
        <v>0.35942176836158191</v>
      </c>
      <c r="AJ34" s="4" cm="1">
        <f t="array" ref="AJ34">_xlfn.XLOOKUP(1,('2013 E Maize Soil VWC'!$C$2:$C$4000=$AA34)*('2013 E Maize Soil VWC'!$E$2:$E$4000=$AB34)*('2013 E Maize Soil VWC'!$F$2:$F$4000=AJ$5),'2013 E Maize Soil VWC'!$G$2:$G$4000)</f>
        <v>0.34470626624293782</v>
      </c>
      <c r="AK34" s="4" cm="1">
        <f t="array" ref="AK34">_xlfn.XLOOKUP(1,('2013 E Maize Soil VWC'!$C$2:$C$4000=$AA34)*('2013 E Maize Soil VWC'!$E$2:$E$4000=$AB34)*('2013 E Maize Soil VWC'!$F$2:$F$4000=AK$5),'2013 E Maize Soil VWC'!$G$2:$G$4000)</f>
        <v>0.3588921024011299</v>
      </c>
      <c r="AL34" s="4" cm="1">
        <f t="array" ref="AL34">_xlfn.XLOOKUP(1,('2013 E Maize Soil VWC'!$C$2:$C$4000=$AA34)*('2013 E Maize Soil VWC'!$E$2:$E$4000=$AB34)*('2013 E Maize Soil VWC'!$F$2:$F$4000=AL$5),'2013 E Maize Soil VWC'!$G$2:$G$4000)</f>
        <v>0.36865637923728811</v>
      </c>
      <c r="AM34" s="4" cm="1">
        <f t="array" ref="AM34">_xlfn.XLOOKUP(1,('2013 E Maize Soil VWC'!$C$2:$C$4000=$AA34)*('2013 E Maize Soil VWC'!$E$2:$E$4000=$AB34)*('2013 E Maize Soil VWC'!$F$2:$F$4000=AM$5),'2013 E Maize Soil VWC'!$G$2:$G$4000)</f>
        <v>0.35407905084745761</v>
      </c>
      <c r="AN34" s="4" cm="1">
        <f t="array" ref="AN34">_xlfn.XLOOKUP(1,('2013 E Maize Soil VWC'!$C$2:$C$4000=$AA34)*('2013 E Maize Soil VWC'!$E$2:$E$4000=$AB34)*('2013 E Maize Soil VWC'!$F$2:$F$4000=AN$5),'2013 E Maize Soil VWC'!$G$2:$G$4000)</f>
        <v>0.35202947387005645</v>
      </c>
      <c r="AO34" s="4" cm="1">
        <f t="array" ref="AO34">_xlfn.XLOOKUP(1,('2013 E Maize Soil VWC'!$C$2:$C$4000=$AA34)*('2013 E Maize Soil VWC'!$E$2:$E$4000=$AB34)*('2013 E Maize Soil VWC'!$F$2:$F$4000=AO$5),'2013 E Maize Soil VWC'!$G$2:$G$4000)</f>
        <v>0.34878239124293781</v>
      </c>
      <c r="AP34" s="4" cm="1">
        <f t="array" ref="AP34">_xlfn.XLOOKUP(1,('2013 E Maize Soil VWC'!$C$2:$C$4000=$AA34)*('2013 E Maize Soil VWC'!$E$2:$E$4000=$AB34)*('2013 E Maize Soil VWC'!$F$2:$F$4000=AP$5),'2013 E Maize Soil VWC'!$G$2:$G$4000)</f>
        <v>0.36121802683615817</v>
      </c>
      <c r="AQ34" s="4" cm="1">
        <f t="array" ref="AQ34">_xlfn.XLOOKUP(1,('2013 E Maize Soil VWC'!$C$2:$C$4000=$AA34)*('2013 E Maize Soil VWC'!$E$2:$E$4000=$AB34)*('2013 E Maize Soil VWC'!$F$2:$F$4000=AQ$5),'2013 E Maize Soil VWC'!$G$2:$G$4000)</f>
        <v>0.34088345974576267</v>
      </c>
      <c r="AR34" s="4" cm="1">
        <f t="array" ref="AR34">_xlfn.XLOOKUP(1,('2013 E Maize Soil VWC'!$C$2:$C$4000=$AA34)*('2013 E Maize Soil VWC'!$E$2:$E$4000=$AB34)*('2013 E Maize Soil VWC'!$F$2:$F$4000=AR$5),'2013 E Maize Soil VWC'!$G$2:$G$4000)</f>
        <v>0.35094711299435027</v>
      </c>
      <c r="AS34" s="4" cm="1">
        <f t="array" ref="AS34">_xlfn.XLOOKUP(1,('2013 E Maize Soil VWC'!$C$2:$C$4000=$AA34)*('2013 E Maize Soil VWC'!$E$2:$E$4000=$AB34)*('2013 E Maize Soil VWC'!$F$2:$F$4000=AS$5),'2013 E Maize Soil VWC'!$G$2:$G$4000)</f>
        <v>0.3614022584745763</v>
      </c>
      <c r="AT34" s="4" cm="1">
        <f t="array" ref="AT34">_xlfn.XLOOKUP(1,('2013 E Maize Soil VWC'!$C$2:$C$4000=$AA34)*('2013 E Maize Soil VWC'!$E$2:$E$4000=$AB34)*('2013 E Maize Soil VWC'!$F$2:$F$4000=AT$5),'2013 E Maize Soil VWC'!$G$2:$G$4000)</f>
        <v>0.352075531779661</v>
      </c>
      <c r="AU34" s="4" cm="1">
        <f t="array" ref="AU34">_xlfn.XLOOKUP(1,('2013 E Maize Soil VWC'!$C$2:$C$4000=$AA34)*('2013 E Maize Soil VWC'!$E$2:$E$4000=$AB34)*('2013 E Maize Soil VWC'!$F$2:$F$4000=AU$5),'2013 E Maize Soil VWC'!$G$2:$G$4000)</f>
        <v>0.35285851624293785</v>
      </c>
      <c r="AV34" s="4" cm="1">
        <f t="array" ref="AV34">_xlfn.XLOOKUP(1,('2013 E Maize Soil VWC'!$C$2:$C$4000=$AA34)*('2013 E Maize Soil VWC'!$E$2:$E$4000=$AB34)*('2013 E Maize Soil VWC'!$F$2:$F$4000=AV$5),'2013 E Maize Soil VWC'!$G$2:$G$4000)</f>
        <v>0.35693464124293783</v>
      </c>
    </row>
    <row r="35" spans="25:64" x14ac:dyDescent="0.25">
      <c r="AA35" s="15">
        <f t="shared" si="5"/>
        <v>41445</v>
      </c>
      <c r="AB35" s="4">
        <f t="shared" si="6"/>
        <v>70</v>
      </c>
      <c r="AC35" s="4" cm="1">
        <f t="array" ref="AC35">_xlfn.XLOOKUP(1,('2013 E Maize Soil VWC'!$C$2:$C$4000=$AA35)*('2013 E Maize Soil VWC'!$E$2:$E$4000=$AB35)*('2013 E Maize Soil VWC'!$F$2:$F$4000=AC$5),'2013 E Maize Soil VWC'!$G$2:$G$4000)</f>
        <v>0.34682493008474574</v>
      </c>
      <c r="AD35" s="4" cm="1">
        <f t="array" ref="AD35">_xlfn.XLOOKUP(1,('2013 E Maize Soil VWC'!$C$2:$C$4000=$AA35)*('2013 E Maize Soil VWC'!$E$2:$E$4000=$AB35)*('2013 E Maize Soil VWC'!$F$2:$F$4000=AD$5),'2013 E Maize Soil VWC'!$G$2:$G$4000)</f>
        <v>0.35368755861581919</v>
      </c>
      <c r="AE35" s="4" cm="1">
        <f t="array" ref="AE35">_xlfn.XLOOKUP(1,('2013 E Maize Soil VWC'!$C$2:$C$4000=$AA35)*('2013 E Maize Soil VWC'!$E$2:$E$4000=$AB35)*('2013 E Maize Soil VWC'!$F$2:$F$4000=AE$5),'2013 E Maize Soil VWC'!$G$2:$G$4000)</f>
        <v>0.34820666737288131</v>
      </c>
      <c r="AF35" s="4" cm="1">
        <f t="array" ref="AF35">_xlfn.XLOOKUP(1,('2013 E Maize Soil VWC'!$C$2:$C$4000=$AA35)*('2013 E Maize Soil VWC'!$E$2:$E$4000=$AB35)*('2013 E Maize Soil VWC'!$F$2:$F$4000=AF$5),'2013 E Maize Soil VWC'!$G$2:$G$4000)</f>
        <v>0.33759031920903954</v>
      </c>
      <c r="AG35" s="4" cm="1">
        <f t="array" ref="AG35">_xlfn.XLOOKUP(1,('2013 E Maize Soil VWC'!$C$2:$C$4000=$AA35)*('2013 E Maize Soil VWC'!$E$2:$E$4000=$AB35)*('2013 E Maize Soil VWC'!$F$2:$F$4000=AG$5),'2013 E Maize Soil VWC'!$G$2:$G$4000)</f>
        <v>0.34813758050847454</v>
      </c>
      <c r="AH35" s="4" cm="1">
        <f t="array" ref="AH35">_xlfn.XLOOKUP(1,('2013 E Maize Soil VWC'!$C$2:$C$4000=$AA35)*('2013 E Maize Soil VWC'!$E$2:$E$4000=$AB35)*('2013 E Maize Soil VWC'!$F$2:$F$4000=AH$5),'2013 E Maize Soil VWC'!$G$2:$G$4000)</f>
        <v>0.33768243502824857</v>
      </c>
      <c r="AI35" s="4" cm="1">
        <f t="array" ref="AI35">_xlfn.XLOOKUP(1,('2013 E Maize Soil VWC'!$C$2:$C$4000=$AA35)*('2013 E Maize Soil VWC'!$E$2:$E$4000=$AB35)*('2013 E Maize Soil VWC'!$F$2:$F$4000=AI$5),'2013 E Maize Soil VWC'!$G$2:$G$4000)</f>
        <v>0.35037138912429378</v>
      </c>
      <c r="AJ35" s="4" cm="1">
        <f t="array" ref="AJ35">_xlfn.XLOOKUP(1,('2013 E Maize Soil VWC'!$C$2:$C$4000=$AA35)*('2013 E Maize Soil VWC'!$E$2:$E$4000=$AB35)*('2013 E Maize Soil VWC'!$F$2:$F$4000=AJ$5),'2013 E Maize Soil VWC'!$G$2:$G$4000)</f>
        <v>0.33966292514124291</v>
      </c>
      <c r="AK35" s="4" cm="1">
        <f t="array" ref="AK35">_xlfn.XLOOKUP(1,('2013 E Maize Soil VWC'!$C$2:$C$4000=$AA35)*('2013 E Maize Soil VWC'!$E$2:$E$4000=$AB35)*('2013 E Maize Soil VWC'!$F$2:$F$4000=AK$5),'2013 E Maize Soil VWC'!$G$2:$G$4000)</f>
        <v>0.34307121045197742</v>
      </c>
      <c r="AL35" s="4" cm="1">
        <f t="array" ref="AL35">_xlfn.XLOOKUP(1,('2013 E Maize Soil VWC'!$C$2:$C$4000=$AA35)*('2013 E Maize Soil VWC'!$E$2:$E$4000=$AB35)*('2013 E Maize Soil VWC'!$F$2:$F$4000=AL$5),'2013 E Maize Soil VWC'!$G$2:$G$4000)</f>
        <v>0.35633588841807906</v>
      </c>
      <c r="AM35" s="4" cm="1">
        <f t="array" ref="AM35">_xlfn.XLOOKUP(1,('2013 E Maize Soil VWC'!$C$2:$C$4000=$AA35)*('2013 E Maize Soil VWC'!$E$2:$E$4000=$AB35)*('2013 E Maize Soil VWC'!$F$2:$F$4000=AM$5),'2013 E Maize Soil VWC'!$G$2:$G$4000)</f>
        <v>0.35483900635593218</v>
      </c>
      <c r="AN35" s="4" cm="1">
        <f t="array" ref="AN35">_xlfn.XLOOKUP(1,('2013 E Maize Soil VWC'!$C$2:$C$4000=$AA35)*('2013 E Maize Soil VWC'!$E$2:$E$4000=$AB35)*('2013 E Maize Soil VWC'!$F$2:$F$4000=AN$5),'2013 E Maize Soil VWC'!$G$2:$G$4000)</f>
        <v>0.34442991878531071</v>
      </c>
      <c r="AO35" s="4" cm="1">
        <f t="array" ref="AO35">_xlfn.XLOOKUP(1,('2013 E Maize Soil VWC'!$C$2:$C$4000=$AA35)*('2013 E Maize Soil VWC'!$E$2:$E$4000=$AB35)*('2013 E Maize Soil VWC'!$F$2:$F$4000=AO$5),'2013 E Maize Soil VWC'!$G$2:$G$4000)</f>
        <v>0.34212702330508477</v>
      </c>
      <c r="AP35" s="4" cm="1">
        <f t="array" ref="AP35">_xlfn.XLOOKUP(1,('2013 E Maize Soil VWC'!$C$2:$C$4000=$AA35)*('2013 E Maize Soil VWC'!$E$2:$E$4000=$AB35)*('2013 E Maize Soil VWC'!$F$2:$F$4000=AP$5),'2013 E Maize Soil VWC'!$G$2:$G$4000)</f>
        <v>0.34949628884180789</v>
      </c>
      <c r="AQ35" s="4" cm="1">
        <f t="array" ref="AQ35">_xlfn.XLOOKUP(1,('2013 E Maize Soil VWC'!$C$2:$C$4000=$AA35)*('2013 E Maize Soil VWC'!$E$2:$E$4000=$AB35)*('2013 E Maize Soil VWC'!$F$2:$F$4000=AQ$5),'2013 E Maize Soil VWC'!$G$2:$G$4000)</f>
        <v>0.33293847033898305</v>
      </c>
      <c r="AR35" s="4" cm="1">
        <f t="array" ref="AR35">_xlfn.XLOOKUP(1,('2013 E Maize Soil VWC'!$C$2:$C$4000=$AA35)*('2013 E Maize Soil VWC'!$E$2:$E$4000=$AB35)*('2013 E Maize Soil VWC'!$F$2:$F$4000=AR$5),'2013 E Maize Soil VWC'!$G$2:$G$4000)</f>
        <v>0.33473472881355931</v>
      </c>
      <c r="AS35" s="4" cm="1">
        <f t="array" ref="AS35">_xlfn.XLOOKUP(1,('2013 E Maize Soil VWC'!$C$2:$C$4000=$AA35)*('2013 E Maize Soil VWC'!$E$2:$E$4000=$AB35)*('2013 E Maize Soil VWC'!$F$2:$F$4000=AS$5),'2013 E Maize Soil VWC'!$G$2:$G$4000)</f>
        <v>0.35083196822033896</v>
      </c>
      <c r="AT35" s="4" cm="1">
        <f t="array" ref="AT35">_xlfn.XLOOKUP(1,('2013 E Maize Soil VWC'!$C$2:$C$4000=$AA35)*('2013 E Maize Soil VWC'!$E$2:$E$4000=$AB35)*('2013 E Maize Soil VWC'!$F$2:$F$4000=AT$5),'2013 E Maize Soil VWC'!$G$2:$G$4000)</f>
        <v>0.3388108538135593</v>
      </c>
      <c r="AU35" s="4" cm="1">
        <f t="array" ref="AU35">_xlfn.XLOOKUP(1,('2013 E Maize Soil VWC'!$C$2:$C$4000=$AA35)*('2013 E Maize Soil VWC'!$E$2:$E$4000=$AB35)*('2013 E Maize Soil VWC'!$F$2:$F$4000=AU$5),'2013 E Maize Soil VWC'!$G$2:$G$4000)</f>
        <v>0.33980109887005649</v>
      </c>
      <c r="AV35" s="4" cm="1">
        <f t="array" ref="AV35">_xlfn.XLOOKUP(1,('2013 E Maize Soil VWC'!$C$2:$C$4000=$AA35)*('2013 E Maize Soil VWC'!$E$2:$E$4000=$AB35)*('2013 E Maize Soil VWC'!$F$2:$F$4000=AV$5),'2013 E Maize Soil VWC'!$G$2:$G$4000)</f>
        <v>0.3388108538135593</v>
      </c>
    </row>
    <row r="36" spans="25:64" x14ac:dyDescent="0.25">
      <c r="AA36" s="15">
        <f t="shared" si="5"/>
        <v>41445</v>
      </c>
      <c r="AB36" s="4">
        <f t="shared" si="6"/>
        <v>90</v>
      </c>
      <c r="AC36" s="4" cm="1">
        <f t="array" ref="AC36">_xlfn.XLOOKUP(1,('2013 E Maize Soil VWC'!$C$2:$C$4000=$AA36)*('2013 E Maize Soil VWC'!$E$2:$E$4000=$AB36)*('2013 E Maize Soil VWC'!$F$2:$F$4000=AC$5),'2013 E Maize Soil VWC'!$G$2:$G$4000)</f>
        <v>0.33968595409604518</v>
      </c>
      <c r="AD36" s="4" cm="1">
        <f t="array" ref="AD36">_xlfn.XLOOKUP(1,('2013 E Maize Soil VWC'!$C$2:$C$4000=$AA36)*('2013 E Maize Soil VWC'!$E$2:$E$4000=$AB36)*('2013 E Maize Soil VWC'!$F$2:$F$4000=AD$5),'2013 E Maize Soil VWC'!$G$2:$G$4000)</f>
        <v>0.3395477803672316</v>
      </c>
      <c r="AE36" s="4" cm="1">
        <f t="array" ref="AE36">_xlfn.XLOOKUP(1,('2013 E Maize Soil VWC'!$C$2:$C$4000=$AA36)*('2013 E Maize Soil VWC'!$E$2:$E$4000=$AB36)*('2013 E Maize Soil VWC'!$F$2:$F$4000=AE$5),'2013 E Maize Soil VWC'!$G$2:$G$4000)</f>
        <v>0.33871873799435026</v>
      </c>
      <c r="AF36" s="4" cm="1">
        <f t="array" ref="AF36">_xlfn.XLOOKUP(1,('2013 E Maize Soil VWC'!$C$2:$C$4000=$AA36)*('2013 E Maize Soil VWC'!$E$2:$E$4000=$AB36)*('2013 E Maize Soil VWC'!$F$2:$F$4000=AF$5),'2013 E Maize Soil VWC'!$G$2:$G$4000)</f>
        <v>0.33501107627118643</v>
      </c>
      <c r="AG36" s="4" cm="1">
        <f t="array" ref="AG36">_xlfn.XLOOKUP(1,('2013 E Maize Soil VWC'!$C$2:$C$4000=$AA36)*('2013 E Maize Soil VWC'!$E$2:$E$4000=$AB36)*('2013 E Maize Soil VWC'!$F$2:$F$4000=AG$5),'2013 E Maize Soil VWC'!$G$2:$G$4000)</f>
        <v>0.34346270268361584</v>
      </c>
      <c r="AH36" s="4" cm="1">
        <f t="array" ref="AH36">_xlfn.XLOOKUP(1,('2013 E Maize Soil VWC'!$C$2:$C$4000=$AA36)*('2013 E Maize Soil VWC'!$E$2:$E$4000=$AB36)*('2013 E Maize Soil VWC'!$F$2:$F$4000=AH$5),'2013 E Maize Soil VWC'!$G$2:$G$4000)</f>
        <v>0.33118826977401128</v>
      </c>
      <c r="AI36" s="4" cm="1">
        <f t="array" ref="AI36">_xlfn.XLOOKUP(1,('2013 E Maize Soil VWC'!$C$2:$C$4000=$AA36)*('2013 E Maize Soil VWC'!$E$2:$E$4000=$AB36)*('2013 E Maize Soil VWC'!$F$2:$F$4000=AI$5),'2013 E Maize Soil VWC'!$G$2:$G$4000)</f>
        <v>0.34581165607344633</v>
      </c>
      <c r="AJ36" s="4" cm="1">
        <f t="array" ref="AJ36">_xlfn.XLOOKUP(1,('2013 E Maize Soil VWC'!$C$2:$C$4000=$AA36)*('2013 E Maize Soil VWC'!$E$2:$E$4000=$AB36)*('2013 E Maize Soil VWC'!$F$2:$F$4000=AJ$5),'2013 E Maize Soil VWC'!$G$2:$G$4000)</f>
        <v>0.34129798093220337</v>
      </c>
      <c r="AK36" s="4" cm="1">
        <f t="array" ref="AK36">_xlfn.XLOOKUP(1,('2013 E Maize Soil VWC'!$C$2:$C$4000=$AA36)*('2013 E Maize Soil VWC'!$E$2:$E$4000=$AB36)*('2013 E Maize Soil VWC'!$F$2:$F$4000=AK$5),'2013 E Maize Soil VWC'!$G$2:$G$4000)</f>
        <v>0.33625463983050846</v>
      </c>
      <c r="AL36" s="4" cm="1">
        <f t="array" ref="AL36">_xlfn.XLOOKUP(1,('2013 E Maize Soil VWC'!$C$2:$C$4000=$AA36)*('2013 E Maize Soil VWC'!$E$2:$E$4000=$AB36)*('2013 E Maize Soil VWC'!$F$2:$F$4000=AL$5),'2013 E Maize Soil VWC'!$G$2:$G$4000)</f>
        <v>0.34092951765536716</v>
      </c>
      <c r="AM36" s="4" cm="1">
        <f t="array" ref="AM36">_xlfn.XLOOKUP(1,('2013 E Maize Soil VWC'!$C$2:$C$4000=$AA36)*('2013 E Maize Soil VWC'!$E$2:$E$4000=$AB36)*('2013 E Maize Soil VWC'!$F$2:$F$4000=AM$5),'2013 E Maize Soil VWC'!$G$2:$G$4000)</f>
        <v>0.34171250211864407</v>
      </c>
      <c r="AN36" s="4" cm="1">
        <f t="array" ref="AN36">_xlfn.XLOOKUP(1,('2013 E Maize Soil VWC'!$C$2:$C$4000=$AA36)*('2013 E Maize Soil VWC'!$E$2:$E$4000=$AB36)*('2013 E Maize Soil VWC'!$F$2:$F$4000=AN$5),'2013 E Maize Soil VWC'!$G$2:$G$4000)</f>
        <v>0.34256457344632768</v>
      </c>
      <c r="AO36" s="4" cm="1">
        <f t="array" ref="AO36">_xlfn.XLOOKUP(1,('2013 E Maize Soil VWC'!$C$2:$C$4000=$AA36)*('2013 E Maize Soil VWC'!$E$2:$E$4000=$AB36)*('2013 E Maize Soil VWC'!$F$2:$F$4000=AO$5),'2013 E Maize Soil VWC'!$G$2:$G$4000)</f>
        <v>0.33963989618644069</v>
      </c>
      <c r="AP36" s="4" cm="1">
        <f t="array" ref="AP36">_xlfn.XLOOKUP(1,('2013 E Maize Soil VWC'!$C$2:$C$4000=$AA36)*('2013 E Maize Soil VWC'!$E$2:$E$4000=$AB36)*('2013 E Maize Soil VWC'!$F$2:$F$4000=AP$5),'2013 E Maize Soil VWC'!$G$2:$G$4000)</f>
        <v>0.3350341052259887</v>
      </c>
      <c r="AQ36" s="4" cm="1">
        <f t="array" ref="AQ36">_xlfn.XLOOKUP(1,('2013 E Maize Soil VWC'!$C$2:$C$4000=$AA36)*('2013 E Maize Soil VWC'!$E$2:$E$4000=$AB36)*('2013 E Maize Soil VWC'!$F$2:$F$4000=AQ$5),'2013 E Maize Soil VWC'!$G$2:$G$4000)</f>
        <v>0.33081980649717513</v>
      </c>
      <c r="AR36" s="4" cm="1">
        <f t="array" ref="AR36">_xlfn.XLOOKUP(1,('2013 E Maize Soil VWC'!$C$2:$C$4000=$AA36)*('2013 E Maize Soil VWC'!$E$2:$E$4000=$AB36)*('2013 E Maize Soil VWC'!$F$2:$F$4000=AR$5),'2013 E Maize Soil VWC'!$G$2:$G$4000)</f>
        <v>0.33109615395480224</v>
      </c>
      <c r="AS36" s="4" cm="1">
        <f t="array" ref="AS36">_xlfn.XLOOKUP(1,('2013 E Maize Soil VWC'!$C$2:$C$4000=$AA36)*('2013 E Maize Soil VWC'!$E$2:$E$4000=$AB36)*('2013 E Maize Soil VWC'!$F$2:$F$4000=AS$5),'2013 E Maize Soil VWC'!$G$2:$G$4000)</f>
        <v>0.34756185663841804</v>
      </c>
      <c r="AT36" s="4" cm="1">
        <f t="array" ref="AT36">_xlfn.XLOOKUP(1,('2013 E Maize Soil VWC'!$C$2:$C$4000=$AA36)*('2013 E Maize Soil VWC'!$E$2:$E$4000=$AB36)*('2013 E Maize Soil VWC'!$F$2:$F$4000=AT$5),'2013 E Maize Soil VWC'!$G$2:$G$4000)</f>
        <v>0.33835027471751411</v>
      </c>
      <c r="AU36" s="4" cm="1">
        <f t="array" ref="AU36">_xlfn.XLOOKUP(1,('2013 E Maize Soil VWC'!$C$2:$C$4000=$AA36)*('2013 E Maize Soil VWC'!$E$2:$E$4000=$AB36)*('2013 E Maize Soil VWC'!$F$2:$F$4000=AU$5),'2013 E Maize Soil VWC'!$G$2:$G$4000)</f>
        <v>0.33818907203389825</v>
      </c>
      <c r="AV36" s="4" cm="1">
        <f t="array" ref="AV36">_xlfn.XLOOKUP(1,('2013 E Maize Soil VWC'!$C$2:$C$4000=$AA36)*('2013 E Maize Soil VWC'!$E$2:$E$4000=$AB36)*('2013 E Maize Soil VWC'!$F$2:$F$4000=AV$5),'2013 E Maize Soil VWC'!$G$2:$G$4000)</f>
        <v>0.33286938347457623</v>
      </c>
    </row>
    <row r="37" spans="25:64" x14ac:dyDescent="0.25">
      <c r="AA37" s="15">
        <f t="shared" si="5"/>
        <v>41445</v>
      </c>
      <c r="AB37" s="4">
        <f t="shared" si="6"/>
        <v>110</v>
      </c>
      <c r="AC37" s="4" cm="1">
        <f t="array" ref="AC37">_xlfn.XLOOKUP(1,('2013 E Maize Soil VWC'!$C$2:$C$4000=$AA37)*('2013 E Maize Soil VWC'!$E$2:$E$4000=$AB37)*('2013 E Maize Soil VWC'!$F$2:$F$4000=AC$5),'2013 E Maize Soil VWC'!$G$2:$G$4000)</f>
        <v>0.34166644420903952</v>
      </c>
      <c r="AD37" s="4" cm="1">
        <f t="array" ref="AD37">_xlfn.XLOOKUP(1,('2013 E Maize Soil VWC'!$C$2:$C$4000=$AA37)*('2013 E Maize Soil VWC'!$E$2:$E$4000=$AB37)*('2013 E Maize Soil VWC'!$F$2:$F$4000=AD$5),'2013 E Maize Soil VWC'!$G$2:$G$4000)</f>
        <v>0.33434323658192089</v>
      </c>
      <c r="AE37" s="4" cm="1">
        <f t="array" ref="AE37">_xlfn.XLOOKUP(1,('2013 E Maize Soil VWC'!$C$2:$C$4000=$AA37)*('2013 E Maize Soil VWC'!$E$2:$E$4000=$AB37)*('2013 E Maize Soil VWC'!$F$2:$F$4000=AE$5),'2013 E Maize Soil VWC'!$G$2:$G$4000)</f>
        <v>0.3283787372881356</v>
      </c>
      <c r="AF37" s="4" cm="1">
        <f t="array" ref="AF37">_xlfn.XLOOKUP(1,('2013 E Maize Soil VWC'!$C$2:$C$4000=$AA37)*('2013 E Maize Soil VWC'!$E$2:$E$4000=$AB37)*('2013 E Maize Soil VWC'!$F$2:$F$4000=AF$5),'2013 E Maize Soil VWC'!$G$2:$G$4000)</f>
        <v>0.33326087570621465</v>
      </c>
      <c r="AG37" s="4" cm="1">
        <f t="array" ref="AG37">_xlfn.XLOOKUP(1,('2013 E Maize Soil VWC'!$C$2:$C$4000=$AA37)*('2013 E Maize Soil VWC'!$E$2:$E$4000=$AB37)*('2013 E Maize Soil VWC'!$F$2:$F$4000=AG$5),'2013 E Maize Soil VWC'!$G$2:$G$4000)</f>
        <v>0.34194279166666663</v>
      </c>
      <c r="AH37" s="4" cm="1">
        <f t="array" ref="AH37">_xlfn.XLOOKUP(1,('2013 E Maize Soil VWC'!$C$2:$C$4000=$AA37)*('2013 E Maize Soil VWC'!$E$2:$E$4000=$AB37)*('2013 E Maize Soil VWC'!$F$2:$F$4000=AH$5),'2013 E Maize Soil VWC'!$G$2:$G$4000)</f>
        <v>0.32515468361581917</v>
      </c>
      <c r="AI37" s="4" cm="1">
        <f t="array" ref="AI37">_xlfn.XLOOKUP(1,('2013 E Maize Soil VWC'!$C$2:$C$4000=$AA37)*('2013 E Maize Soil VWC'!$E$2:$E$4000=$AB37)*('2013 E Maize Soil VWC'!$F$2:$F$4000=AI$5),'2013 E Maize Soil VWC'!$G$2:$G$4000)</f>
        <v>0.34454506355932202</v>
      </c>
      <c r="AJ37" s="4" cm="1">
        <f t="array" ref="AJ37">_xlfn.XLOOKUP(1,('2013 E Maize Soil VWC'!$C$2:$C$4000=$AA37)*('2013 E Maize Soil VWC'!$E$2:$E$4000=$AB37)*('2013 E Maize Soil VWC'!$F$2:$F$4000=AJ$5),'2013 E Maize Soil VWC'!$G$2:$G$4000)</f>
        <v>0.34263366031073444</v>
      </c>
      <c r="AK37" s="4" cm="1">
        <f t="array" ref="AK37">_xlfn.XLOOKUP(1,('2013 E Maize Soil VWC'!$C$2:$C$4000=$AA37)*('2013 E Maize Soil VWC'!$E$2:$E$4000=$AB37)*('2013 E Maize Soil VWC'!$F$2:$F$4000=AK$5),'2013 E Maize Soil VWC'!$G$2:$G$4000)</f>
        <v>0.33321481779661016</v>
      </c>
      <c r="AL37" s="4" cm="1">
        <f t="array" ref="AL37">_xlfn.XLOOKUP(1,('2013 E Maize Soil VWC'!$C$2:$C$4000=$AA37)*('2013 E Maize Soil VWC'!$E$2:$E$4000=$AB37)*('2013 E Maize Soil VWC'!$F$2:$F$4000=AL$5),'2013 E Maize Soil VWC'!$G$2:$G$4000)</f>
        <v>0.34106769138418075</v>
      </c>
      <c r="AM37" s="4" cm="1">
        <f t="array" ref="AM37">_xlfn.XLOOKUP(1,('2013 E Maize Soil VWC'!$C$2:$C$4000=$AA37)*('2013 E Maize Soil VWC'!$E$2:$E$4000=$AB37)*('2013 E Maize Soil VWC'!$F$2:$F$4000=AM$5),'2013 E Maize Soil VWC'!$G$2:$G$4000)</f>
        <v>0.33632372669491523</v>
      </c>
      <c r="AN37" s="4" cm="1">
        <f t="array" ref="AN37">_xlfn.XLOOKUP(1,('2013 E Maize Soil VWC'!$C$2:$C$4000=$AA37)*('2013 E Maize Soil VWC'!$E$2:$E$4000=$AB37)*('2013 E Maize Soil VWC'!$F$2:$F$4000=AN$5),'2013 E Maize Soil VWC'!$G$2:$G$4000)</f>
        <v>0.33989321468926553</v>
      </c>
      <c r="AO37" s="4" cm="1">
        <f t="array" ref="AO37">_xlfn.XLOOKUP(1,('2013 E Maize Soil VWC'!$C$2:$C$4000=$AA37)*('2013 E Maize Soil VWC'!$E$2:$E$4000=$AB37)*('2013 E Maize Soil VWC'!$F$2:$F$4000=AO$5),'2013 E Maize Soil VWC'!$G$2:$G$4000)</f>
        <v>0.34756185663841804</v>
      </c>
      <c r="AP37" s="4" cm="1">
        <f t="array" ref="AP37">_xlfn.XLOOKUP(1,('2013 E Maize Soil VWC'!$C$2:$C$4000=$AA37)*('2013 E Maize Soil VWC'!$E$2:$E$4000=$AB37)*('2013 E Maize Soil VWC'!$F$2:$F$4000=AP$5),'2013 E Maize Soil VWC'!$G$2:$G$4000)</f>
        <v>0.32713517372881351</v>
      </c>
      <c r="AQ37" s="4" cm="1">
        <f t="array" ref="AQ37">_xlfn.XLOOKUP(1,('2013 E Maize Soil VWC'!$C$2:$C$4000=$AA37)*('2013 E Maize Soil VWC'!$E$2:$E$4000=$AB37)*('2013 E Maize Soil VWC'!$F$2:$F$4000=AQ$5),'2013 E Maize Soil VWC'!$G$2:$G$4000)</f>
        <v>0.33102706709039548</v>
      </c>
      <c r="AR37" s="4" cm="1">
        <f t="array" ref="AR37">_xlfn.XLOOKUP(1,('2013 E Maize Soil VWC'!$C$2:$C$4000=$AA37)*('2013 E Maize Soil VWC'!$E$2:$E$4000=$AB37)*('2013 E Maize Soil VWC'!$F$2:$F$4000=AR$5),'2013 E Maize Soil VWC'!$G$2:$G$4000)</f>
        <v>0.33063557485875705</v>
      </c>
      <c r="AS37" s="4" cm="1">
        <f t="array" ref="AS37">_xlfn.XLOOKUP(1,('2013 E Maize Soil VWC'!$C$2:$C$4000=$AA37)*('2013 E Maize Soil VWC'!$E$2:$E$4000=$AB37)*('2013 E Maize Soil VWC'!$F$2:$F$4000=AS$5),'2013 E Maize Soil VWC'!$G$2:$G$4000)</f>
        <v>0.34530501906779659</v>
      </c>
      <c r="AT37" s="4" cm="1">
        <f t="array" ref="AT37">_xlfn.XLOOKUP(1,('2013 E Maize Soil VWC'!$C$2:$C$4000=$AA37)*('2013 E Maize Soil VWC'!$E$2:$E$4000=$AB37)*('2013 E Maize Soil VWC'!$F$2:$F$4000=AT$5),'2013 E Maize Soil VWC'!$G$2:$G$4000)</f>
        <v>0.34279486299435025</v>
      </c>
      <c r="AU37" s="4" cm="1">
        <f t="array" ref="AU37">_xlfn.XLOOKUP(1,('2013 E Maize Soil VWC'!$C$2:$C$4000=$AA37)*('2013 E Maize Soil VWC'!$E$2:$E$4000=$AB37)*('2013 E Maize Soil VWC'!$F$2:$F$4000=AU$5),'2013 E Maize Soil VWC'!$G$2:$G$4000)</f>
        <v>0.33756729025423726</v>
      </c>
      <c r="AV37" s="4" cm="1">
        <f t="array" ref="AV37">_xlfn.XLOOKUP(1,('2013 E Maize Soil VWC'!$C$2:$C$4000=$AA37)*('2013 E Maize Soil VWC'!$E$2:$E$4000=$AB37)*('2013 E Maize Soil VWC'!$F$2:$F$4000=AV$5),'2013 E Maize Soil VWC'!$G$2:$G$4000)</f>
        <v>0.33220154378531075</v>
      </c>
    </row>
    <row r="38" spans="25:64" x14ac:dyDescent="0.25">
      <c r="AA38" s="15">
        <f t="shared" si="5"/>
        <v>41445</v>
      </c>
      <c r="AB38" s="4">
        <f t="shared" si="6"/>
        <v>130</v>
      </c>
      <c r="AC38" s="4" cm="1">
        <f t="array" ref="AC38">_xlfn.XLOOKUP(1,('2013 E Maize Soil VWC'!$C$2:$C$4000=$AA38)*('2013 E Maize Soil VWC'!$E$2:$E$4000=$AB38)*('2013 E Maize Soil VWC'!$F$2:$F$4000=AC$5),'2013 E Maize Soil VWC'!$G$2:$G$4000)</f>
        <v>0.30817103813559321</v>
      </c>
      <c r="AD38" s="4" cm="1">
        <f t="array" ref="AD38">_xlfn.XLOOKUP(1,('2013 E Maize Soil VWC'!$C$2:$C$4000=$AA38)*('2013 E Maize Soil VWC'!$E$2:$E$4000=$AB38)*('2013 E Maize Soil VWC'!$F$2:$F$4000=AD$5),'2013 E Maize Soil VWC'!$G$2:$G$4000)</f>
        <v>0.309051938559322</v>
      </c>
      <c r="AE38" s="4" cm="1">
        <f t="array" ref="AE38">_xlfn.XLOOKUP(1,('2013 E Maize Soil VWC'!$C$2:$C$4000=$AA38)*('2013 E Maize Soil VWC'!$E$2:$E$4000=$AB38)*('2013 E Maize Soil VWC'!$F$2:$F$4000=AE$5),'2013 E Maize Soil VWC'!$G$2:$G$4000)</f>
        <v>0.30674202189265537</v>
      </c>
      <c r="AF38" s="4" cm="1">
        <f t="array" ref="AF38">_xlfn.XLOOKUP(1,('2013 E Maize Soil VWC'!$C$2:$C$4000=$AA38)*('2013 E Maize Soil VWC'!$E$2:$E$4000=$AB38)*('2013 E Maize Soil VWC'!$F$2:$F$4000=AF$5),'2013 E Maize Soil VWC'!$G$2:$G$4000)</f>
        <v>0.3035903559322034</v>
      </c>
      <c r="AG38" s="4" cm="1">
        <f t="array" ref="AG38">_xlfn.XLOOKUP(1,('2013 E Maize Soil VWC'!$C$2:$C$4000=$AA38)*('2013 E Maize Soil VWC'!$E$2:$E$4000=$AB38)*('2013 E Maize Soil VWC'!$F$2:$F$4000=AG$5),'2013 E Maize Soil VWC'!$G$2:$G$4000)</f>
        <v>0.31290832485875708</v>
      </c>
      <c r="AH38" s="4" cm="1">
        <f t="array" ref="AH38">_xlfn.XLOOKUP(1,('2013 E Maize Soil VWC'!$C$2:$C$4000=$AA38)*('2013 E Maize Soil VWC'!$E$2:$E$4000=$AB38)*('2013 E Maize Soil VWC'!$F$2:$F$4000=AH$5),'2013 E Maize Soil VWC'!$G$2:$G$4000)</f>
        <v>0.30306181567796614</v>
      </c>
      <c r="AI38" s="4" cm="1">
        <f t="array" ref="AI38">_xlfn.XLOOKUP(1,('2013 E Maize Soil VWC'!$C$2:$C$4000=$AA38)*('2013 E Maize Soil VWC'!$E$2:$E$4000=$AB38)*('2013 E Maize Soil VWC'!$F$2:$F$4000=AI$5),'2013 E Maize Soil VWC'!$G$2:$G$4000)</f>
        <v>0.314807154661017</v>
      </c>
      <c r="AJ38" s="4" cm="1">
        <f t="array" ref="AJ38">_xlfn.XLOOKUP(1,('2013 E Maize Soil VWC'!$C$2:$C$4000=$AA38)*('2013 E Maize Soil VWC'!$E$2:$E$4000=$AB38)*('2013 E Maize Soil VWC'!$F$2:$F$4000=AJ$5),'2013 E Maize Soil VWC'!$G$2:$G$4000)</f>
        <v>0.33958981991525428</v>
      </c>
      <c r="AK38" s="4" cm="1">
        <f t="array" ref="AK38">_xlfn.XLOOKUP(1,('2013 E Maize Soil VWC'!$C$2:$C$4000=$AA38)*('2013 E Maize Soil VWC'!$E$2:$E$4000=$AB38)*('2013 E Maize Soil VWC'!$F$2:$F$4000=AK$5),'2013 E Maize Soil VWC'!$G$2:$G$4000)</f>
        <v>0.30421677401129948</v>
      </c>
      <c r="AL38" s="4" cm="1">
        <f t="array" ref="AL38">_xlfn.XLOOKUP(1,('2013 E Maize Soil VWC'!$C$2:$C$4000=$AA38)*('2013 E Maize Soil VWC'!$E$2:$E$4000=$AB38)*('2013 E Maize Soil VWC'!$F$2:$F$4000=AL$5),'2013 E Maize Soil VWC'!$G$2:$G$4000)</f>
        <v>0.31042222810734466</v>
      </c>
      <c r="AM38" s="4" cm="1">
        <f t="array" ref="AM38">_xlfn.XLOOKUP(1,('2013 E Maize Soil VWC'!$C$2:$C$4000=$AA38)*('2013 E Maize Soil VWC'!$E$2:$E$4000=$AB38)*('2013 E Maize Soil VWC'!$F$2:$F$4000=AM$5),'2013 E Maize Soil VWC'!$G$2:$G$4000)</f>
        <v>0.30476488983050848</v>
      </c>
      <c r="AN38" s="4" cm="1">
        <f t="array" ref="AN38">_xlfn.XLOOKUP(1,('2013 E Maize Soil VWC'!$C$2:$C$4000=$AA38)*('2013 E Maize Soil VWC'!$E$2:$E$4000=$AB38)*('2013 E Maize Soil VWC'!$F$2:$F$4000=AN$5),'2013 E Maize Soil VWC'!$G$2:$G$4000)</f>
        <v>0.28732306144067798</v>
      </c>
      <c r="AO38" s="4" cm="1">
        <f t="array" ref="AO38">_xlfn.XLOOKUP(1,('2013 E Maize Soil VWC'!$C$2:$C$4000=$AA38)*('2013 E Maize Soil VWC'!$E$2:$E$4000=$AB38)*('2013 E Maize Soil VWC'!$F$2:$F$4000=AO$5),'2013 E Maize Soil VWC'!$G$2:$G$4000)</f>
        <v>0.32052321963276836</v>
      </c>
      <c r="AP38" s="4" cm="1">
        <f t="array" ref="AP38">_xlfn.XLOOKUP(1,('2013 E Maize Soil VWC'!$C$2:$C$4000=$AA38)*('2013 E Maize Soil VWC'!$E$2:$E$4000=$AB38)*('2013 E Maize Soil VWC'!$F$2:$F$4000=AP$5),'2013 E Maize Soil VWC'!$G$2:$G$4000)</f>
        <v>0.30965878107344635</v>
      </c>
      <c r="AQ38" s="4" cm="1">
        <f t="array" ref="AQ38">_xlfn.XLOOKUP(1,('2013 E Maize Soil VWC'!$C$2:$C$4000=$AA38)*('2013 E Maize Soil VWC'!$E$2:$E$4000=$AB38)*('2013 E Maize Soil VWC'!$F$2:$F$4000=AQ$5),'2013 E Maize Soil VWC'!$G$2:$G$4000)</f>
        <v>0.30133916596045202</v>
      </c>
      <c r="AR38" s="4" cm="1">
        <f t="array" ref="AR38">_xlfn.XLOOKUP(1,('2013 E Maize Soil VWC'!$C$2:$C$4000=$AA38)*('2013 E Maize Soil VWC'!$E$2:$E$4000=$AB38)*('2013 E Maize Soil VWC'!$F$2:$F$4000=AR$5),'2013 E Maize Soil VWC'!$G$2:$G$4000)</f>
        <v>0.29932288276836161</v>
      </c>
      <c r="AS38" s="4" cm="1">
        <f t="array" ref="AS38">_xlfn.XLOOKUP(1,('2013 E Maize Soil VWC'!$C$2:$C$4000=$AA38)*('2013 E Maize Soil VWC'!$E$2:$E$4000=$AB38)*('2013 E Maize Soil VWC'!$F$2:$F$4000=AS$5),'2013 E Maize Soil VWC'!$G$2:$G$4000)</f>
        <v>0.30836679378531073</v>
      </c>
      <c r="AT38" s="4" cm="1">
        <f t="array" ref="AT38">_xlfn.XLOOKUP(1,('2013 E Maize Soil VWC'!$C$2:$C$4000=$AA38)*('2013 E Maize Soil VWC'!$E$2:$E$4000=$AB38)*('2013 E Maize Soil VWC'!$F$2:$F$4000=AT$5),'2013 E Maize Soil VWC'!$G$2:$G$4000)</f>
        <v>0.30768164901129946</v>
      </c>
      <c r="AU38" s="4" cm="1">
        <f t="array" ref="AU38">_xlfn.XLOOKUP(1,('2013 E Maize Soil VWC'!$C$2:$C$4000=$AA38)*('2013 E Maize Soil VWC'!$E$2:$E$4000=$AB38)*('2013 E Maize Soil VWC'!$F$2:$F$4000=AU$5),'2013 E Maize Soil VWC'!$G$2:$G$4000)</f>
        <v>0.30599815042372885</v>
      </c>
      <c r="AV38" s="4" cm="1">
        <f t="array" ref="AV38">_xlfn.XLOOKUP(1,('2013 E Maize Soil VWC'!$C$2:$C$4000=$AA38)*('2013 E Maize Soil VWC'!$E$2:$E$4000=$AB38)*('2013 E Maize Soil VWC'!$F$2:$F$4000=AV$5),'2013 E Maize Soil VWC'!$G$2:$G$4000)</f>
        <v>0.30094765466101697</v>
      </c>
    </row>
    <row r="39" spans="25:64" x14ac:dyDescent="0.25">
      <c r="AA39" s="15">
        <f t="shared" si="5"/>
        <v>41445</v>
      </c>
      <c r="AB39" s="4">
        <f t="shared" si="6"/>
        <v>150</v>
      </c>
      <c r="AC39" s="4" cm="1">
        <f t="array" ref="AC39">_xlfn.XLOOKUP(1,('2013 E Maize Soil VWC'!$C$2:$C$4000=$AA39)*('2013 E Maize Soil VWC'!$E$2:$E$4000=$AB39)*('2013 E Maize Soil VWC'!$F$2:$F$4000=AC$5),'2013 E Maize Soil VWC'!$G$2:$G$4000)</f>
        <v>0.33637942725988701</v>
      </c>
      <c r="AD39" s="4" cm="1">
        <f t="array" ref="AD39">_xlfn.XLOOKUP(1,('2013 E Maize Soil VWC'!$C$2:$C$4000=$AA39)*('2013 E Maize Soil VWC'!$E$2:$E$4000=$AB39)*('2013 E Maize Soil VWC'!$F$2:$F$4000=AD$5),'2013 E Maize Soil VWC'!$G$2:$G$4000)</f>
        <v>0.33015439759887005</v>
      </c>
      <c r="AE39" s="4" cm="1">
        <f t="array" ref="AE39">_xlfn.XLOOKUP(1,('2013 E Maize Soil VWC'!$C$2:$C$4000=$AA39)*('2013 E Maize Soil VWC'!$E$2:$E$4000=$AB39)*('2013 E Maize Soil VWC'!$F$2:$F$4000=AE$5),'2013 E Maize Soil VWC'!$G$2:$G$4000)</f>
        <v>0.3133781384180791</v>
      </c>
      <c r="AF39" s="4" cm="1">
        <f t="array" ref="AF39">_xlfn.XLOOKUP(1,('2013 E Maize Soil VWC'!$C$2:$C$4000=$AA39)*('2013 E Maize Soil VWC'!$E$2:$E$4000=$AB39)*('2013 E Maize Soil VWC'!$F$2:$F$4000=AF$5),'2013 E Maize Soil VWC'!$G$2:$G$4000)</f>
        <v>0.30235709533898303</v>
      </c>
      <c r="AG39" s="4" cm="1">
        <f t="array" ref="AG39">_xlfn.XLOOKUP(1,('2013 E Maize Soil VWC'!$C$2:$C$4000=$AA39)*('2013 E Maize Soil VWC'!$E$2:$E$4000=$AB39)*('2013 E Maize Soil VWC'!$F$2:$F$4000=AG$5),'2013 E Maize Soil VWC'!$G$2:$G$4000)</f>
        <v>0.3552502718926554</v>
      </c>
      <c r="AH39" s="4" cm="1">
        <f t="array" ref="AH39">_xlfn.XLOOKUP(1,('2013 E Maize Soil VWC'!$C$2:$C$4000=$AA39)*('2013 E Maize Soil VWC'!$E$2:$E$4000=$AB39)*('2013 E Maize Soil VWC'!$F$2:$F$4000=AH$5),'2013 E Maize Soil VWC'!$G$2:$G$4000)</f>
        <v>0.34352450847457633</v>
      </c>
      <c r="AI39" s="4" cm="1">
        <f t="array" ref="AI39">_xlfn.XLOOKUP(1,('2013 E Maize Soil VWC'!$C$2:$C$4000=$AA39)*('2013 E Maize Soil VWC'!$E$2:$E$4000=$AB39)*('2013 E Maize Soil VWC'!$F$2:$F$4000=AI$5),'2013 E Maize Soil VWC'!$G$2:$G$4000)</f>
        <v>0.32755084745762714</v>
      </c>
      <c r="AJ39" s="4" cm="1">
        <f t="array" ref="AJ39">_xlfn.XLOOKUP(1,('2013 E Maize Soil VWC'!$C$2:$C$4000=$AA39)*('2013 E Maize Soil VWC'!$E$2:$E$4000=$AB39)*('2013 E Maize Soil VWC'!$F$2:$F$4000=AJ$5),'2013 E Maize Soil VWC'!$G$2:$G$4000)</f>
        <v>0.34023581355932203</v>
      </c>
      <c r="AK39" s="4" cm="1">
        <f t="array" ref="AK39">_xlfn.XLOOKUP(1,('2013 E Maize Soil VWC'!$C$2:$C$4000=$AA39)*('2013 E Maize Soil VWC'!$E$2:$E$4000=$AB39)*('2013 E Maize Soil VWC'!$F$2:$F$4000=AK$5),'2013 E Maize Soil VWC'!$G$2:$G$4000)</f>
        <v>0.33504828884180793</v>
      </c>
      <c r="AL39" s="4" cm="1">
        <f t="array" ref="AL39">_xlfn.XLOOKUP(1,('2013 E Maize Soil VWC'!$C$2:$C$4000=$AA39)*('2013 E Maize Soil VWC'!$E$2:$E$4000=$AB39)*('2013 E Maize Soil VWC'!$F$2:$F$4000=AL$5),'2013 E Maize Soil VWC'!$G$2:$G$4000)</f>
        <v>0.35247054166666675</v>
      </c>
      <c r="AM39" s="4" cm="1">
        <f t="array" ref="AM39">_xlfn.XLOOKUP(1,('2013 E Maize Soil VWC'!$C$2:$C$4000=$AA39)*('2013 E Maize Soil VWC'!$E$2:$E$4000=$AB39)*('2013 E Maize Soil VWC'!$F$2:$F$4000=AM$5),'2013 E Maize Soil VWC'!$G$2:$G$4000)</f>
        <v>0.33888509957627122</v>
      </c>
      <c r="AN39" s="4" cm="1">
        <f t="array" ref="AN39">_xlfn.XLOOKUP(1,('2013 E Maize Soil VWC'!$C$2:$C$4000=$AA39)*('2013 E Maize Soil VWC'!$E$2:$E$4000=$AB39)*('2013 E Maize Soil VWC'!$F$2:$F$4000=AN$5),'2013 E Maize Soil VWC'!$G$2:$G$4000)</f>
        <v>0.34522758262711861</v>
      </c>
      <c r="AO39" s="4" cm="1">
        <f t="array" ref="AO39">_xlfn.XLOOKUP(1,('2013 E Maize Soil VWC'!$C$2:$C$4000=$AA39)*('2013 E Maize Soil VWC'!$E$2:$E$4000=$AB39)*('2013 E Maize Soil VWC'!$F$2:$F$4000=AO$5),'2013 E Maize Soil VWC'!$G$2:$G$4000)</f>
        <v>0.31416116101694919</v>
      </c>
      <c r="AP39" s="4" cm="1">
        <f t="array" ref="AP39">_xlfn.XLOOKUP(1,('2013 E Maize Soil VWC'!$C$2:$C$4000=$AA39)*('2013 E Maize Soil VWC'!$E$2:$E$4000=$AB39)*('2013 E Maize Soil VWC'!$F$2:$F$4000=AP$5),'2013 E Maize Soil VWC'!$G$2:$G$4000)</f>
        <v>0.3052347033898305</v>
      </c>
      <c r="AQ39" s="4" cm="1">
        <f t="array" ref="AQ39">_xlfn.XLOOKUP(1,('2013 E Maize Soil VWC'!$C$2:$C$4000=$AA39)*('2013 E Maize Soil VWC'!$E$2:$E$4000=$AB39)*('2013 E Maize Soil VWC'!$F$2:$F$4000=AQ$5),'2013 E Maize Soil VWC'!$G$2:$G$4000)</f>
        <v>0.34139077189265532</v>
      </c>
      <c r="AR39" s="4" cm="1">
        <f t="array" ref="AR39">_xlfn.XLOOKUP(1,('2013 E Maize Soil VWC'!$C$2:$C$4000=$AA39)*('2013 E Maize Soil VWC'!$E$2:$E$4000=$AB39)*('2013 E Maize Soil VWC'!$F$2:$F$4000=AR$5),'2013 E Maize Soil VWC'!$G$2:$G$4000)</f>
        <v>0.32876453248587573</v>
      </c>
      <c r="AS39" s="4" cm="1">
        <f t="array" ref="AS39">_xlfn.XLOOKUP(1,('2013 E Maize Soil VWC'!$C$2:$C$4000=$AA39)*('2013 E Maize Soil VWC'!$E$2:$E$4000=$AB39)*('2013 E Maize Soil VWC'!$F$2:$F$4000=AS$5),'2013 E Maize Soil VWC'!$G$2:$G$4000)</f>
        <v>0.3246928149717514</v>
      </c>
      <c r="AT39" s="4" cm="1">
        <f t="array" ref="AT39">_xlfn.XLOOKUP(1,('2013 E Maize Soil VWC'!$C$2:$C$4000=$AA39)*('2013 E Maize Soil VWC'!$E$2:$E$4000=$AB39)*('2013 E Maize Soil VWC'!$F$2:$F$4000=AT$5),'2013 E Maize Soil VWC'!$G$2:$G$4000)</f>
        <v>0.3362815494350283</v>
      </c>
      <c r="AU39" s="4" cm="1">
        <f t="array" ref="AU39">_xlfn.XLOOKUP(1,('2013 E Maize Soil VWC'!$C$2:$C$4000=$AA39)*('2013 E Maize Soil VWC'!$E$2:$E$4000=$AB39)*('2013 E Maize Soil VWC'!$F$2:$F$4000=AU$5),'2013 E Maize Soil VWC'!$G$2:$G$4000)</f>
        <v>0.33056548446327683</v>
      </c>
      <c r="AV39" s="4" cm="1">
        <f t="array" ref="AV39">_xlfn.XLOOKUP(1,('2013 E Maize Soil VWC'!$C$2:$C$4000=$AA39)*('2013 E Maize Soil VWC'!$E$2:$E$4000=$AB39)*('2013 E Maize Soil VWC'!$F$2:$F$4000=AV$5),'2013 E Maize Soil VWC'!$G$2:$G$4000)</f>
        <v>0.34651956991525423</v>
      </c>
    </row>
    <row r="40" spans="25:64" x14ac:dyDescent="0.25">
      <c r="AA40" s="15">
        <f t="shared" si="5"/>
        <v>41445</v>
      </c>
      <c r="AB40" s="4">
        <f t="shared" si="6"/>
        <v>170</v>
      </c>
      <c r="AC40" s="4" cm="1">
        <f t="array" ref="AC40">_xlfn.XLOOKUP(1,('2013 E Maize Soil VWC'!$C$2:$C$4000=$AA40)*('2013 E Maize Soil VWC'!$E$2:$E$4000=$AB40)*('2013 E Maize Soil VWC'!$F$2:$F$4000=AC$5),'2013 E Maize Soil VWC'!$G$2:$G$4000)</f>
        <v>0.27626286723163845</v>
      </c>
      <c r="AD40" s="4" cm="1">
        <f t="array" ref="AD40">_xlfn.XLOOKUP(1,('2013 E Maize Soil VWC'!$C$2:$C$4000=$AA40)*('2013 E Maize Soil VWC'!$E$2:$E$4000=$AB40)*('2013 E Maize Soil VWC'!$F$2:$F$4000=AD$5),'2013 E Maize Soil VWC'!$G$2:$G$4000)</f>
        <v>0.27070340677966104</v>
      </c>
      <c r="AE40" s="4" cm="1">
        <f t="array" ref="AE40">_xlfn.XLOOKUP(1,('2013 E Maize Soil VWC'!$C$2:$C$4000=$AA40)*('2013 E Maize Soil VWC'!$E$2:$E$4000=$AB40)*('2013 E Maize Soil VWC'!$F$2:$F$4000=AE$5),'2013 E Maize Soil VWC'!$G$2:$G$4000)</f>
        <v>0.29317615536723168</v>
      </c>
      <c r="AF40" s="4" cm="1">
        <f t="array" ref="AF40">_xlfn.XLOOKUP(1,('2013 E Maize Soil VWC'!$C$2:$C$4000=$AA40)*('2013 E Maize Soil VWC'!$E$2:$E$4000=$AB40)*('2013 E Maize Soil VWC'!$F$2:$F$4000=AF$5),'2013 E Maize Soil VWC'!$G$2:$G$4000)</f>
        <v>0.29619079237288137</v>
      </c>
      <c r="AG40" s="4" cm="1">
        <f t="array" ref="AG40">_xlfn.XLOOKUP(1,('2013 E Maize Soil VWC'!$C$2:$C$4000=$AA40)*('2013 E Maize Soil VWC'!$E$2:$E$4000=$AB40)*('2013 E Maize Soil VWC'!$F$2:$F$4000=AG$5),'2013 E Maize Soil VWC'!$G$2:$G$4000)</f>
        <v>0.32187393361581923</v>
      </c>
      <c r="AH40" s="4" cm="1">
        <f t="array" ref="AH40">_xlfn.XLOOKUP(1,('2013 E Maize Soil VWC'!$C$2:$C$4000=$AA40)*('2013 E Maize Soil VWC'!$E$2:$E$4000=$AB40)*('2013 E Maize Soil VWC'!$F$2:$F$4000=AH$5),'2013 E Maize Soil VWC'!$G$2:$G$4000)</f>
        <v>0.32819684110169495</v>
      </c>
      <c r="AI40" s="4" cm="1">
        <f t="array" ref="AI40">_xlfn.XLOOKUP(1,('2013 E Maize Soil VWC'!$C$2:$C$4000=$AA40)*('2013 E Maize Soil VWC'!$E$2:$E$4000=$AB40)*('2013 E Maize Soil VWC'!$F$2:$F$4000=AI$5),'2013 E Maize Soil VWC'!$G$2:$G$4000)</f>
        <v>0.29996887641242942</v>
      </c>
      <c r="AJ40" s="4" cm="1">
        <f t="array" ref="AJ40">_xlfn.XLOOKUP(1,('2013 E Maize Soil VWC'!$C$2:$C$4000=$AA40)*('2013 E Maize Soil VWC'!$E$2:$E$4000=$AB40)*('2013 E Maize Soil VWC'!$F$2:$F$4000=AJ$5),'2013 E Maize Soil VWC'!$G$2:$G$4000)</f>
        <v>0.30883660734463275</v>
      </c>
      <c r="AK40" s="4" cm="1">
        <f t="array" ref="AK40">_xlfn.XLOOKUP(1,('2013 E Maize Soil VWC'!$C$2:$C$4000=$AA40)*('2013 E Maize Soil VWC'!$E$2:$E$4000=$AB40)*('2013 E Maize Soil VWC'!$F$2:$F$4000=AK$5),'2013 E Maize Soil VWC'!$G$2:$G$4000)</f>
        <v>0.2989509470338983</v>
      </c>
      <c r="AL40" s="4" cm="1">
        <f t="array" ref="AL40">_xlfn.XLOOKUP(1,('2013 E Maize Soil VWC'!$C$2:$C$4000=$AA40)*('2013 E Maize Soil VWC'!$E$2:$E$4000=$AB40)*('2013 E Maize Soil VWC'!$F$2:$F$4000=AL$5),'2013 E Maize Soil VWC'!$G$2:$G$4000)</f>
        <v>0.31251681355932204</v>
      </c>
      <c r="AM40" s="4" cm="1">
        <f t="array" ref="AM40">_xlfn.XLOOKUP(1,('2013 E Maize Soil VWC'!$C$2:$C$4000=$AA40)*('2013 E Maize Soil VWC'!$E$2:$E$4000=$AB40)*('2013 E Maize Soil VWC'!$F$2:$F$4000=AM$5),'2013 E Maize Soil VWC'!$G$2:$G$4000)</f>
        <v>0.32582819774011301</v>
      </c>
      <c r="AN40" s="4" cm="1">
        <f t="array" ref="AN40">_xlfn.XLOOKUP(1,('2013 E Maize Soil VWC'!$C$2:$C$4000=$AA40)*('2013 E Maize Soil VWC'!$E$2:$E$4000=$AB40)*('2013 E Maize Soil VWC'!$F$2:$F$4000=AN$5),'2013 E Maize Soil VWC'!$G$2:$G$4000)</f>
        <v>0.33273837217514124</v>
      </c>
      <c r="AO40" s="4" cm="1">
        <f t="array" ref="AO40">_xlfn.XLOOKUP(1,('2013 E Maize Soil VWC'!$C$2:$C$4000=$AA40)*('2013 E Maize Soil VWC'!$E$2:$E$4000=$AB40)*('2013 E Maize Soil VWC'!$F$2:$F$4000=AO$5),'2013 E Maize Soil VWC'!$G$2:$G$4000)</f>
        <v>0.30828849152542376</v>
      </c>
      <c r="AP40" s="4" cm="1">
        <f t="array" ref="AP40">_xlfn.XLOOKUP(1,('2013 E Maize Soil VWC'!$C$2:$C$4000=$AA40)*('2013 E Maize Soil VWC'!$E$2:$E$4000=$AB40)*('2013 E Maize Soil VWC'!$F$2:$F$4000=AP$5),'2013 E Maize Soil VWC'!$G$2:$G$4000)</f>
        <v>0.32064067302259891</v>
      </c>
      <c r="AQ40" s="4" cm="1">
        <f t="array" ref="AQ40">_xlfn.XLOOKUP(1,('2013 E Maize Soil VWC'!$C$2:$C$4000=$AA40)*('2013 E Maize Soil VWC'!$E$2:$E$4000=$AB40)*('2013 E Maize Soil VWC'!$F$2:$F$4000=AQ$5),'2013 E Maize Soil VWC'!$G$2:$G$4000)</f>
        <v>0.3314659604519774</v>
      </c>
      <c r="AR40" s="4" cm="1">
        <f t="array" ref="AR40">_xlfn.XLOOKUP(1,('2013 E Maize Soil VWC'!$C$2:$C$4000=$AA40)*('2013 E Maize Soil VWC'!$E$2:$E$4000=$AB40)*('2013 E Maize Soil VWC'!$F$2:$F$4000=AR$5),'2013 E Maize Soil VWC'!$G$2:$G$4000)</f>
        <v>0.32214799152542373</v>
      </c>
      <c r="AS40" s="4" cm="1">
        <f t="array" ref="AS40">_xlfn.XLOOKUP(1,('2013 E Maize Soil VWC'!$C$2:$C$4000=$AA40)*('2013 E Maize Soil VWC'!$E$2:$E$4000=$AB40)*('2013 E Maize Soil VWC'!$F$2:$F$4000=AS$5),'2013 E Maize Soil VWC'!$G$2:$G$4000)</f>
        <v>0.32363573446327687</v>
      </c>
      <c r="AT40" s="4" cm="1">
        <f t="array" ref="AT40">_xlfn.XLOOKUP(1,('2013 E Maize Soil VWC'!$C$2:$C$4000=$AA40)*('2013 E Maize Soil VWC'!$E$2:$E$4000=$AB40)*('2013 E Maize Soil VWC'!$F$2:$F$4000=AT$5),'2013 E Maize Soil VWC'!$G$2:$G$4000)</f>
        <v>0.33046760663841812</v>
      </c>
      <c r="AU40" s="4" cm="1">
        <f t="array" ref="AU40">_xlfn.XLOOKUP(1,('2013 E Maize Soil VWC'!$C$2:$C$4000=$AA40)*('2013 E Maize Soil VWC'!$E$2:$E$4000=$AB40)*('2013 E Maize Soil VWC'!$F$2:$F$4000=AU$5),'2013 E Maize Soil VWC'!$G$2:$G$4000)</f>
        <v>0.31251681355932204</v>
      </c>
      <c r="AV40" s="4" cm="1">
        <f t="array" ref="AV40">_xlfn.XLOOKUP(1,('2013 E Maize Soil VWC'!$C$2:$C$4000=$AA40)*('2013 E Maize Soil VWC'!$E$2:$E$4000=$AB40)*('2013 E Maize Soil VWC'!$F$2:$F$4000=AV$5),'2013 E Maize Soil VWC'!$G$2:$G$4000)</f>
        <v>0.32293101412429381</v>
      </c>
    </row>
    <row r="41" spans="25:64" x14ac:dyDescent="0.25">
      <c r="AA41" s="15">
        <f t="shared" si="5"/>
        <v>41445</v>
      </c>
      <c r="AB41" s="4">
        <f t="shared" si="6"/>
        <v>190</v>
      </c>
      <c r="AC41" s="4" cm="1">
        <f t="array" ref="AC41">_xlfn.XLOOKUP(1,('2013 E Maize Soil VWC'!$C$2:$C$4000=$AA41)*('2013 E Maize Soil VWC'!$E$2:$E$4000=$AB41)*('2013 E Maize Soil VWC'!$F$2:$F$4000=AC$5),'2013 E Maize Soil VWC'!$G$2:$G$4000)</f>
        <v>0.29309785310734465</v>
      </c>
      <c r="AD41" s="4" cm="1">
        <f t="array" ref="AD41">_xlfn.XLOOKUP(1,('2013 E Maize Soil VWC'!$C$2:$C$4000=$AA41)*('2013 E Maize Soil VWC'!$E$2:$E$4000=$AB41)*('2013 E Maize Soil VWC'!$F$2:$F$4000=AD$5),'2013 E Maize Soil VWC'!$G$2:$G$4000)</f>
        <v>0.2914535056497175</v>
      </c>
      <c r="AE41" s="4" cm="1">
        <f t="array" ref="AE41">_xlfn.XLOOKUP(1,('2013 E Maize Soil VWC'!$C$2:$C$4000=$AA41)*('2013 E Maize Soil VWC'!$E$2:$E$4000=$AB41)*('2013 E Maize Soil VWC'!$F$2:$F$4000=AE$5),'2013 E Maize Soil VWC'!$G$2:$G$4000)</f>
        <v>0.29437026483050849</v>
      </c>
      <c r="AF41" s="4" cm="1">
        <f t="array" ref="AF41">_xlfn.XLOOKUP(1,('2013 E Maize Soil VWC'!$C$2:$C$4000=$AA41)*('2013 E Maize Soil VWC'!$E$2:$E$4000=$AB41)*('2013 E Maize Soil VWC'!$F$2:$F$4000=AF$5),'2013 E Maize Soil VWC'!$G$2:$G$4000)</f>
        <v>0.29808962217514123</v>
      </c>
      <c r="AG41" s="4" cm="1">
        <f t="array" ref="AG41">_xlfn.XLOOKUP(1,('2013 E Maize Soil VWC'!$C$2:$C$4000=$AA41)*('2013 E Maize Soil VWC'!$E$2:$E$4000=$AB41)*('2013 E Maize Soil VWC'!$F$2:$F$4000=AG$5),'2013 E Maize Soil VWC'!$G$2:$G$4000)</f>
        <v>0.32512347740112996</v>
      </c>
      <c r="AH41" s="4" cm="1">
        <f t="array" ref="AH41">_xlfn.XLOOKUP(1,('2013 E Maize Soil VWC'!$C$2:$C$4000=$AA41)*('2013 E Maize Soil VWC'!$E$2:$E$4000=$AB41)*('2013 E Maize Soil VWC'!$F$2:$F$4000=AH$5),'2013 E Maize Soil VWC'!$G$2:$G$4000)</f>
        <v>0.33859146610169494</v>
      </c>
      <c r="AI41" s="4" cm="1">
        <f t="array" ref="AI41">_xlfn.XLOOKUP(1,('2013 E Maize Soil VWC'!$C$2:$C$4000=$AA41)*('2013 E Maize Soil VWC'!$E$2:$E$4000=$AB41)*('2013 E Maize Soil VWC'!$F$2:$F$4000=AI$5),'2013 E Maize Soil VWC'!$G$2:$G$4000)</f>
        <v>0.28616810310734464</v>
      </c>
      <c r="AJ41" s="4" cm="1">
        <f t="array" ref="AJ41">_xlfn.XLOOKUP(1,('2013 E Maize Soil VWC'!$C$2:$C$4000=$AA41)*('2013 E Maize Soil VWC'!$E$2:$E$4000=$AB41)*('2013 E Maize Soil VWC'!$F$2:$F$4000=AJ$5),'2013 E Maize Soil VWC'!$G$2:$G$4000)</f>
        <v>0.29859858686440677</v>
      </c>
      <c r="AK41" s="4" cm="1">
        <f t="array" ref="AK41">_xlfn.XLOOKUP(1,('2013 E Maize Soil VWC'!$C$2:$C$4000=$AA41)*('2013 E Maize Soil VWC'!$E$2:$E$4000=$AB41)*('2013 E Maize Soil VWC'!$F$2:$F$4000=AK$5),'2013 E Maize Soil VWC'!$G$2:$G$4000)</f>
        <v>0.29397875353107344</v>
      </c>
      <c r="AL41" s="4" cm="1">
        <f t="array" ref="AL41">_xlfn.XLOOKUP(1,('2013 E Maize Soil VWC'!$C$2:$C$4000=$AA41)*('2013 E Maize Soil VWC'!$E$2:$E$4000=$AB41)*('2013 E Maize Soil VWC'!$F$2:$F$4000=AL$5),'2013 E Maize Soil VWC'!$G$2:$G$4000)</f>
        <v>0.29942076059322037</v>
      </c>
      <c r="AM41" s="4" cm="1">
        <f t="array" ref="AM41">_xlfn.XLOOKUP(1,('2013 E Maize Soil VWC'!$C$2:$C$4000=$AA41)*('2013 E Maize Soil VWC'!$E$2:$E$4000=$AB41)*('2013 E Maize Soil VWC'!$F$2:$F$4000=AM$5),'2013 E Maize Soil VWC'!$G$2:$G$4000)</f>
        <v>0.30960005437853111</v>
      </c>
      <c r="AN41" s="4" cm="1">
        <f t="array" ref="AN41">_xlfn.XLOOKUP(1,('2013 E Maize Soil VWC'!$C$2:$C$4000=$AA41)*('2013 E Maize Soil VWC'!$E$2:$E$4000=$AB41)*('2013 E Maize Soil VWC'!$F$2:$F$4000=AN$5),'2013 E Maize Soil VWC'!$G$2:$G$4000)</f>
        <v>0.31236020903954803</v>
      </c>
      <c r="AO41" s="4" cm="1">
        <f t="array" ref="AO41">_xlfn.XLOOKUP(1,('2013 E Maize Soil VWC'!$C$2:$C$4000=$AA41)*('2013 E Maize Soil VWC'!$E$2:$E$4000=$AB41)*('2013 E Maize Soil VWC'!$F$2:$F$4000=AO$5),'2013 E Maize Soil VWC'!$G$2:$G$4000)</f>
        <v>0.30317926906779663</v>
      </c>
      <c r="AP41" s="4" cm="1">
        <f t="array" ref="AP41">_xlfn.XLOOKUP(1,('2013 E Maize Soil VWC'!$C$2:$C$4000=$AA41)*('2013 E Maize Soil VWC'!$E$2:$E$4000=$AB41)*('2013 E Maize Soil VWC'!$F$2:$F$4000=AP$5),'2013 E Maize Soil VWC'!$G$2:$G$4000)</f>
        <v>0.30335544915254237</v>
      </c>
      <c r="AQ41" s="4" cm="1">
        <f t="array" ref="AQ41">_xlfn.XLOOKUP(1,('2013 E Maize Soil VWC'!$C$2:$C$4000=$AA41)*('2013 E Maize Soil VWC'!$E$2:$E$4000=$AB41)*('2013 E Maize Soil VWC'!$F$2:$F$4000=AQ$5),'2013 E Maize Soil VWC'!$G$2:$G$4000)</f>
        <v>0.32757042302259887</v>
      </c>
      <c r="AR41" s="4" cm="1">
        <f t="array" ref="AR41">_xlfn.XLOOKUP(1,('2013 E Maize Soil VWC'!$C$2:$C$4000=$AA41)*('2013 E Maize Soil VWC'!$E$2:$E$4000=$AB41)*('2013 E Maize Soil VWC'!$F$2:$F$4000=AR$5),'2013 E Maize Soil VWC'!$G$2:$G$4000)</f>
        <v>0.31887887217514127</v>
      </c>
      <c r="AS41" s="4" cm="1">
        <f t="array" ref="AS41">_xlfn.XLOOKUP(1,('2013 E Maize Soil VWC'!$C$2:$C$4000=$AA41)*('2013 E Maize Soil VWC'!$E$2:$E$4000=$AB41)*('2013 E Maize Soil VWC'!$F$2:$F$4000=AS$5),'2013 E Maize Soil VWC'!$G$2:$G$4000)</f>
        <v>0.31895717443502825</v>
      </c>
      <c r="AT41" s="4" cm="1">
        <f t="array" ref="AT41">_xlfn.XLOOKUP(1,('2013 E Maize Soil VWC'!$C$2:$C$4000=$AA41)*('2013 E Maize Soil VWC'!$E$2:$E$4000=$AB41)*('2013 E Maize Soil VWC'!$F$2:$F$4000=AT$5),'2013 E Maize Soil VWC'!$G$2:$G$4000)</f>
        <v>0.31159676200564973</v>
      </c>
      <c r="AU41" s="4" cm="1">
        <f t="array" ref="AU41">_xlfn.XLOOKUP(1,('2013 E Maize Soil VWC'!$C$2:$C$4000=$AA41)*('2013 E Maize Soil VWC'!$E$2:$E$4000=$AB41)*('2013 E Maize Soil VWC'!$F$2:$F$4000=AU$5),'2013 E Maize Soil VWC'!$G$2:$G$4000)</f>
        <v>0.31083331497175143</v>
      </c>
      <c r="AV41" s="4" cm="1">
        <f t="array" ref="AV41">_xlfn.XLOOKUP(1,('2013 E Maize Soil VWC'!$C$2:$C$4000=$AA41)*('2013 E Maize Soil VWC'!$E$2:$E$4000=$AB41)*('2013 E Maize Soil VWC'!$F$2:$F$4000=AV$5),'2013 E Maize Soil VWC'!$G$2:$G$4000)</f>
        <v>0.30474531426553675</v>
      </c>
    </row>
    <row r="42" spans="25:64" x14ac:dyDescent="0.25">
      <c r="AA42" s="15">
        <f t="shared" si="5"/>
        <v>41445</v>
      </c>
      <c r="AB42" s="4">
        <f t="shared" si="6"/>
        <v>210</v>
      </c>
      <c r="AC42" s="4" cm="1">
        <f t="array" ref="AC42">_xlfn.XLOOKUP(1,('2013 E Maize Soil VWC'!$C$2:$C$4000=$AA42)*('2013 E Maize Soil VWC'!$E$2:$E$4000=$AB42)*('2013 E Maize Soil VWC'!$F$2:$F$4000=AC$5),'2013 E Maize Soil VWC'!$G$2:$G$4000)</f>
        <v>0.30362950706214692</v>
      </c>
      <c r="AD42" s="4" cm="1">
        <f t="array" ref="AD42">_xlfn.XLOOKUP(1,('2013 E Maize Soil VWC'!$C$2:$C$4000=$AA42)*('2013 E Maize Soil VWC'!$E$2:$E$4000=$AB42)*('2013 E Maize Soil VWC'!$F$2:$F$4000=AD$5),'2013 E Maize Soil VWC'!$G$2:$G$4000)</f>
        <v>0.29992972528248585</v>
      </c>
      <c r="AE42" s="4" cm="1">
        <f t="array" ref="AE42">_xlfn.XLOOKUP(1,('2013 E Maize Soil VWC'!$C$2:$C$4000=$AA42)*('2013 E Maize Soil VWC'!$E$2:$E$4000=$AB42)*('2013 E Maize Soil VWC'!$F$2:$F$4000=AE$5),'2013 E Maize Soil VWC'!$G$2:$G$4000)</f>
        <v>0.27536239124293782</v>
      </c>
      <c r="AF42" s="4" cm="1">
        <f t="array" ref="AF42">_xlfn.XLOOKUP(1,('2013 E Maize Soil VWC'!$C$2:$C$4000=$AA42)*('2013 E Maize Soil VWC'!$E$2:$E$4000=$AB42)*('2013 E Maize Soil VWC'!$F$2:$F$4000=AF$5),'2013 E Maize Soil VWC'!$G$2:$G$4000)</f>
        <v>0.29176671468926552</v>
      </c>
      <c r="AG42" s="4" t="e" cm="1">
        <f t="array" ref="AG42">_xlfn.XLOOKUP(1,('2013 E Maize Soil VWC'!$C$2:$C$4000=$AA42)*('2013 E Maize Soil VWC'!$E$2:$E$4000=$AB42)*('2013 E Maize Soil VWC'!$F$2:$F$4000=AG$5),'2013 E Maize Soil VWC'!$G$2:$G$4000)</f>
        <v>#N/A</v>
      </c>
      <c r="AH42" s="4" t="e" cm="1">
        <f t="array" ref="AH42">_xlfn.XLOOKUP(1,('2013 E Maize Soil VWC'!$C$2:$C$4000=$AA42)*('2013 E Maize Soil VWC'!$E$2:$E$4000=$AB42)*('2013 E Maize Soil VWC'!$F$2:$F$4000=AH$5),'2013 E Maize Soil VWC'!$G$2:$G$4000)</f>
        <v>#N/A</v>
      </c>
      <c r="AI42" s="4" cm="1">
        <f t="array" ref="AI42">_xlfn.XLOOKUP(1,('2013 E Maize Soil VWC'!$C$2:$C$4000=$AA42)*('2013 E Maize Soil VWC'!$E$2:$E$4000=$AB42)*('2013 E Maize Soil VWC'!$F$2:$F$4000=AI$5),'2013 E Maize Soil VWC'!$G$2:$G$4000)</f>
        <v>0.28507187146892654</v>
      </c>
      <c r="AJ42" s="4" cm="1">
        <f t="array" ref="AJ42">_xlfn.XLOOKUP(1,('2013 E Maize Soil VWC'!$C$2:$C$4000=$AA42)*('2013 E Maize Soil VWC'!$E$2:$E$4000=$AB42)*('2013 E Maize Soil VWC'!$F$2:$F$4000=AJ$5),'2013 E Maize Soil VWC'!$G$2:$G$4000)</f>
        <v>0.30223964194915254</v>
      </c>
      <c r="AK42" s="4" cm="1">
        <f t="array" ref="AK42">_xlfn.XLOOKUP(1,('2013 E Maize Soil VWC'!$C$2:$C$4000=$AA42)*('2013 E Maize Soil VWC'!$E$2:$E$4000=$AB42)*('2013 E Maize Soil VWC'!$F$2:$F$4000=AK$5),'2013 E Maize Soil VWC'!$G$2:$G$4000)</f>
        <v>0.30143704378531078</v>
      </c>
      <c r="AL42" s="4" cm="1">
        <f t="array" ref="AL42">_xlfn.XLOOKUP(1,('2013 E Maize Soil VWC'!$C$2:$C$4000=$AA42)*('2013 E Maize Soil VWC'!$E$2:$E$4000=$AB42)*('2013 E Maize Soil VWC'!$F$2:$F$4000=AL$5),'2013 E Maize Soil VWC'!$G$2:$G$4000)</f>
        <v>0.27307205014124292</v>
      </c>
      <c r="AM42" s="4" cm="1">
        <f t="array" ref="AM42">_xlfn.XLOOKUP(1,('2013 E Maize Soil VWC'!$C$2:$C$4000=$AA42)*('2013 E Maize Soil VWC'!$E$2:$E$4000=$AB42)*('2013 E Maize Soil VWC'!$F$2:$F$4000=AM$5),'2013 E Maize Soil VWC'!$G$2:$G$4000)</f>
        <v>0.30382526271186439</v>
      </c>
      <c r="AN42" s="4" cm="1">
        <f t="array" ref="AN42">_xlfn.XLOOKUP(1,('2013 E Maize Soil VWC'!$C$2:$C$4000=$AA42)*('2013 E Maize Soil VWC'!$E$2:$E$4000=$AB42)*('2013 E Maize Soil VWC'!$F$2:$F$4000=AN$5),'2013 E Maize Soil VWC'!$G$2:$G$4000)</f>
        <v>0.31071586158192094</v>
      </c>
      <c r="AO42" s="4" cm="1">
        <f t="array" ref="AO42">_xlfn.XLOOKUP(1,('2013 E Maize Soil VWC'!$C$2:$C$4000=$AA42)*('2013 E Maize Soil VWC'!$E$2:$E$4000=$AB42)*('2013 E Maize Soil VWC'!$F$2:$F$4000=AO$5),'2013 E Maize Soil VWC'!$G$2:$G$4000)</f>
        <v>0.30366865819209038</v>
      </c>
      <c r="AP42" s="4" cm="1">
        <f t="array" ref="AP42">_xlfn.XLOOKUP(1,('2013 E Maize Soil VWC'!$C$2:$C$4000=$AA42)*('2013 E Maize Soil VWC'!$E$2:$E$4000=$AB42)*('2013 E Maize Soil VWC'!$F$2:$F$4000=AP$5),'2013 E Maize Soil VWC'!$G$2:$G$4000)</f>
        <v>0.2749513043785311</v>
      </c>
      <c r="AQ42" s="4" t="e" cm="1">
        <f t="array" ref="AQ42">_xlfn.XLOOKUP(1,('2013 E Maize Soil VWC'!$C$2:$C$4000=$AA42)*('2013 E Maize Soil VWC'!$E$2:$E$4000=$AB42)*('2013 E Maize Soil VWC'!$F$2:$F$4000=AQ$5),'2013 E Maize Soil VWC'!$G$2:$G$4000)</f>
        <v>#N/A</v>
      </c>
      <c r="AR42" s="4" t="e" cm="1">
        <f t="array" ref="AR42">_xlfn.XLOOKUP(1,('2013 E Maize Soil VWC'!$C$2:$C$4000=$AA42)*('2013 E Maize Soil VWC'!$E$2:$E$4000=$AB42)*('2013 E Maize Soil VWC'!$F$2:$F$4000=AR$5),'2013 E Maize Soil VWC'!$G$2:$G$4000)</f>
        <v>#N/A</v>
      </c>
      <c r="AS42" s="4" cm="1">
        <f t="array" ref="AS42">_xlfn.XLOOKUP(1,('2013 E Maize Soil VWC'!$C$2:$C$4000=$AA42)*('2013 E Maize Soil VWC'!$E$2:$E$4000=$AB42)*('2013 E Maize Soil VWC'!$F$2:$F$4000=AS$5),'2013 E Maize Soil VWC'!$G$2:$G$4000)</f>
        <v>0.30797528248587575</v>
      </c>
      <c r="AT42" s="4" cm="1">
        <f t="array" ref="AT42">_xlfn.XLOOKUP(1,('2013 E Maize Soil VWC'!$C$2:$C$4000=$AA42)*('2013 E Maize Soil VWC'!$E$2:$E$4000=$AB42)*('2013 E Maize Soil VWC'!$F$2:$F$4000=AT$5),'2013 E Maize Soil VWC'!$G$2:$G$4000)</f>
        <v>0.30713353319209041</v>
      </c>
      <c r="AU42" s="4" cm="1">
        <f t="array" ref="AU42">_xlfn.XLOOKUP(1,('2013 E Maize Soil VWC'!$C$2:$C$4000=$AA42)*('2013 E Maize Soil VWC'!$E$2:$E$4000=$AB42)*('2013 E Maize Soil VWC'!$F$2:$F$4000=AU$5),'2013 E Maize Soil VWC'!$G$2:$G$4000)</f>
        <v>0.3005365677966102</v>
      </c>
      <c r="AV42" s="4" cm="1">
        <f t="array" ref="AV42">_xlfn.XLOOKUP(1,('2013 E Maize Soil VWC'!$C$2:$C$4000=$AA42)*('2013 E Maize Soil VWC'!$E$2:$E$4000=$AB42)*('2013 E Maize Soil VWC'!$F$2:$F$4000=AV$5),'2013 E Maize Soil VWC'!$G$2:$G$4000)</f>
        <v>0.30202431073446329</v>
      </c>
    </row>
    <row r="43" spans="25:64" x14ac:dyDescent="0.25">
      <c r="AA43" s="15">
        <f t="shared" si="5"/>
        <v>41445</v>
      </c>
      <c r="AB43" s="4">
        <f t="shared" si="6"/>
        <v>230</v>
      </c>
      <c r="AC43" s="4" cm="1">
        <f t="array" ref="AC43">_xlfn.XLOOKUP(1,('2013 E Maize Soil VWC'!$C$2:$C$4000=$AA43)*('2013 E Maize Soil VWC'!$E$2:$E$4000=$AB43)*('2013 E Maize Soil VWC'!$F$2:$F$4000=AC$5),'2013 E Maize Soil VWC'!$G$2:$G$4000)</f>
        <v>0.29652357697740112</v>
      </c>
      <c r="AD43" s="4" cm="1">
        <f t="array" ref="AD43">_xlfn.XLOOKUP(1,('2013 E Maize Soil VWC'!$C$2:$C$4000=$AA43)*('2013 E Maize Soil VWC'!$E$2:$E$4000=$AB43)*('2013 E Maize Soil VWC'!$F$2:$F$4000=AD$5),'2013 E Maize Soil VWC'!$G$2:$G$4000)</f>
        <v>0.30169152612994349</v>
      </c>
      <c r="AE43" s="4" cm="1">
        <f t="array" ref="AE43">_xlfn.XLOOKUP(1,('2013 E Maize Soil VWC'!$C$2:$C$4000=$AA43)*('2013 E Maize Soil VWC'!$E$2:$E$4000=$AB43)*('2013 E Maize Soil VWC'!$F$2:$F$4000=AE$5),'2013 E Maize Soil VWC'!$G$2:$G$4000)</f>
        <v>0.28990703601694917</v>
      </c>
      <c r="AF43" s="4" cm="1">
        <f t="array" ref="AF43">_xlfn.XLOOKUP(1,('2013 E Maize Soil VWC'!$C$2:$C$4000=$AA43)*('2013 E Maize Soil VWC'!$E$2:$E$4000=$AB43)*('2013 E Maize Soil VWC'!$F$2:$F$4000=AF$5),'2013 E Maize Soil VWC'!$G$2:$G$4000)</f>
        <v>0.2868728234463277</v>
      </c>
      <c r="AG43" s="4" t="e" cm="1">
        <f t="array" ref="AG43">_xlfn.XLOOKUP(1,('2013 E Maize Soil VWC'!$C$2:$C$4000=$AA43)*('2013 E Maize Soil VWC'!$E$2:$E$4000=$AB43)*('2013 E Maize Soil VWC'!$F$2:$F$4000=AG$5),'2013 E Maize Soil VWC'!$G$2:$G$4000)</f>
        <v>#N/A</v>
      </c>
      <c r="AH43" s="4" t="e" cm="1">
        <f t="array" ref="AH43">_xlfn.XLOOKUP(1,('2013 E Maize Soil VWC'!$C$2:$C$4000=$AA43)*('2013 E Maize Soil VWC'!$E$2:$E$4000=$AB43)*('2013 E Maize Soil VWC'!$F$2:$F$4000=AH$5),'2013 E Maize Soil VWC'!$G$2:$G$4000)</f>
        <v>#N/A</v>
      </c>
      <c r="AI43" s="4" cm="1">
        <f t="array" ref="AI43">_xlfn.XLOOKUP(1,('2013 E Maize Soil VWC'!$C$2:$C$4000=$AA43)*('2013 E Maize Soil VWC'!$E$2:$E$4000=$AB43)*('2013 E Maize Soil VWC'!$F$2:$F$4000=AI$5),'2013 E Maize Soil VWC'!$G$2:$G$4000)</f>
        <v>0.28608980084745761</v>
      </c>
      <c r="AJ43" s="4" cm="1">
        <f t="array" ref="AJ43">_xlfn.XLOOKUP(1,('2013 E Maize Soil VWC'!$C$2:$C$4000=$AA43)*('2013 E Maize Soil VWC'!$E$2:$E$4000=$AB43)*('2013 E Maize Soil VWC'!$F$2:$F$4000=AJ$5),'2013 E Maize Soil VWC'!$G$2:$G$4000)</f>
        <v>0.31134227966101696</v>
      </c>
      <c r="AK43" s="4" cm="1">
        <f t="array" ref="AK43">_xlfn.XLOOKUP(1,('2013 E Maize Soil VWC'!$C$2:$C$4000=$AA43)*('2013 E Maize Soil VWC'!$E$2:$E$4000=$AB43)*('2013 E Maize Soil VWC'!$F$2:$F$4000=AK$5),'2013 E Maize Soil VWC'!$G$2:$G$4000)</f>
        <v>0.30660499293785309</v>
      </c>
      <c r="AL43" s="4" cm="1">
        <f t="array" ref="AL43">_xlfn.XLOOKUP(1,('2013 E Maize Soil VWC'!$C$2:$C$4000=$AA43)*('2013 E Maize Soil VWC'!$E$2:$E$4000=$AB43)*('2013 E Maize Soil VWC'!$F$2:$F$4000=AL$5),'2013 E Maize Soil VWC'!$G$2:$G$4000)</f>
        <v>0.2723281786723164</v>
      </c>
      <c r="AM43" s="4" cm="1">
        <f t="array" ref="AM43">_xlfn.XLOOKUP(1,('2013 E Maize Soil VWC'!$C$2:$C$4000=$AA43)*('2013 E Maize Soil VWC'!$E$2:$E$4000=$AB43)*('2013 E Maize Soil VWC'!$F$2:$F$4000=AM$5),'2013 E Maize Soil VWC'!$G$2:$G$4000)</f>
        <v>0.29630824576271186</v>
      </c>
      <c r="AN43" s="4" cm="1">
        <f t="array" ref="AN43">_xlfn.XLOOKUP(1,('2013 E Maize Soil VWC'!$C$2:$C$4000=$AA43)*('2013 E Maize Soil VWC'!$E$2:$E$4000=$AB43)*('2013 E Maize Soil VWC'!$F$2:$F$4000=AN$5),'2013 E Maize Soil VWC'!$G$2:$G$4000)</f>
        <v>0.3024941242937853</v>
      </c>
      <c r="AO43" s="4" cm="1">
        <f t="array" ref="AO43">_xlfn.XLOOKUP(1,('2013 E Maize Soil VWC'!$C$2:$C$4000=$AA43)*('2013 E Maize Soil VWC'!$E$2:$E$4000=$AB43)*('2013 E Maize Soil VWC'!$F$2:$F$4000=AO$5),'2013 E Maize Soil VWC'!$G$2:$G$4000)</f>
        <v>0.29998845197740115</v>
      </c>
      <c r="AP43" s="4" cm="1">
        <f t="array" ref="AP43">_xlfn.XLOOKUP(1,('2013 E Maize Soil VWC'!$C$2:$C$4000=$AA43)*('2013 E Maize Soil VWC'!$E$2:$E$4000=$AB43)*('2013 E Maize Soil VWC'!$F$2:$F$4000=AP$5),'2013 E Maize Soil VWC'!$G$2:$G$4000)</f>
        <v>0.29172756355932206</v>
      </c>
      <c r="AQ43" s="4" t="e" cm="1">
        <f t="array" ref="AQ43">_xlfn.XLOOKUP(1,('2013 E Maize Soil VWC'!$C$2:$C$4000=$AA43)*('2013 E Maize Soil VWC'!$E$2:$E$4000=$AB43)*('2013 E Maize Soil VWC'!$F$2:$F$4000=AQ$5),'2013 E Maize Soil VWC'!$G$2:$G$4000)</f>
        <v>#N/A</v>
      </c>
      <c r="AR43" s="4" t="e" cm="1">
        <f t="array" ref="AR43">_xlfn.XLOOKUP(1,('2013 E Maize Soil VWC'!$C$2:$C$4000=$AA43)*('2013 E Maize Soil VWC'!$E$2:$E$4000=$AB43)*('2013 E Maize Soil VWC'!$F$2:$F$4000=AR$5),'2013 E Maize Soil VWC'!$G$2:$G$4000)</f>
        <v>#N/A</v>
      </c>
      <c r="AS43" s="4" cm="1">
        <f t="array" ref="AS43">_xlfn.XLOOKUP(1,('2013 E Maize Soil VWC'!$C$2:$C$4000=$AA43)*('2013 E Maize Soil VWC'!$E$2:$E$4000=$AB43)*('2013 E Maize Soil VWC'!$F$2:$F$4000=AS$5),'2013 E Maize Soil VWC'!$G$2:$G$4000)</f>
        <v>0.29965566737288141</v>
      </c>
      <c r="AT43" s="4" cm="1">
        <f t="array" ref="AT43">_xlfn.XLOOKUP(1,('2013 E Maize Soil VWC'!$C$2:$C$4000=$AA43)*('2013 E Maize Soil VWC'!$E$2:$E$4000=$AB43)*('2013 E Maize Soil VWC'!$F$2:$F$4000=AT$5),'2013 E Maize Soil VWC'!$G$2:$G$4000)</f>
        <v>0.30341417584745767</v>
      </c>
      <c r="AU43" s="4" cm="1">
        <f t="array" ref="AU43">_xlfn.XLOOKUP(1,('2013 E Maize Soil VWC'!$C$2:$C$4000=$AA43)*('2013 E Maize Soil VWC'!$E$2:$E$4000=$AB43)*('2013 E Maize Soil VWC'!$F$2:$F$4000=AU$5),'2013 E Maize Soil VWC'!$G$2:$G$4000)</f>
        <v>0.29442899152542373</v>
      </c>
      <c r="AV43" s="4" cm="1">
        <f t="array" ref="AV43">_xlfn.XLOOKUP(1,('2013 E Maize Soil VWC'!$C$2:$C$4000=$AA43)*('2013 E Maize Soil VWC'!$E$2:$E$4000=$AB43)*('2013 E Maize Soil VWC'!$F$2:$F$4000=AV$5),'2013 E Maize Soil VWC'!$G$2:$G$4000)</f>
        <v>0.30182855508474576</v>
      </c>
    </row>
    <row r="44" spans="25:64" x14ac:dyDescent="0.25">
      <c r="AA44" s="15"/>
    </row>
    <row r="45" spans="25:64" x14ac:dyDescent="0.25">
      <c r="Y45" s="4">
        <v>2013</v>
      </c>
      <c r="Z45" s="4">
        <v>176</v>
      </c>
      <c r="AA45" s="15">
        <f>DATE(Y45,1,Z45)</f>
        <v>41450</v>
      </c>
      <c r="AB45" s="4">
        <v>10</v>
      </c>
      <c r="AC45" s="4" cm="1">
        <f t="array" ref="AC45">_xlfn.XLOOKUP(1,('2013 E Maize Soil VWC'!$C$2:$C$4000=$AA45)*('2013 E Maize Soil VWC'!$E$2:$E$4000=$AB45)*('2013 E Maize Soil VWC'!$F$2:$F$4000=AC$5),'2013 E Maize Soil VWC'!$G$2:$G$4000)</f>
        <v>0.26782624848668279</v>
      </c>
      <c r="AD45" s="4" cm="1">
        <f t="array" ref="AD45">_xlfn.XLOOKUP(1,('2013 E Maize Soil VWC'!$C$2:$C$4000=$AA45)*('2013 E Maize Soil VWC'!$E$2:$E$4000=$AB45)*('2013 E Maize Soil VWC'!$F$2:$F$4000=AD$5),'2013 E Maize Soil VWC'!$G$2:$G$4000)</f>
        <v>0.25264434200968522</v>
      </c>
      <c r="AE45" s="4" cm="1">
        <f t="array" ref="AE45">_xlfn.XLOOKUP(1,('2013 E Maize Soil VWC'!$C$2:$C$4000=$AA45)*('2013 E Maize Soil VWC'!$E$2:$E$4000=$AB45)*('2013 E Maize Soil VWC'!$F$2:$F$4000=AE$5),'2013 E Maize Soil VWC'!$G$2:$G$4000)</f>
        <v>0.25671471337772395</v>
      </c>
      <c r="AF45" s="4" cm="1">
        <f t="array" ref="AF45">_xlfn.XLOOKUP(1,('2013 E Maize Soil VWC'!$C$2:$C$4000=$AA45)*('2013 E Maize Soil VWC'!$E$2:$E$4000=$AB45)*('2013 E Maize Soil VWC'!$F$2:$F$4000=AF$5),'2013 E Maize Soil VWC'!$G$2:$G$4000)</f>
        <v>0.22283996398305084</v>
      </c>
      <c r="AG45" s="4" cm="1">
        <f t="array" ref="AG45">_xlfn.XLOOKUP(1,('2013 E Maize Soil VWC'!$C$2:$C$4000=$AA45)*('2013 E Maize Soil VWC'!$E$2:$E$4000=$AB45)*('2013 E Maize Soil VWC'!$F$2:$F$4000=AG$5),'2013 E Maize Soil VWC'!$G$2:$G$4000)</f>
        <v>0.21718774213075059</v>
      </c>
      <c r="AH45" s="4" cm="1">
        <f t="array" ref="AH45">_xlfn.XLOOKUP(1,('2013 E Maize Soil VWC'!$C$2:$C$4000=$AA45)*('2013 E Maize Soil VWC'!$E$2:$E$4000=$AB45)*('2013 E Maize Soil VWC'!$F$2:$F$4000=AH$5),'2013 E Maize Soil VWC'!$G$2:$G$4000)</f>
        <v>0.20997296065375304</v>
      </c>
      <c r="AI45" s="4" cm="1">
        <f t="array" ref="AI45">_xlfn.XLOOKUP(1,('2013 E Maize Soil VWC'!$C$2:$C$4000=$AA45)*('2013 E Maize Soil VWC'!$E$2:$E$4000=$AB45)*('2013 E Maize Soil VWC'!$F$2:$F$4000=AI$5),'2013 E Maize Soil VWC'!$G$2:$G$4000)</f>
        <v>0.22882013044794186</v>
      </c>
      <c r="AJ45" s="4" cm="1">
        <f t="array" ref="AJ45">_xlfn.XLOOKUP(1,('2013 E Maize Soil VWC'!$C$2:$C$4000=$AA45)*('2013 E Maize Soil VWC'!$E$2:$E$4000=$AB45)*('2013 E Maize Soil VWC'!$F$2:$F$4000=AJ$5),'2013 E Maize Soil VWC'!$G$2:$G$4000)</f>
        <v>0.20856472790556901</v>
      </c>
      <c r="AK45" s="4" cm="1">
        <f t="array" ref="AK45">_xlfn.XLOOKUP(1,('2013 E Maize Soil VWC'!$C$2:$C$4000=$AA45)*('2013 E Maize Soil VWC'!$E$2:$E$4000=$AB45)*('2013 E Maize Soil VWC'!$F$2:$F$4000=AK$5),'2013 E Maize Soil VWC'!$G$2:$G$4000)</f>
        <v>0.22409386985472152</v>
      </c>
      <c r="AL45" s="4" cm="1">
        <f t="array" ref="AL45">_xlfn.XLOOKUP(1,('2013 E Maize Soil VWC'!$C$2:$C$4000=$AA45)*('2013 E Maize Soil VWC'!$E$2:$E$4000=$AB45)*('2013 E Maize Soil VWC'!$F$2:$F$4000=AL$5),'2013 E Maize Soil VWC'!$G$2:$G$4000)</f>
        <v>0.21234573638014526</v>
      </c>
      <c r="AM45" s="4" cm="1">
        <f t="array" ref="AM45">_xlfn.XLOOKUP(1,('2013 E Maize Soil VWC'!$C$2:$C$4000=$AA45)*('2013 E Maize Soil VWC'!$E$2:$E$4000=$AB45)*('2013 E Maize Soil VWC'!$F$2:$F$4000=AM$5),'2013 E Maize Soil VWC'!$G$2:$G$4000)</f>
        <v>0.21836448456416463</v>
      </c>
      <c r="AN45" s="4" cm="1">
        <f t="array" ref="AN45">_xlfn.XLOOKUP(1,('2013 E Maize Soil VWC'!$C$2:$C$4000=$AA45)*('2013 E Maize Soil VWC'!$E$2:$E$4000=$AB45)*('2013 E Maize Soil VWC'!$F$2:$F$4000=AN$5),'2013 E Maize Soil VWC'!$G$2:$G$4000)</f>
        <v>0.23993166555690071</v>
      </c>
      <c r="AO45" s="4" cm="1">
        <f t="array" ref="AO45">_xlfn.XLOOKUP(1,('2013 E Maize Soil VWC'!$C$2:$C$4000=$AA45)*('2013 E Maize Soil VWC'!$E$2:$E$4000=$AB45)*('2013 E Maize Soil VWC'!$F$2:$F$4000=AO$5),'2013 E Maize Soil VWC'!$G$2:$G$4000)</f>
        <v>0.23624711138014526</v>
      </c>
      <c r="AP45" s="4" cm="1">
        <f t="array" ref="AP45">_xlfn.XLOOKUP(1,('2013 E Maize Soil VWC'!$C$2:$C$4000=$AA45)*('2013 E Maize Soil VWC'!$E$2:$E$4000=$AB45)*('2013 E Maize Soil VWC'!$F$2:$F$4000=AP$5),'2013 E Maize Soil VWC'!$G$2:$G$4000)</f>
        <v>0.219927044188862</v>
      </c>
      <c r="AQ45" s="4" cm="1">
        <f t="array" ref="AQ45">_xlfn.XLOOKUP(1,('2013 E Maize Soil VWC'!$C$2:$C$4000=$AA45)*('2013 E Maize Soil VWC'!$E$2:$E$4000=$AB45)*('2013 E Maize Soil VWC'!$F$2:$F$4000=AQ$5),'2013 E Maize Soil VWC'!$G$2:$G$4000)</f>
        <v>0.20808245641646489</v>
      </c>
      <c r="AR45" s="4" cm="1">
        <f t="array" ref="AR45">_xlfn.XLOOKUP(1,('2013 E Maize Soil VWC'!$C$2:$C$4000=$AA45)*('2013 E Maize Soil VWC'!$E$2:$E$4000=$AB45)*('2013 E Maize Soil VWC'!$F$2:$F$4000=AR$5),'2013 E Maize Soil VWC'!$G$2:$G$4000)</f>
        <v>0.19762681053268766</v>
      </c>
      <c r="AS45" s="4" cm="1">
        <f t="array" ref="AS45">_xlfn.XLOOKUP(1,('2013 E Maize Soil VWC'!$C$2:$C$4000=$AA45)*('2013 E Maize Soil VWC'!$E$2:$E$4000=$AB45)*('2013 E Maize Soil VWC'!$F$2:$F$4000=AS$5),'2013 E Maize Soil VWC'!$G$2:$G$4000)</f>
        <v>0.22692962621065377</v>
      </c>
      <c r="AT45" s="4" cm="1">
        <f t="array" ref="AT45">_xlfn.XLOOKUP(1,('2013 E Maize Soil VWC'!$C$2:$C$4000=$AA45)*('2013 E Maize Soil VWC'!$E$2:$E$4000=$AB45)*('2013 E Maize Soil VWC'!$F$2:$F$4000=AT$5),'2013 E Maize Soil VWC'!$G$2:$G$4000)</f>
        <v>0.22361159836561745</v>
      </c>
      <c r="AU45" s="4" cm="1">
        <f t="array" ref="AU45">_xlfn.XLOOKUP(1,('2013 E Maize Soil VWC'!$C$2:$C$4000=$AA45)*('2013 E Maize Soil VWC'!$E$2:$E$4000=$AB45)*('2013 E Maize Soil VWC'!$F$2:$F$4000=AU$5),'2013 E Maize Soil VWC'!$G$2:$G$4000)</f>
        <v>0.20260385230024214</v>
      </c>
      <c r="AV45" s="4" cm="1">
        <f t="array" ref="AV45">_xlfn.XLOOKUP(1,('2013 E Maize Soil VWC'!$C$2:$C$4000=$AA45)*('2013 E Maize Soil VWC'!$E$2:$E$4000=$AB45)*('2013 E Maize Soil VWC'!$F$2:$F$4000=AV$5),'2013 E Maize Soil VWC'!$G$2:$G$4000)</f>
        <v>0.2106867224576271</v>
      </c>
      <c r="AW45" s="22">
        <f>Z45</f>
        <v>176</v>
      </c>
      <c r="AX45" s="20">
        <f>AA45</f>
        <v>41450</v>
      </c>
      <c r="AY45" s="4">
        <f>1400*AVERAGE(AG45:AH51)+100*AVERAGE(AG52:AH52)</f>
        <v>475.36297006658594</v>
      </c>
      <c r="AZ45" s="4">
        <f>1400*AVERAGE(AC45:AF51,AI45:AL51)+100*AVERAGE(AC52:AF52,AI52:AL52)</f>
        <v>488.56181724298824</v>
      </c>
      <c r="BA45" s="4">
        <f>1400*AVERAGE(AQ45:AR51)+100*AVERAGE(AQ52:AR52)</f>
        <v>460.79909353813565</v>
      </c>
      <c r="BB45" s="4">
        <f>1400*AVERAGE(AM45:AP51,AS45:AV51)+100*AVERAGE(AM52:AP52,AS52:AV52)</f>
        <v>481.37142112843003</v>
      </c>
      <c r="BC45" s="4">
        <f>AVERAGE(AC45:AD56)*2400</f>
        <v>761.10964965698145</v>
      </c>
      <c r="BD45" s="4">
        <f>AVERAGE(AE45:AF56)*2400</f>
        <v>743.99529146489101</v>
      </c>
      <c r="BE45" s="4">
        <f>AVERAGE(AG45:AH54)*2000</f>
        <v>643.64860396489098</v>
      </c>
      <c r="BF45" s="4">
        <f>AVERAGE(AI45:AJ56)*2400</f>
        <v>761.08424967715882</v>
      </c>
      <c r="BG45" s="4">
        <f>AVERAGE(AK45:AL56)*2400</f>
        <v>760.05022912631136</v>
      </c>
      <c r="BH45" s="4">
        <f>AVERAGE(AM45:AN56)*2400</f>
        <v>767.86329537933807</v>
      </c>
      <c r="BI45" s="4">
        <f>AVERAGE(AO45:AP56)*2400</f>
        <v>752.43745898910402</v>
      </c>
      <c r="BJ45" s="4">
        <f>AVERAGE(AQ45:AR54)*2000</f>
        <v>624.65771341807908</v>
      </c>
      <c r="BK45" s="4">
        <f>AVERAGE(AS45:AT56)*2400</f>
        <v>770.94408432203397</v>
      </c>
      <c r="BL45" s="4">
        <f>AVERAGE(AU45:AV56)*2400</f>
        <v>752.89624977804681</v>
      </c>
    </row>
    <row r="46" spans="25:64" x14ac:dyDescent="0.25">
      <c r="AA46" s="15">
        <f t="shared" ref="AA46:AA56" si="7">AA45</f>
        <v>41450</v>
      </c>
      <c r="AB46" s="4">
        <f t="shared" ref="AB46:AB56" si="8">AB45+20</f>
        <v>30</v>
      </c>
      <c r="AC46" s="4" cm="1">
        <f t="array" ref="AC46">_xlfn.XLOOKUP(1,('2013 E Maize Soil VWC'!$C$2:$C$4000=$AA46)*('2013 E Maize Soil VWC'!$E$2:$E$4000=$AB46)*('2013 E Maize Soil VWC'!$F$2:$F$4000=AC$5),'2013 E Maize Soil VWC'!$G$2:$G$4000)</f>
        <v>0.34733156709039548</v>
      </c>
      <c r="AD46" s="4" cm="1">
        <f t="array" ref="AD46">_xlfn.XLOOKUP(1,('2013 E Maize Soil VWC'!$C$2:$C$4000=$AA46)*('2013 E Maize Soil VWC'!$E$2:$E$4000=$AB46)*('2013 E Maize Soil VWC'!$F$2:$F$4000=AD$5),'2013 E Maize Soil VWC'!$G$2:$G$4000)</f>
        <v>0.33832724576271184</v>
      </c>
      <c r="AE46" s="4" cm="1">
        <f t="array" ref="AE46">_xlfn.XLOOKUP(1,('2013 E Maize Soil VWC'!$C$2:$C$4000=$AA46)*('2013 E Maize Soil VWC'!$E$2:$E$4000=$AB46)*('2013 E Maize Soil VWC'!$F$2:$F$4000=AE$5),'2013 E Maize Soil VWC'!$G$2:$G$4000)</f>
        <v>0.35361847175141242</v>
      </c>
      <c r="AF46" s="4" cm="1">
        <f t="array" ref="AF46">_xlfn.XLOOKUP(1,('2013 E Maize Soil VWC'!$C$2:$C$4000=$AA46)*('2013 E Maize Soil VWC'!$E$2:$E$4000=$AB46)*('2013 E Maize Soil VWC'!$F$2:$F$4000=AF$5),'2013 E Maize Soil VWC'!$G$2:$G$4000)</f>
        <v>0.32425655437853101</v>
      </c>
      <c r="AG46" s="4" cm="1">
        <f t="array" ref="AG46">_xlfn.XLOOKUP(1,('2013 E Maize Soil VWC'!$C$2:$C$4000=$AA46)*('2013 E Maize Soil VWC'!$E$2:$E$4000=$AB46)*('2013 E Maize Soil VWC'!$F$2:$F$4000=AG$5),'2013 E Maize Soil VWC'!$G$2:$G$4000)</f>
        <v>0.33190216737288131</v>
      </c>
      <c r="AH46" s="4" cm="1">
        <f t="array" ref="AH46">_xlfn.XLOOKUP(1,('2013 E Maize Soil VWC'!$C$2:$C$4000=$AA46)*('2013 E Maize Soil VWC'!$E$2:$E$4000=$AB46)*('2013 E Maize Soil VWC'!$F$2:$F$4000=AH$5),'2013 E Maize Soil VWC'!$G$2:$G$4000)</f>
        <v>0.32121673234463277</v>
      </c>
      <c r="AI46" s="4" cm="1">
        <f t="array" ref="AI46">_xlfn.XLOOKUP(1,('2013 E Maize Soil VWC'!$C$2:$C$4000=$AA46)*('2013 E Maize Soil VWC'!$E$2:$E$4000=$AB46)*('2013 E Maize Soil VWC'!$F$2:$F$4000=AI$5),'2013 E Maize Soil VWC'!$G$2:$G$4000)</f>
        <v>0.33993927259887002</v>
      </c>
      <c r="AJ46" s="4" cm="1">
        <f t="array" ref="AJ46">_xlfn.XLOOKUP(1,('2013 E Maize Soil VWC'!$C$2:$C$4000=$AA46)*('2013 E Maize Soil VWC'!$E$2:$E$4000=$AB46)*('2013 E Maize Soil VWC'!$F$2:$F$4000=AJ$5),'2013 E Maize Soil VWC'!$G$2:$G$4000)</f>
        <v>0.33422809180790958</v>
      </c>
      <c r="AK46" s="4" cm="1">
        <f t="array" ref="AK46">_xlfn.XLOOKUP(1,('2013 E Maize Soil VWC'!$C$2:$C$4000=$AA46)*('2013 E Maize Soil VWC'!$E$2:$E$4000=$AB46)*('2013 E Maize Soil VWC'!$F$2:$F$4000=AK$5),'2013 E Maize Soil VWC'!$G$2:$G$4000)</f>
        <v>0.35108528672316386</v>
      </c>
      <c r="AL46" s="4" cm="1">
        <f t="array" ref="AL46">_xlfn.XLOOKUP(1,('2013 E Maize Soil VWC'!$C$2:$C$4000=$AA46)*('2013 E Maize Soil VWC'!$E$2:$E$4000=$AB46)*('2013 E Maize Soil VWC'!$F$2:$F$4000=AL$5),'2013 E Maize Soil VWC'!$G$2:$G$4000)</f>
        <v>0.35219067655367231</v>
      </c>
      <c r="AM46" s="4" cm="1">
        <f t="array" ref="AM46">_xlfn.XLOOKUP(1,('2013 E Maize Soil VWC'!$C$2:$C$4000=$AA46)*('2013 E Maize Soil VWC'!$E$2:$E$4000=$AB46)*('2013 E Maize Soil VWC'!$F$2:$F$4000=AM$5),'2013 E Maize Soil VWC'!$G$2:$G$4000)</f>
        <v>0.33662310310734461</v>
      </c>
      <c r="AN46" s="4" cm="1">
        <f t="array" ref="AN46">_xlfn.XLOOKUP(1,('2013 E Maize Soil VWC'!$C$2:$C$4000=$AA46)*('2013 E Maize Soil VWC'!$E$2:$E$4000=$AB46)*('2013 E Maize Soil VWC'!$F$2:$F$4000=AN$5),'2013 E Maize Soil VWC'!$G$2:$G$4000)</f>
        <v>0.32766483968926552</v>
      </c>
      <c r="AO46" s="4" cm="1">
        <f t="array" ref="AO46">_xlfn.XLOOKUP(1,('2013 E Maize Soil VWC'!$C$2:$C$4000=$AA46)*('2013 E Maize Soil VWC'!$E$2:$E$4000=$AB46)*('2013 E Maize Soil VWC'!$F$2:$F$4000=AO$5),'2013 E Maize Soil VWC'!$G$2:$G$4000)</f>
        <v>0.33284635451977396</v>
      </c>
      <c r="AP46" s="4" cm="1">
        <f t="array" ref="AP46">_xlfn.XLOOKUP(1,('2013 E Maize Soil VWC'!$C$2:$C$4000=$AA46)*('2013 E Maize Soil VWC'!$E$2:$E$4000=$AB46)*('2013 E Maize Soil VWC'!$F$2:$F$4000=AP$5),'2013 E Maize Soil VWC'!$G$2:$G$4000)</f>
        <v>0.31976590819209039</v>
      </c>
      <c r="AQ46" s="4" cm="1">
        <f t="array" ref="AQ46">_xlfn.XLOOKUP(1,('2013 E Maize Soil VWC'!$C$2:$C$4000=$AA46)*('2013 E Maize Soil VWC'!$E$2:$E$4000=$AB46)*('2013 E Maize Soil VWC'!$F$2:$F$4000=AQ$5),'2013 E Maize Soil VWC'!$G$2:$G$4000)</f>
        <v>0.3230820776836158</v>
      </c>
      <c r="AR46" s="4" cm="1">
        <f t="array" ref="AR46">_xlfn.XLOOKUP(1,('2013 E Maize Soil VWC'!$C$2:$C$4000=$AA46)*('2013 E Maize Soil VWC'!$E$2:$E$4000=$AB46)*('2013 E Maize Soil VWC'!$F$2:$F$4000=AR$5),'2013 E Maize Soil VWC'!$G$2:$G$4000)</f>
        <v>0.31651882556497174</v>
      </c>
      <c r="AS46" s="4" cm="1">
        <f t="array" ref="AS46">_xlfn.XLOOKUP(1,('2013 E Maize Soil VWC'!$C$2:$C$4000=$AA46)*('2013 E Maize Soil VWC'!$E$2:$E$4000=$AB46)*('2013 E Maize Soil VWC'!$F$2:$F$4000=AS$5),'2013 E Maize Soil VWC'!$G$2:$G$4000)</f>
        <v>0.34187370480225987</v>
      </c>
      <c r="AT46" s="4" cm="1">
        <f t="array" ref="AT46">_xlfn.XLOOKUP(1,('2013 E Maize Soil VWC'!$C$2:$C$4000=$AA46)*('2013 E Maize Soil VWC'!$E$2:$E$4000=$AB46)*('2013 E Maize Soil VWC'!$F$2:$F$4000=AT$5),'2013 E Maize Soil VWC'!$G$2:$G$4000)</f>
        <v>0.34668675635593221</v>
      </c>
      <c r="AU46" s="4" cm="1">
        <f t="array" ref="AU46">_xlfn.XLOOKUP(1,('2013 E Maize Soil VWC'!$C$2:$C$4000=$AA46)*('2013 E Maize Soil VWC'!$E$2:$E$4000=$AB46)*('2013 E Maize Soil VWC'!$F$2:$F$4000=AU$5),'2013 E Maize Soil VWC'!$G$2:$G$4000)</f>
        <v>0.31290327966101694</v>
      </c>
      <c r="AV46" s="4" cm="1">
        <f t="array" ref="AV46">_xlfn.XLOOKUP(1,('2013 E Maize Soil VWC'!$C$2:$C$4000=$AA46)*('2013 E Maize Soil VWC'!$E$2:$E$4000=$AB46)*('2013 E Maize Soil VWC'!$F$2:$F$4000=AV$5),'2013 E Maize Soil VWC'!$G$2:$G$4000)</f>
        <v>0.34323241313559316</v>
      </c>
    </row>
    <row r="47" spans="25:64" x14ac:dyDescent="0.25">
      <c r="AA47" s="15">
        <f t="shared" si="7"/>
        <v>41450</v>
      </c>
      <c r="AB47" s="4">
        <f t="shared" si="8"/>
        <v>50</v>
      </c>
      <c r="AC47" s="4" cm="1">
        <f t="array" ref="AC47">_xlfn.XLOOKUP(1,('2013 E Maize Soil VWC'!$C$2:$C$4000=$AA47)*('2013 E Maize Soil VWC'!$E$2:$E$4000=$AB47)*('2013 E Maize Soil VWC'!$F$2:$F$4000=AC$5),'2013 E Maize Soil VWC'!$G$2:$G$4000)</f>
        <v>0.34894359392655366</v>
      </c>
      <c r="AD47" s="4" cm="1">
        <f t="array" ref="AD47">_xlfn.XLOOKUP(1,('2013 E Maize Soil VWC'!$C$2:$C$4000=$AA47)*('2013 E Maize Soil VWC'!$E$2:$E$4000=$AB47)*('2013 E Maize Soil VWC'!$F$2:$F$4000=AD$5),'2013 E Maize Soil VWC'!$G$2:$G$4000)</f>
        <v>0.36220827189265531</v>
      </c>
      <c r="AE47" s="4" cm="1">
        <f t="array" ref="AE47">_xlfn.XLOOKUP(1,('2013 E Maize Soil VWC'!$C$2:$C$4000=$AA47)*('2013 E Maize Soil VWC'!$E$2:$E$4000=$AB47)*('2013 E Maize Soil VWC'!$F$2:$F$4000=AE$5),'2013 E Maize Soil VWC'!$G$2:$G$4000)</f>
        <v>0.35792488629943497</v>
      </c>
      <c r="AF47" s="4" cm="1">
        <f t="array" ref="AF47">_xlfn.XLOOKUP(1,('2013 E Maize Soil VWC'!$C$2:$C$4000=$AA47)*('2013 E Maize Soil VWC'!$E$2:$E$4000=$AB47)*('2013 E Maize Soil VWC'!$F$2:$F$4000=AF$5),'2013 E Maize Soil VWC'!$G$2:$G$4000)</f>
        <v>0.34641040889830504</v>
      </c>
      <c r="AG47" s="4" cm="1">
        <f t="array" ref="AG47">_xlfn.XLOOKUP(1,('2013 E Maize Soil VWC'!$C$2:$C$4000=$AA47)*('2013 E Maize Soil VWC'!$E$2:$E$4000=$AB47)*('2013 E Maize Soil VWC'!$F$2:$F$4000=AG$5),'2013 E Maize Soil VWC'!$G$2:$G$4000)</f>
        <v>0.33887994067796612</v>
      </c>
      <c r="AH47" s="4" cm="1">
        <f t="array" ref="AH47">_xlfn.XLOOKUP(1,('2013 E Maize Soil VWC'!$C$2:$C$4000=$AA47)*('2013 E Maize Soil VWC'!$E$2:$E$4000=$AB47)*('2013 E Maize Soil VWC'!$F$2:$F$4000=AH$5),'2013 E Maize Soil VWC'!$G$2:$G$4000)</f>
        <v>0.34562742443502825</v>
      </c>
      <c r="AI47" s="4" cm="1">
        <f t="array" ref="AI47">_xlfn.XLOOKUP(1,('2013 E Maize Soil VWC'!$C$2:$C$4000=$AA47)*('2013 E Maize Soil VWC'!$E$2:$E$4000=$AB47)*('2013 E Maize Soil VWC'!$F$2:$F$4000=AI$5),'2013 E Maize Soil VWC'!$G$2:$G$4000)</f>
        <v>0.3632906327683616</v>
      </c>
      <c r="AJ47" s="4" cm="1">
        <f t="array" ref="AJ47">_xlfn.XLOOKUP(1,('2013 E Maize Soil VWC'!$C$2:$C$4000=$AA47)*('2013 E Maize Soil VWC'!$E$2:$E$4000=$AB47)*('2013 E Maize Soil VWC'!$F$2:$F$4000=AJ$5),'2013 E Maize Soil VWC'!$G$2:$G$4000)</f>
        <v>0.34740065395480224</v>
      </c>
      <c r="AK47" s="4" cm="1">
        <f t="array" ref="AK47">_xlfn.XLOOKUP(1,('2013 E Maize Soil VWC'!$C$2:$C$4000=$AA47)*('2013 E Maize Soil VWC'!$E$2:$E$4000=$AB47)*('2013 E Maize Soil VWC'!$F$2:$F$4000=AK$5),'2013 E Maize Soil VWC'!$G$2:$G$4000)</f>
        <v>0.35944479731638418</v>
      </c>
      <c r="AL47" s="4" cm="1">
        <f t="array" ref="AL47">_xlfn.XLOOKUP(1,('2013 E Maize Soil VWC'!$C$2:$C$4000=$AA47)*('2013 E Maize Soil VWC'!$E$2:$E$4000=$AB47)*('2013 E Maize Soil VWC'!$F$2:$F$4000=AL$5),'2013 E Maize Soil VWC'!$G$2:$G$4000)</f>
        <v>0.3691169583333333</v>
      </c>
      <c r="AM47" s="4" cm="1">
        <f t="array" ref="AM47">_xlfn.XLOOKUP(1,('2013 E Maize Soil VWC'!$C$2:$C$4000=$AA47)*('2013 E Maize Soil VWC'!$E$2:$E$4000=$AB47)*('2013 E Maize Soil VWC'!$F$2:$F$4000=AM$5),'2013 E Maize Soil VWC'!$G$2:$G$4000)</f>
        <v>0.35787882838983048</v>
      </c>
      <c r="AN47" s="4" cm="1">
        <f t="array" ref="AN47">_xlfn.XLOOKUP(1,('2013 E Maize Soil VWC'!$C$2:$C$4000=$AA47)*('2013 E Maize Soil VWC'!$E$2:$E$4000=$AB47)*('2013 E Maize Soil VWC'!$F$2:$F$4000=AN$5),'2013 E Maize Soil VWC'!$G$2:$G$4000)</f>
        <v>0.34910479661016947</v>
      </c>
      <c r="AO47" s="4" cm="1">
        <f t="array" ref="AO47">_xlfn.XLOOKUP(1,('2013 E Maize Soil VWC'!$C$2:$C$4000=$AA47)*('2013 E Maize Soil VWC'!$E$2:$E$4000=$AB47)*('2013 E Maize Soil VWC'!$F$2:$F$4000=AO$5),'2013 E Maize Soil VWC'!$G$2:$G$4000)</f>
        <v>0.34965749152542369</v>
      </c>
      <c r="AP47" s="4" cm="1">
        <f t="array" ref="AP47">_xlfn.XLOOKUP(1,('2013 E Maize Soil VWC'!$C$2:$C$4000=$AA47)*('2013 E Maize Soil VWC'!$E$2:$E$4000=$AB47)*('2013 E Maize Soil VWC'!$F$2:$F$4000=AP$5),'2013 E Maize Soil VWC'!$G$2:$G$4000)</f>
        <v>0.35516141172316384</v>
      </c>
      <c r="AQ47" s="4" cm="1">
        <f t="array" ref="AQ47">_xlfn.XLOOKUP(1,('2013 E Maize Soil VWC'!$C$2:$C$4000=$AA47)*('2013 E Maize Soil VWC'!$E$2:$E$4000=$AB47)*('2013 E Maize Soil VWC'!$F$2:$F$4000=AQ$5),'2013 E Maize Soil VWC'!$G$2:$G$4000)</f>
        <v>0.33167187782485874</v>
      </c>
      <c r="AR47" s="4" cm="1">
        <f t="array" ref="AR47">_xlfn.XLOOKUP(1,('2013 E Maize Soil VWC'!$C$2:$C$4000=$AA47)*('2013 E Maize Soil VWC'!$E$2:$E$4000=$AB47)*('2013 E Maize Soil VWC'!$F$2:$F$4000=AR$5),'2013 E Maize Soil VWC'!$G$2:$G$4000)</f>
        <v>0.33901811440677959</v>
      </c>
      <c r="AS47" s="4" cm="1">
        <f t="array" ref="AS47">_xlfn.XLOOKUP(1,('2013 E Maize Soil VWC'!$C$2:$C$4000=$AA47)*('2013 E Maize Soil VWC'!$E$2:$E$4000=$AB47)*('2013 E Maize Soil VWC'!$F$2:$F$4000=AS$5),'2013 E Maize Soil VWC'!$G$2:$G$4000)</f>
        <v>0.36646862853107343</v>
      </c>
      <c r="AT47" s="4" cm="1">
        <f t="array" ref="AT47">_xlfn.XLOOKUP(1,('2013 E Maize Soil VWC'!$C$2:$C$4000=$AA47)*('2013 E Maize Soil VWC'!$E$2:$E$4000=$AB47)*('2013 E Maize Soil VWC'!$F$2:$F$4000=AT$5),'2013 E Maize Soil VWC'!$G$2:$G$4000)</f>
        <v>0.354378427259887</v>
      </c>
      <c r="AU47" s="4" cm="1">
        <f t="array" ref="AU47">_xlfn.XLOOKUP(1,('2013 E Maize Soil VWC'!$C$2:$C$4000=$AA47)*('2013 E Maize Soil VWC'!$E$2:$E$4000=$AB47)*('2013 E Maize Soil VWC'!$F$2:$F$4000=AU$5),'2013 E Maize Soil VWC'!$G$2:$G$4000)</f>
        <v>0.34445294774011298</v>
      </c>
      <c r="AV47" s="4" cm="1">
        <f t="array" ref="AV47">_xlfn.XLOOKUP(1,('2013 E Maize Soil VWC'!$C$2:$C$4000=$AA47)*('2013 E Maize Soil VWC'!$E$2:$E$4000=$AB47)*('2013 E Maize Soil VWC'!$F$2:$F$4000=AV$5),'2013 E Maize Soil VWC'!$G$2:$G$4000)</f>
        <v>0.35801700211864407</v>
      </c>
    </row>
    <row r="48" spans="25:64" x14ac:dyDescent="0.25">
      <c r="AA48" s="15">
        <f t="shared" si="7"/>
        <v>41450</v>
      </c>
      <c r="AB48" s="4">
        <f t="shared" si="8"/>
        <v>70</v>
      </c>
      <c r="AC48" s="4" cm="1">
        <f t="array" ref="AC48">_xlfn.XLOOKUP(1,('2013 E Maize Soil VWC'!$C$2:$C$4000=$AA48)*('2013 E Maize Soil VWC'!$E$2:$E$4000=$AB48)*('2013 E Maize Soil VWC'!$F$2:$F$4000=AC$5),'2013 E Maize Soil VWC'!$G$2:$G$4000)</f>
        <v>0.34677887217514125</v>
      </c>
      <c r="AD48" s="4" cm="1">
        <f t="array" ref="AD48">_xlfn.XLOOKUP(1,('2013 E Maize Soil VWC'!$C$2:$C$4000=$AA48)*('2013 E Maize Soil VWC'!$E$2:$E$4000=$AB48)*('2013 E Maize Soil VWC'!$F$2:$F$4000=AD$5),'2013 E Maize Soil VWC'!$G$2:$G$4000)</f>
        <v>0.35327303742937849</v>
      </c>
      <c r="AE48" s="4" cm="1">
        <f t="array" ref="AE48">_xlfn.XLOOKUP(1,('2013 E Maize Soil VWC'!$C$2:$C$4000=$AA48)*('2013 E Maize Soil VWC'!$E$2:$E$4000=$AB48)*('2013 E Maize Soil VWC'!$F$2:$F$4000=AE$5),'2013 E Maize Soil VWC'!$G$2:$G$4000)</f>
        <v>0.3499338389830508</v>
      </c>
      <c r="AF48" s="4" cm="1">
        <f t="array" ref="AF48">_xlfn.XLOOKUP(1,('2013 E Maize Soil VWC'!$C$2:$C$4000=$AA48)*('2013 E Maize Soil VWC'!$E$2:$E$4000=$AB48)*('2013 E Maize Soil VWC'!$F$2:$F$4000=AF$5),'2013 E Maize Soil VWC'!$G$2:$G$4000)</f>
        <v>0.34000835946327684</v>
      </c>
      <c r="AG48" s="4" cm="1">
        <f t="array" ref="AG48">_xlfn.XLOOKUP(1,('2013 E Maize Soil VWC'!$C$2:$C$4000=$AA48)*('2013 E Maize Soil VWC'!$E$2:$E$4000=$AB48)*('2013 E Maize Soil VWC'!$F$2:$F$4000=AG$5),'2013 E Maize Soil VWC'!$G$2:$G$4000)</f>
        <v>0.34233428389830506</v>
      </c>
      <c r="AH48" s="4" cm="1">
        <f t="array" ref="AH48">_xlfn.XLOOKUP(1,('2013 E Maize Soil VWC'!$C$2:$C$4000=$AA48)*('2013 E Maize Soil VWC'!$E$2:$E$4000=$AB48)*('2013 E Maize Soil VWC'!$F$2:$F$4000=AH$5),'2013 E Maize Soil VWC'!$G$2:$G$4000)</f>
        <v>0.3365079583333333</v>
      </c>
      <c r="AI48" s="4" cm="1">
        <f t="array" ref="AI48">_xlfn.XLOOKUP(1,('2013 E Maize Soil VWC'!$C$2:$C$4000=$AA48)*('2013 E Maize Soil VWC'!$E$2:$E$4000=$AB48)*('2013 E Maize Soil VWC'!$F$2:$F$4000=AI$5),'2013 E Maize Soil VWC'!$G$2:$G$4000)</f>
        <v>0.35258216878531068</v>
      </c>
      <c r="AJ48" s="4" cm="1">
        <f t="array" ref="AJ48">_xlfn.XLOOKUP(1,('2013 E Maize Soil VWC'!$C$2:$C$4000=$AA48)*('2013 E Maize Soil VWC'!$E$2:$E$4000=$AB48)*('2013 E Maize Soil VWC'!$F$2:$F$4000=AJ$5),'2013 E Maize Soil VWC'!$G$2:$G$4000)</f>
        <v>0.3425876024011299</v>
      </c>
      <c r="AK48" s="4" cm="1">
        <f t="array" ref="AK48">_xlfn.XLOOKUP(1,('2013 E Maize Soil VWC'!$C$2:$C$4000=$AA48)*('2013 E Maize Soil VWC'!$E$2:$E$4000=$AB48)*('2013 E Maize Soil VWC'!$F$2:$F$4000=AK$5),'2013 E Maize Soil VWC'!$G$2:$G$4000)</f>
        <v>0.34537410593220341</v>
      </c>
      <c r="AL48" s="4" cm="1">
        <f t="array" ref="AL48">_xlfn.XLOOKUP(1,('2013 E Maize Soil VWC'!$C$2:$C$4000=$AA48)*('2013 E Maize Soil VWC'!$E$2:$E$4000=$AB48)*('2013 E Maize Soil VWC'!$F$2:$F$4000=AL$5),'2013 E Maize Soil VWC'!$G$2:$G$4000)</f>
        <v>0.355529875</v>
      </c>
      <c r="AM48" s="4" cm="1">
        <f t="array" ref="AM48">_xlfn.XLOOKUP(1,('2013 E Maize Soil VWC'!$C$2:$C$4000=$AA48)*('2013 E Maize Soil VWC'!$E$2:$E$4000=$AB48)*('2013 E Maize Soil VWC'!$F$2:$F$4000=AM$5),'2013 E Maize Soil VWC'!$G$2:$G$4000)</f>
        <v>0.35336515324858753</v>
      </c>
      <c r="AN48" s="4" cm="1">
        <f t="array" ref="AN48">_xlfn.XLOOKUP(1,('2013 E Maize Soil VWC'!$C$2:$C$4000=$AA48)*('2013 E Maize Soil VWC'!$E$2:$E$4000=$AB48)*('2013 E Maize Soil VWC'!$F$2:$F$4000=AN$5),'2013 E Maize Soil VWC'!$G$2:$G$4000)</f>
        <v>0.34456809251412424</v>
      </c>
      <c r="AO48" s="4" cm="1">
        <f t="array" ref="AO48">_xlfn.XLOOKUP(1,('2013 E Maize Soil VWC'!$C$2:$C$4000=$AA48)*('2013 E Maize Soil VWC'!$E$2:$E$4000=$AB48)*('2013 E Maize Soil VWC'!$F$2:$F$4000=AO$5),'2013 E Maize Soil VWC'!$G$2:$G$4000)</f>
        <v>0.34415357132768359</v>
      </c>
      <c r="AP48" s="4" cm="1">
        <f t="array" ref="AP48">_xlfn.XLOOKUP(1,('2013 E Maize Soil VWC'!$C$2:$C$4000=$AA48)*('2013 E Maize Soil VWC'!$E$2:$E$4000=$AB48)*('2013 E Maize Soil VWC'!$F$2:$F$4000=AP$5),'2013 E Maize Soil VWC'!$G$2:$G$4000)</f>
        <v>0.34622617725988697</v>
      </c>
      <c r="AQ48" s="4" cm="1">
        <f t="array" ref="AQ48">_xlfn.XLOOKUP(1,('2013 E Maize Soil VWC'!$C$2:$C$4000=$AA48)*('2013 E Maize Soil VWC'!$E$2:$E$4000=$AB48)*('2013 E Maize Soil VWC'!$F$2:$F$4000=AQ$5),'2013 E Maize Soil VWC'!$G$2:$G$4000)</f>
        <v>0.33137250141242941</v>
      </c>
      <c r="AR48" s="4" cm="1">
        <f t="array" ref="AR48">_xlfn.XLOOKUP(1,('2013 E Maize Soil VWC'!$C$2:$C$4000=$AA48)*('2013 E Maize Soil VWC'!$E$2:$E$4000=$AB48)*('2013 E Maize Soil VWC'!$F$2:$F$4000=AR$5),'2013 E Maize Soil VWC'!$G$2:$G$4000)</f>
        <v>0.32462501765536722</v>
      </c>
      <c r="AS48" s="4" cm="1">
        <f t="array" ref="AS48">_xlfn.XLOOKUP(1,('2013 E Maize Soil VWC'!$C$2:$C$4000=$AA48)*('2013 E Maize Soil VWC'!$E$2:$E$4000=$AB48)*('2013 E Maize Soil VWC'!$F$2:$F$4000=AS$5),'2013 E Maize Soil VWC'!$G$2:$G$4000)</f>
        <v>0.34636435098870055</v>
      </c>
      <c r="AT48" s="4" cm="1">
        <f t="array" ref="AT48">_xlfn.XLOOKUP(1,('2013 E Maize Soil VWC'!$C$2:$C$4000=$AA48)*('2013 E Maize Soil VWC'!$E$2:$E$4000=$AB48)*('2013 E Maize Soil VWC'!$F$2:$F$4000=AT$5),'2013 E Maize Soil VWC'!$G$2:$G$4000)</f>
        <v>0.34297909463276832</v>
      </c>
      <c r="AU48" s="4" cm="1">
        <f t="array" ref="AU48">_xlfn.XLOOKUP(1,('2013 E Maize Soil VWC'!$C$2:$C$4000=$AA48)*('2013 E Maize Soil VWC'!$E$2:$E$4000=$AB48)*('2013 E Maize Soil VWC'!$F$2:$F$4000=AU$5),'2013 E Maize Soil VWC'!$G$2:$G$4000)</f>
        <v>0.34210399435028249</v>
      </c>
      <c r="AV48" s="4" cm="1">
        <f t="array" ref="AV48">_xlfn.XLOOKUP(1,('2013 E Maize Soil VWC'!$C$2:$C$4000=$AA48)*('2013 E Maize Soil VWC'!$E$2:$E$4000=$AB48)*('2013 E Maize Soil VWC'!$F$2:$F$4000=AV$5),'2013 E Maize Soil VWC'!$G$2:$G$4000)</f>
        <v>0.34051499646892652</v>
      </c>
    </row>
    <row r="49" spans="25:64" x14ac:dyDescent="0.25">
      <c r="AA49" s="15">
        <f t="shared" si="7"/>
        <v>41450</v>
      </c>
      <c r="AB49" s="4">
        <f t="shared" si="8"/>
        <v>90</v>
      </c>
      <c r="AC49" s="4" cm="1">
        <f t="array" ref="AC49">_xlfn.XLOOKUP(1,('2013 E Maize Soil VWC'!$C$2:$C$4000=$AA49)*('2013 E Maize Soil VWC'!$E$2:$E$4000=$AB49)*('2013 E Maize Soil VWC'!$F$2:$F$4000=AC$5),'2013 E Maize Soil VWC'!$G$2:$G$4000)</f>
        <v>0.34267971822033899</v>
      </c>
      <c r="AD49" s="4" cm="1">
        <f t="array" ref="AD49">_xlfn.XLOOKUP(1,('2013 E Maize Soil VWC'!$C$2:$C$4000=$AA49)*('2013 E Maize Soil VWC'!$E$2:$E$4000=$AB49)*('2013 E Maize Soil VWC'!$F$2:$F$4000=AD$5),'2013 E Maize Soil VWC'!$G$2:$G$4000)</f>
        <v>0.34827575423728813</v>
      </c>
      <c r="AE49" s="4" cm="1">
        <f t="array" ref="AE49">_xlfn.XLOOKUP(1,('2013 E Maize Soil VWC'!$C$2:$C$4000=$AA49)*('2013 E Maize Soil VWC'!$E$2:$E$4000=$AB49)*('2013 E Maize Soil VWC'!$F$2:$F$4000=AE$5),'2013 E Maize Soil VWC'!$G$2:$G$4000)</f>
        <v>0.33639281355932205</v>
      </c>
      <c r="AF49" s="4" cm="1">
        <f t="array" ref="AF49">_xlfn.XLOOKUP(1,('2013 E Maize Soil VWC'!$C$2:$C$4000=$AA49)*('2013 E Maize Soil VWC'!$E$2:$E$4000=$AB49)*('2013 E Maize Soil VWC'!$F$2:$F$4000=AF$5),'2013 E Maize Soil VWC'!$G$2:$G$4000)</f>
        <v>0.34115980720338984</v>
      </c>
      <c r="AG49" s="4" cm="1">
        <f t="array" ref="AG49">_xlfn.XLOOKUP(1,('2013 E Maize Soil VWC'!$C$2:$C$4000=$AA49)*('2013 E Maize Soil VWC'!$E$2:$E$4000=$AB49)*('2013 E Maize Soil VWC'!$F$2:$F$4000=AG$5),'2013 E Maize Soil VWC'!$G$2:$G$4000)</f>
        <v>0.34191976271186442</v>
      </c>
      <c r="AH49" s="4" cm="1">
        <f t="array" ref="AH49">_xlfn.XLOOKUP(1,('2013 E Maize Soil VWC'!$C$2:$C$4000=$AA49)*('2013 E Maize Soil VWC'!$E$2:$E$4000=$AB49)*('2013 E Maize Soil VWC'!$F$2:$F$4000=AH$5),'2013 E Maize Soil VWC'!$G$2:$G$4000)</f>
        <v>0.32803330296610167</v>
      </c>
      <c r="AI49" s="4" cm="1">
        <f t="array" ref="AI49">_xlfn.XLOOKUP(1,('2013 E Maize Soil VWC'!$C$2:$C$4000=$AA49)*('2013 E Maize Soil VWC'!$E$2:$E$4000=$AB49)*('2013 E Maize Soil VWC'!$F$2:$F$4000=AI$5),'2013 E Maize Soil VWC'!$G$2:$G$4000)</f>
        <v>0.34767700141242935</v>
      </c>
      <c r="AJ49" s="4" cm="1">
        <f t="array" ref="AJ49">_xlfn.XLOOKUP(1,('2013 E Maize Soil VWC'!$C$2:$C$4000=$AA49)*('2013 E Maize Soil VWC'!$E$2:$E$4000=$AB49)*('2013 E Maize Soil VWC'!$F$2:$F$4000=AJ$5),'2013 E Maize Soil VWC'!$G$2:$G$4000)</f>
        <v>0.34081437288135591</v>
      </c>
      <c r="AK49" s="4" cm="1">
        <f t="array" ref="AK49">_xlfn.XLOOKUP(1,('2013 E Maize Soil VWC'!$C$2:$C$4000=$AA49)*('2013 E Maize Soil VWC'!$E$2:$E$4000=$AB49)*('2013 E Maize Soil VWC'!$F$2:$F$4000=AK$5),'2013 E Maize Soil VWC'!$G$2:$G$4000)</f>
        <v>0.34261063135593217</v>
      </c>
      <c r="AL49" s="4" cm="1">
        <f t="array" ref="AL49">_xlfn.XLOOKUP(1,('2013 E Maize Soil VWC'!$C$2:$C$4000=$AA49)*('2013 E Maize Soil VWC'!$E$2:$E$4000=$AB49)*('2013 E Maize Soil VWC'!$F$2:$F$4000=AL$5),'2013 E Maize Soil VWC'!$G$2:$G$4000)</f>
        <v>0.34493655579096039</v>
      </c>
      <c r="AM49" s="4" cm="1">
        <f t="array" ref="AM49">_xlfn.XLOOKUP(1,('2013 E Maize Soil VWC'!$C$2:$C$4000=$AA49)*('2013 E Maize Soil VWC'!$E$2:$E$4000=$AB49)*('2013 E Maize Soil VWC'!$F$2:$F$4000=AM$5),'2013 E Maize Soil VWC'!$G$2:$G$4000)</f>
        <v>0.34608800353107338</v>
      </c>
      <c r="AN49" s="4" cm="1">
        <f t="array" ref="AN49">_xlfn.XLOOKUP(1,('2013 E Maize Soil VWC'!$C$2:$C$4000=$AA49)*('2013 E Maize Soil VWC'!$E$2:$E$4000=$AB49)*('2013 E Maize Soil VWC'!$F$2:$F$4000=AN$5),'2013 E Maize Soil VWC'!$G$2:$G$4000)</f>
        <v>0.34390025282485875</v>
      </c>
      <c r="AO49" s="4" cm="1">
        <f t="array" ref="AO49">_xlfn.XLOOKUP(1,('2013 E Maize Soil VWC'!$C$2:$C$4000=$AA49)*('2013 E Maize Soil VWC'!$E$2:$E$4000=$AB49)*('2013 E Maize Soil VWC'!$F$2:$F$4000=AO$5),'2013 E Maize Soil VWC'!$G$2:$G$4000)</f>
        <v>0.34327847104519771</v>
      </c>
      <c r="AP49" s="4" cm="1">
        <f t="array" ref="AP49">_xlfn.XLOOKUP(1,('2013 E Maize Soil VWC'!$C$2:$C$4000=$AA49)*('2013 E Maize Soil VWC'!$E$2:$E$4000=$AB49)*('2013 E Maize Soil VWC'!$F$2:$F$4000=AP$5),'2013 E Maize Soil VWC'!$G$2:$G$4000)</f>
        <v>0.33514924999999995</v>
      </c>
      <c r="AQ49" s="4" cm="1">
        <f t="array" ref="AQ49">_xlfn.XLOOKUP(1,('2013 E Maize Soil VWC'!$C$2:$C$4000=$AA49)*('2013 E Maize Soil VWC'!$E$2:$E$4000=$AB49)*('2013 E Maize Soil VWC'!$F$2:$F$4000=AQ$5),'2013 E Maize Soil VWC'!$G$2:$G$4000)</f>
        <v>0.32688185522598867</v>
      </c>
      <c r="AR49" s="4" cm="1">
        <f t="array" ref="AR49">_xlfn.XLOOKUP(1,('2013 E Maize Soil VWC'!$C$2:$C$4000=$AA49)*('2013 E Maize Soil VWC'!$E$2:$E$4000=$AB49)*('2013 E Maize Soil VWC'!$F$2:$F$4000=AR$5),'2013 E Maize Soil VWC'!$G$2:$G$4000)</f>
        <v>0.32374991737288134</v>
      </c>
      <c r="AS49" s="4" cm="1">
        <f t="array" ref="AS49">_xlfn.XLOOKUP(1,('2013 E Maize Soil VWC'!$C$2:$C$4000=$AA49)*('2013 E Maize Soil VWC'!$E$2:$E$4000=$AB49)*('2013 E Maize Soil VWC'!$F$2:$F$4000=AS$5),'2013 E Maize Soil VWC'!$G$2:$G$4000)</f>
        <v>0.34645646680790959</v>
      </c>
      <c r="AT49" s="4" cm="1">
        <f t="array" ref="AT49">_xlfn.XLOOKUP(1,('2013 E Maize Soil VWC'!$C$2:$C$4000=$AA49)*('2013 E Maize Soil VWC'!$E$2:$E$4000=$AB49)*('2013 E Maize Soil VWC'!$F$2:$F$4000=AT$5),'2013 E Maize Soil VWC'!$G$2:$G$4000)</f>
        <v>0.34129798093220337</v>
      </c>
      <c r="AU49" s="4" cm="1">
        <f t="array" ref="AU49">_xlfn.XLOOKUP(1,('2013 E Maize Soil VWC'!$C$2:$C$4000=$AA49)*('2013 E Maize Soil VWC'!$E$2:$E$4000=$AB49)*('2013 E Maize Soil VWC'!$F$2:$F$4000=AU$5),'2013 E Maize Soil VWC'!$G$2:$G$4000)</f>
        <v>0.33816604307909603</v>
      </c>
      <c r="AV49" s="4" cm="1">
        <f t="array" ref="AV49">_xlfn.XLOOKUP(1,('2013 E Maize Soil VWC'!$C$2:$C$4000=$AA49)*('2013 E Maize Soil VWC'!$E$2:$E$4000=$AB49)*('2013 E Maize Soil VWC'!$F$2:$F$4000=AV$5),'2013 E Maize Soil VWC'!$G$2:$G$4000)</f>
        <v>0.33604737923728811</v>
      </c>
    </row>
    <row r="50" spans="25:64" x14ac:dyDescent="0.25">
      <c r="AA50" s="15">
        <f t="shared" si="7"/>
        <v>41450</v>
      </c>
      <c r="AB50" s="4">
        <f t="shared" si="8"/>
        <v>110</v>
      </c>
      <c r="AC50" s="4" cm="1">
        <f t="array" ref="AC50">_xlfn.XLOOKUP(1,('2013 E Maize Soil VWC'!$C$2:$C$4000=$AA50)*('2013 E Maize Soil VWC'!$E$2:$E$4000=$AB50)*('2013 E Maize Soil VWC'!$F$2:$F$4000=AC$5),'2013 E Maize Soil VWC'!$G$2:$G$4000)</f>
        <v>0.34627223516949152</v>
      </c>
      <c r="AD50" s="4" cm="1">
        <f t="array" ref="AD50">_xlfn.XLOOKUP(1,('2013 E Maize Soil VWC'!$C$2:$C$4000=$AA50)*('2013 E Maize Soil VWC'!$E$2:$E$4000=$AB50)*('2013 E Maize Soil VWC'!$F$2:$F$4000=AD$5),'2013 E Maize Soil VWC'!$G$2:$G$4000)</f>
        <v>0.33770546398305085</v>
      </c>
      <c r="AE50" s="4" cm="1">
        <f t="array" ref="AE50">_xlfn.XLOOKUP(1,('2013 E Maize Soil VWC'!$C$2:$C$4000=$AA50)*('2013 E Maize Soil VWC'!$E$2:$E$4000=$AB50)*('2013 E Maize Soil VWC'!$F$2:$F$4000=AE$5),'2013 E Maize Soil VWC'!$G$2:$G$4000)</f>
        <v>0.3283787372881356</v>
      </c>
      <c r="AF50" s="4" cm="1">
        <f t="array" ref="AF50">_xlfn.XLOOKUP(1,('2013 E Maize Soil VWC'!$C$2:$C$4000=$AA50)*('2013 E Maize Soil VWC'!$E$2:$E$4000=$AB50)*('2013 E Maize Soil VWC'!$F$2:$F$4000=AF$5),'2013 E Maize Soil VWC'!$G$2:$G$4000)</f>
        <v>0.33607040819209039</v>
      </c>
      <c r="AG50" s="4" cm="1">
        <f t="array" ref="AG50">_xlfn.XLOOKUP(1,('2013 E Maize Soil VWC'!$C$2:$C$4000=$AA50)*('2013 E Maize Soil VWC'!$E$2:$E$4000=$AB50)*('2013 E Maize Soil VWC'!$F$2:$F$4000=AG$5),'2013 E Maize Soil VWC'!$G$2:$G$4000)</f>
        <v>0.34049196751412425</v>
      </c>
      <c r="AH50" s="4" cm="1">
        <f t="array" ref="AH50">_xlfn.XLOOKUP(1,('2013 E Maize Soil VWC'!$C$2:$C$4000=$AA50)*('2013 E Maize Soil VWC'!$E$2:$E$4000=$AB50)*('2013 E Maize Soil VWC'!$F$2:$F$4000=AH$5),'2013 E Maize Soil VWC'!$G$2:$G$4000)</f>
        <v>0.32704305790960453</v>
      </c>
      <c r="AI50" s="4" cm="1">
        <f t="array" ref="AI50">_xlfn.XLOOKUP(1,('2013 E Maize Soil VWC'!$C$2:$C$4000=$AA50)*('2013 E Maize Soil VWC'!$E$2:$E$4000=$AB50)*('2013 E Maize Soil VWC'!$F$2:$F$4000=AI$5),'2013 E Maize Soil VWC'!$G$2:$G$4000)</f>
        <v>0.34765397245762714</v>
      </c>
      <c r="AJ50" s="4" cm="1">
        <f t="array" ref="AJ50">_xlfn.XLOOKUP(1,('2013 E Maize Soil VWC'!$C$2:$C$4000=$AA50)*('2013 E Maize Soil VWC'!$E$2:$E$4000=$AB50)*('2013 E Maize Soil VWC'!$F$2:$F$4000=AJ$5),'2013 E Maize Soil VWC'!$G$2:$G$4000)</f>
        <v>0.34314029731638418</v>
      </c>
      <c r="AK50" s="4" cm="1">
        <f t="array" ref="AK50">_xlfn.XLOOKUP(1,('2013 E Maize Soil VWC'!$C$2:$C$4000=$AA50)*('2013 E Maize Soil VWC'!$E$2:$E$4000=$AB50)*('2013 E Maize Soil VWC'!$F$2:$F$4000=AK$5),'2013 E Maize Soil VWC'!$G$2:$G$4000)</f>
        <v>0.3372448848870056</v>
      </c>
      <c r="AL50" s="4" cm="1">
        <f t="array" ref="AL50">_xlfn.XLOOKUP(1,('2013 E Maize Soil VWC'!$C$2:$C$4000=$AA50)*('2013 E Maize Soil VWC'!$E$2:$E$4000=$AB50)*('2013 E Maize Soil VWC'!$F$2:$F$4000=AL$5),'2013 E Maize Soil VWC'!$G$2:$G$4000)</f>
        <v>0.34565045338983047</v>
      </c>
      <c r="AM50" s="4" cm="1">
        <f t="array" ref="AM50">_xlfn.XLOOKUP(1,('2013 E Maize Soil VWC'!$C$2:$C$4000=$AA50)*('2013 E Maize Soil VWC'!$E$2:$E$4000=$AB50)*('2013 E Maize Soil VWC'!$F$2:$F$4000=AM$5),'2013 E Maize Soil VWC'!$G$2:$G$4000)</f>
        <v>0.33098100918079099</v>
      </c>
      <c r="AN50" s="4" cm="1">
        <f t="array" ref="AN50">_xlfn.XLOOKUP(1,('2013 E Maize Soil VWC'!$C$2:$C$4000=$AA50)*('2013 E Maize Soil VWC'!$E$2:$E$4000=$AB50)*('2013 E Maize Soil VWC'!$F$2:$F$4000=AN$5),'2013 E Maize Soil VWC'!$G$2:$G$4000)</f>
        <v>0.33947869350282484</v>
      </c>
      <c r="AO50" s="4" cm="1">
        <f t="array" ref="AO50">_xlfn.XLOOKUP(1,('2013 E Maize Soil VWC'!$C$2:$C$4000=$AA50)*('2013 E Maize Soil VWC'!$E$2:$E$4000=$AB50)*('2013 E Maize Soil VWC'!$F$2:$F$4000=AO$5),'2013 E Maize Soil VWC'!$G$2:$G$4000)</f>
        <v>0.34606497457627117</v>
      </c>
      <c r="AP50" s="4" cm="1">
        <f t="array" ref="AP50">_xlfn.XLOOKUP(1,('2013 E Maize Soil VWC'!$C$2:$C$4000=$AA50)*('2013 E Maize Soil VWC'!$E$2:$E$4000=$AB50)*('2013 E Maize Soil VWC'!$F$2:$F$4000=AP$5),'2013 E Maize Soil VWC'!$G$2:$G$4000)</f>
        <v>0.3272272895480226</v>
      </c>
      <c r="AQ50" s="4" cm="1">
        <f t="array" ref="AQ50">_xlfn.XLOOKUP(1,('2013 E Maize Soil VWC'!$C$2:$C$4000=$AA50)*('2013 E Maize Soil VWC'!$E$2:$E$4000=$AB50)*('2013 E Maize Soil VWC'!$F$2:$F$4000=AQ$5),'2013 E Maize Soil VWC'!$G$2:$G$4000)</f>
        <v>0.32865508474576266</v>
      </c>
      <c r="AR50" s="4" cm="1">
        <f t="array" ref="AR50">_xlfn.XLOOKUP(1,('2013 E Maize Soil VWC'!$C$2:$C$4000=$AA50)*('2013 E Maize Soil VWC'!$E$2:$E$4000=$AB50)*('2013 E Maize Soil VWC'!$F$2:$F$4000=AR$5),'2013 E Maize Soil VWC'!$G$2:$G$4000)</f>
        <v>0.32450987288135591</v>
      </c>
      <c r="AS50" s="4" cm="1">
        <f t="array" ref="AS50">_xlfn.XLOOKUP(1,('2013 E Maize Soil VWC'!$C$2:$C$4000=$AA50)*('2013 E Maize Soil VWC'!$E$2:$E$4000=$AB50)*('2013 E Maize Soil VWC'!$F$2:$F$4000=AS$5),'2013 E Maize Soil VWC'!$G$2:$G$4000)</f>
        <v>0.34583468502824855</v>
      </c>
      <c r="AT50" s="4" cm="1">
        <f t="array" ref="AT50">_xlfn.XLOOKUP(1,('2013 E Maize Soil VWC'!$C$2:$C$4000=$AA50)*('2013 E Maize Soil VWC'!$E$2:$E$4000=$AB50)*('2013 E Maize Soil VWC'!$F$2:$F$4000=AT$5),'2013 E Maize Soil VWC'!$G$2:$G$4000)</f>
        <v>0.34247245762711864</v>
      </c>
      <c r="AU50" s="4" cm="1">
        <f t="array" ref="AU50">_xlfn.XLOOKUP(1,('2013 E Maize Soil VWC'!$C$2:$C$4000=$AA50)*('2013 E Maize Soil VWC'!$E$2:$E$4000=$AB50)*('2013 E Maize Soil VWC'!$F$2:$F$4000=AU$5),'2013 E Maize Soil VWC'!$G$2:$G$4000)</f>
        <v>0.33957080932203387</v>
      </c>
      <c r="AV50" s="4" cm="1">
        <f t="array" ref="AV50">_xlfn.XLOOKUP(1,('2013 E Maize Soil VWC'!$C$2:$C$4000=$AA50)*('2013 E Maize Soil VWC'!$E$2:$E$4000=$AB50)*('2013 E Maize Soil VWC'!$F$2:$F$4000=AV$5),'2013 E Maize Soil VWC'!$G$2:$G$4000)</f>
        <v>0.32925383757062143</v>
      </c>
    </row>
    <row r="51" spans="25:64" x14ac:dyDescent="0.25">
      <c r="AA51" s="15">
        <f t="shared" si="7"/>
        <v>41450</v>
      </c>
      <c r="AB51" s="4">
        <f t="shared" si="8"/>
        <v>130</v>
      </c>
      <c r="AC51" s="4" cm="1">
        <f t="array" ref="AC51">_xlfn.XLOOKUP(1,('2013 E Maize Soil VWC'!$C$2:$C$4000=$AA51)*('2013 E Maize Soil VWC'!$E$2:$E$4000=$AB51)*('2013 E Maize Soil VWC'!$F$2:$F$4000=AC$5),'2013 E Maize Soil VWC'!$G$2:$G$4000)</f>
        <v>0.30969793220338981</v>
      </c>
      <c r="AD51" s="4" cm="1">
        <f t="array" ref="AD51">_xlfn.XLOOKUP(1,('2013 E Maize Soil VWC'!$C$2:$C$4000=$AA51)*('2013 E Maize Soil VWC'!$E$2:$E$4000=$AB51)*('2013 E Maize Soil VWC'!$F$2:$F$4000=AD$5),'2013 E Maize Soil VWC'!$G$2:$G$4000)</f>
        <v>0.31312365607344633</v>
      </c>
      <c r="AE51" s="4" cm="1">
        <f t="array" ref="AE51">_xlfn.XLOOKUP(1,('2013 E Maize Soil VWC'!$C$2:$C$4000=$AA51)*('2013 E Maize Soil VWC'!$E$2:$E$4000=$AB51)*('2013 E Maize Soil VWC'!$F$2:$F$4000=AE$5),'2013 E Maize Soil VWC'!$G$2:$G$4000)</f>
        <v>0.30417762288135591</v>
      </c>
      <c r="AF51" s="4" cm="1">
        <f t="array" ref="AF51">_xlfn.XLOOKUP(1,('2013 E Maize Soil VWC'!$C$2:$C$4000=$AA51)*('2013 E Maize Soil VWC'!$E$2:$E$4000=$AB51)*('2013 E Maize Soil VWC'!$F$2:$F$4000=AF$5),'2013 E Maize Soil VWC'!$G$2:$G$4000)</f>
        <v>0.30672244632768364</v>
      </c>
      <c r="AG51" s="4" cm="1">
        <f t="array" ref="AG51">_xlfn.XLOOKUP(1,('2013 E Maize Soil VWC'!$C$2:$C$4000=$AA51)*('2013 E Maize Soil VWC'!$E$2:$E$4000=$AB51)*('2013 E Maize Soil VWC'!$F$2:$F$4000=AG$5),'2013 E Maize Soil VWC'!$G$2:$G$4000)</f>
        <v>0.31909420338983052</v>
      </c>
      <c r="AH51" s="4" cm="1">
        <f t="array" ref="AH51">_xlfn.XLOOKUP(1,('2013 E Maize Soil VWC'!$C$2:$C$4000=$AA51)*('2013 E Maize Soil VWC'!$E$2:$E$4000=$AB51)*('2013 E Maize Soil VWC'!$F$2:$F$4000=AH$5),'2013 E Maize Soil VWC'!$G$2:$G$4000)</f>
        <v>0.3024941242937853</v>
      </c>
      <c r="AI51" s="4" cm="1">
        <f t="array" ref="AI51">_xlfn.XLOOKUP(1,('2013 E Maize Soil VWC'!$C$2:$C$4000=$AA51)*('2013 E Maize Soil VWC'!$E$2:$E$4000=$AB51)*('2013 E Maize Soil VWC'!$F$2:$F$4000=AI$5),'2013 E Maize Soil VWC'!$G$2:$G$4000)</f>
        <v>0.31378922528248587</v>
      </c>
      <c r="AJ51" s="4" cm="1">
        <f t="array" ref="AJ51">_xlfn.XLOOKUP(1,('2013 E Maize Soil VWC'!$C$2:$C$4000=$AA51)*('2013 E Maize Soil VWC'!$E$2:$E$4000=$AB51)*('2013 E Maize Soil VWC'!$F$2:$F$4000=AJ$5),'2013 E Maize Soil VWC'!$G$2:$G$4000)</f>
        <v>0.33346266807909603</v>
      </c>
      <c r="AK51" s="4" cm="1">
        <f t="array" ref="AK51">_xlfn.XLOOKUP(1,('2013 E Maize Soil VWC'!$C$2:$C$4000=$AA51)*('2013 E Maize Soil VWC'!$E$2:$E$4000=$AB51)*('2013 E Maize Soil VWC'!$F$2:$F$4000=AK$5),'2013 E Maize Soil VWC'!$G$2:$G$4000)</f>
        <v>0.30789698022598871</v>
      </c>
      <c r="AL51" s="4" cm="1">
        <f t="array" ref="AL51">_xlfn.XLOOKUP(1,('2013 E Maize Soil VWC'!$C$2:$C$4000=$AA51)*('2013 E Maize Soil VWC'!$E$2:$E$4000=$AB51)*('2013 E Maize Soil VWC'!$F$2:$F$4000=AL$5),'2013 E Maize Soil VWC'!$G$2:$G$4000)</f>
        <v>0.31576635734463282</v>
      </c>
      <c r="AM51" s="4" cm="1">
        <f t="array" ref="AM51">_xlfn.XLOOKUP(1,('2013 E Maize Soil VWC'!$C$2:$C$4000=$AA51)*('2013 E Maize Soil VWC'!$E$2:$E$4000=$AB51)*('2013 E Maize Soil VWC'!$F$2:$F$4000=AM$5),'2013 E Maize Soil VWC'!$G$2:$G$4000)</f>
        <v>0.30920854307909607</v>
      </c>
      <c r="AN51" s="4" cm="1">
        <f t="array" ref="AN51">_xlfn.XLOOKUP(1,('2013 E Maize Soil VWC'!$C$2:$C$4000=$AA51)*('2013 E Maize Soil VWC'!$E$2:$E$4000=$AB51)*('2013 E Maize Soil VWC'!$F$2:$F$4000=AN$5),'2013 E Maize Soil VWC'!$G$2:$G$4000)</f>
        <v>0.29438984039548022</v>
      </c>
      <c r="AO51" s="4" cm="1">
        <f t="array" ref="AO51">_xlfn.XLOOKUP(1,('2013 E Maize Soil VWC'!$C$2:$C$4000=$AA51)*('2013 E Maize Soil VWC'!$E$2:$E$4000=$AB51)*('2013 E Maize Soil VWC'!$F$2:$F$4000=AO$5),'2013 E Maize Soil VWC'!$G$2:$G$4000)</f>
        <v>0.32392936793785315</v>
      </c>
      <c r="AP51" s="4" cm="1">
        <f t="array" ref="AP51">_xlfn.XLOOKUP(1,('2013 E Maize Soil VWC'!$C$2:$C$4000=$AA51)*('2013 E Maize Soil VWC'!$E$2:$E$4000=$AB51)*('2013 E Maize Soil VWC'!$F$2:$F$4000=AP$5),'2013 E Maize Soil VWC'!$G$2:$G$4000)</f>
        <v>0.31100949505649716</v>
      </c>
      <c r="AQ51" s="4" cm="1">
        <f t="array" ref="AQ51">_xlfn.XLOOKUP(1,('2013 E Maize Soil VWC'!$C$2:$C$4000=$AA51)*('2013 E Maize Soil VWC'!$E$2:$E$4000=$AB51)*('2013 E Maize Soil VWC'!$F$2:$F$4000=AQ$5),'2013 E Maize Soil VWC'!$G$2:$G$4000)</f>
        <v>0.30216133968926556</v>
      </c>
      <c r="AR51" s="4" cm="1">
        <f t="array" ref="AR51">_xlfn.XLOOKUP(1,('2013 E Maize Soil VWC'!$C$2:$C$4000=$AA51)*('2013 E Maize Soil VWC'!$E$2:$E$4000=$AB51)*('2013 E Maize Soil VWC'!$F$2:$F$4000=AR$5),'2013 E Maize Soil VWC'!$G$2:$G$4000)</f>
        <v>0.29693466384180794</v>
      </c>
      <c r="AS51" s="4" cm="1">
        <f t="array" ref="AS51">_xlfn.XLOOKUP(1,('2013 E Maize Soil VWC'!$C$2:$C$4000=$AA51)*('2013 E Maize Soil VWC'!$E$2:$E$4000=$AB51)*('2013 E Maize Soil VWC'!$F$2:$F$4000=AS$5),'2013 E Maize Soil VWC'!$G$2:$G$4000)</f>
        <v>0.31341728954802262</v>
      </c>
      <c r="AT51" s="4" cm="1">
        <f t="array" ref="AT51">_xlfn.XLOOKUP(1,('2013 E Maize Soil VWC'!$C$2:$C$4000=$AA51)*('2013 E Maize Soil VWC'!$E$2:$E$4000=$AB51)*('2013 E Maize Soil VWC'!$F$2:$F$4000=AT$5),'2013 E Maize Soil VWC'!$G$2:$G$4000)</f>
        <v>0.31028519915254238</v>
      </c>
      <c r="AU51" s="4" cm="1">
        <f t="array" ref="AU51">_xlfn.XLOOKUP(1,('2013 E Maize Soil VWC'!$C$2:$C$4000=$AA51)*('2013 E Maize Soil VWC'!$E$2:$E$4000=$AB51)*('2013 E Maize Soil VWC'!$F$2:$F$4000=AU$5),'2013 E Maize Soil VWC'!$G$2:$G$4000)</f>
        <v>0.3071531087570622</v>
      </c>
      <c r="AV51" s="4" cm="1">
        <f t="array" ref="AV51">_xlfn.XLOOKUP(1,('2013 E Maize Soil VWC'!$C$2:$C$4000=$AA51)*('2013 E Maize Soil VWC'!$E$2:$E$4000=$AB51)*('2013 E Maize Soil VWC'!$F$2:$F$4000=AV$5),'2013 E Maize Soil VWC'!$G$2:$G$4000)</f>
        <v>0.29922500494350285</v>
      </c>
    </row>
    <row r="52" spans="25:64" x14ac:dyDescent="0.25">
      <c r="AA52" s="15">
        <f t="shared" si="7"/>
        <v>41450</v>
      </c>
      <c r="AB52" s="4">
        <f t="shared" si="8"/>
        <v>150</v>
      </c>
      <c r="AC52" s="4" cm="1">
        <f t="array" ref="AC52">_xlfn.XLOOKUP(1,('2013 E Maize Soil VWC'!$C$2:$C$4000=$AA52)*('2013 E Maize Soil VWC'!$E$2:$E$4000=$AB52)*('2013 E Maize Soil VWC'!$F$2:$F$4000=AC$5),'2013 E Maize Soil VWC'!$G$2:$G$4000)</f>
        <v>0.33422611511299438</v>
      </c>
      <c r="AD52" s="4" cm="1">
        <f t="array" ref="AD52">_xlfn.XLOOKUP(1,('2013 E Maize Soil VWC'!$C$2:$C$4000=$AA52)*('2013 E Maize Soil VWC'!$E$2:$E$4000=$AB52)*('2013 E Maize Soil VWC'!$F$2:$F$4000=AD$5),'2013 E Maize Soil VWC'!$G$2:$G$4000)</f>
        <v>0.32782490536723169</v>
      </c>
      <c r="AE52" s="4" cm="1">
        <f t="array" ref="AE52">_xlfn.XLOOKUP(1,('2013 E Maize Soil VWC'!$C$2:$C$4000=$AA52)*('2013 E Maize Soil VWC'!$E$2:$E$4000=$AB52)*('2013 E Maize Soil VWC'!$F$2:$F$4000=AE$5),'2013 E Maize Soil VWC'!$G$2:$G$4000)</f>
        <v>0.31026562358757065</v>
      </c>
      <c r="AF52" s="4" cm="1">
        <f t="array" ref="AF52">_xlfn.XLOOKUP(1,('2013 E Maize Soil VWC'!$C$2:$C$4000=$AA52)*('2013 E Maize Soil VWC'!$E$2:$E$4000=$AB52)*('2013 E Maize Soil VWC'!$F$2:$F$4000=AF$5),'2013 E Maize Soil VWC'!$G$2:$G$4000)</f>
        <v>0.29695423940677967</v>
      </c>
      <c r="AG52" s="4" cm="1">
        <f t="array" ref="AG52">_xlfn.XLOOKUP(1,('2013 E Maize Soil VWC'!$C$2:$C$4000=$AA52)*('2013 E Maize Soil VWC'!$E$2:$E$4000=$AB52)*('2013 E Maize Soil VWC'!$F$2:$F$4000=AG$5),'2013 E Maize Soil VWC'!$G$2:$G$4000)</f>
        <v>0.35495663841807912</v>
      </c>
      <c r="AH52" s="4" cm="1">
        <f t="array" ref="AH52">_xlfn.XLOOKUP(1,('2013 E Maize Soil VWC'!$C$2:$C$4000=$AA52)*('2013 E Maize Soil VWC'!$E$2:$E$4000=$AB52)*('2013 E Maize Soil VWC'!$F$2:$F$4000=AH$5),'2013 E Maize Soil VWC'!$G$2:$G$4000)</f>
        <v>0.34689150564971755</v>
      </c>
      <c r="AI52" s="4" cm="1">
        <f t="array" ref="AI52">_xlfn.XLOOKUP(1,('2013 E Maize Soil VWC'!$C$2:$C$4000=$AA52)*('2013 E Maize Soil VWC'!$E$2:$E$4000=$AB52)*('2013 E Maize Soil VWC'!$F$2:$F$4000=AI$5),'2013 E Maize Soil VWC'!$G$2:$G$4000)</f>
        <v>0.33113317584745766</v>
      </c>
      <c r="AJ52" s="4" cm="1">
        <f t="array" ref="AJ52">_xlfn.XLOOKUP(1,('2013 E Maize Soil VWC'!$C$2:$C$4000=$AA52)*('2013 E Maize Soil VWC'!$E$2:$E$4000=$AB52)*('2013 E Maize Soil VWC'!$F$2:$F$4000=AJ$5),'2013 E Maize Soil VWC'!$G$2:$G$4000)</f>
        <v>0.34616720974576271</v>
      </c>
      <c r="AK52" s="4" cm="1">
        <f t="array" ref="AK52">_xlfn.XLOOKUP(1,('2013 E Maize Soil VWC'!$C$2:$C$4000=$AA52)*('2013 E Maize Soil VWC'!$E$2:$E$4000=$AB52)*('2013 E Maize Soil VWC'!$F$2:$F$4000=AK$5),'2013 E Maize Soil VWC'!$G$2:$G$4000)</f>
        <v>0.33134850706214691</v>
      </c>
      <c r="AL52" s="4" cm="1">
        <f t="array" ref="AL52">_xlfn.XLOOKUP(1,('2013 E Maize Soil VWC'!$C$2:$C$4000=$AA52)*('2013 E Maize Soil VWC'!$E$2:$E$4000=$AB52)*('2013 E Maize Soil VWC'!$F$2:$F$4000=AL$5),'2013 E Maize Soil VWC'!$G$2:$G$4000)</f>
        <v>0.35315568644067796</v>
      </c>
      <c r="AM52" s="4" cm="1">
        <f t="array" ref="AM52">_xlfn.XLOOKUP(1,('2013 E Maize Soil VWC'!$C$2:$C$4000=$AA52)*('2013 E Maize Soil VWC'!$E$2:$E$4000=$AB52)*('2013 E Maize Soil VWC'!$F$2:$F$4000=AM$5),'2013 E Maize Soil VWC'!$G$2:$G$4000)</f>
        <v>0.33866976836158191</v>
      </c>
      <c r="AN52" s="4" cm="1">
        <f t="array" ref="AN52">_xlfn.XLOOKUP(1,('2013 E Maize Soil VWC'!$C$2:$C$4000=$AA52)*('2013 E Maize Soil VWC'!$E$2:$E$4000=$AB52)*('2013 E Maize Soil VWC'!$F$2:$F$4000=AN$5),'2013 E Maize Soil VWC'!$G$2:$G$4000)</f>
        <v>0.34411177542372878</v>
      </c>
      <c r="AO52" s="4" cm="1">
        <f t="array" ref="AO52">_xlfn.XLOOKUP(1,('2013 E Maize Soil VWC'!$C$2:$C$4000=$AA52)*('2013 E Maize Soil VWC'!$E$2:$E$4000=$AB52)*('2013 E Maize Soil VWC'!$F$2:$F$4000=AO$5),'2013 E Maize Soil VWC'!$G$2:$G$4000)</f>
        <v>0.31331941172316385</v>
      </c>
      <c r="AP52" s="4" cm="1">
        <f t="array" ref="AP52">_xlfn.XLOOKUP(1,('2013 E Maize Soil VWC'!$C$2:$C$4000=$AA52)*('2013 E Maize Soil VWC'!$E$2:$E$4000=$AB52)*('2013 E Maize Soil VWC'!$F$2:$F$4000=AP$5),'2013 E Maize Soil VWC'!$G$2:$G$4000)</f>
        <v>0.30507809887005649</v>
      </c>
      <c r="AQ52" s="4" cm="1">
        <f t="array" ref="AQ52">_xlfn.XLOOKUP(1,('2013 E Maize Soil VWC'!$C$2:$C$4000=$AA52)*('2013 E Maize Soil VWC'!$E$2:$E$4000=$AB52)*('2013 E Maize Soil VWC'!$F$2:$F$4000=AQ$5),'2013 E Maize Soil VWC'!$G$2:$G$4000)</f>
        <v>0.34031411581920906</v>
      </c>
      <c r="AR52" s="4" cm="1">
        <f t="array" ref="AR52">_xlfn.XLOOKUP(1,('2013 E Maize Soil VWC'!$C$2:$C$4000=$AA52)*('2013 E Maize Soil VWC'!$E$2:$E$4000=$AB52)*('2013 E Maize Soil VWC'!$F$2:$F$4000=AR$5),'2013 E Maize Soil VWC'!$G$2:$G$4000)</f>
        <v>0.32588692443502826</v>
      </c>
      <c r="AS52" s="4" cm="1">
        <f t="array" ref="AS52">_xlfn.XLOOKUP(1,('2013 E Maize Soil VWC'!$C$2:$C$4000=$AA52)*('2013 E Maize Soil VWC'!$E$2:$E$4000=$AB52)*('2013 E Maize Soil VWC'!$F$2:$F$4000=AS$5),'2013 E Maize Soil VWC'!$G$2:$G$4000)</f>
        <v>0.32784448093220342</v>
      </c>
      <c r="AT52" s="4" cm="1">
        <f t="array" ref="AT52">_xlfn.XLOOKUP(1,('2013 E Maize Soil VWC'!$C$2:$C$4000=$AA52)*('2013 E Maize Soil VWC'!$E$2:$E$4000=$AB52)*('2013 E Maize Soil VWC'!$F$2:$F$4000=AT$5),'2013 E Maize Soil VWC'!$G$2:$G$4000)</f>
        <v>0.33128978036723167</v>
      </c>
      <c r="AU52" s="4" cm="1">
        <f t="array" ref="AU52">_xlfn.XLOOKUP(1,('2013 E Maize Soil VWC'!$C$2:$C$4000=$AA52)*('2013 E Maize Soil VWC'!$E$2:$E$4000=$AB52)*('2013 E Maize Soil VWC'!$F$2:$F$4000=AU$5),'2013 E Maize Soil VWC'!$G$2:$G$4000)</f>
        <v>0.33430441737288136</v>
      </c>
      <c r="AV52" s="4" cm="1">
        <f t="array" ref="AV52">_xlfn.XLOOKUP(1,('2013 E Maize Soil VWC'!$C$2:$C$4000=$AA52)*('2013 E Maize Soil VWC'!$E$2:$E$4000=$AB52)*('2013 E Maize Soil VWC'!$F$2:$F$4000=AV$5),'2013 E Maize Soil VWC'!$G$2:$G$4000)</f>
        <v>0.34473819350282486</v>
      </c>
    </row>
    <row r="53" spans="25:64" x14ac:dyDescent="0.25">
      <c r="AA53" s="15">
        <f t="shared" si="7"/>
        <v>41450</v>
      </c>
      <c r="AB53" s="4">
        <f t="shared" si="8"/>
        <v>170</v>
      </c>
      <c r="AC53" s="4" cm="1">
        <f t="array" ref="AC53">_xlfn.XLOOKUP(1,('2013 E Maize Soil VWC'!$C$2:$C$4000=$AA53)*('2013 E Maize Soil VWC'!$E$2:$E$4000=$AB53)*('2013 E Maize Soil VWC'!$F$2:$F$4000=AC$5),'2013 E Maize Soil VWC'!$G$2:$G$4000)</f>
        <v>0.27829872598870053</v>
      </c>
      <c r="AD53" s="4" cm="1">
        <f t="array" ref="AD53">_xlfn.XLOOKUP(1,('2013 E Maize Soil VWC'!$C$2:$C$4000=$AA53)*('2013 E Maize Soil VWC'!$E$2:$E$4000=$AB53)*('2013 E Maize Soil VWC'!$F$2:$F$4000=AD$5),'2013 E Maize Soil VWC'!$G$2:$G$4000)</f>
        <v>0.27356143926553672</v>
      </c>
      <c r="AE53" s="4" cm="1">
        <f t="array" ref="AE53">_xlfn.XLOOKUP(1,('2013 E Maize Soil VWC'!$C$2:$C$4000=$AA53)*('2013 E Maize Soil VWC'!$E$2:$E$4000=$AB53)*('2013 E Maize Soil VWC'!$F$2:$F$4000=AE$5),'2013 E Maize Soil VWC'!$G$2:$G$4000)</f>
        <v>0.29141435451977404</v>
      </c>
      <c r="AF53" s="4" cm="1">
        <f t="array" ref="AF53">_xlfn.XLOOKUP(1,('2013 E Maize Soil VWC'!$C$2:$C$4000=$AA53)*('2013 E Maize Soil VWC'!$E$2:$E$4000=$AB53)*('2013 E Maize Soil VWC'!$F$2:$F$4000=AF$5),'2013 E Maize Soil VWC'!$G$2:$G$4000)</f>
        <v>0.29767853531073446</v>
      </c>
      <c r="AG53" s="4" cm="1">
        <f t="array" ref="AG53">_xlfn.XLOOKUP(1,('2013 E Maize Soil VWC'!$C$2:$C$4000=$AA53)*('2013 E Maize Soil VWC'!$E$2:$E$4000=$AB53)*('2013 E Maize Soil VWC'!$F$2:$F$4000=AG$5),'2013 E Maize Soil VWC'!$G$2:$G$4000)</f>
        <v>0.32758999858757065</v>
      </c>
      <c r="AH53" s="4" cm="1">
        <f t="array" ref="AH53">_xlfn.XLOOKUP(1,('2013 E Maize Soil VWC'!$C$2:$C$4000=$AA53)*('2013 E Maize Soil VWC'!$E$2:$E$4000=$AB53)*('2013 E Maize Soil VWC'!$F$2:$F$4000=AH$5),'2013 E Maize Soil VWC'!$G$2:$G$4000)</f>
        <v>0.33170086723163839</v>
      </c>
      <c r="AI53" s="4" cm="1">
        <f t="array" ref="AI53">_xlfn.XLOOKUP(1,('2013 E Maize Soil VWC'!$C$2:$C$4000=$AA53)*('2013 E Maize Soil VWC'!$E$2:$E$4000=$AB53)*('2013 E Maize Soil VWC'!$F$2:$F$4000=AI$5),'2013 E Maize Soil VWC'!$G$2:$G$4000)</f>
        <v>0.30257242655367234</v>
      </c>
      <c r="AJ53" s="4" cm="1">
        <f t="array" ref="AJ53">_xlfn.XLOOKUP(1,('2013 E Maize Soil VWC'!$C$2:$C$4000=$AA53)*('2013 E Maize Soil VWC'!$E$2:$E$4000=$AB53)*('2013 E Maize Soil VWC'!$F$2:$F$4000=AJ$5),'2013 E Maize Soil VWC'!$G$2:$G$4000)</f>
        <v>0.31003071680790961</v>
      </c>
      <c r="AK53" s="4" cm="1">
        <f t="array" ref="AK53">_xlfn.XLOOKUP(1,('2013 E Maize Soil VWC'!$C$2:$C$4000=$AA53)*('2013 E Maize Soil VWC'!$E$2:$E$4000=$AB53)*('2013 E Maize Soil VWC'!$F$2:$F$4000=AK$5),'2013 E Maize Soil VWC'!$G$2:$G$4000)</f>
        <v>0.30683989971751413</v>
      </c>
      <c r="AL53" s="4" cm="1">
        <f t="array" ref="AL53">_xlfn.XLOOKUP(1,('2013 E Maize Soil VWC'!$C$2:$C$4000=$AA53)*('2013 E Maize Soil VWC'!$E$2:$E$4000=$AB53)*('2013 E Maize Soil VWC'!$F$2:$F$4000=AL$5),'2013 E Maize Soil VWC'!$G$2:$G$4000)</f>
        <v>0.31412200988700562</v>
      </c>
      <c r="AM53" s="4" cm="1">
        <f t="array" ref="AM53">_xlfn.XLOOKUP(1,('2013 E Maize Soil VWC'!$C$2:$C$4000=$AA53)*('2013 E Maize Soil VWC'!$E$2:$E$4000=$AB53)*('2013 E Maize Soil VWC'!$F$2:$F$4000=AM$5),'2013 E Maize Soil VWC'!$G$2:$G$4000)</f>
        <v>0.3247515416666667</v>
      </c>
      <c r="AN53" s="4" cm="1">
        <f t="array" ref="AN53">_xlfn.XLOOKUP(1,('2013 E Maize Soil VWC'!$C$2:$C$4000=$AA53)*('2013 E Maize Soil VWC'!$E$2:$E$4000=$AB53)*('2013 E Maize Soil VWC'!$F$2:$F$4000=AN$5),'2013 E Maize Soil VWC'!$G$2:$G$4000)</f>
        <v>0.3325621920903955</v>
      </c>
      <c r="AO53" s="4" cm="1">
        <f t="array" ref="AO53">_xlfn.XLOOKUP(1,('2013 E Maize Soil VWC'!$C$2:$C$4000=$AA53)*('2013 E Maize Soil VWC'!$E$2:$E$4000=$AB53)*('2013 E Maize Soil VWC'!$F$2:$F$4000=AO$5),'2013 E Maize Soil VWC'!$G$2:$G$4000)</f>
        <v>0.31114652401129944</v>
      </c>
      <c r="AP53" s="4" cm="1">
        <f t="array" ref="AP53">_xlfn.XLOOKUP(1,('2013 E Maize Soil VWC'!$C$2:$C$4000=$AA53)*('2013 E Maize Soil VWC'!$E$2:$E$4000=$AB53)*('2013 E Maize Soil VWC'!$F$2:$F$4000=AP$5),'2013 E Maize Soil VWC'!$G$2:$G$4000)</f>
        <v>0.32201096257062151</v>
      </c>
      <c r="AQ53" s="4" cm="1">
        <f t="array" ref="AQ53">_xlfn.XLOOKUP(1,('2013 E Maize Soil VWC'!$C$2:$C$4000=$AA53)*('2013 E Maize Soil VWC'!$E$2:$E$4000=$AB53)*('2013 E Maize Soil VWC'!$F$2:$F$4000=AQ$5),'2013 E Maize Soil VWC'!$G$2:$G$4000)</f>
        <v>0.33217068079096046</v>
      </c>
      <c r="AR53" s="4" cm="1">
        <f t="array" ref="AR53">_xlfn.XLOOKUP(1,('2013 E Maize Soil VWC'!$C$2:$C$4000=$AA53)*('2013 E Maize Soil VWC'!$E$2:$E$4000=$AB53)*('2013 E Maize Soil VWC'!$F$2:$F$4000=AR$5),'2013 E Maize Soil VWC'!$G$2:$G$4000)</f>
        <v>0.32036661511299436</v>
      </c>
      <c r="AS53" s="4" cm="1">
        <f t="array" ref="AS53">_xlfn.XLOOKUP(1,('2013 E Maize Soil VWC'!$C$2:$C$4000=$AA53)*('2013 E Maize Soil VWC'!$E$2:$E$4000=$AB53)*('2013 E Maize Soil VWC'!$F$2:$F$4000=AS$5),'2013 E Maize Soil VWC'!$G$2:$G$4000)</f>
        <v>0.32054279519774015</v>
      </c>
      <c r="AT53" s="4" cm="1">
        <f t="array" ref="AT53">_xlfn.XLOOKUP(1,('2013 E Maize Soil VWC'!$C$2:$C$4000=$AA53)*('2013 E Maize Soil VWC'!$E$2:$E$4000=$AB53)*('2013 E Maize Soil VWC'!$F$2:$F$4000=AT$5),'2013 E Maize Soil VWC'!$G$2:$G$4000)</f>
        <v>0.32890156144067795</v>
      </c>
      <c r="AU53" s="4" cm="1">
        <f t="array" ref="AU53">_xlfn.XLOOKUP(1,('2013 E Maize Soil VWC'!$C$2:$C$4000=$AA53)*('2013 E Maize Soil VWC'!$E$2:$E$4000=$AB53)*('2013 E Maize Soil VWC'!$F$2:$F$4000=AU$5),'2013 E Maize Soil VWC'!$G$2:$G$4000)</f>
        <v>0.31537484604519772</v>
      </c>
      <c r="AV53" s="4" cm="1">
        <f t="array" ref="AV53">_xlfn.XLOOKUP(1,('2013 E Maize Soil VWC'!$C$2:$C$4000=$AA53)*('2013 E Maize Soil VWC'!$E$2:$E$4000=$AB53)*('2013 E Maize Soil VWC'!$F$2:$F$4000=AV$5),'2013 E Maize Soil VWC'!$G$2:$G$4000)</f>
        <v>0.32101260875706217</v>
      </c>
    </row>
    <row r="54" spans="25:64" x14ac:dyDescent="0.25">
      <c r="AA54" s="15">
        <f t="shared" si="7"/>
        <v>41450</v>
      </c>
      <c r="AB54" s="4">
        <f t="shared" si="8"/>
        <v>190</v>
      </c>
      <c r="AC54" s="4" cm="1">
        <f t="array" ref="AC54">_xlfn.XLOOKUP(1,('2013 E Maize Soil VWC'!$C$2:$C$4000=$AA54)*('2013 E Maize Soil VWC'!$E$2:$E$4000=$AB54)*('2013 E Maize Soil VWC'!$F$2:$F$4000=AC$5),'2013 E Maize Soil VWC'!$G$2:$G$4000)</f>
        <v>0.28646173658192092</v>
      </c>
      <c r="AD54" s="4" cm="1">
        <f t="array" ref="AD54">_xlfn.XLOOKUP(1,('2013 E Maize Soil VWC'!$C$2:$C$4000=$AA54)*('2013 E Maize Soil VWC'!$E$2:$E$4000=$AB54)*('2013 E Maize Soil VWC'!$F$2:$F$4000=AD$5),'2013 E Maize Soil VWC'!$G$2:$G$4000)</f>
        <v>0.29002448940677966</v>
      </c>
      <c r="AE54" s="4" cm="1">
        <f t="array" ref="AE54">_xlfn.XLOOKUP(1,('2013 E Maize Soil VWC'!$C$2:$C$4000=$AA54)*('2013 E Maize Soil VWC'!$E$2:$E$4000=$AB54)*('2013 E Maize Soil VWC'!$F$2:$F$4000=AE$5),'2013 E Maize Soil VWC'!$G$2:$G$4000)</f>
        <v>0.29546649646892659</v>
      </c>
      <c r="AF54" s="4" cm="1">
        <f t="array" ref="AF54">_xlfn.XLOOKUP(1,('2013 E Maize Soil VWC'!$C$2:$C$4000=$AA54)*('2013 E Maize Soil VWC'!$E$2:$E$4000=$AB54)*('2013 E Maize Soil VWC'!$F$2:$F$4000=AF$5),'2013 E Maize Soil VWC'!$G$2:$G$4000)</f>
        <v>0.29955778954802259</v>
      </c>
      <c r="AG54" s="4" cm="1">
        <f t="array" ref="AG54">_xlfn.XLOOKUP(1,('2013 E Maize Soil VWC'!$C$2:$C$4000=$AA54)*('2013 E Maize Soil VWC'!$E$2:$E$4000=$AB54)*('2013 E Maize Soil VWC'!$F$2:$F$4000=AG$5),'2013 E Maize Soil VWC'!$G$2:$G$4000)</f>
        <v>0.33040887994350288</v>
      </c>
      <c r="AH54" s="4" cm="1">
        <f t="array" ref="AH54">_xlfn.XLOOKUP(1,('2013 E Maize Soil VWC'!$C$2:$C$4000=$AA54)*('2013 E Maize Soil VWC'!$E$2:$E$4000=$AB54)*('2013 E Maize Soil VWC'!$F$2:$F$4000=AH$5),'2013 E Maize Soil VWC'!$G$2:$G$4000)</f>
        <v>0.34223252118644071</v>
      </c>
      <c r="AI54" s="4" cm="1">
        <f t="array" ref="AI54">_xlfn.XLOOKUP(1,('2013 E Maize Soil VWC'!$C$2:$C$4000=$AA54)*('2013 E Maize Soil VWC'!$E$2:$E$4000=$AB54)*('2013 E Maize Soil VWC'!$F$2:$F$4000=AI$5),'2013 E Maize Soil VWC'!$G$2:$G$4000)</f>
        <v>0.28822353742937851</v>
      </c>
      <c r="AJ54" s="4" cm="1">
        <f t="array" ref="AJ54">_xlfn.XLOOKUP(1,('2013 E Maize Soil VWC'!$C$2:$C$4000=$AA54)*('2013 E Maize Soil VWC'!$E$2:$E$4000=$AB54)*('2013 E Maize Soil VWC'!$F$2:$F$4000=AJ$5),'2013 E Maize Soil VWC'!$G$2:$G$4000)</f>
        <v>0.29779598870056495</v>
      </c>
      <c r="AK54" s="4" cm="1">
        <f t="array" ref="AK54">_xlfn.XLOOKUP(1,('2013 E Maize Soil VWC'!$C$2:$C$4000=$AA54)*('2013 E Maize Soil VWC'!$E$2:$E$4000=$AB54)*('2013 E Maize Soil VWC'!$F$2:$F$4000=AK$5),'2013 E Maize Soil VWC'!$G$2:$G$4000)</f>
        <v>0.29438984039548022</v>
      </c>
      <c r="AL54" s="4" cm="1">
        <f t="array" ref="AL54">_xlfn.XLOOKUP(1,('2013 E Maize Soil VWC'!$C$2:$C$4000=$AA54)*('2013 E Maize Soil VWC'!$E$2:$E$4000=$AB54)*('2013 E Maize Soil VWC'!$F$2:$F$4000=AL$5),'2013 E Maize Soil VWC'!$G$2:$G$4000)</f>
        <v>0.29622994350282489</v>
      </c>
      <c r="AM54" s="4" cm="1">
        <f t="array" ref="AM54">_xlfn.XLOOKUP(1,('2013 E Maize Soil VWC'!$C$2:$C$4000=$AA54)*('2013 E Maize Soil VWC'!$E$2:$E$4000=$AB54)*('2013 E Maize Soil VWC'!$F$2:$F$4000=AM$5),'2013 E Maize Soil VWC'!$G$2:$G$4000)</f>
        <v>0.31373049858757063</v>
      </c>
      <c r="AN54" s="4" cm="1">
        <f t="array" ref="AN54">_xlfn.XLOOKUP(1,('2013 E Maize Soil VWC'!$C$2:$C$4000=$AA54)*('2013 E Maize Soil VWC'!$E$2:$E$4000=$AB54)*('2013 E Maize Soil VWC'!$F$2:$F$4000=AN$5),'2013 E Maize Soil VWC'!$G$2:$G$4000)</f>
        <v>0.31140100635593221</v>
      </c>
      <c r="AO54" s="4" cm="1">
        <f t="array" ref="AO54">_xlfn.XLOOKUP(1,('2013 E Maize Soil VWC'!$C$2:$C$4000=$AA54)*('2013 E Maize Soil VWC'!$E$2:$E$4000=$AB54)*('2013 E Maize Soil VWC'!$F$2:$F$4000=AO$5),'2013 E Maize Soil VWC'!$G$2:$G$4000)</f>
        <v>0.30315969350282485</v>
      </c>
      <c r="AP54" s="4" cm="1">
        <f t="array" ref="AP54">_xlfn.XLOOKUP(1,('2013 E Maize Soil VWC'!$C$2:$C$4000=$AA54)*('2013 E Maize Soil VWC'!$E$2:$E$4000=$AB54)*('2013 E Maize Soil VWC'!$F$2:$F$4000=AP$5),'2013 E Maize Soil VWC'!$G$2:$G$4000)</f>
        <v>0.30083020127118648</v>
      </c>
      <c r="AQ54" s="4" cm="1">
        <f t="array" ref="AQ54">_xlfn.XLOOKUP(1,('2013 E Maize Soil VWC'!$C$2:$C$4000=$AA54)*('2013 E Maize Soil VWC'!$E$2:$E$4000=$AB54)*('2013 E Maize Soil VWC'!$F$2:$F$4000=AQ$5),'2013 E Maize Soil VWC'!$G$2:$G$4000)</f>
        <v>0.32851005014124296</v>
      </c>
      <c r="AR54" s="4" cm="1">
        <f t="array" ref="AR54">_xlfn.XLOOKUP(1,('2013 E Maize Soil VWC'!$C$2:$C$4000=$AA54)*('2013 E Maize Soil VWC'!$E$2:$E$4000=$AB54)*('2013 E Maize Soil VWC'!$F$2:$F$4000=AR$5),'2013 E Maize Soil VWC'!$G$2:$G$4000)</f>
        <v>0.32443833262711869</v>
      </c>
      <c r="AS54" s="4" cm="1">
        <f t="array" ref="AS54">_xlfn.XLOOKUP(1,('2013 E Maize Soil VWC'!$C$2:$C$4000=$AA54)*('2013 E Maize Soil VWC'!$E$2:$E$4000=$AB54)*('2013 E Maize Soil VWC'!$F$2:$F$4000=AS$5),'2013 E Maize Soil VWC'!$G$2:$G$4000)</f>
        <v>0.32269610734463278</v>
      </c>
      <c r="AT54" s="4" cm="1">
        <f t="array" ref="AT54">_xlfn.XLOOKUP(1,('2013 E Maize Soil VWC'!$C$2:$C$4000=$AA54)*('2013 E Maize Soil VWC'!$E$2:$E$4000=$AB54)*('2013 E Maize Soil VWC'!$F$2:$F$4000=AT$5),'2013 E Maize Soil VWC'!$G$2:$G$4000)</f>
        <v>0.31069628601694915</v>
      </c>
      <c r="AU54" s="4" cm="1">
        <f t="array" ref="AU54">_xlfn.XLOOKUP(1,('2013 E Maize Soil VWC'!$C$2:$C$4000=$AA54)*('2013 E Maize Soil VWC'!$E$2:$E$4000=$AB54)*('2013 E Maize Soil VWC'!$F$2:$F$4000=AU$5),'2013 E Maize Soil VWC'!$G$2:$G$4000)</f>
        <v>0.30543045903954802</v>
      </c>
      <c r="AV54" s="4" cm="1">
        <f t="array" ref="AV54">_xlfn.XLOOKUP(1,('2013 E Maize Soil VWC'!$C$2:$C$4000=$AA54)*('2013 E Maize Soil VWC'!$E$2:$E$4000=$AB54)*('2013 E Maize Soil VWC'!$F$2:$F$4000=AV$5),'2013 E Maize Soil VWC'!$G$2:$G$4000)</f>
        <v>0.30642881285310736</v>
      </c>
    </row>
    <row r="55" spans="25:64" x14ac:dyDescent="0.25">
      <c r="AA55" s="15">
        <f t="shared" si="7"/>
        <v>41450</v>
      </c>
      <c r="AB55" s="4">
        <f t="shared" si="8"/>
        <v>210</v>
      </c>
      <c r="AC55" s="4" cm="1">
        <f t="array" ref="AC55">_xlfn.XLOOKUP(1,('2013 E Maize Soil VWC'!$C$2:$C$4000=$AA55)*('2013 E Maize Soil VWC'!$E$2:$E$4000=$AB55)*('2013 E Maize Soil VWC'!$F$2:$F$4000=AC$5),'2013 E Maize Soil VWC'!$G$2:$G$4000)</f>
        <v>0.30357078036723167</v>
      </c>
      <c r="AD55" s="4" cm="1">
        <f t="array" ref="AD55">_xlfn.XLOOKUP(1,('2013 E Maize Soil VWC'!$C$2:$C$4000=$AA55)*('2013 E Maize Soil VWC'!$E$2:$E$4000=$AB55)*('2013 E Maize Soil VWC'!$F$2:$F$4000=AD$5),'2013 E Maize Soil VWC'!$G$2:$G$4000)</f>
        <v>0.30045826553672317</v>
      </c>
      <c r="AE55" s="4" cm="1">
        <f t="array" ref="AE55">_xlfn.XLOOKUP(1,('2013 E Maize Soil VWC'!$C$2:$C$4000=$AA55)*('2013 E Maize Soil VWC'!$E$2:$E$4000=$AB55)*('2013 E Maize Soil VWC'!$F$2:$F$4000=AE$5),'2013 E Maize Soil VWC'!$G$2:$G$4000)</f>
        <v>0.27933623093220339</v>
      </c>
      <c r="AF55" s="4" cm="1">
        <f t="array" ref="AF55">_xlfn.XLOOKUP(1,('2013 E Maize Soil VWC'!$C$2:$C$4000=$AA55)*('2013 E Maize Soil VWC'!$E$2:$E$4000=$AB55)*('2013 E Maize Soil VWC'!$F$2:$F$4000=AF$5),'2013 E Maize Soil VWC'!$G$2:$G$4000)</f>
        <v>0.29127732556497177</v>
      </c>
      <c r="AG55" s="4" t="e" cm="1">
        <f t="array" ref="AG55">_xlfn.XLOOKUP(1,('2013 E Maize Soil VWC'!$C$2:$C$4000=$AA55)*('2013 E Maize Soil VWC'!$E$2:$E$4000=$AB55)*('2013 E Maize Soil VWC'!$F$2:$F$4000=AG$5),'2013 E Maize Soil VWC'!$G$2:$G$4000)</f>
        <v>#N/A</v>
      </c>
      <c r="AH55" s="4" t="e" cm="1">
        <f t="array" ref="AH55">_xlfn.XLOOKUP(1,('2013 E Maize Soil VWC'!$C$2:$C$4000=$AA55)*('2013 E Maize Soil VWC'!$E$2:$E$4000=$AB55)*('2013 E Maize Soil VWC'!$F$2:$F$4000=AH$5),'2013 E Maize Soil VWC'!$G$2:$G$4000)</f>
        <v>#N/A</v>
      </c>
      <c r="AI55" s="4" cm="1">
        <f t="array" ref="AI55">_xlfn.XLOOKUP(1,('2013 E Maize Soil VWC'!$C$2:$C$4000=$AA55)*('2013 E Maize Soil VWC'!$E$2:$E$4000=$AB55)*('2013 E Maize Soil VWC'!$F$2:$F$4000=AI$5),'2013 E Maize Soil VWC'!$G$2:$G$4000)</f>
        <v>0.28691197457627116</v>
      </c>
      <c r="AJ55" s="4" cm="1">
        <f t="array" ref="AJ55">_xlfn.XLOOKUP(1,('2013 E Maize Soil VWC'!$C$2:$C$4000=$AA55)*('2013 E Maize Soil VWC'!$E$2:$E$4000=$AB55)*('2013 E Maize Soil VWC'!$F$2:$F$4000=AJ$5),'2013 E Maize Soil VWC'!$G$2:$G$4000)</f>
        <v>0.30474531426553675</v>
      </c>
      <c r="AK55" s="4" cm="1">
        <f t="array" ref="AK55">_xlfn.XLOOKUP(1,('2013 E Maize Soil VWC'!$C$2:$C$4000=$AA55)*('2013 E Maize Soil VWC'!$E$2:$E$4000=$AB55)*('2013 E Maize Soil VWC'!$F$2:$F$4000=AK$5),'2013 E Maize Soil VWC'!$G$2:$G$4000)</f>
        <v>0.29711084392655368</v>
      </c>
      <c r="AL55" s="4" cm="1">
        <f t="array" ref="AL55">_xlfn.XLOOKUP(1,('2013 E Maize Soil VWC'!$C$2:$C$4000=$AA55)*('2013 E Maize Soil VWC'!$E$2:$E$4000=$AB55)*('2013 E Maize Soil VWC'!$F$2:$F$4000=AL$5),'2013 E Maize Soil VWC'!$G$2:$G$4000)</f>
        <v>0.27283714336158194</v>
      </c>
      <c r="AM55" s="4" cm="1">
        <f t="array" ref="AM55">_xlfn.XLOOKUP(1,('2013 E Maize Soil VWC'!$C$2:$C$4000=$AA55)*('2013 E Maize Soil VWC'!$E$2:$E$4000=$AB55)*('2013 E Maize Soil VWC'!$F$2:$F$4000=AM$5),'2013 E Maize Soil VWC'!$G$2:$G$4000)</f>
        <v>0.30750546892655367</v>
      </c>
      <c r="AN55" s="4" cm="1">
        <f t="array" ref="AN55">_xlfn.XLOOKUP(1,('2013 E Maize Soil VWC'!$C$2:$C$4000=$AA55)*('2013 E Maize Soil VWC'!$E$2:$E$4000=$AB55)*('2013 E Maize Soil VWC'!$F$2:$F$4000=AN$5),'2013 E Maize Soil VWC'!$G$2:$G$4000)</f>
        <v>0.31394582980225988</v>
      </c>
      <c r="AO55" s="4" cm="1">
        <f t="array" ref="AO55">_xlfn.XLOOKUP(1,('2013 E Maize Soil VWC'!$C$2:$C$4000=$AA55)*('2013 E Maize Soil VWC'!$E$2:$E$4000=$AB55)*('2013 E Maize Soil VWC'!$F$2:$F$4000=AO$5),'2013 E Maize Soil VWC'!$G$2:$G$4000)</f>
        <v>0.30711395762711863</v>
      </c>
      <c r="AP55" s="4" cm="1">
        <f t="array" ref="AP55">_xlfn.XLOOKUP(1,('2013 E Maize Soil VWC'!$C$2:$C$4000=$AA55)*('2013 E Maize Soil VWC'!$E$2:$E$4000=$AB55)*('2013 E Maize Soil VWC'!$F$2:$F$4000=AP$5),'2013 E Maize Soil VWC'!$G$2:$G$4000)</f>
        <v>0.27273926553672317</v>
      </c>
      <c r="AQ55" s="4" t="e" cm="1">
        <f t="array" ref="AQ55">_xlfn.XLOOKUP(1,('2013 E Maize Soil VWC'!$C$2:$C$4000=$AA55)*('2013 E Maize Soil VWC'!$E$2:$E$4000=$AB55)*('2013 E Maize Soil VWC'!$F$2:$F$4000=AQ$5),'2013 E Maize Soil VWC'!$G$2:$G$4000)</f>
        <v>#N/A</v>
      </c>
      <c r="AR55" s="4" t="e" cm="1">
        <f t="array" ref="AR55">_xlfn.XLOOKUP(1,('2013 E Maize Soil VWC'!$C$2:$C$4000=$AA55)*('2013 E Maize Soil VWC'!$E$2:$E$4000=$AB55)*('2013 E Maize Soil VWC'!$F$2:$F$4000=AR$5),'2013 E Maize Soil VWC'!$G$2:$G$4000)</f>
        <v>#N/A</v>
      </c>
      <c r="AS55" s="4" cm="1">
        <f t="array" ref="AS55">_xlfn.XLOOKUP(1,('2013 E Maize Soil VWC'!$C$2:$C$4000=$AA55)*('2013 E Maize Soil VWC'!$E$2:$E$4000=$AB55)*('2013 E Maize Soil VWC'!$F$2:$F$4000=AS$5),'2013 E Maize Soil VWC'!$G$2:$G$4000)</f>
        <v>0.30360993149717513</v>
      </c>
      <c r="AT55" s="4" cm="1">
        <f t="array" ref="AT55">_xlfn.XLOOKUP(1,('2013 E Maize Soil VWC'!$C$2:$C$4000=$AA55)*('2013 E Maize Soil VWC'!$E$2:$E$4000=$AB55)*('2013 E Maize Soil VWC'!$F$2:$F$4000=AT$5),'2013 E Maize Soil VWC'!$G$2:$G$4000)</f>
        <v>0.30901278742937854</v>
      </c>
      <c r="AU55" s="4" cm="1">
        <f t="array" ref="AU55">_xlfn.XLOOKUP(1,('2013 E Maize Soil VWC'!$C$2:$C$4000=$AA55)*('2013 E Maize Soil VWC'!$E$2:$E$4000=$AB55)*('2013 E Maize Soil VWC'!$F$2:$F$4000=AU$5),'2013 E Maize Soil VWC'!$G$2:$G$4000)</f>
        <v>0.30002760310734466</v>
      </c>
      <c r="AV55" s="4" cm="1">
        <f t="array" ref="AV55">_xlfn.XLOOKUP(1,('2013 E Maize Soil VWC'!$C$2:$C$4000=$AA55)*('2013 E Maize Soil VWC'!$E$2:$E$4000=$AB55)*('2013 E Maize Soil VWC'!$F$2:$F$4000=AV$5),'2013 E Maize Soil VWC'!$G$2:$G$4000)</f>
        <v>0.30106510805084746</v>
      </c>
    </row>
    <row r="56" spans="25:64" x14ac:dyDescent="0.25">
      <c r="AA56" s="15">
        <f t="shared" si="7"/>
        <v>41450</v>
      </c>
      <c r="AB56" s="4">
        <f t="shared" si="8"/>
        <v>230</v>
      </c>
      <c r="AC56" s="4" cm="1">
        <f t="array" ref="AC56">_xlfn.XLOOKUP(1,('2013 E Maize Soil VWC'!$C$2:$C$4000=$AA56)*('2013 E Maize Soil VWC'!$E$2:$E$4000=$AB56)*('2013 E Maize Soil VWC'!$F$2:$F$4000=AC$5),'2013 E Maize Soil VWC'!$G$2:$G$4000)</f>
        <v>0.30039953884180792</v>
      </c>
      <c r="AD56" s="4" cm="1">
        <f t="array" ref="AD56">_xlfn.XLOOKUP(1,('2013 E Maize Soil VWC'!$C$2:$C$4000=$AA56)*('2013 E Maize Soil VWC'!$E$2:$E$4000=$AB56)*('2013 E Maize Soil VWC'!$F$2:$F$4000=AD$5),'2013 E Maize Soil VWC'!$G$2:$G$4000)</f>
        <v>0.30118256144067795</v>
      </c>
      <c r="AE56" s="4" cm="1">
        <f t="array" ref="AE56">_xlfn.XLOOKUP(1,('2013 E Maize Soil VWC'!$C$2:$C$4000=$AA56)*('2013 E Maize Soil VWC'!$E$2:$E$4000=$AB56)*('2013 E Maize Soil VWC'!$F$2:$F$4000=AE$5),'2013 E Maize Soil VWC'!$G$2:$G$4000)</f>
        <v>0.28826268855932208</v>
      </c>
      <c r="AF56" s="4" cm="1">
        <f t="array" ref="AF56">_xlfn.XLOOKUP(1,('2013 E Maize Soil VWC'!$C$2:$C$4000=$AA56)*('2013 E Maize Soil VWC'!$E$2:$E$4000=$AB56)*('2013 E Maize Soil VWC'!$F$2:$F$4000=AF$5),'2013 E Maize Soil VWC'!$G$2:$G$4000)</f>
        <v>0.28513059816384179</v>
      </c>
      <c r="AG56" s="4" t="e" cm="1">
        <f t="array" ref="AG56">_xlfn.XLOOKUP(1,('2013 E Maize Soil VWC'!$C$2:$C$4000=$AA56)*('2013 E Maize Soil VWC'!$E$2:$E$4000=$AB56)*('2013 E Maize Soil VWC'!$F$2:$F$4000=AG$5),'2013 E Maize Soil VWC'!$G$2:$G$4000)</f>
        <v>#N/A</v>
      </c>
      <c r="AH56" s="4" t="e" cm="1">
        <f t="array" ref="AH56">_xlfn.XLOOKUP(1,('2013 E Maize Soil VWC'!$C$2:$C$4000=$AA56)*('2013 E Maize Soil VWC'!$E$2:$E$4000=$AB56)*('2013 E Maize Soil VWC'!$F$2:$F$4000=AH$5),'2013 E Maize Soil VWC'!$G$2:$G$4000)</f>
        <v>#N/A</v>
      </c>
      <c r="AI56" s="4" cm="1">
        <f t="array" ref="AI56">_xlfn.XLOOKUP(1,('2013 E Maize Soil VWC'!$C$2:$C$4000=$AA56)*('2013 E Maize Soil VWC'!$E$2:$E$4000=$AB56)*('2013 E Maize Soil VWC'!$F$2:$F$4000=AI$5),'2013 E Maize Soil VWC'!$G$2:$G$4000)</f>
        <v>0.28881080437853107</v>
      </c>
      <c r="AJ56" s="4" cm="1">
        <f t="array" ref="AJ56">_xlfn.XLOOKUP(1,('2013 E Maize Soil VWC'!$C$2:$C$4000=$AA56)*('2013 E Maize Soil VWC'!$E$2:$E$4000=$AB56)*('2013 E Maize Soil VWC'!$F$2:$F$4000=AJ$5),'2013 E Maize Soil VWC'!$G$2:$G$4000)</f>
        <v>0.31050053036723163</v>
      </c>
      <c r="AK56" s="4" cm="1">
        <f t="array" ref="AK56">_xlfn.XLOOKUP(1,('2013 E Maize Soil VWC'!$C$2:$C$4000=$AA56)*('2013 E Maize Soil VWC'!$E$2:$E$4000=$AB56)*('2013 E Maize Soil VWC'!$F$2:$F$4000=AK$5),'2013 E Maize Soil VWC'!$G$2:$G$4000)</f>
        <v>0.30707480649717517</v>
      </c>
      <c r="AL56" s="4" cm="1">
        <f t="array" ref="AL56">_xlfn.XLOOKUP(1,('2013 E Maize Soil VWC'!$C$2:$C$4000=$AA56)*('2013 E Maize Soil VWC'!$E$2:$E$4000=$AB56)*('2013 E Maize Soil VWC'!$F$2:$F$4000=AL$5),'2013 E Maize Soil VWC'!$G$2:$G$4000)</f>
        <v>0.26410644138418077</v>
      </c>
      <c r="AM56" s="4" cm="1">
        <f t="array" ref="AM56">_xlfn.XLOOKUP(1,('2013 E Maize Soil VWC'!$C$2:$C$4000=$AA56)*('2013 E Maize Soil VWC'!$E$2:$E$4000=$AB56)*('2013 E Maize Soil VWC'!$F$2:$F$4000=AM$5),'2013 E Maize Soil VWC'!$G$2:$G$4000)</f>
        <v>0.29644527471751414</v>
      </c>
      <c r="AN56" s="4" cm="1">
        <f t="array" ref="AN56">_xlfn.XLOOKUP(1,('2013 E Maize Soil VWC'!$C$2:$C$4000=$AA56)*('2013 E Maize Soil VWC'!$E$2:$E$4000=$AB56)*('2013 E Maize Soil VWC'!$F$2:$F$4000=AN$5),'2013 E Maize Soil VWC'!$G$2:$G$4000)</f>
        <v>0.30396229166666666</v>
      </c>
      <c r="AO56" s="4" cm="1">
        <f t="array" ref="AO56">_xlfn.XLOOKUP(1,('2013 E Maize Soil VWC'!$C$2:$C$4000=$AA56)*('2013 E Maize Soil VWC'!$E$2:$E$4000=$AB56)*('2013 E Maize Soil VWC'!$F$2:$F$4000=AO$5),'2013 E Maize Soil VWC'!$G$2:$G$4000)</f>
        <v>0.30022335875706213</v>
      </c>
      <c r="AP56" s="4" cm="1">
        <f t="array" ref="AP56">_xlfn.XLOOKUP(1,('2013 E Maize Soil VWC'!$C$2:$C$4000=$AA56)*('2013 E Maize Soil VWC'!$E$2:$E$4000=$AB56)*('2013 E Maize Soil VWC'!$F$2:$F$4000=AP$5),'2013 E Maize Soil VWC'!$G$2:$G$4000)</f>
        <v>0.29810919774011302</v>
      </c>
      <c r="AQ56" s="4" t="e" cm="1">
        <f t="array" ref="AQ56">_xlfn.XLOOKUP(1,('2013 E Maize Soil VWC'!$C$2:$C$4000=$AA56)*('2013 E Maize Soil VWC'!$E$2:$E$4000=$AB56)*('2013 E Maize Soil VWC'!$F$2:$F$4000=AQ$5),'2013 E Maize Soil VWC'!$G$2:$G$4000)</f>
        <v>#N/A</v>
      </c>
      <c r="AR56" s="4" t="e" cm="1">
        <f t="array" ref="AR56">_xlfn.XLOOKUP(1,('2013 E Maize Soil VWC'!$C$2:$C$4000=$AA56)*('2013 E Maize Soil VWC'!$E$2:$E$4000=$AB56)*('2013 E Maize Soil VWC'!$F$2:$F$4000=AR$5),'2013 E Maize Soil VWC'!$G$2:$G$4000)</f>
        <v>#N/A</v>
      </c>
      <c r="AS56" s="4" cm="1">
        <f t="array" ref="AS56">_xlfn.XLOOKUP(1,('2013 E Maize Soil VWC'!$C$2:$C$4000=$AA56)*('2013 E Maize Soil VWC'!$E$2:$E$4000=$AB56)*('2013 E Maize Soil VWC'!$F$2:$F$4000=AS$5),'2013 E Maize Soil VWC'!$G$2:$G$4000)</f>
        <v>0.30145661935028251</v>
      </c>
      <c r="AT56" s="4" cm="1">
        <f t="array" ref="AT56">_xlfn.XLOOKUP(1,('2013 E Maize Soil VWC'!$C$2:$C$4000=$AA56)*('2013 E Maize Soil VWC'!$E$2:$E$4000=$AB56)*('2013 E Maize Soil VWC'!$F$2:$F$4000=AT$5),'2013 E Maize Soil VWC'!$G$2:$G$4000)</f>
        <v>0.30433422740112992</v>
      </c>
      <c r="AU56" s="4" cm="1">
        <f t="array" ref="AU56">_xlfn.XLOOKUP(1,('2013 E Maize Soil VWC'!$C$2:$C$4000=$AA56)*('2013 E Maize Soil VWC'!$E$2:$E$4000=$AB56)*('2013 E Maize Soil VWC'!$F$2:$F$4000=AU$5),'2013 E Maize Soil VWC'!$G$2:$G$4000)</f>
        <v>0.2939200268361582</v>
      </c>
      <c r="AV56" s="4" cm="1">
        <f t="array" ref="AV56">_xlfn.XLOOKUP(1,('2013 E Maize Soil VWC'!$C$2:$C$4000=$AA56)*('2013 E Maize Soil VWC'!$E$2:$E$4000=$AB56)*('2013 E Maize Soil VWC'!$F$2:$F$4000=AV$5),'2013 E Maize Soil VWC'!$G$2:$G$4000)</f>
        <v>0.30272903107344634</v>
      </c>
    </row>
    <row r="57" spans="25:64" x14ac:dyDescent="0.25">
      <c r="AA57" s="15"/>
    </row>
    <row r="58" spans="25:64" x14ac:dyDescent="0.25">
      <c r="Y58" s="4">
        <v>2013</v>
      </c>
      <c r="Z58" s="4">
        <v>183</v>
      </c>
      <c r="AA58" s="15">
        <f>DATE(Y58,1,Z58)</f>
        <v>41457</v>
      </c>
      <c r="AB58" s="4">
        <v>10</v>
      </c>
      <c r="AC58" s="4" cm="1">
        <f t="array" ref="AC58">_xlfn.XLOOKUP(1,('2013 E Maize Soil VWC'!$C$2:$C$4000=$AA58)*('2013 E Maize Soil VWC'!$E$2:$E$4000=$AB58)*('2013 E Maize Soil VWC'!$F$2:$F$4000=AC$5),'2013 E Maize Soil VWC'!$G$2:$G$4000)</f>
        <v>0.19234111501210654</v>
      </c>
      <c r="AD58" s="4" cm="1">
        <f t="array" ref="AD58">_xlfn.XLOOKUP(1,('2013 E Maize Soil VWC'!$C$2:$C$4000=$AA58)*('2013 E Maize Soil VWC'!$E$2:$E$4000=$AB58)*('2013 E Maize Soil VWC'!$F$2:$F$4000=AD$5),'2013 E Maize Soil VWC'!$G$2:$G$4000)</f>
        <v>0.21159339285714285</v>
      </c>
      <c r="AE58" s="4" cm="1">
        <f t="array" ref="AE58">_xlfn.XLOOKUP(1,('2013 E Maize Soil VWC'!$C$2:$C$4000=$AA58)*('2013 E Maize Soil VWC'!$E$2:$E$4000=$AB58)*('2013 E Maize Soil VWC'!$F$2:$F$4000=AE$5),'2013 E Maize Soil VWC'!$G$2:$G$4000)</f>
        <v>0.20968359776029055</v>
      </c>
      <c r="AF58" s="4" cm="1">
        <f t="array" ref="AF58">_xlfn.XLOOKUP(1,('2013 E Maize Soil VWC'!$C$2:$C$4000=$AA58)*('2013 E Maize Soil VWC'!$E$2:$E$4000=$AB58)*('2013 E Maize Soil VWC'!$F$2:$F$4000=AF$5),'2013 E Maize Soil VWC'!$G$2:$G$4000)</f>
        <v>0.19064351937046004</v>
      </c>
      <c r="AG58" s="4" cm="1">
        <f t="array" ref="AG58">_xlfn.XLOOKUP(1,('2013 E Maize Soil VWC'!$C$2:$C$4000=$AA58)*('2013 E Maize Soil VWC'!$E$2:$E$4000=$AB58)*('2013 E Maize Soil VWC'!$F$2:$F$4000=AG$5),'2013 E Maize Soil VWC'!$G$2:$G$4000)</f>
        <v>0.20360697699757868</v>
      </c>
      <c r="AH58" s="4" cm="1">
        <f t="array" ref="AH58">_xlfn.XLOOKUP(1,('2013 E Maize Soil VWC'!$C$2:$C$4000=$AA58)*('2013 E Maize Soil VWC'!$E$2:$E$4000=$AB58)*('2013 E Maize Soil VWC'!$F$2:$F$4000=AH$5),'2013 E Maize Soil VWC'!$G$2:$G$4000)</f>
        <v>0.19849489921307506</v>
      </c>
      <c r="AI58" s="4" cm="1">
        <f t="array" ref="AI58">_xlfn.XLOOKUP(1,('2013 E Maize Soil VWC'!$C$2:$C$4000=$AA58)*('2013 E Maize Soil VWC'!$E$2:$E$4000=$AB58)*('2013 E Maize Soil VWC'!$F$2:$F$4000=AI$5),'2013 E Maize Soil VWC'!$G$2:$G$4000)</f>
        <v>0.23520540496368036</v>
      </c>
      <c r="AJ58" s="4" cm="1">
        <f t="array" ref="AJ58">_xlfn.XLOOKUP(1,('2013 E Maize Soil VWC'!$C$2:$C$4000=$AA58)*('2013 E Maize Soil VWC'!$E$2:$E$4000=$AB58)*('2013 E Maize Soil VWC'!$F$2:$F$4000=AJ$5),'2013 E Maize Soil VWC'!$G$2:$G$4000)</f>
        <v>0.23512824152542372</v>
      </c>
      <c r="AK58" s="4" cm="1">
        <f t="array" ref="AK58">_xlfn.XLOOKUP(1,('2013 E Maize Soil VWC'!$C$2:$C$4000=$AA58)*('2013 E Maize Soil VWC'!$E$2:$E$4000=$AB58)*('2013 E Maize Soil VWC'!$F$2:$F$4000=AK$5),'2013 E Maize Soil VWC'!$G$2:$G$4000)</f>
        <v>0.21549014648910414</v>
      </c>
      <c r="AL58" s="4" cm="1">
        <f t="array" ref="AL58">_xlfn.XLOOKUP(1,('2013 E Maize Soil VWC'!$C$2:$C$4000=$AA58)*('2013 E Maize Soil VWC'!$E$2:$E$4000=$AB58)*('2013 E Maize Soil VWC'!$F$2:$F$4000=AL$5),'2013 E Maize Soil VWC'!$G$2:$G$4000)</f>
        <v>0.20366484957627118</v>
      </c>
      <c r="AM58" s="4" cm="1">
        <f t="array" ref="AM58">_xlfn.XLOOKUP(1,('2013 E Maize Soil VWC'!$C$2:$C$4000=$AA58)*('2013 E Maize Soil VWC'!$E$2:$E$4000=$AB58)*('2013 E Maize Soil VWC'!$F$2:$F$4000=AM$5),'2013 E Maize Soil VWC'!$G$2:$G$4000)</f>
        <v>0.17928120308716705</v>
      </c>
      <c r="AN58" s="4" cm="1">
        <f t="array" ref="AN58">_xlfn.XLOOKUP(1,('2013 E Maize Soil VWC'!$C$2:$C$4000=$AA58)*('2013 E Maize Soil VWC'!$E$2:$E$4000=$AB58)*('2013 E Maize Soil VWC'!$F$2:$F$4000=AN$5),'2013 E Maize Soil VWC'!$G$2:$G$4000)</f>
        <v>0.16126354025423728</v>
      </c>
      <c r="AO58" s="4" cm="1">
        <f t="array" ref="AO58">_xlfn.XLOOKUP(1,('2013 E Maize Soil VWC'!$C$2:$C$4000=$AA58)*('2013 E Maize Soil VWC'!$E$2:$E$4000=$AB58)*('2013 E Maize Soil VWC'!$F$2:$F$4000=AO$5),'2013 E Maize Soil VWC'!$G$2:$G$4000)</f>
        <v>0.17264514739709441</v>
      </c>
      <c r="AP58" s="4" cm="1">
        <f t="array" ref="AP58">_xlfn.XLOOKUP(1,('2013 E Maize Soil VWC'!$C$2:$C$4000=$AA58)*('2013 E Maize Soil VWC'!$E$2:$E$4000=$AB58)*('2013 E Maize Soil VWC'!$F$2:$F$4000=AP$5),'2013 E Maize Soil VWC'!$G$2:$G$4000)</f>
        <v>0.14230062530266344</v>
      </c>
      <c r="AQ58" s="4" cm="1">
        <f t="array" ref="AQ58">_xlfn.XLOOKUP(1,('2013 E Maize Soil VWC'!$C$2:$C$4000=$AA58)*('2013 E Maize Soil VWC'!$E$2:$E$4000=$AB58)*('2013 E Maize Soil VWC'!$F$2:$F$4000=AQ$5),'2013 E Maize Soil VWC'!$G$2:$G$4000)</f>
        <v>0.18774989043583534</v>
      </c>
      <c r="AR58" s="4" cm="1">
        <f t="array" ref="AR58">_xlfn.XLOOKUP(1,('2013 E Maize Soil VWC'!$C$2:$C$4000=$AA58)*('2013 E Maize Soil VWC'!$E$2:$E$4000=$AB58)*('2013 E Maize Soil VWC'!$F$2:$F$4000=AR$5),'2013 E Maize Soil VWC'!$G$2:$G$4000)</f>
        <v>0.18074730841404357</v>
      </c>
      <c r="AS58" s="4" cm="1">
        <f t="array" ref="AS58">_xlfn.XLOOKUP(1,('2013 E Maize Soil VWC'!$C$2:$C$4000=$AA58)*('2013 E Maize Soil VWC'!$E$2:$E$4000=$AB58)*('2013 E Maize Soil VWC'!$F$2:$F$4000=AS$5),'2013 E Maize Soil VWC'!$G$2:$G$4000)</f>
        <v>0.20358768613801453</v>
      </c>
      <c r="AT58" s="4" cm="1">
        <f t="array" ref="AT58">_xlfn.XLOOKUP(1,('2013 E Maize Soil VWC'!$C$2:$C$4000=$AA58)*('2013 E Maize Soil VWC'!$E$2:$E$4000=$AB58)*('2013 E Maize Soil VWC'!$F$2:$F$4000=AT$5),'2013 E Maize Soil VWC'!$G$2:$G$4000)</f>
        <v>0.14503992736077481</v>
      </c>
      <c r="AU58" s="4" cm="1">
        <f t="array" ref="AU58">_xlfn.XLOOKUP(1,('2013 E Maize Soil VWC'!$C$2:$C$4000=$AA58)*('2013 E Maize Soil VWC'!$E$2:$E$4000=$AB58)*('2013 E Maize Soil VWC'!$F$2:$F$4000=AU$5),'2013 E Maize Soil VWC'!$G$2:$G$4000)</f>
        <v>0.15754040435835348</v>
      </c>
      <c r="AV58" s="4" cm="1">
        <f t="array" ref="AV58">_xlfn.XLOOKUP(1,('2013 E Maize Soil VWC'!$C$2:$C$4000=$AA58)*('2013 E Maize Soil VWC'!$E$2:$E$4000=$AB58)*('2013 E Maize Soil VWC'!$F$2:$F$4000=AV$5),'2013 E Maize Soil VWC'!$G$2:$G$4000)</f>
        <v>0.15069214921307506</v>
      </c>
      <c r="AW58" s="22">
        <f>Z58</f>
        <v>183</v>
      </c>
      <c r="AX58" s="20">
        <f>AA58</f>
        <v>41457</v>
      </c>
      <c r="AY58" s="4">
        <f>1400*AVERAGE(AG58:AH64)+100*AVERAGE(AG65:AH65)</f>
        <v>456.07393048829692</v>
      </c>
      <c r="AZ58" s="4">
        <f>1400*AVERAGE(AC58:AF64,AI58:AL64)+100*AVERAGE(AC65:AF65,AI65:AL65)</f>
        <v>480.07497609211049</v>
      </c>
      <c r="BA58" s="4">
        <f>1400*AVERAGE(AQ58:AR64)+100*AVERAGE(AQ65:AR65)</f>
        <v>444.12669636803878</v>
      </c>
      <c r="BB58" s="4">
        <f>1400*AVERAGE(AM58:AP64,AS58:AV64)+100*AVERAGE(AM65:AP65,AS65:AV65)</f>
        <v>464.4346886085047</v>
      </c>
      <c r="BC58" s="4">
        <f>AVERAGE(AC58:AD69)*2400</f>
        <v>743.27934181799833</v>
      </c>
      <c r="BD58" s="4">
        <f>AVERAGE(AE58:AF69)*2400</f>
        <v>729.86028890234059</v>
      </c>
      <c r="BE58" s="4">
        <f>AVERAGE(AG58:AH67)*2000</f>
        <v>623.86234503631954</v>
      </c>
      <c r="BF58" s="4">
        <f>AVERAGE(AI58:AJ69)*2400</f>
        <v>761.91322736077473</v>
      </c>
      <c r="BG58" s="4">
        <f>AVERAGE(AK58:AL69)*2400</f>
        <v>752.30909120258275</v>
      </c>
      <c r="BH58" s="4">
        <f>AVERAGE(AM58:AN69)*2400</f>
        <v>749.47797270984688</v>
      </c>
      <c r="BI58" s="4">
        <f>AVERAGE(AO58:AP69)*2400</f>
        <v>737.33696992534306</v>
      </c>
      <c r="BJ58" s="4">
        <f>AVERAGE(AQ58:AR67)*2000</f>
        <v>608.67143980024207</v>
      </c>
      <c r="BK58" s="4">
        <f>AVERAGE(AS58:AT69)*2400</f>
        <v>755.71128430185627</v>
      </c>
      <c r="BL58" s="4">
        <f>AVERAGE(AU58:AV69)*2400</f>
        <v>738.92723621872494</v>
      </c>
    </row>
    <row r="59" spans="25:64" x14ac:dyDescent="0.25">
      <c r="AA59" s="15">
        <f t="shared" ref="AA59:AA69" si="9">AA58</f>
        <v>41457</v>
      </c>
      <c r="AB59" s="4">
        <f t="shared" ref="AB59:AB69" si="10">AB58+20</f>
        <v>30</v>
      </c>
      <c r="AC59" s="4" cm="1">
        <f t="array" ref="AC59">_xlfn.XLOOKUP(1,('2013 E Maize Soil VWC'!$C$2:$C$4000=$AA59)*('2013 E Maize Soil VWC'!$E$2:$E$4000=$AB59)*('2013 E Maize Soil VWC'!$F$2:$F$4000=AC$5),'2013 E Maize Soil VWC'!$G$2:$G$4000)</f>
        <v>0.31278813488700563</v>
      </c>
      <c r="AD59" s="4" cm="1">
        <f t="array" ref="AD59">_xlfn.XLOOKUP(1,('2013 E Maize Soil VWC'!$C$2:$C$4000=$AA59)*('2013 E Maize Soil VWC'!$E$2:$E$4000=$AB59)*('2013 E Maize Soil VWC'!$F$2:$F$4000=AD$5),'2013 E Maize Soil VWC'!$G$2:$G$4000)</f>
        <v>0.30592550635593219</v>
      </c>
      <c r="AE59" s="4" cm="1">
        <f t="array" ref="AE59">_xlfn.XLOOKUP(1,('2013 E Maize Soil VWC'!$C$2:$C$4000=$AA59)*('2013 E Maize Soil VWC'!$E$2:$E$4000=$AB59)*('2013 E Maize Soil VWC'!$F$2:$F$4000=AE$5),'2013 E Maize Soil VWC'!$G$2:$G$4000)</f>
        <v>0.32600675494350284</v>
      </c>
      <c r="AF59" s="4" cm="1">
        <f t="array" ref="AF59">_xlfn.XLOOKUP(1,('2013 E Maize Soil VWC'!$C$2:$C$4000=$AA59)*('2013 E Maize Soil VWC'!$E$2:$E$4000=$AB59)*('2013 E Maize Soil VWC'!$F$2:$F$4000=AF$5),'2013 E Maize Soil VWC'!$G$2:$G$4000)</f>
        <v>0.30049067302259885</v>
      </c>
      <c r="AG59" s="4" cm="1">
        <f t="array" ref="AG59">_xlfn.XLOOKUP(1,('2013 E Maize Soil VWC'!$C$2:$C$4000=$AA59)*('2013 E Maize Soil VWC'!$E$2:$E$4000=$AB59)*('2013 E Maize Soil VWC'!$F$2:$F$4000=AG$5),'2013 E Maize Soil VWC'!$G$2:$G$4000)</f>
        <v>0.28764051624293785</v>
      </c>
      <c r="AH59" s="4" cm="1">
        <f t="array" ref="AH59">_xlfn.XLOOKUP(1,('2013 E Maize Soil VWC'!$C$2:$C$4000=$AA59)*('2013 E Maize Soil VWC'!$E$2:$E$4000=$AB59)*('2013 E Maize Soil VWC'!$F$2:$F$4000=AH$5),'2013 E Maize Soil VWC'!$G$2:$G$4000)</f>
        <v>0.28556791031073442</v>
      </c>
      <c r="AI59" s="4" cm="1">
        <f t="array" ref="AI59">_xlfn.XLOOKUP(1,('2013 E Maize Soil VWC'!$C$2:$C$4000=$AA59)*('2013 E Maize Soil VWC'!$E$2:$E$4000=$AB59)*('2013 E Maize Soil VWC'!$F$2:$F$4000=AI$5),'2013 E Maize Soil VWC'!$G$2:$G$4000)</f>
        <v>0.32713517372881351</v>
      </c>
      <c r="AJ59" s="4" cm="1">
        <f t="array" ref="AJ59">_xlfn.XLOOKUP(1,('2013 E Maize Soil VWC'!$C$2:$C$4000=$AA59)*('2013 E Maize Soil VWC'!$E$2:$E$4000=$AB59)*('2013 E Maize Soil VWC'!$F$2:$F$4000=AJ$5),'2013 E Maize Soil VWC'!$G$2:$G$4000)</f>
        <v>0.32923080861581916</v>
      </c>
      <c r="AK59" s="4" cm="1">
        <f t="array" ref="AK59">_xlfn.XLOOKUP(1,('2013 E Maize Soil VWC'!$C$2:$C$4000=$AA59)*('2013 E Maize Soil VWC'!$E$2:$E$4000=$AB59)*('2013 E Maize Soil VWC'!$F$2:$F$4000=AK$5),'2013 E Maize Soil VWC'!$G$2:$G$4000)</f>
        <v>0.32904657697740108</v>
      </c>
      <c r="AL59" s="4" cm="1">
        <f t="array" ref="AL59">_xlfn.XLOOKUP(1,('2013 E Maize Soil VWC'!$C$2:$C$4000=$AA59)*('2013 E Maize Soil VWC'!$E$2:$E$4000=$AB59)*('2013 E Maize Soil VWC'!$F$2:$F$4000=AL$5),'2013 E Maize Soil VWC'!$G$2:$G$4000)</f>
        <v>0.32904657697740108</v>
      </c>
      <c r="AM59" s="4" cm="1">
        <f t="array" ref="AM59">_xlfn.XLOOKUP(1,('2013 E Maize Soil VWC'!$C$2:$C$4000=$AA59)*('2013 E Maize Soil VWC'!$E$2:$E$4000=$AB59)*('2013 E Maize Soil VWC'!$F$2:$F$4000=AM$5),'2013 E Maize Soil VWC'!$G$2:$G$4000)</f>
        <v>0.30974831285310733</v>
      </c>
      <c r="AN59" s="4" cm="1">
        <f t="array" ref="AN59">_xlfn.XLOOKUP(1,('2013 E Maize Soil VWC'!$C$2:$C$4000=$AA59)*('2013 E Maize Soil VWC'!$E$2:$E$4000=$AB59)*('2013 E Maize Soil VWC'!$F$2:$F$4000=AN$5),'2013 E Maize Soil VWC'!$G$2:$G$4000)</f>
        <v>0.2664078199152542</v>
      </c>
      <c r="AO59" s="4" cm="1">
        <f t="array" ref="AO59">_xlfn.XLOOKUP(1,('2013 E Maize Soil VWC'!$C$2:$C$4000=$AA59)*('2013 E Maize Soil VWC'!$E$2:$E$4000=$AB59)*('2013 E Maize Soil VWC'!$F$2:$F$4000=AO$5),'2013 E Maize Soil VWC'!$G$2:$G$4000)</f>
        <v>0.31306448234463274</v>
      </c>
      <c r="AP59" s="4" cm="1">
        <f t="array" ref="AP59">_xlfn.XLOOKUP(1,('2013 E Maize Soil VWC'!$C$2:$C$4000=$AA59)*('2013 E Maize Soil VWC'!$E$2:$E$4000=$AB59)*('2013 E Maize Soil VWC'!$F$2:$F$4000=AP$5),'2013 E Maize Soil VWC'!$G$2:$G$4000)</f>
        <v>0.28128452471751408</v>
      </c>
      <c r="AQ59" s="4" cm="1">
        <f t="array" ref="AQ59">_xlfn.XLOOKUP(1,('2013 E Maize Soil VWC'!$C$2:$C$4000=$AA59)*('2013 E Maize Soil VWC'!$E$2:$E$4000=$AB59)*('2013 E Maize Soil VWC'!$F$2:$F$4000=AQ$5),'2013 E Maize Soil VWC'!$G$2:$G$4000)</f>
        <v>0.28024822175141245</v>
      </c>
      <c r="AR59" s="4" cm="1">
        <f t="array" ref="AR59">_xlfn.XLOOKUP(1,('2013 E Maize Soil VWC'!$C$2:$C$4000=$AA59)*('2013 E Maize Soil VWC'!$E$2:$E$4000=$AB59)*('2013 E Maize Soil VWC'!$F$2:$F$4000=AR$5),'2013 E Maize Soil VWC'!$G$2:$G$4000)</f>
        <v>0.28531459180790958</v>
      </c>
      <c r="AS59" s="4" cm="1">
        <f t="array" ref="AS59">_xlfn.XLOOKUP(1,('2013 E Maize Soil VWC'!$C$2:$C$4000=$AA59)*('2013 E Maize Soil VWC'!$E$2:$E$4000=$AB59)*('2013 E Maize Soil VWC'!$F$2:$F$4000=AS$5),'2013 E Maize Soil VWC'!$G$2:$G$4000)</f>
        <v>0.31442319067796609</v>
      </c>
      <c r="AT59" s="4" cm="1">
        <f t="array" ref="AT59">_xlfn.XLOOKUP(1,('2013 E Maize Soil VWC'!$C$2:$C$4000=$AA59)*('2013 E Maize Soil VWC'!$E$2:$E$4000=$AB59)*('2013 E Maize Soil VWC'!$F$2:$F$4000=AT$5),'2013 E Maize Soil VWC'!$G$2:$G$4000)</f>
        <v>0.30799811228813562</v>
      </c>
      <c r="AU59" s="4" cm="1">
        <f t="array" ref="AU59">_xlfn.XLOOKUP(1,('2013 E Maize Soil VWC'!$C$2:$C$4000=$AA59)*('2013 E Maize Soil VWC'!$E$2:$E$4000=$AB59)*('2013 E Maize Soil VWC'!$F$2:$F$4000=AU$5),'2013 E Maize Soil VWC'!$G$2:$G$4000)</f>
        <v>0.27506670692090396</v>
      </c>
      <c r="AV59" s="4" cm="1">
        <f t="array" ref="AV59">_xlfn.XLOOKUP(1,('2013 E Maize Soil VWC'!$C$2:$C$4000=$AA59)*('2013 E Maize Soil VWC'!$E$2:$E$4000=$AB59)*('2013 E Maize Soil VWC'!$F$2:$F$4000=AV$5),'2013 E Maize Soil VWC'!$G$2:$G$4000)</f>
        <v>0.31214332415254237</v>
      </c>
    </row>
    <row r="60" spans="25:64" x14ac:dyDescent="0.25">
      <c r="AA60" s="15">
        <f t="shared" si="9"/>
        <v>41457</v>
      </c>
      <c r="AB60" s="4">
        <f t="shared" si="10"/>
        <v>50</v>
      </c>
      <c r="AC60" s="4" cm="1">
        <f t="array" ref="AC60">_xlfn.XLOOKUP(1,('2013 E Maize Soil VWC'!$C$2:$C$4000=$AA60)*('2013 E Maize Soil VWC'!$E$2:$E$4000=$AB60)*('2013 E Maize Soil VWC'!$F$2:$F$4000=AC$5),'2013 E Maize Soil VWC'!$G$2:$G$4000)</f>
        <v>0.34650252471751414</v>
      </c>
      <c r="AD60" s="4" cm="1">
        <f t="array" ref="AD60">_xlfn.XLOOKUP(1,('2013 E Maize Soil VWC'!$C$2:$C$4000=$AA60)*('2013 E Maize Soil VWC'!$E$2:$E$4000=$AB60)*('2013 E Maize Soil VWC'!$F$2:$F$4000=AD$5),'2013 E Maize Soil VWC'!$G$2:$G$4000)</f>
        <v>0.359790231638418</v>
      </c>
      <c r="AE60" s="4" cm="1">
        <f t="array" ref="AE60">_xlfn.XLOOKUP(1,('2013 E Maize Soil VWC'!$C$2:$C$4000=$AA60)*('2013 E Maize Soil VWC'!$E$2:$E$4000=$AB60)*('2013 E Maize Soil VWC'!$F$2:$F$4000=AE$5),'2013 E Maize Soil VWC'!$G$2:$G$4000)</f>
        <v>0.35576016454802256</v>
      </c>
      <c r="AF60" s="4" cm="1">
        <f t="array" ref="AF60">_xlfn.XLOOKUP(1,('2013 E Maize Soil VWC'!$C$2:$C$4000=$AA60)*('2013 E Maize Soil VWC'!$E$2:$E$4000=$AB60)*('2013 E Maize Soil VWC'!$F$2:$F$4000=AF$5),'2013 E Maize Soil VWC'!$G$2:$G$4000)</f>
        <v>0.34500564265536721</v>
      </c>
      <c r="AG60" s="4" cm="1">
        <f t="array" ref="AG60">_xlfn.XLOOKUP(1,('2013 E Maize Soil VWC'!$C$2:$C$4000=$AA60)*('2013 E Maize Soil VWC'!$E$2:$E$4000=$AB60)*('2013 E Maize Soil VWC'!$F$2:$F$4000=AG$5),'2013 E Maize Soil VWC'!$G$2:$G$4000)</f>
        <v>0.30382987146892654</v>
      </c>
      <c r="AH60" s="4" cm="1">
        <f t="array" ref="AH60">_xlfn.XLOOKUP(1,('2013 E Maize Soil VWC'!$C$2:$C$4000=$AA60)*('2013 E Maize Soil VWC'!$E$2:$E$4000=$AB60)*('2013 E Maize Soil VWC'!$F$2:$F$4000=AH$5),'2013 E Maize Soil VWC'!$G$2:$G$4000)</f>
        <v>0.32402626483050845</v>
      </c>
      <c r="AI60" s="4" cm="1">
        <f t="array" ref="AI60">_xlfn.XLOOKUP(1,('2013 E Maize Soil VWC'!$C$2:$C$4000=$AA60)*('2013 E Maize Soil VWC'!$E$2:$E$4000=$AB60)*('2013 E Maize Soil VWC'!$F$2:$F$4000=AI$5),'2013 E Maize Soil VWC'!$G$2:$G$4000)</f>
        <v>0.35932965254237287</v>
      </c>
      <c r="AJ60" s="4" cm="1">
        <f t="array" ref="AJ60">_xlfn.XLOOKUP(1,('2013 E Maize Soil VWC'!$C$2:$C$4000=$AA60)*('2013 E Maize Soil VWC'!$E$2:$E$4000=$AB60)*('2013 E Maize Soil VWC'!$F$2:$F$4000=AJ$5),'2013 E Maize Soil VWC'!$G$2:$G$4000)</f>
        <v>0.34624920621468924</v>
      </c>
      <c r="AK60" s="4" cm="1">
        <f t="array" ref="AK60">_xlfn.XLOOKUP(1,('2013 E Maize Soil VWC'!$C$2:$C$4000=$AA60)*('2013 E Maize Soil VWC'!$E$2:$E$4000=$AB60)*('2013 E Maize Soil VWC'!$F$2:$F$4000=AK$5),'2013 E Maize Soil VWC'!$G$2:$G$4000)</f>
        <v>0.36057321610169496</v>
      </c>
      <c r="AL60" s="4" cm="1">
        <f t="array" ref="AL60">_xlfn.XLOOKUP(1,('2013 E Maize Soil VWC'!$C$2:$C$4000=$AA60)*('2013 E Maize Soil VWC'!$E$2:$E$4000=$AB60)*('2013 E Maize Soil VWC'!$F$2:$F$4000=AL$5),'2013 E Maize Soil VWC'!$G$2:$G$4000)</f>
        <v>0.36658377330508474</v>
      </c>
      <c r="AM60" s="4" cm="1">
        <f t="array" ref="AM60">_xlfn.XLOOKUP(1,('2013 E Maize Soil VWC'!$C$2:$C$4000=$AA60)*('2013 E Maize Soil VWC'!$E$2:$E$4000=$AB60)*('2013 E Maize Soil VWC'!$F$2:$F$4000=AM$5),'2013 E Maize Soil VWC'!$G$2:$G$4000)</f>
        <v>0.35571410663841807</v>
      </c>
      <c r="AN60" s="4" cm="1">
        <f t="array" ref="AN60">_xlfn.XLOOKUP(1,('2013 E Maize Soil VWC'!$C$2:$C$4000=$AA60)*('2013 E Maize Soil VWC'!$E$2:$E$4000=$AB60)*('2013 E Maize Soil VWC'!$F$2:$F$4000=AN$5),'2013 E Maize Soil VWC'!$G$2:$G$4000)</f>
        <v>0.34371602118644068</v>
      </c>
      <c r="AO60" s="4" cm="1">
        <f t="array" ref="AO60">_xlfn.XLOOKUP(1,('2013 E Maize Soil VWC'!$C$2:$C$4000=$AA60)*('2013 E Maize Soil VWC'!$E$2:$E$4000=$AB60)*('2013 E Maize Soil VWC'!$F$2:$F$4000=AO$5),'2013 E Maize Soil VWC'!$G$2:$G$4000)</f>
        <v>0.34677887217514125</v>
      </c>
      <c r="AP60" s="4" cm="1">
        <f t="array" ref="AP60">_xlfn.XLOOKUP(1,('2013 E Maize Soil VWC'!$C$2:$C$4000=$AA60)*('2013 E Maize Soil VWC'!$E$2:$E$4000=$AB60)*('2013 E Maize Soil VWC'!$F$2:$F$4000=AP$5),'2013 E Maize Soil VWC'!$G$2:$G$4000)</f>
        <v>0.35198341596045196</v>
      </c>
      <c r="AQ60" s="4" cm="1">
        <f t="array" ref="AQ60">_xlfn.XLOOKUP(1,('2013 E Maize Soil VWC'!$C$2:$C$4000=$AA60)*('2013 E Maize Soil VWC'!$E$2:$E$4000=$AB60)*('2013 E Maize Soil VWC'!$F$2:$F$4000=AQ$5),'2013 E Maize Soil VWC'!$G$2:$G$4000)</f>
        <v>0.30721512782485871</v>
      </c>
      <c r="AR60" s="4" cm="1">
        <f t="array" ref="AR60">_xlfn.XLOOKUP(1,('2013 E Maize Soil VWC'!$C$2:$C$4000=$AA60)*('2013 E Maize Soil VWC'!$E$2:$E$4000=$AB60)*('2013 E Maize Soil VWC'!$F$2:$F$4000=AR$5),'2013 E Maize Soil VWC'!$G$2:$G$4000)</f>
        <v>0.32255241172316385</v>
      </c>
      <c r="AS60" s="4" cm="1">
        <f t="array" ref="AS60">_xlfn.XLOOKUP(1,('2013 E Maize Soil VWC'!$C$2:$C$4000=$AA60)*('2013 E Maize Soil VWC'!$E$2:$E$4000=$AB60)*('2013 E Maize Soil VWC'!$F$2:$F$4000=AS$5),'2013 E Maize Soil VWC'!$G$2:$G$4000)</f>
        <v>0.36103379519774015</v>
      </c>
      <c r="AT60" s="4" cm="1">
        <f t="array" ref="AT60">_xlfn.XLOOKUP(1,('2013 E Maize Soil VWC'!$C$2:$C$4000=$AA60)*('2013 E Maize Soil VWC'!$E$2:$E$4000=$AB60)*('2013 E Maize Soil VWC'!$F$2:$F$4000=AT$5),'2013 E Maize Soil VWC'!$G$2:$G$4000)</f>
        <v>0.35025624435028246</v>
      </c>
      <c r="AU60" s="4" cm="1">
        <f t="array" ref="AU60">_xlfn.XLOOKUP(1,('2013 E Maize Soil VWC'!$C$2:$C$4000=$AA60)*('2013 E Maize Soil VWC'!$E$2:$E$4000=$AB60)*('2013 E Maize Soil VWC'!$F$2:$F$4000=AU$5),'2013 E Maize Soil VWC'!$G$2:$G$4000)</f>
        <v>0.3348729025423729</v>
      </c>
      <c r="AV60" s="4" cm="1">
        <f t="array" ref="AV60">_xlfn.XLOOKUP(1,('2013 E Maize Soil VWC'!$C$2:$C$4000=$AA60)*('2013 E Maize Soil VWC'!$E$2:$E$4000=$AB60)*('2013 E Maize Soil VWC'!$F$2:$F$4000=AV$5),'2013 E Maize Soil VWC'!$G$2:$G$4000)</f>
        <v>0.3564280042372881</v>
      </c>
    </row>
    <row r="61" spans="25:64" x14ac:dyDescent="0.25">
      <c r="AA61" s="15">
        <f t="shared" si="9"/>
        <v>41457</v>
      </c>
      <c r="AB61" s="4">
        <f t="shared" si="10"/>
        <v>70</v>
      </c>
      <c r="AC61" s="4" cm="1">
        <f t="array" ref="AC61">_xlfn.XLOOKUP(1,('2013 E Maize Soil VWC'!$C$2:$C$4000=$AA61)*('2013 E Maize Soil VWC'!$E$2:$E$4000=$AB61)*('2013 E Maize Soil VWC'!$F$2:$F$4000=AC$5),'2013 E Maize Soil VWC'!$G$2:$G$4000)</f>
        <v>0.34972657838983046</v>
      </c>
      <c r="AD61" s="4" cm="1">
        <f t="array" ref="AD61">_xlfn.XLOOKUP(1,('2013 E Maize Soil VWC'!$C$2:$C$4000=$AA61)*('2013 E Maize Soil VWC'!$E$2:$E$4000=$AB61)*('2013 E Maize Soil VWC'!$F$2:$F$4000=AD$5),'2013 E Maize Soil VWC'!$G$2:$G$4000)</f>
        <v>0.35695767019774011</v>
      </c>
      <c r="AE61" s="4" cm="1">
        <f t="array" ref="AE61">_xlfn.XLOOKUP(1,('2013 E Maize Soil VWC'!$C$2:$C$4000=$AA61)*('2013 E Maize Soil VWC'!$E$2:$E$4000=$AB61)*('2013 E Maize Soil VWC'!$F$2:$F$4000=AE$5),'2013 E Maize Soil VWC'!$G$2:$G$4000)</f>
        <v>0.34604194562146889</v>
      </c>
      <c r="AF61" s="4" cm="1">
        <f t="array" ref="AF61">_xlfn.XLOOKUP(1,('2013 E Maize Soil VWC'!$C$2:$C$4000=$AA61)*('2013 E Maize Soil VWC'!$E$2:$E$4000=$AB61)*('2013 E Maize Soil VWC'!$F$2:$F$4000=AF$5),'2013 E Maize Soil VWC'!$G$2:$G$4000)</f>
        <v>0.34459112146892656</v>
      </c>
      <c r="AG61" s="4" cm="1">
        <f t="array" ref="AG61">_xlfn.XLOOKUP(1,('2013 E Maize Soil VWC'!$C$2:$C$4000=$AA61)*('2013 E Maize Soil VWC'!$E$2:$E$4000=$AB61)*('2013 E Maize Soil VWC'!$F$2:$F$4000=AG$5),'2013 E Maize Soil VWC'!$G$2:$G$4000)</f>
        <v>0.32087129802259884</v>
      </c>
      <c r="AH61" s="4" cm="1">
        <f t="array" ref="AH61">_xlfn.XLOOKUP(1,('2013 E Maize Soil VWC'!$C$2:$C$4000=$AA61)*('2013 E Maize Soil VWC'!$E$2:$E$4000=$AB61)*('2013 E Maize Soil VWC'!$F$2:$F$4000=AH$5),'2013 E Maize Soil VWC'!$G$2:$G$4000)</f>
        <v>0.33432020762711862</v>
      </c>
      <c r="AI61" s="4" cm="1">
        <f t="array" ref="AI61">_xlfn.XLOOKUP(1,('2013 E Maize Soil VWC'!$C$2:$C$4000=$AA61)*('2013 E Maize Soil VWC'!$E$2:$E$4000=$AB61)*('2013 E Maize Soil VWC'!$F$2:$F$4000=AI$5),'2013 E Maize Soil VWC'!$G$2:$G$4000)</f>
        <v>0.35338818220338986</v>
      </c>
      <c r="AJ61" s="4" cm="1">
        <f t="array" ref="AJ61">_xlfn.XLOOKUP(1,('2013 E Maize Soil VWC'!$C$2:$C$4000=$AA61)*('2013 E Maize Soil VWC'!$E$2:$E$4000=$AB61)*('2013 E Maize Soil VWC'!$F$2:$F$4000=AJ$5),'2013 E Maize Soil VWC'!$G$2:$G$4000)</f>
        <v>0.34581165607344633</v>
      </c>
      <c r="AK61" s="4" cm="1">
        <f t="array" ref="AK61">_xlfn.XLOOKUP(1,('2013 E Maize Soil VWC'!$C$2:$C$4000=$AA61)*('2013 E Maize Soil VWC'!$E$2:$E$4000=$AB61)*('2013 E Maize Soil VWC'!$F$2:$F$4000=AK$5),'2013 E Maize Soil VWC'!$G$2:$G$4000)</f>
        <v>0.34942720197740113</v>
      </c>
      <c r="AL61" s="4" cm="1">
        <f t="array" ref="AL61">_xlfn.XLOOKUP(1,('2013 E Maize Soil VWC'!$C$2:$C$4000=$AA61)*('2013 E Maize Soil VWC'!$E$2:$E$4000=$AB61)*('2013 E Maize Soil VWC'!$F$2:$F$4000=AL$5),'2013 E Maize Soil VWC'!$G$2:$G$4000)</f>
        <v>0.3596750868644068</v>
      </c>
      <c r="AM61" s="4" cm="1">
        <f t="array" ref="AM61">_xlfn.XLOOKUP(1,('2013 E Maize Soil VWC'!$C$2:$C$4000=$AA61)*('2013 E Maize Soil VWC'!$E$2:$E$4000=$AB61)*('2013 E Maize Soil VWC'!$F$2:$F$4000=AM$5),'2013 E Maize Soil VWC'!$G$2:$G$4000)</f>
        <v>0.35622074364406775</v>
      </c>
      <c r="AN61" s="4" cm="1">
        <f t="array" ref="AN61">_xlfn.XLOOKUP(1,('2013 E Maize Soil VWC'!$C$2:$C$4000=$AA61)*('2013 E Maize Soil VWC'!$E$2:$E$4000=$AB61)*('2013 E Maize Soil VWC'!$F$2:$F$4000=AN$5),'2013 E Maize Soil VWC'!$G$2:$G$4000)</f>
        <v>0.34191976271186442</v>
      </c>
      <c r="AO61" s="4" cm="1">
        <f t="array" ref="AO61">_xlfn.XLOOKUP(1,('2013 E Maize Soil VWC'!$C$2:$C$4000=$AA61)*('2013 E Maize Soil VWC'!$E$2:$E$4000=$AB61)*('2013 E Maize Soil VWC'!$F$2:$F$4000=AO$5),'2013 E Maize Soil VWC'!$G$2:$G$4000)</f>
        <v>0.34820666737288131</v>
      </c>
      <c r="AP61" s="4" cm="1">
        <f t="array" ref="AP61">_xlfn.XLOOKUP(1,('2013 E Maize Soil VWC'!$C$2:$C$4000=$AA61)*('2013 E Maize Soil VWC'!$E$2:$E$4000=$AB61)*('2013 E Maize Soil VWC'!$F$2:$F$4000=AP$5),'2013 E Maize Soil VWC'!$G$2:$G$4000)</f>
        <v>0.35027927330508474</v>
      </c>
      <c r="AQ61" s="4" cm="1">
        <f t="array" ref="AQ61">_xlfn.XLOOKUP(1,('2013 E Maize Soil VWC'!$C$2:$C$4000=$AA61)*('2013 E Maize Soil VWC'!$E$2:$E$4000=$AB61)*('2013 E Maize Soil VWC'!$F$2:$F$4000=AQ$5),'2013 E Maize Soil VWC'!$G$2:$G$4000)</f>
        <v>0.32195365889830507</v>
      </c>
      <c r="AR61" s="4" cm="1">
        <f t="array" ref="AR61">_xlfn.XLOOKUP(1,('2013 E Maize Soil VWC'!$C$2:$C$4000=$AA61)*('2013 E Maize Soil VWC'!$E$2:$E$4000=$AB61)*('2013 E Maize Soil VWC'!$F$2:$F$4000=AR$5),'2013 E Maize Soil VWC'!$G$2:$G$4000)</f>
        <v>0.31803873658192089</v>
      </c>
      <c r="AS61" s="4" cm="1">
        <f t="array" ref="AS61">_xlfn.XLOOKUP(1,('2013 E Maize Soil VWC'!$C$2:$C$4000=$AA61)*('2013 E Maize Soil VWC'!$E$2:$E$4000=$AB61)*('2013 E Maize Soil VWC'!$F$2:$F$4000=AS$5),'2013 E Maize Soil VWC'!$G$2:$G$4000)</f>
        <v>0.35152283686440677</v>
      </c>
      <c r="AT61" s="4" cm="1">
        <f t="array" ref="AT61">_xlfn.XLOOKUP(1,('2013 E Maize Soil VWC'!$C$2:$C$4000=$AA61)*('2013 E Maize Soil VWC'!$E$2:$E$4000=$AB61)*('2013 E Maize Soil VWC'!$F$2:$F$4000=AT$5),'2013 E Maize Soil VWC'!$G$2:$G$4000)</f>
        <v>0.3420118785310734</v>
      </c>
      <c r="AU61" s="4" cm="1">
        <f t="array" ref="AU61">_xlfn.XLOOKUP(1,('2013 E Maize Soil VWC'!$C$2:$C$4000=$AA61)*('2013 E Maize Soil VWC'!$E$2:$E$4000=$AB61)*('2013 E Maize Soil VWC'!$F$2:$F$4000=AU$5),'2013 E Maize Soil VWC'!$G$2:$G$4000)</f>
        <v>0.3420118785310734</v>
      </c>
      <c r="AV61" s="4" cm="1">
        <f t="array" ref="AV61">_xlfn.XLOOKUP(1,('2013 E Maize Soil VWC'!$C$2:$C$4000=$AA61)*('2013 E Maize Soil VWC'!$E$2:$E$4000=$AB61)*('2013 E Maize Soil VWC'!$F$2:$F$4000=AV$5),'2013 E Maize Soil VWC'!$G$2:$G$4000)</f>
        <v>0.34350876059322033</v>
      </c>
    </row>
    <row r="62" spans="25:64" x14ac:dyDescent="0.25">
      <c r="AA62" s="15">
        <f t="shared" si="9"/>
        <v>41457</v>
      </c>
      <c r="AB62" s="4">
        <f t="shared" si="10"/>
        <v>90</v>
      </c>
      <c r="AC62" s="4" cm="1">
        <f t="array" ref="AC62">_xlfn.XLOOKUP(1,('2013 E Maize Soil VWC'!$C$2:$C$4000=$AA62)*('2013 E Maize Soil VWC'!$E$2:$E$4000=$AB62)*('2013 E Maize Soil VWC'!$F$2:$F$4000=AC$5),'2013 E Maize Soil VWC'!$G$2:$G$4000)</f>
        <v>0.34622617725988697</v>
      </c>
      <c r="AD62" s="4" cm="1">
        <f t="array" ref="AD62">_xlfn.XLOOKUP(1,('2013 E Maize Soil VWC'!$C$2:$C$4000=$AA62)*('2013 E Maize Soil VWC'!$E$2:$E$4000=$AB62)*('2013 E Maize Soil VWC'!$F$2:$F$4000=AD$5),'2013 E Maize Soil VWC'!$G$2:$G$4000)</f>
        <v>0.34539713488700563</v>
      </c>
      <c r="AE62" s="4" cm="1">
        <f t="array" ref="AE62">_xlfn.XLOOKUP(1,('2013 E Maize Soil VWC'!$C$2:$C$4000=$AA62)*('2013 E Maize Soil VWC'!$E$2:$E$4000=$AB62)*('2013 E Maize Soil VWC'!$F$2:$F$4000=AE$5),'2013 E Maize Soil VWC'!$G$2:$G$4000)</f>
        <v>0.34136706779661019</v>
      </c>
      <c r="AF62" s="4" cm="1">
        <f t="array" ref="AF62">_xlfn.XLOOKUP(1,('2013 E Maize Soil VWC'!$C$2:$C$4000=$AA62)*('2013 E Maize Soil VWC'!$E$2:$E$4000=$AB62)*('2013 E Maize Soil VWC'!$F$2:$F$4000=AF$5),'2013 E Maize Soil VWC'!$G$2:$G$4000)</f>
        <v>0.33802786935028245</v>
      </c>
      <c r="AG62" s="4" cm="1">
        <f t="array" ref="AG62">_xlfn.XLOOKUP(1,('2013 E Maize Soil VWC'!$C$2:$C$4000=$AA62)*('2013 E Maize Soil VWC'!$E$2:$E$4000=$AB62)*('2013 E Maize Soil VWC'!$F$2:$F$4000=AG$5),'2013 E Maize Soil VWC'!$G$2:$G$4000)</f>
        <v>0.33595526341807908</v>
      </c>
      <c r="AH62" s="4" cm="1">
        <f t="array" ref="AH62">_xlfn.XLOOKUP(1,('2013 E Maize Soil VWC'!$C$2:$C$4000=$AA62)*('2013 E Maize Soil VWC'!$E$2:$E$4000=$AB62)*('2013 E Maize Soil VWC'!$F$2:$F$4000=AH$5),'2013 E Maize Soil VWC'!$G$2:$G$4000)</f>
        <v>0.33243183333333332</v>
      </c>
      <c r="AI62" s="4" cm="1">
        <f t="array" ref="AI62">_xlfn.XLOOKUP(1,('2013 E Maize Soil VWC'!$C$2:$C$4000=$AA62)*('2013 E Maize Soil VWC'!$E$2:$E$4000=$AB62)*('2013 E Maize Soil VWC'!$F$2:$F$4000=AI$5),'2013 E Maize Soil VWC'!$G$2:$G$4000)</f>
        <v>0.34855210169491524</v>
      </c>
      <c r="AJ62" s="4" cm="1">
        <f t="array" ref="AJ62">_xlfn.XLOOKUP(1,('2013 E Maize Soil VWC'!$C$2:$C$4000=$AA62)*('2013 E Maize Soil VWC'!$E$2:$E$4000=$AB62)*('2013 E Maize Soil VWC'!$F$2:$F$4000=AJ$5),'2013 E Maize Soil VWC'!$G$2:$G$4000)</f>
        <v>0.34811455155367232</v>
      </c>
      <c r="AK62" s="4" cm="1">
        <f t="array" ref="AK62">_xlfn.XLOOKUP(1,('2013 E Maize Soil VWC'!$C$2:$C$4000=$AA62)*('2013 E Maize Soil VWC'!$E$2:$E$4000=$AB62)*('2013 E Maize Soil VWC'!$F$2:$F$4000=AK$5),'2013 E Maize Soil VWC'!$G$2:$G$4000)</f>
        <v>0.34081437288135591</v>
      </c>
      <c r="AL62" s="4" cm="1">
        <f t="array" ref="AL62">_xlfn.XLOOKUP(1,('2013 E Maize Soil VWC'!$C$2:$C$4000=$AA62)*('2013 E Maize Soil VWC'!$E$2:$E$4000=$AB62)*('2013 E Maize Soil VWC'!$F$2:$F$4000=AL$5),'2013 E Maize Soil VWC'!$G$2:$G$4000)</f>
        <v>0.34466020833333333</v>
      </c>
      <c r="AM62" s="4" cm="1">
        <f t="array" ref="AM62">_xlfn.XLOOKUP(1,('2013 E Maize Soil VWC'!$C$2:$C$4000=$AA62)*('2013 E Maize Soil VWC'!$E$2:$E$4000=$AB62)*('2013 E Maize Soil VWC'!$F$2:$F$4000=AM$5),'2013 E Maize Soil VWC'!$G$2:$G$4000)</f>
        <v>0.3499338389830508</v>
      </c>
      <c r="AN62" s="4" cm="1">
        <f t="array" ref="AN62">_xlfn.XLOOKUP(1,('2013 E Maize Soil VWC'!$C$2:$C$4000=$AA62)*('2013 E Maize Soil VWC'!$E$2:$E$4000=$AB62)*('2013 E Maize Soil VWC'!$F$2:$F$4000=AN$5),'2013 E Maize Soil VWC'!$G$2:$G$4000)</f>
        <v>0.34742368290960446</v>
      </c>
      <c r="AO62" s="4" cm="1">
        <f t="array" ref="AO62">_xlfn.XLOOKUP(1,('2013 E Maize Soil VWC'!$C$2:$C$4000=$AA62)*('2013 E Maize Soil VWC'!$E$2:$E$4000=$AB62)*('2013 E Maize Soil VWC'!$F$2:$F$4000=AO$5),'2013 E Maize Soil VWC'!$G$2:$G$4000)</f>
        <v>0.34712430649717513</v>
      </c>
      <c r="AP62" s="4" cm="1">
        <f t="array" ref="AP62">_xlfn.XLOOKUP(1,('2013 E Maize Soil VWC'!$C$2:$C$4000=$AA62)*('2013 E Maize Soil VWC'!$E$2:$E$4000=$AB62)*('2013 E Maize Soil VWC'!$F$2:$F$4000=AP$5),'2013 E Maize Soil VWC'!$G$2:$G$4000)</f>
        <v>0.33590920550847453</v>
      </c>
      <c r="AQ62" s="4" cm="1">
        <f t="array" ref="AQ62">_xlfn.XLOOKUP(1,('2013 E Maize Soil VWC'!$C$2:$C$4000=$AA62)*('2013 E Maize Soil VWC'!$E$2:$E$4000=$AB62)*('2013 E Maize Soil VWC'!$F$2:$F$4000=AQ$5),'2013 E Maize Soil VWC'!$G$2:$G$4000)</f>
        <v>0.32616795762711859</v>
      </c>
      <c r="AR62" s="4" cm="1">
        <f t="array" ref="AR62">_xlfn.XLOOKUP(1,('2013 E Maize Soil VWC'!$C$2:$C$4000=$AA62)*('2013 E Maize Soil VWC'!$E$2:$E$4000=$AB62)*('2013 E Maize Soil VWC'!$F$2:$F$4000=AR$5),'2013 E Maize Soil VWC'!$G$2:$G$4000)</f>
        <v>0.32490136511299433</v>
      </c>
      <c r="AS62" s="4" cm="1">
        <f t="array" ref="AS62">_xlfn.XLOOKUP(1,('2013 E Maize Soil VWC'!$C$2:$C$4000=$AA62)*('2013 E Maize Soil VWC'!$E$2:$E$4000=$AB62)*('2013 E Maize Soil VWC'!$F$2:$F$4000=AS$5),'2013 E Maize Soil VWC'!$G$2:$G$4000)</f>
        <v>0.34968052048022596</v>
      </c>
      <c r="AT62" s="4" cm="1">
        <f t="array" ref="AT62">_xlfn.XLOOKUP(1,('2013 E Maize Soil VWC'!$C$2:$C$4000=$AA62)*('2013 E Maize Soil VWC'!$E$2:$E$4000=$AB62)*('2013 E Maize Soil VWC'!$F$2:$F$4000=AT$5),'2013 E Maize Soil VWC'!$G$2:$G$4000)</f>
        <v>0.34086043079096046</v>
      </c>
      <c r="AU62" s="4" cm="1">
        <f t="array" ref="AU62">_xlfn.XLOOKUP(1,('2013 E Maize Soil VWC'!$C$2:$C$4000=$AA62)*('2013 E Maize Soil VWC'!$E$2:$E$4000=$AB62)*('2013 E Maize Soil VWC'!$F$2:$F$4000=AU$5),'2013 E Maize Soil VWC'!$G$2:$G$4000)</f>
        <v>0.33934051977401125</v>
      </c>
      <c r="AV62" s="4" cm="1">
        <f t="array" ref="AV62">_xlfn.XLOOKUP(1,('2013 E Maize Soil VWC'!$C$2:$C$4000=$AA62)*('2013 E Maize Soil VWC'!$E$2:$E$4000=$AB62)*('2013 E Maize Soil VWC'!$F$2:$F$4000=AV$5),'2013 E Maize Soil VWC'!$G$2:$G$4000)</f>
        <v>0.3378206087570621</v>
      </c>
    </row>
    <row r="63" spans="25:64" x14ac:dyDescent="0.25">
      <c r="AA63" s="15">
        <f t="shared" si="9"/>
        <v>41457</v>
      </c>
      <c r="AB63" s="4">
        <f t="shared" si="10"/>
        <v>110</v>
      </c>
      <c r="AC63" s="4" cm="1">
        <f t="array" ref="AC63">_xlfn.XLOOKUP(1,('2013 E Maize Soil VWC'!$C$2:$C$4000=$AA63)*('2013 E Maize Soil VWC'!$E$2:$E$4000=$AB63)*('2013 E Maize Soil VWC'!$F$2:$F$4000=AC$5),'2013 E Maize Soil VWC'!$G$2:$G$4000)</f>
        <v>0.34390025282485875</v>
      </c>
      <c r="AD63" s="4" cm="1">
        <f t="array" ref="AD63">_xlfn.XLOOKUP(1,('2013 E Maize Soil VWC'!$C$2:$C$4000=$AA63)*('2013 E Maize Soil VWC'!$E$2:$E$4000=$AB63)*('2013 E Maize Soil VWC'!$F$2:$F$4000=AD$5),'2013 E Maize Soil VWC'!$G$2:$G$4000)</f>
        <v>0.34044590960451976</v>
      </c>
      <c r="AE63" s="4" cm="1">
        <f t="array" ref="AE63">_xlfn.XLOOKUP(1,('2013 E Maize Soil VWC'!$C$2:$C$4000=$AA63)*('2013 E Maize Soil VWC'!$E$2:$E$4000=$AB63)*('2013 E Maize Soil VWC'!$F$2:$F$4000=AE$5),'2013 E Maize Soil VWC'!$G$2:$G$4000)</f>
        <v>0.33001379307909601</v>
      </c>
      <c r="AF63" s="4" cm="1">
        <f t="array" ref="AF63">_xlfn.XLOOKUP(1,('2013 E Maize Soil VWC'!$C$2:$C$4000=$AA63)*('2013 E Maize Soil VWC'!$E$2:$E$4000=$AB63)*('2013 E Maize Soil VWC'!$F$2:$F$4000=AF$5),'2013 E Maize Soil VWC'!$G$2:$G$4000)</f>
        <v>0.33927143290960449</v>
      </c>
      <c r="AG63" s="4" cm="1">
        <f t="array" ref="AG63">_xlfn.XLOOKUP(1,('2013 E Maize Soil VWC'!$C$2:$C$4000=$AA63)*('2013 E Maize Soil VWC'!$E$2:$E$4000=$AB63)*('2013 E Maize Soil VWC'!$F$2:$F$4000=AG$5),'2013 E Maize Soil VWC'!$G$2:$G$4000)</f>
        <v>0.33657704519774012</v>
      </c>
      <c r="AH63" s="4" cm="1">
        <f t="array" ref="AH63">_xlfn.XLOOKUP(1,('2013 E Maize Soil VWC'!$C$2:$C$4000=$AA63)*('2013 E Maize Soil VWC'!$E$2:$E$4000=$AB63)*('2013 E Maize Soil VWC'!$F$2:$F$4000=AH$5),'2013 E Maize Soil VWC'!$G$2:$G$4000)</f>
        <v>0.32492439406779661</v>
      </c>
      <c r="AI63" s="4" cm="1">
        <f t="array" ref="AI63">_xlfn.XLOOKUP(1,('2013 E Maize Soil VWC'!$C$2:$C$4000=$AA63)*('2013 E Maize Soil VWC'!$E$2:$E$4000=$AB63)*('2013 E Maize Soil VWC'!$F$2:$F$4000=AI$5),'2013 E Maize Soil VWC'!$G$2:$G$4000)</f>
        <v>0.34790729096045198</v>
      </c>
      <c r="AJ63" s="4" cm="1">
        <f t="array" ref="AJ63">_xlfn.XLOOKUP(1,('2013 E Maize Soil VWC'!$C$2:$C$4000=$AA63)*('2013 E Maize Soil VWC'!$E$2:$E$4000=$AB63)*('2013 E Maize Soil VWC'!$F$2:$F$4000=AJ$5),'2013 E Maize Soil VWC'!$G$2:$G$4000)</f>
        <v>0.34449900564971747</v>
      </c>
      <c r="AK63" s="4" cm="1">
        <f t="array" ref="AK63">_xlfn.XLOOKUP(1,('2013 E Maize Soil VWC'!$C$2:$C$4000=$AA63)*('2013 E Maize Soil VWC'!$E$2:$E$4000=$AB63)*('2013 E Maize Soil VWC'!$F$2:$F$4000=AK$5),'2013 E Maize Soil VWC'!$G$2:$G$4000)</f>
        <v>0.33323784675141238</v>
      </c>
      <c r="AL63" s="4" cm="1">
        <f t="array" ref="AL63">_xlfn.XLOOKUP(1,('2013 E Maize Soil VWC'!$C$2:$C$4000=$AA63)*('2013 E Maize Soil VWC'!$E$2:$E$4000=$AB63)*('2013 E Maize Soil VWC'!$F$2:$F$4000=AL$5),'2013 E Maize Soil VWC'!$G$2:$G$4000)</f>
        <v>0.33966292514124291</v>
      </c>
      <c r="AM63" s="4" cm="1">
        <f t="array" ref="AM63">_xlfn.XLOOKUP(1,('2013 E Maize Soil VWC'!$C$2:$C$4000=$AA63)*('2013 E Maize Soil VWC'!$E$2:$E$4000=$AB63)*('2013 E Maize Soil VWC'!$F$2:$F$4000=AM$5),'2013 E Maize Soil VWC'!$G$2:$G$4000)</f>
        <v>0.33837330367231638</v>
      </c>
      <c r="AN63" s="4" cm="1">
        <f t="array" ref="AN63">_xlfn.XLOOKUP(1,('2013 E Maize Soil VWC'!$C$2:$C$4000=$AA63)*('2013 E Maize Soil VWC'!$E$2:$E$4000=$AB63)*('2013 E Maize Soil VWC'!$F$2:$F$4000=AN$5),'2013 E Maize Soil VWC'!$G$2:$G$4000)</f>
        <v>0.34399236864406774</v>
      </c>
      <c r="AO63" s="4" cm="1">
        <f t="array" ref="AO63">_xlfn.XLOOKUP(1,('2013 E Maize Soil VWC'!$C$2:$C$4000=$AA63)*('2013 E Maize Soil VWC'!$E$2:$E$4000=$AB63)*('2013 E Maize Soil VWC'!$F$2:$F$4000=AO$5),'2013 E Maize Soil VWC'!$G$2:$G$4000)</f>
        <v>0.35016412853107343</v>
      </c>
      <c r="AP63" s="4" cm="1">
        <f t="array" ref="AP63">_xlfn.XLOOKUP(1,('2013 E Maize Soil VWC'!$C$2:$C$4000=$AA63)*('2013 E Maize Soil VWC'!$E$2:$E$4000=$AB63)*('2013 E Maize Soil VWC'!$F$2:$F$4000=AP$5),'2013 E Maize Soil VWC'!$G$2:$G$4000)</f>
        <v>0.33238577542372882</v>
      </c>
      <c r="AQ63" s="4" cm="1">
        <f t="array" ref="AQ63">_xlfn.XLOOKUP(1,('2013 E Maize Soil VWC'!$C$2:$C$4000=$AA63)*('2013 E Maize Soil VWC'!$E$2:$E$4000=$AB63)*('2013 E Maize Soil VWC'!$F$2:$F$4000=AQ$5),'2013 E Maize Soil VWC'!$G$2:$G$4000)</f>
        <v>0.32957624293785309</v>
      </c>
      <c r="AR63" s="4" cm="1">
        <f t="array" ref="AR63">_xlfn.XLOOKUP(1,('2013 E Maize Soil VWC'!$C$2:$C$4000=$AA63)*('2013 E Maize Soil VWC'!$E$2:$E$4000=$AB63)*('2013 E Maize Soil VWC'!$F$2:$F$4000=AR$5),'2013 E Maize Soil VWC'!$G$2:$G$4000)</f>
        <v>0.32338145409604518</v>
      </c>
      <c r="AS63" s="4" cm="1">
        <f t="array" ref="AS63">_xlfn.XLOOKUP(1,('2013 E Maize Soil VWC'!$C$2:$C$4000=$AA63)*('2013 E Maize Soil VWC'!$E$2:$E$4000=$AB63)*('2013 E Maize Soil VWC'!$F$2:$F$4000=AS$5),'2013 E Maize Soil VWC'!$G$2:$G$4000)</f>
        <v>0.35062470762711861</v>
      </c>
      <c r="AT63" s="4" cm="1">
        <f t="array" ref="AT63">_xlfn.XLOOKUP(1,('2013 E Maize Soil VWC'!$C$2:$C$4000=$AA63)*('2013 E Maize Soil VWC'!$E$2:$E$4000=$AB63)*('2013 E Maize Soil VWC'!$F$2:$F$4000=AT$5),'2013 E Maize Soil VWC'!$G$2:$G$4000)</f>
        <v>0.34369299223163841</v>
      </c>
      <c r="AU63" s="4" cm="1">
        <f t="array" ref="AU63">_xlfn.XLOOKUP(1,('2013 E Maize Soil VWC'!$C$2:$C$4000=$AA63)*('2013 E Maize Soil VWC'!$E$2:$E$4000=$AB63)*('2013 E Maize Soil VWC'!$F$2:$F$4000=AU$5),'2013 E Maize Soil VWC'!$G$2:$G$4000)</f>
        <v>0.34251851553672313</v>
      </c>
      <c r="AV63" s="4" cm="1">
        <f t="array" ref="AV63">_xlfn.XLOOKUP(1,('2013 E Maize Soil VWC'!$C$2:$C$4000=$AA63)*('2013 E Maize Soil VWC'!$E$2:$E$4000=$AB63)*('2013 E Maize Soil VWC'!$F$2:$F$4000=AV$5),'2013 E Maize Soil VWC'!$G$2:$G$4000)</f>
        <v>0.34270274717514126</v>
      </c>
    </row>
    <row r="64" spans="25:64" x14ac:dyDescent="0.25">
      <c r="AA64" s="15">
        <f t="shared" si="9"/>
        <v>41457</v>
      </c>
      <c r="AB64" s="4">
        <f t="shared" si="10"/>
        <v>130</v>
      </c>
      <c r="AC64" s="4" cm="1">
        <f t="array" ref="AC64">_xlfn.XLOOKUP(1,('2013 E Maize Soil VWC'!$C$2:$C$4000=$AA64)*('2013 E Maize Soil VWC'!$E$2:$E$4000=$AB64)*('2013 E Maize Soil VWC'!$F$2:$F$4000=AC$5),'2013 E Maize Soil VWC'!$G$2:$G$4000)</f>
        <v>0.31547272387005654</v>
      </c>
      <c r="AD64" s="4" cm="1">
        <f t="array" ref="AD64">_xlfn.XLOOKUP(1,('2013 E Maize Soil VWC'!$C$2:$C$4000=$AA64)*('2013 E Maize Soil VWC'!$E$2:$E$4000=$AB64)*('2013 E Maize Soil VWC'!$F$2:$F$4000=AD$5),'2013 E Maize Soil VWC'!$G$2:$G$4000)</f>
        <v>0.30850382274011301</v>
      </c>
      <c r="AE64" s="4" cm="1">
        <f t="array" ref="AE64">_xlfn.XLOOKUP(1,('2013 E Maize Soil VWC'!$C$2:$C$4000=$AA64)*('2013 E Maize Soil VWC'!$E$2:$E$4000=$AB64)*('2013 E Maize Soil VWC'!$F$2:$F$4000=AE$5),'2013 E Maize Soil VWC'!$G$2:$G$4000)</f>
        <v>0.30400144279661018</v>
      </c>
      <c r="AF64" s="4" cm="1">
        <f t="array" ref="AF64">_xlfn.XLOOKUP(1,('2013 E Maize Soil VWC'!$C$2:$C$4000=$AA64)*('2013 E Maize Soil VWC'!$E$2:$E$4000=$AB64)*('2013 E Maize Soil VWC'!$F$2:$F$4000=AF$5),'2013 E Maize Soil VWC'!$G$2:$G$4000)</f>
        <v>0.30783825353107347</v>
      </c>
      <c r="AG64" s="4" cm="1">
        <f t="array" ref="AG64">_xlfn.XLOOKUP(1,('2013 E Maize Soil VWC'!$C$2:$C$4000=$AA64)*('2013 E Maize Soil VWC'!$E$2:$E$4000=$AB64)*('2013 E Maize Soil VWC'!$F$2:$F$4000=AG$5),'2013 E Maize Soil VWC'!$G$2:$G$4000)</f>
        <v>0.31699961793785314</v>
      </c>
      <c r="AH64" s="4" cm="1">
        <f t="array" ref="AH64">_xlfn.XLOOKUP(1,('2013 E Maize Soil VWC'!$C$2:$C$4000=$AA64)*('2013 E Maize Soil VWC'!$E$2:$E$4000=$AB64)*('2013 E Maize Soil VWC'!$F$2:$F$4000=AH$5),'2013 E Maize Soil VWC'!$G$2:$G$4000)</f>
        <v>0.30476488983050848</v>
      </c>
      <c r="AI64" s="4" cm="1">
        <f t="array" ref="AI64">_xlfn.XLOOKUP(1,('2013 E Maize Soil VWC'!$C$2:$C$4000=$AA64)*('2013 E Maize Soil VWC'!$E$2:$E$4000=$AB64)*('2013 E Maize Soil VWC'!$F$2:$F$4000=AI$5),'2013 E Maize Soil VWC'!$G$2:$G$4000)</f>
        <v>0.31206657556497175</v>
      </c>
      <c r="AJ64" s="4" cm="1">
        <f t="array" ref="AJ64">_xlfn.XLOOKUP(1,('2013 E Maize Soil VWC'!$C$2:$C$4000=$AA64)*('2013 E Maize Soil VWC'!$E$2:$E$4000=$AB64)*('2013 E Maize Soil VWC'!$F$2:$F$4000=AJ$5),'2013 E Maize Soil VWC'!$G$2:$G$4000)</f>
        <v>0.34702853460451982</v>
      </c>
      <c r="AK64" s="4" cm="1">
        <f t="array" ref="AK64">_xlfn.XLOOKUP(1,('2013 E Maize Soil VWC'!$C$2:$C$4000=$AA64)*('2013 E Maize Soil VWC'!$E$2:$E$4000=$AB64)*('2013 E Maize Soil VWC'!$F$2:$F$4000=AK$5),'2013 E Maize Soil VWC'!$G$2:$G$4000)</f>
        <v>0.3038644138418079</v>
      </c>
      <c r="AL64" s="4" cm="1">
        <f t="array" ref="AL64">_xlfn.XLOOKUP(1,('2013 E Maize Soil VWC'!$C$2:$C$4000=$AA64)*('2013 E Maize Soil VWC'!$E$2:$E$4000=$AB64)*('2013 E Maize Soil VWC'!$F$2:$F$4000=AL$5),'2013 E Maize Soil VWC'!$G$2:$G$4000)</f>
        <v>0.31903547669491528</v>
      </c>
      <c r="AM64" s="4" cm="1">
        <f t="array" ref="AM64">_xlfn.XLOOKUP(1,('2013 E Maize Soil VWC'!$C$2:$C$4000=$AA64)*('2013 E Maize Soil VWC'!$E$2:$E$4000=$AB64)*('2013 E Maize Soil VWC'!$F$2:$F$4000=AM$5),'2013 E Maize Soil VWC'!$G$2:$G$4000)</f>
        <v>0.31112694844632771</v>
      </c>
      <c r="AN64" s="4" cm="1">
        <f t="array" ref="AN64">_xlfn.XLOOKUP(1,('2013 E Maize Soil VWC'!$C$2:$C$4000=$AA64)*('2013 E Maize Soil VWC'!$E$2:$E$4000=$AB64)*('2013 E Maize Soil VWC'!$F$2:$F$4000=AN$5),'2013 E Maize Soil VWC'!$G$2:$G$4000)</f>
        <v>0.29716957062146893</v>
      </c>
      <c r="AO64" s="4" cm="1">
        <f t="array" ref="AO64">_xlfn.XLOOKUP(1,('2013 E Maize Soil VWC'!$C$2:$C$4000=$AA64)*('2013 E Maize Soil VWC'!$E$2:$E$4000=$AB64)*('2013 E Maize Soil VWC'!$F$2:$F$4000=AO$5),'2013 E Maize Soil VWC'!$G$2:$G$4000)</f>
        <v>0.32672867372881359</v>
      </c>
      <c r="AP64" s="4" cm="1">
        <f t="array" ref="AP64">_xlfn.XLOOKUP(1,('2013 E Maize Soil VWC'!$C$2:$C$4000=$AA64)*('2013 E Maize Soil VWC'!$E$2:$E$4000=$AB64)*('2013 E Maize Soil VWC'!$F$2:$F$4000=AP$5),'2013 E Maize Soil VWC'!$G$2:$G$4000)</f>
        <v>0.31756730932203392</v>
      </c>
      <c r="AQ64" s="4" cm="1">
        <f t="array" ref="AQ64">_xlfn.XLOOKUP(1,('2013 E Maize Soil VWC'!$C$2:$C$4000=$AA64)*('2013 E Maize Soil VWC'!$E$2:$E$4000=$AB64)*('2013 E Maize Soil VWC'!$F$2:$F$4000=AQ$5),'2013 E Maize Soil VWC'!$G$2:$G$4000)</f>
        <v>0.30057571892655366</v>
      </c>
      <c r="AR64" s="4" cm="1">
        <f t="array" ref="AR64">_xlfn.XLOOKUP(1,('2013 E Maize Soil VWC'!$C$2:$C$4000=$AA64)*('2013 E Maize Soil VWC'!$E$2:$E$4000=$AB64)*('2013 E Maize Soil VWC'!$F$2:$F$4000=AR$5),'2013 E Maize Soil VWC'!$G$2:$G$4000)</f>
        <v>0.29707169279661017</v>
      </c>
      <c r="AS64" s="4" cm="1">
        <f t="array" ref="AS64">_xlfn.XLOOKUP(1,('2013 E Maize Soil VWC'!$C$2:$C$4000=$AA64)*('2013 E Maize Soil VWC'!$E$2:$E$4000=$AB64)*('2013 E Maize Soil VWC'!$F$2:$F$4000=AS$5),'2013 E Maize Soil VWC'!$G$2:$G$4000)</f>
        <v>0.31288874929378535</v>
      </c>
      <c r="AT64" s="4" cm="1">
        <f t="array" ref="AT64">_xlfn.XLOOKUP(1,('2013 E Maize Soil VWC'!$C$2:$C$4000=$AA64)*('2013 E Maize Soil VWC'!$E$2:$E$4000=$AB64)*('2013 E Maize Soil VWC'!$F$2:$F$4000=AT$5),'2013 E Maize Soil VWC'!$G$2:$G$4000)</f>
        <v>0.31637319985875706</v>
      </c>
      <c r="AU64" s="4" cm="1">
        <f t="array" ref="AU64">_xlfn.XLOOKUP(1,('2013 E Maize Soil VWC'!$C$2:$C$4000=$AA64)*('2013 E Maize Soil VWC'!$E$2:$E$4000=$AB64)*('2013 E Maize Soil VWC'!$F$2:$F$4000=AU$5),'2013 E Maize Soil VWC'!$G$2:$G$4000)</f>
        <v>0.30642881285310736</v>
      </c>
      <c r="AV64" s="4" cm="1">
        <f t="array" ref="AV64">_xlfn.XLOOKUP(1,('2013 E Maize Soil VWC'!$C$2:$C$4000=$AA64)*('2013 E Maize Soil VWC'!$E$2:$E$4000=$AB64)*('2013 E Maize Soil VWC'!$F$2:$F$4000=AV$5),'2013 E Maize Soil VWC'!$G$2:$G$4000)</f>
        <v>0.3028269088983051</v>
      </c>
    </row>
    <row r="65" spans="25:64" x14ac:dyDescent="0.25">
      <c r="AA65" s="15">
        <f t="shared" si="9"/>
        <v>41457</v>
      </c>
      <c r="AB65" s="4">
        <f t="shared" si="10"/>
        <v>150</v>
      </c>
      <c r="AC65" s="4" cm="1">
        <f t="array" ref="AC65">_xlfn.XLOOKUP(1,('2013 E Maize Soil VWC'!$C$2:$C$4000=$AA65)*('2013 E Maize Soil VWC'!$E$2:$E$4000=$AB65)*('2013 E Maize Soil VWC'!$F$2:$F$4000=AC$5),'2013 E Maize Soil VWC'!$G$2:$G$4000)</f>
        <v>0.33894382627118647</v>
      </c>
      <c r="AD65" s="4" cm="1">
        <f t="array" ref="AD65">_xlfn.XLOOKUP(1,('2013 E Maize Soil VWC'!$C$2:$C$4000=$AA65)*('2013 E Maize Soil VWC'!$E$2:$E$4000=$AB65)*('2013 E Maize Soil VWC'!$F$2:$F$4000=AD$5),'2013 E Maize Soil VWC'!$G$2:$G$4000)</f>
        <v>0.32874495692090394</v>
      </c>
      <c r="AE65" s="4" cm="1">
        <f t="array" ref="AE65">_xlfn.XLOOKUP(1,('2013 E Maize Soil VWC'!$C$2:$C$4000=$AA65)*('2013 E Maize Soil VWC'!$E$2:$E$4000=$AB65)*('2013 E Maize Soil VWC'!$F$2:$F$4000=AE$5),'2013 E Maize Soil VWC'!$G$2:$G$4000)</f>
        <v>0.31390667867231636</v>
      </c>
      <c r="AF65" s="4" cm="1">
        <f t="array" ref="AF65">_xlfn.XLOOKUP(1,('2013 E Maize Soil VWC'!$C$2:$C$4000=$AA65)*('2013 E Maize Soil VWC'!$E$2:$E$4000=$AB65)*('2013 E Maize Soil VWC'!$F$2:$F$4000=AF$5),'2013 E Maize Soil VWC'!$G$2:$G$4000)</f>
        <v>0.29783513983050847</v>
      </c>
      <c r="AG65" s="4" cm="1">
        <f t="array" ref="AG65">_xlfn.XLOOKUP(1,('2013 E Maize Soil VWC'!$C$2:$C$4000=$AA65)*('2013 E Maize Soil VWC'!$E$2:$E$4000=$AB65)*('2013 E Maize Soil VWC'!$F$2:$F$4000=AG$5),'2013 E Maize Soil VWC'!$G$2:$G$4000)</f>
        <v>0.35742315960451976</v>
      </c>
      <c r="AH65" s="4" cm="1">
        <f t="array" ref="AH65">_xlfn.XLOOKUP(1,('2013 E Maize Soil VWC'!$C$2:$C$4000=$AA65)*('2013 E Maize Soil VWC'!$E$2:$E$4000=$AB65)*('2013 E Maize Soil VWC'!$F$2:$F$4000=AH$5),'2013 E Maize Soil VWC'!$G$2:$G$4000)</f>
        <v>0.34403347316384181</v>
      </c>
      <c r="AI65" s="4" cm="1">
        <f t="array" ref="AI65">_xlfn.XLOOKUP(1,('2013 E Maize Soil VWC'!$C$2:$C$4000=$AA65)*('2013 E Maize Soil VWC'!$E$2:$E$4000=$AB65)*('2013 E Maize Soil VWC'!$F$2:$F$4000=AI$5),'2013 E Maize Soil VWC'!$G$2:$G$4000)</f>
        <v>0.32715933615819215</v>
      </c>
      <c r="AJ65" s="4" cm="1">
        <f t="array" ref="AJ65">_xlfn.XLOOKUP(1,('2013 E Maize Soil VWC'!$C$2:$C$4000=$AA65)*('2013 E Maize Soil VWC'!$E$2:$E$4000=$AB65)*('2013 E Maize Soil VWC'!$F$2:$F$4000=AJ$5),'2013 E Maize Soil VWC'!$G$2:$G$4000)</f>
        <v>0.3384152860169492</v>
      </c>
      <c r="AK65" s="4" cm="1">
        <f t="array" ref="AK65">_xlfn.XLOOKUP(1,('2013 E Maize Soil VWC'!$C$2:$C$4000=$AA65)*('2013 E Maize Soil VWC'!$E$2:$E$4000=$AB65)*('2013 E Maize Soil VWC'!$F$2:$F$4000=AK$5),'2013 E Maize Soil VWC'!$G$2:$G$4000)</f>
        <v>0.33506786440677966</v>
      </c>
      <c r="AL65" s="4" cm="1">
        <f t="array" ref="AL65">_xlfn.XLOOKUP(1,('2013 E Maize Soil VWC'!$C$2:$C$4000=$AA65)*('2013 E Maize Soil VWC'!$E$2:$E$4000=$AB65)*('2013 E Maize Soil VWC'!$F$2:$F$4000=AL$5),'2013 E Maize Soil VWC'!$G$2:$G$4000)</f>
        <v>0.34843797528248588</v>
      </c>
      <c r="AM65" s="4" cm="1">
        <f t="array" ref="AM65">_xlfn.XLOOKUP(1,('2013 E Maize Soil VWC'!$C$2:$C$4000=$AA65)*('2013 E Maize Soil VWC'!$E$2:$E$4000=$AB65)*('2013 E Maize Soil VWC'!$F$2:$F$4000=AM$5),'2013 E Maize Soil VWC'!$G$2:$G$4000)</f>
        <v>0.33853273940677964</v>
      </c>
      <c r="AN65" s="4" cm="1">
        <f t="array" ref="AN65">_xlfn.XLOOKUP(1,('2013 E Maize Soil VWC'!$C$2:$C$4000=$AA65)*('2013 E Maize Soil VWC'!$E$2:$E$4000=$AB65)*('2013 E Maize Soil VWC'!$F$2:$F$4000=AN$5),'2013 E Maize Soil VWC'!$G$2:$G$4000)</f>
        <v>0.34076435381355935</v>
      </c>
      <c r="AO65" s="4" cm="1">
        <f t="array" ref="AO65">_xlfn.XLOOKUP(1,('2013 E Maize Soil VWC'!$C$2:$C$4000=$AA65)*('2013 E Maize Soil VWC'!$E$2:$E$4000=$AB65)*('2013 E Maize Soil VWC'!$F$2:$F$4000=AO$5),'2013 E Maize Soil VWC'!$G$2:$G$4000)</f>
        <v>0.31974019703389833</v>
      </c>
      <c r="AP65" s="4" cm="1">
        <f t="array" ref="AP65">_xlfn.XLOOKUP(1,('2013 E Maize Soil VWC'!$C$2:$C$4000=$AA65)*('2013 E Maize Soil VWC'!$E$2:$E$4000=$AB65)*('2013 E Maize Soil VWC'!$F$2:$F$4000=AP$5),'2013 E Maize Soil VWC'!$G$2:$G$4000)</f>
        <v>0.30783825353107347</v>
      </c>
      <c r="AQ65" s="4" cm="1">
        <f t="array" ref="AQ65">_xlfn.XLOOKUP(1,('2013 E Maize Soil VWC'!$C$2:$C$4000=$AA65)*('2013 E Maize Soil VWC'!$E$2:$E$4000=$AB65)*('2013 E Maize Soil VWC'!$F$2:$F$4000=AQ$5),'2013 E Maize Soil VWC'!$G$2:$G$4000)</f>
        <v>0.34186058545197739</v>
      </c>
      <c r="AR65" s="4" cm="1">
        <f t="array" ref="AR65">_xlfn.XLOOKUP(1,('2013 E Maize Soil VWC'!$C$2:$C$4000=$AA65)*('2013 E Maize Soil VWC'!$E$2:$E$4000=$AB65)*('2013 E Maize Soil VWC'!$F$2:$F$4000=AR$5),'2013 E Maize Soil VWC'!$G$2:$G$4000)</f>
        <v>0.32968458403954803</v>
      </c>
      <c r="AS65" s="4" cm="1">
        <f t="array" ref="AS65">_xlfn.XLOOKUP(1,('2013 E Maize Soil VWC'!$C$2:$C$4000=$AA65)*('2013 E Maize Soil VWC'!$E$2:$E$4000=$AB65)*('2013 E Maize Soil VWC'!$F$2:$F$4000=AS$5),'2013 E Maize Soil VWC'!$G$2:$G$4000)</f>
        <v>0.32553456426553673</v>
      </c>
      <c r="AT65" s="4" cm="1">
        <f t="array" ref="AT65">_xlfn.XLOOKUP(1,('2013 E Maize Soil VWC'!$C$2:$C$4000=$AA65)*('2013 E Maize Soil VWC'!$E$2:$E$4000=$AB65)*('2013 E Maize Soil VWC'!$F$2:$F$4000=AT$5),'2013 E Maize Soil VWC'!$G$2:$G$4000)</f>
        <v>0.33187704731638423</v>
      </c>
      <c r="AU65" s="4" cm="1">
        <f t="array" ref="AU65">_xlfn.XLOOKUP(1,('2013 E Maize Soil VWC'!$C$2:$C$4000=$AA65)*('2013 E Maize Soil VWC'!$E$2:$E$4000=$AB65)*('2013 E Maize Soil VWC'!$F$2:$F$4000=AU$5),'2013 E Maize Soil VWC'!$G$2:$G$4000)</f>
        <v>0.33677093855932205</v>
      </c>
      <c r="AV65" s="4" cm="1">
        <f t="array" ref="AV65">_xlfn.XLOOKUP(1,('2013 E Maize Soil VWC'!$C$2:$C$4000=$AA65)*('2013 E Maize Soil VWC'!$E$2:$E$4000=$AB65)*('2013 E Maize Soil VWC'!$F$2:$F$4000=AV$5),'2013 E Maize Soil VWC'!$G$2:$G$4000)</f>
        <v>0.34849670197740118</v>
      </c>
    </row>
    <row r="66" spans="25:64" x14ac:dyDescent="0.25">
      <c r="AA66" s="15">
        <f t="shared" si="9"/>
        <v>41457</v>
      </c>
      <c r="AB66" s="4">
        <f t="shared" si="10"/>
        <v>170</v>
      </c>
      <c r="AC66" s="4" cm="1">
        <f t="array" ref="AC66">_xlfn.XLOOKUP(1,('2013 E Maize Soil VWC'!$C$2:$C$4000=$AA66)*('2013 E Maize Soil VWC'!$E$2:$E$4000=$AB66)*('2013 E Maize Soil VWC'!$F$2:$F$4000=AC$5),'2013 E Maize Soil VWC'!$G$2:$G$4000)</f>
        <v>0.27694801200564972</v>
      </c>
      <c r="AD66" s="4" cm="1">
        <f t="array" ref="AD66">_xlfn.XLOOKUP(1,('2013 E Maize Soil VWC'!$C$2:$C$4000=$AA66)*('2013 E Maize Soil VWC'!$E$2:$E$4000=$AB66)*('2013 E Maize Soil VWC'!$F$2:$F$4000=AD$5),'2013 E Maize Soil VWC'!$G$2:$G$4000)</f>
        <v>0.27064468008474574</v>
      </c>
      <c r="AE66" s="4" cm="1">
        <f t="array" ref="AE66">_xlfn.XLOOKUP(1,('2013 E Maize Soil VWC'!$C$2:$C$4000=$AA66)*('2013 E Maize Soil VWC'!$E$2:$E$4000=$AB66)*('2013 E Maize Soil VWC'!$F$2:$F$4000=AE$5),'2013 E Maize Soil VWC'!$G$2:$G$4000)</f>
        <v>0.29164926129943503</v>
      </c>
      <c r="AF66" s="4" cm="1">
        <f t="array" ref="AF66">_xlfn.XLOOKUP(1,('2013 E Maize Soil VWC'!$C$2:$C$4000=$AA66)*('2013 E Maize Soil VWC'!$E$2:$E$4000=$AB66)*('2013 E Maize Soil VWC'!$F$2:$F$4000=AF$5),'2013 E Maize Soil VWC'!$G$2:$G$4000)</f>
        <v>0.29489880508474575</v>
      </c>
      <c r="AG66" s="4" cm="1">
        <f t="array" ref="AG66">_xlfn.XLOOKUP(1,('2013 E Maize Soil VWC'!$C$2:$C$4000=$AA66)*('2013 E Maize Soil VWC'!$E$2:$E$4000=$AB66)*('2013 E Maize Soil VWC'!$F$2:$F$4000=AG$5),'2013 E Maize Soil VWC'!$G$2:$G$4000)</f>
        <v>0.3220696892655367</v>
      </c>
      <c r="AH66" s="4" cm="1">
        <f t="array" ref="AH66">_xlfn.XLOOKUP(1,('2013 E Maize Soil VWC'!$C$2:$C$4000=$AA66)*('2013 E Maize Soil VWC'!$E$2:$E$4000=$AB66)*('2013 E Maize Soil VWC'!$F$2:$F$4000=AH$5),'2013 E Maize Soil VWC'!$G$2:$G$4000)</f>
        <v>0.33177916949152542</v>
      </c>
      <c r="AI66" s="4" cm="1">
        <f t="array" ref="AI66">_xlfn.XLOOKUP(1,('2013 E Maize Soil VWC'!$C$2:$C$4000=$AA66)*('2013 E Maize Soil VWC'!$E$2:$E$4000=$AB66)*('2013 E Maize Soil VWC'!$F$2:$F$4000=AI$5),'2013 E Maize Soil VWC'!$G$2:$G$4000)</f>
        <v>0.29720872175141244</v>
      </c>
      <c r="AJ66" s="4" cm="1">
        <f t="array" ref="AJ66">_xlfn.XLOOKUP(1,('2013 E Maize Soil VWC'!$C$2:$C$4000=$AA66)*('2013 E Maize Soil VWC'!$E$2:$E$4000=$AB66)*('2013 E Maize Soil VWC'!$F$2:$F$4000=AJ$5),'2013 E Maize Soil VWC'!$G$2:$G$4000)</f>
        <v>0.30822976483050846</v>
      </c>
      <c r="AK66" s="4" cm="1">
        <f t="array" ref="AK66">_xlfn.XLOOKUP(1,('2013 E Maize Soil VWC'!$C$2:$C$4000=$AA66)*('2013 E Maize Soil VWC'!$E$2:$E$4000=$AB66)*('2013 E Maize Soil VWC'!$F$2:$F$4000=AK$5),'2013 E Maize Soil VWC'!$G$2:$G$4000)</f>
        <v>0.30212218855932205</v>
      </c>
      <c r="AL66" s="4" cm="1">
        <f t="array" ref="AL66">_xlfn.XLOOKUP(1,('2013 E Maize Soil VWC'!$C$2:$C$4000=$AA66)*('2013 E Maize Soil VWC'!$E$2:$E$4000=$AB66)*('2013 E Maize Soil VWC'!$F$2:$F$4000=AL$5),'2013 E Maize Soil VWC'!$G$2:$G$4000)</f>
        <v>0.30954132768361581</v>
      </c>
      <c r="AM66" s="4" cm="1">
        <f t="array" ref="AM66">_xlfn.XLOOKUP(1,('2013 E Maize Soil VWC'!$C$2:$C$4000=$AA66)*('2013 E Maize Soil VWC'!$E$2:$E$4000=$AB66)*('2013 E Maize Soil VWC'!$F$2:$F$4000=AM$5),'2013 E Maize Soil VWC'!$G$2:$G$4000)</f>
        <v>0.32610225564971751</v>
      </c>
      <c r="AN66" s="4" cm="1">
        <f t="array" ref="AN66">_xlfn.XLOOKUP(1,('2013 E Maize Soil VWC'!$C$2:$C$4000=$AA66)*('2013 E Maize Soil VWC'!$E$2:$E$4000=$AB66)*('2013 E Maize Soil VWC'!$F$2:$F$4000=AN$5),'2013 E Maize Soil VWC'!$G$2:$G$4000)</f>
        <v>0.33816080367231638</v>
      </c>
      <c r="AO66" s="4" cm="1">
        <f t="array" ref="AO66">_xlfn.XLOOKUP(1,('2013 E Maize Soil VWC'!$C$2:$C$4000=$AA66)*('2013 E Maize Soil VWC'!$E$2:$E$4000=$AB66)*('2013 E Maize Soil VWC'!$F$2:$F$4000=AO$5),'2013 E Maize Soil VWC'!$G$2:$G$4000)</f>
        <v>0.31369134745762711</v>
      </c>
      <c r="AP66" s="4" cm="1">
        <f t="array" ref="AP66">_xlfn.XLOOKUP(1,('2013 E Maize Soil VWC'!$C$2:$C$4000=$AA66)*('2013 E Maize Soil VWC'!$E$2:$E$4000=$AB66)*('2013 E Maize Soil VWC'!$F$2:$F$4000=AP$5),'2013 E Maize Soil VWC'!$G$2:$G$4000)</f>
        <v>0.32379233898305088</v>
      </c>
      <c r="AQ66" s="4" cm="1">
        <f t="array" ref="AQ66">_xlfn.XLOOKUP(1,('2013 E Maize Soil VWC'!$C$2:$C$4000=$AA66)*('2013 E Maize Soil VWC'!$E$2:$E$4000=$AB66)*('2013 E Maize Soil VWC'!$F$2:$F$4000=AQ$5),'2013 E Maize Soil VWC'!$G$2:$G$4000)</f>
        <v>0.33224898305084749</v>
      </c>
      <c r="AR66" s="4" cm="1">
        <f t="array" ref="AR66">_xlfn.XLOOKUP(1,('2013 E Maize Soil VWC'!$C$2:$C$4000=$AA66)*('2013 E Maize Soil VWC'!$E$2:$E$4000=$AB66)*('2013 E Maize Soil VWC'!$F$2:$F$4000=AR$5),'2013 E Maize Soil VWC'!$G$2:$G$4000)</f>
        <v>0.31835033192090395</v>
      </c>
      <c r="AS66" s="4" cm="1">
        <f t="array" ref="AS66">_xlfn.XLOOKUP(1,('2013 E Maize Soil VWC'!$C$2:$C$4000=$AA66)*('2013 E Maize Soil VWC'!$E$2:$E$4000=$AB66)*('2013 E Maize Soil VWC'!$F$2:$F$4000=AS$5),'2013 E Maize Soil VWC'!$G$2:$G$4000)</f>
        <v>0.31762603601694916</v>
      </c>
      <c r="AT66" s="4" cm="1">
        <f t="array" ref="AT66">_xlfn.XLOOKUP(1,('2013 E Maize Soil VWC'!$C$2:$C$4000=$AA66)*('2013 E Maize Soil VWC'!$E$2:$E$4000=$AB66)*('2013 E Maize Soil VWC'!$F$2:$F$4000=AT$5),'2013 E Maize Soil VWC'!$G$2:$G$4000)</f>
        <v>0.33168129166666666</v>
      </c>
      <c r="AU66" s="4" cm="1">
        <f t="array" ref="AU66">_xlfn.XLOOKUP(1,('2013 E Maize Soil VWC'!$C$2:$C$4000=$AA66)*('2013 E Maize Soil VWC'!$E$2:$E$4000=$AB66)*('2013 E Maize Soil VWC'!$F$2:$F$4000=AU$5),'2013 E Maize Soil VWC'!$G$2:$G$4000)</f>
        <v>0.31555102612994351</v>
      </c>
      <c r="AV66" s="4" cm="1">
        <f t="array" ref="AV66">_xlfn.XLOOKUP(1,('2013 E Maize Soil VWC'!$C$2:$C$4000=$AA66)*('2013 E Maize Soil VWC'!$E$2:$E$4000=$AB66)*('2013 E Maize Soil VWC'!$F$2:$F$4000=AV$5),'2013 E Maize Soil VWC'!$G$2:$G$4000)</f>
        <v>0.32263738064971753</v>
      </c>
    </row>
    <row r="67" spans="25:64" x14ac:dyDescent="0.25">
      <c r="AA67" s="15">
        <f t="shared" si="9"/>
        <v>41457</v>
      </c>
      <c r="AB67" s="4">
        <f t="shared" si="10"/>
        <v>190</v>
      </c>
      <c r="AC67" s="4" cm="1">
        <f t="array" ref="AC67">_xlfn.XLOOKUP(1,('2013 E Maize Soil VWC'!$C$2:$C$4000=$AA67)*('2013 E Maize Soil VWC'!$E$2:$E$4000=$AB67)*('2013 E Maize Soil VWC'!$F$2:$F$4000=AC$5),'2013 E Maize Soil VWC'!$G$2:$G$4000)</f>
        <v>0.28475866242937853</v>
      </c>
      <c r="AD67" s="4" cm="1">
        <f t="array" ref="AD67">_xlfn.XLOOKUP(1,('2013 E Maize Soil VWC'!$C$2:$C$4000=$AA67)*('2013 E Maize Soil VWC'!$E$2:$E$4000=$AB67)*('2013 E Maize Soil VWC'!$F$2:$F$4000=AD$5),'2013 E Maize Soil VWC'!$G$2:$G$4000)</f>
        <v>0.29008321610169491</v>
      </c>
      <c r="AE67" s="4" cm="1">
        <f t="array" ref="AE67">_xlfn.XLOOKUP(1,('2013 E Maize Soil VWC'!$C$2:$C$4000=$AA67)*('2013 E Maize Soil VWC'!$E$2:$E$4000=$AB67)*('2013 E Maize Soil VWC'!$F$2:$F$4000=AE$5),'2013 E Maize Soil VWC'!$G$2:$G$4000)</f>
        <v>0.28998533827683615</v>
      </c>
      <c r="AF67" s="4" cm="1">
        <f t="array" ref="AF67">_xlfn.XLOOKUP(1,('2013 E Maize Soil VWC'!$C$2:$C$4000=$AA67)*('2013 E Maize Soil VWC'!$E$2:$E$4000=$AB67)*('2013 E Maize Soil VWC'!$F$2:$F$4000=AF$5),'2013 E Maize Soil VWC'!$G$2:$G$4000)</f>
        <v>0.29360681779661019</v>
      </c>
      <c r="AG67" s="4" cm="1">
        <f t="array" ref="AG67">_xlfn.XLOOKUP(1,('2013 E Maize Soil VWC'!$C$2:$C$4000=$AA67)*('2013 E Maize Soil VWC'!$E$2:$E$4000=$AB67)*('2013 E Maize Soil VWC'!$F$2:$F$4000=AG$5),'2013 E Maize Soil VWC'!$G$2:$G$4000)</f>
        <v>0.33193577401129948</v>
      </c>
      <c r="AH67" s="4" cm="1">
        <f t="array" ref="AH67">_xlfn.XLOOKUP(1,('2013 E Maize Soil VWC'!$C$2:$C$4000=$AA67)*('2013 E Maize Soil VWC'!$E$2:$E$4000=$AB67)*('2013 E Maize Soil VWC'!$F$2:$F$4000=AH$5),'2013 E Maize Soil VWC'!$G$2:$G$4000)</f>
        <v>0.34137119632768365</v>
      </c>
      <c r="AI67" s="4" cm="1">
        <f t="array" ref="AI67">_xlfn.XLOOKUP(1,('2013 E Maize Soil VWC'!$C$2:$C$4000=$AA67)*('2013 E Maize Soil VWC'!$E$2:$E$4000=$AB67)*('2013 E Maize Soil VWC'!$F$2:$F$4000=AI$5),'2013 E Maize Soil VWC'!$G$2:$G$4000)</f>
        <v>0.28258577471751417</v>
      </c>
      <c r="AJ67" s="4" cm="1">
        <f t="array" ref="AJ67">_xlfn.XLOOKUP(1,('2013 E Maize Soil VWC'!$C$2:$C$4000=$AA67)*('2013 E Maize Soil VWC'!$E$2:$E$4000=$AB67)*('2013 E Maize Soil VWC'!$F$2:$F$4000=AJ$5),'2013 E Maize Soil VWC'!$G$2:$G$4000)</f>
        <v>0.29683678601694913</v>
      </c>
      <c r="AK67" s="4" cm="1">
        <f t="array" ref="AK67">_xlfn.XLOOKUP(1,('2013 E Maize Soil VWC'!$C$2:$C$4000=$AA67)*('2013 E Maize Soil VWC'!$E$2:$E$4000=$AB67)*('2013 E Maize Soil VWC'!$F$2:$F$4000=AK$5),'2013 E Maize Soil VWC'!$G$2:$G$4000)</f>
        <v>0.29209949929378531</v>
      </c>
      <c r="AL67" s="4" cm="1">
        <f t="array" ref="AL67">_xlfn.XLOOKUP(1,('2013 E Maize Soil VWC'!$C$2:$C$4000=$AA67)*('2013 E Maize Soil VWC'!$E$2:$E$4000=$AB67)*('2013 E Maize Soil VWC'!$F$2:$F$4000=AL$5),'2013 E Maize Soil VWC'!$G$2:$G$4000)</f>
        <v>0.29773726200564976</v>
      </c>
      <c r="AM67" s="4" cm="1">
        <f t="array" ref="AM67">_xlfn.XLOOKUP(1,('2013 E Maize Soil VWC'!$C$2:$C$4000=$AA67)*('2013 E Maize Soil VWC'!$E$2:$E$4000=$AB67)*('2013 E Maize Soil VWC'!$F$2:$F$4000=AM$5),'2013 E Maize Soil VWC'!$G$2:$G$4000)</f>
        <v>0.31081373940677964</v>
      </c>
      <c r="AN67" s="4" cm="1">
        <f t="array" ref="AN67">_xlfn.XLOOKUP(1,('2013 E Maize Soil VWC'!$C$2:$C$4000=$AA67)*('2013 E Maize Soil VWC'!$E$2:$E$4000=$AB67)*('2013 E Maize Soil VWC'!$F$2:$F$4000=AN$5),'2013 E Maize Soil VWC'!$G$2:$G$4000)</f>
        <v>0.31212530225988699</v>
      </c>
      <c r="AO67" s="4" cm="1">
        <f t="array" ref="AO67">_xlfn.XLOOKUP(1,('2013 E Maize Soil VWC'!$C$2:$C$4000=$AA67)*('2013 E Maize Soil VWC'!$E$2:$E$4000=$AB67)*('2013 E Maize Soil VWC'!$F$2:$F$4000=AO$5),'2013 E Maize Soil VWC'!$G$2:$G$4000)</f>
        <v>0.30210261299435032</v>
      </c>
      <c r="AP67" s="4" cm="1">
        <f t="array" ref="AP67">_xlfn.XLOOKUP(1,('2013 E Maize Soil VWC'!$C$2:$C$4000=$AA67)*('2013 E Maize Soil VWC'!$E$2:$E$4000=$AB67)*('2013 E Maize Soil VWC'!$F$2:$F$4000=AP$5),'2013 E Maize Soil VWC'!$G$2:$G$4000)</f>
        <v>0.30503894774011303</v>
      </c>
      <c r="AQ67" s="4" cm="1">
        <f t="array" ref="AQ67">_xlfn.XLOOKUP(1,('2013 E Maize Soil VWC'!$C$2:$C$4000=$AA67)*('2013 E Maize Soil VWC'!$E$2:$E$4000=$AB67)*('2013 E Maize Soil VWC'!$F$2:$F$4000=AQ$5),'2013 E Maize Soil VWC'!$G$2:$G$4000)</f>
        <v>0.33085911793785311</v>
      </c>
      <c r="AR67" s="4" cm="1">
        <f t="array" ref="AR67">_xlfn.XLOOKUP(1,('2013 E Maize Soil VWC'!$C$2:$C$4000=$AA67)*('2013 E Maize Soil VWC'!$E$2:$E$4000=$AB67)*('2013 E Maize Soil VWC'!$F$2:$F$4000=AR$5),'2013 E Maize Soil VWC'!$G$2:$G$4000)</f>
        <v>0.32821641666666668</v>
      </c>
      <c r="AS67" s="4" cm="1">
        <f t="array" ref="AS67">_xlfn.XLOOKUP(1,('2013 E Maize Soil VWC'!$C$2:$C$4000=$AA67)*('2013 E Maize Soil VWC'!$E$2:$E$4000=$AB67)*('2013 E Maize Soil VWC'!$F$2:$F$4000=AS$5),'2013 E Maize Soil VWC'!$G$2:$G$4000)</f>
        <v>0.31915293008474577</v>
      </c>
      <c r="AT67" s="4" cm="1">
        <f t="array" ref="AT67">_xlfn.XLOOKUP(1,('2013 E Maize Soil VWC'!$C$2:$C$4000=$AA67)*('2013 E Maize Soil VWC'!$E$2:$E$4000=$AB67)*('2013 E Maize Soil VWC'!$F$2:$F$4000=AT$5),'2013 E Maize Soil VWC'!$G$2:$G$4000)</f>
        <v>0.31578593290960455</v>
      </c>
      <c r="AU67" s="4" cm="1">
        <f t="array" ref="AU67">_xlfn.XLOOKUP(1,('2013 E Maize Soil VWC'!$C$2:$C$4000=$AA67)*('2013 E Maize Soil VWC'!$E$2:$E$4000=$AB67)*('2013 E Maize Soil VWC'!$F$2:$F$4000=AU$5),'2013 E Maize Soil VWC'!$G$2:$G$4000)</f>
        <v>0.30707480649717517</v>
      </c>
      <c r="AV67" s="4" cm="1">
        <f t="array" ref="AV67">_xlfn.XLOOKUP(1,('2013 E Maize Soil VWC'!$C$2:$C$4000=$AA67)*('2013 E Maize Soil VWC'!$E$2:$E$4000=$AB67)*('2013 E Maize Soil VWC'!$F$2:$F$4000=AV$5),'2013 E Maize Soil VWC'!$G$2:$G$4000)</f>
        <v>0.31069628601694915</v>
      </c>
    </row>
    <row r="68" spans="25:64" x14ac:dyDescent="0.25">
      <c r="AA68" s="15">
        <f t="shared" si="9"/>
        <v>41457</v>
      </c>
      <c r="AB68" s="4">
        <f t="shared" si="10"/>
        <v>210</v>
      </c>
      <c r="AC68" s="4" cm="1">
        <f t="array" ref="AC68">_xlfn.XLOOKUP(1,('2013 E Maize Soil VWC'!$C$2:$C$4000=$AA68)*('2013 E Maize Soil VWC'!$E$2:$E$4000=$AB68)*('2013 E Maize Soil VWC'!$F$2:$F$4000=AC$5),'2013 E Maize Soil VWC'!$G$2:$G$4000)</f>
        <v>0.3023375197740113</v>
      </c>
      <c r="AD68" s="4" cm="1">
        <f t="array" ref="AD68">_xlfn.XLOOKUP(1,('2013 E Maize Soil VWC'!$C$2:$C$4000=$AA68)*('2013 E Maize Soil VWC'!$E$2:$E$4000=$AB68)*('2013 E Maize Soil VWC'!$F$2:$F$4000=AD$5),'2013 E Maize Soil VWC'!$G$2:$G$4000)</f>
        <v>0.30421677401129948</v>
      </c>
      <c r="AE68" s="4" cm="1">
        <f t="array" ref="AE68">_xlfn.XLOOKUP(1,('2013 E Maize Soil VWC'!$C$2:$C$4000=$AA68)*('2013 E Maize Soil VWC'!$E$2:$E$4000=$AB68)*('2013 E Maize Soil VWC'!$F$2:$F$4000=AE$5),'2013 E Maize Soil VWC'!$G$2:$G$4000)</f>
        <v>0.27557772245762713</v>
      </c>
      <c r="AF68" s="4" cm="1">
        <f t="array" ref="AF68">_xlfn.XLOOKUP(1,('2013 E Maize Soil VWC'!$C$2:$C$4000=$AA68)*('2013 E Maize Soil VWC'!$E$2:$E$4000=$AB68)*('2013 E Maize Soil VWC'!$F$2:$F$4000=AF$5),'2013 E Maize Soil VWC'!$G$2:$G$4000)</f>
        <v>0.29108156991525425</v>
      </c>
      <c r="AG68" s="4" t="e" cm="1">
        <f t="array" ref="AG68">_xlfn.XLOOKUP(1,('2013 E Maize Soil VWC'!$C$2:$C$4000=$AA68)*('2013 E Maize Soil VWC'!$E$2:$E$4000=$AB68)*('2013 E Maize Soil VWC'!$F$2:$F$4000=AG$5),'2013 E Maize Soil VWC'!$G$2:$G$4000)</f>
        <v>#N/A</v>
      </c>
      <c r="AH68" s="4" t="e" cm="1">
        <f t="array" ref="AH68">_xlfn.XLOOKUP(1,('2013 E Maize Soil VWC'!$C$2:$C$4000=$AA68)*('2013 E Maize Soil VWC'!$E$2:$E$4000=$AB68)*('2013 E Maize Soil VWC'!$F$2:$F$4000=AH$5),'2013 E Maize Soil VWC'!$G$2:$G$4000)</f>
        <v>#N/A</v>
      </c>
      <c r="AI68" s="4" cm="1">
        <f t="array" ref="AI68">_xlfn.XLOOKUP(1,('2013 E Maize Soil VWC'!$C$2:$C$4000=$AA68)*('2013 E Maize Soil VWC'!$E$2:$E$4000=$AB68)*('2013 E Maize Soil VWC'!$F$2:$F$4000=AI$5),'2013 E Maize Soil VWC'!$G$2:$G$4000)</f>
        <v>0.28272280367231639</v>
      </c>
      <c r="AJ68" s="4" cm="1">
        <f t="array" ref="AJ68">_xlfn.XLOOKUP(1,('2013 E Maize Soil VWC'!$C$2:$C$4000=$AA68)*('2013 E Maize Soil VWC'!$E$2:$E$4000=$AB68)*('2013 E Maize Soil VWC'!$F$2:$F$4000=AJ$5),'2013 E Maize Soil VWC'!$G$2:$G$4000)</f>
        <v>0.30546961016949153</v>
      </c>
      <c r="AK68" s="4" cm="1">
        <f t="array" ref="AK68">_xlfn.XLOOKUP(1,('2013 E Maize Soil VWC'!$C$2:$C$4000=$AA68)*('2013 E Maize Soil VWC'!$E$2:$E$4000=$AB68)*('2013 E Maize Soil VWC'!$F$2:$F$4000=AK$5),'2013 E Maize Soil VWC'!$G$2:$G$4000)</f>
        <v>0.29597546115819212</v>
      </c>
      <c r="AL68" s="4" cm="1">
        <f t="array" ref="AL68">_xlfn.XLOOKUP(1,('2013 E Maize Soil VWC'!$C$2:$C$4000=$AA68)*('2013 E Maize Soil VWC'!$E$2:$E$4000=$AB68)*('2013 E Maize Soil VWC'!$F$2:$F$4000=AL$5),'2013 E Maize Soil VWC'!$G$2:$G$4000)</f>
        <v>0.27199539406779666</v>
      </c>
      <c r="AM68" s="4" cm="1">
        <f t="array" ref="AM68">_xlfn.XLOOKUP(1,('2013 E Maize Soil VWC'!$C$2:$C$4000=$AA68)*('2013 E Maize Soil VWC'!$E$2:$E$4000=$AB68)*('2013 E Maize Soil VWC'!$F$2:$F$4000=AM$5),'2013 E Maize Soil VWC'!$G$2:$G$4000)</f>
        <v>0.30893448516949157</v>
      </c>
      <c r="AN68" s="4" cm="1">
        <f t="array" ref="AN68">_xlfn.XLOOKUP(1,('2013 E Maize Soil VWC'!$C$2:$C$4000=$AA68)*('2013 E Maize Soil VWC'!$E$2:$E$4000=$AB68)*('2013 E Maize Soil VWC'!$F$2:$F$4000=AN$5),'2013 E Maize Soil VWC'!$G$2:$G$4000)</f>
        <v>0.31044180367231639</v>
      </c>
      <c r="AO68" s="4" cm="1">
        <f t="array" ref="AO68">_xlfn.XLOOKUP(1,('2013 E Maize Soil VWC'!$C$2:$C$4000=$AA68)*('2013 E Maize Soil VWC'!$E$2:$E$4000=$AB68)*('2013 E Maize Soil VWC'!$F$2:$F$4000=AO$5),'2013 E Maize Soil VWC'!$G$2:$G$4000)</f>
        <v>0.31075501271186445</v>
      </c>
      <c r="AP68" s="4" cm="1">
        <f t="array" ref="AP68">_xlfn.XLOOKUP(1,('2013 E Maize Soil VWC'!$C$2:$C$4000=$AA68)*('2013 E Maize Soil VWC'!$E$2:$E$4000=$AB68)*('2013 E Maize Soil VWC'!$F$2:$F$4000=AP$5),'2013 E Maize Soil VWC'!$G$2:$G$4000)</f>
        <v>0.2804128870056497</v>
      </c>
      <c r="AQ68" s="4" t="e" cm="1">
        <f t="array" ref="AQ68">_xlfn.XLOOKUP(1,('2013 E Maize Soil VWC'!$C$2:$C$4000=$AA68)*('2013 E Maize Soil VWC'!$E$2:$E$4000=$AB68)*('2013 E Maize Soil VWC'!$F$2:$F$4000=AQ$5),'2013 E Maize Soil VWC'!$G$2:$G$4000)</f>
        <v>#N/A</v>
      </c>
      <c r="AR68" s="4" t="e" cm="1">
        <f t="array" ref="AR68">_xlfn.XLOOKUP(1,('2013 E Maize Soil VWC'!$C$2:$C$4000=$AA68)*('2013 E Maize Soil VWC'!$E$2:$E$4000=$AB68)*('2013 E Maize Soil VWC'!$F$2:$F$4000=AR$5),'2013 E Maize Soil VWC'!$G$2:$G$4000)</f>
        <v>#N/A</v>
      </c>
      <c r="AS68" s="4" cm="1">
        <f t="array" ref="AS68">_xlfn.XLOOKUP(1,('2013 E Maize Soil VWC'!$C$2:$C$4000=$AA68)*('2013 E Maize Soil VWC'!$E$2:$E$4000=$AB68)*('2013 E Maize Soil VWC'!$F$2:$F$4000=AS$5),'2013 E Maize Soil VWC'!$G$2:$G$4000)</f>
        <v>0.30967835663841808</v>
      </c>
      <c r="AT68" s="4" cm="1">
        <f t="array" ref="AT68">_xlfn.XLOOKUP(1,('2013 E Maize Soil VWC'!$C$2:$C$4000=$AA68)*('2013 E Maize Soil VWC'!$E$2:$E$4000=$AB68)*('2013 E Maize Soil VWC'!$F$2:$F$4000=AT$5),'2013 E Maize Soil VWC'!$G$2:$G$4000)</f>
        <v>0.3063309350282486</v>
      </c>
      <c r="AU68" s="4" cm="1">
        <f t="array" ref="AU68">_xlfn.XLOOKUP(1,('2013 E Maize Soil VWC'!$C$2:$C$4000=$AA68)*('2013 E Maize Soil VWC'!$E$2:$E$4000=$AB68)*('2013 E Maize Soil VWC'!$F$2:$F$4000=AU$5),'2013 E Maize Soil VWC'!$G$2:$G$4000)</f>
        <v>0.30153492161016948</v>
      </c>
      <c r="AV68" s="4" cm="1">
        <f t="array" ref="AV68">_xlfn.XLOOKUP(1,('2013 E Maize Soil VWC'!$C$2:$C$4000=$AA68)*('2013 E Maize Soil VWC'!$E$2:$E$4000=$AB68)*('2013 E Maize Soil VWC'!$F$2:$F$4000=AV$5),'2013 E Maize Soil VWC'!$G$2:$G$4000)</f>
        <v>0.3060568771186441</v>
      </c>
    </row>
    <row r="69" spans="25:64" x14ac:dyDescent="0.25">
      <c r="AA69" s="15">
        <f t="shared" si="9"/>
        <v>41457</v>
      </c>
      <c r="AB69" s="4">
        <f t="shared" si="10"/>
        <v>230</v>
      </c>
      <c r="AC69" s="4" cm="1">
        <f t="array" ref="AC69">_xlfn.XLOOKUP(1,('2013 E Maize Soil VWC'!$C$2:$C$4000=$AA69)*('2013 E Maize Soil VWC'!$E$2:$E$4000=$AB69)*('2013 E Maize Soil VWC'!$F$2:$F$4000=AC$5),'2013 E Maize Soil VWC'!$G$2:$G$4000)</f>
        <v>0.30077147457627118</v>
      </c>
      <c r="AD69" s="4" cm="1">
        <f t="array" ref="AD69">_xlfn.XLOOKUP(1,('2013 E Maize Soil VWC'!$C$2:$C$4000=$AA69)*('2013 E Maize Soil VWC'!$E$2:$E$4000=$AB69)*('2013 E Maize Soil VWC'!$F$2:$F$4000=AD$5),'2013 E Maize Soil VWC'!$G$2:$G$4000)</f>
        <v>0.29977312076271184</v>
      </c>
      <c r="AE69" s="4" cm="1">
        <f t="array" ref="AE69">_xlfn.XLOOKUP(1,('2013 E Maize Soil VWC'!$C$2:$C$4000=$AA69)*('2013 E Maize Soil VWC'!$E$2:$E$4000=$AB69)*('2013 E Maize Soil VWC'!$F$2:$F$4000=AE$5),'2013 E Maize Soil VWC'!$G$2:$G$4000)</f>
        <v>0.2865400388418079</v>
      </c>
      <c r="AF69" s="4" cm="1">
        <f t="array" ref="AF69">_xlfn.XLOOKUP(1,('2013 E Maize Soil VWC'!$C$2:$C$4000=$AA69)*('2013 E Maize Soil VWC'!$E$2:$E$4000=$AB69)*('2013 E Maize Soil VWC'!$F$2:$F$4000=AF$5),'2013 E Maize Soil VWC'!$G$2:$G$4000)</f>
        <v>0.28477823799435026</v>
      </c>
      <c r="AG69" s="4" t="e" cm="1">
        <f t="array" ref="AG69">_xlfn.XLOOKUP(1,('2013 E Maize Soil VWC'!$C$2:$C$4000=$AA69)*('2013 E Maize Soil VWC'!$E$2:$E$4000=$AB69)*('2013 E Maize Soil VWC'!$F$2:$F$4000=AG$5),'2013 E Maize Soil VWC'!$G$2:$G$4000)</f>
        <v>#N/A</v>
      </c>
      <c r="AH69" s="4" t="e" cm="1">
        <f t="array" ref="AH69">_xlfn.XLOOKUP(1,('2013 E Maize Soil VWC'!$C$2:$C$4000=$AA69)*('2013 E Maize Soil VWC'!$E$2:$E$4000=$AB69)*('2013 E Maize Soil VWC'!$F$2:$F$4000=AH$5),'2013 E Maize Soil VWC'!$G$2:$G$4000)</f>
        <v>#N/A</v>
      </c>
      <c r="AI69" s="4" cm="1">
        <f t="array" ref="AI69">_xlfn.XLOOKUP(1,('2013 E Maize Soil VWC'!$C$2:$C$4000=$AA69)*('2013 E Maize Soil VWC'!$E$2:$E$4000=$AB69)*('2013 E Maize Soil VWC'!$F$2:$F$4000=AI$5),'2013 E Maize Soil VWC'!$G$2:$G$4000)</f>
        <v>0.28742093926553669</v>
      </c>
      <c r="AJ69" s="4" cm="1">
        <f t="array" ref="AJ69">_xlfn.XLOOKUP(1,('2013 E Maize Soil VWC'!$C$2:$C$4000=$AA69)*('2013 E Maize Soil VWC'!$E$2:$E$4000=$AB69)*('2013 E Maize Soil VWC'!$F$2:$F$4000=AJ$5),'2013 E Maize Soil VWC'!$G$2:$G$4000)</f>
        <v>0.31343686511299435</v>
      </c>
      <c r="AK69" s="4" cm="1">
        <f t="array" ref="AK69">_xlfn.XLOOKUP(1,('2013 E Maize Soil VWC'!$C$2:$C$4000=$AA69)*('2013 E Maize Soil VWC'!$E$2:$E$4000=$AB69)*('2013 E Maize Soil VWC'!$F$2:$F$4000=AK$5),'2013 E Maize Soil VWC'!$G$2:$G$4000)</f>
        <v>0.30954132768361581</v>
      </c>
      <c r="AL69" s="4" cm="1">
        <f t="array" ref="AL69">_xlfn.XLOOKUP(1,('2013 E Maize Soil VWC'!$C$2:$C$4000=$AA69)*('2013 E Maize Soil VWC'!$E$2:$E$4000=$AB69)*('2013 E Maize Soil VWC'!$F$2:$F$4000=AL$5),'2013 E Maize Soil VWC'!$G$2:$G$4000)</f>
        <v>0.26578993997175143</v>
      </c>
      <c r="AM69" s="4" cm="1">
        <f t="array" ref="AM69">_xlfn.XLOOKUP(1,('2013 E Maize Soil VWC'!$C$2:$C$4000=$AA69)*('2013 E Maize Soil VWC'!$E$2:$E$4000=$AB69)*('2013 E Maize Soil VWC'!$F$2:$F$4000=AM$5),'2013 E Maize Soil VWC'!$G$2:$G$4000)</f>
        <v>0.30059529449152544</v>
      </c>
      <c r="AN69" s="4" cm="1">
        <f t="array" ref="AN69">_xlfn.XLOOKUP(1,('2013 E Maize Soil VWC'!$C$2:$C$4000=$AA69)*('2013 E Maize Soil VWC'!$E$2:$E$4000=$AB69)*('2013 E Maize Soil VWC'!$F$2:$F$4000=AN$5),'2013 E Maize Soil VWC'!$G$2:$G$4000)</f>
        <v>0.30601772598870058</v>
      </c>
      <c r="AO69" s="4" cm="1">
        <f t="array" ref="AO69">_xlfn.XLOOKUP(1,('2013 E Maize Soil VWC'!$C$2:$C$4000=$AA69)*('2013 E Maize Soil VWC'!$E$2:$E$4000=$AB69)*('2013 E Maize Soil VWC'!$F$2:$F$4000=AO$5),'2013 E Maize Soil VWC'!$G$2:$G$4000)</f>
        <v>0.30063444562146896</v>
      </c>
      <c r="AP69" s="4" cm="1">
        <f t="array" ref="AP69">_xlfn.XLOOKUP(1,('2013 E Maize Soil VWC'!$C$2:$C$4000=$AA69)*('2013 E Maize Soil VWC'!$E$2:$E$4000=$AB69)*('2013 E Maize Soil VWC'!$F$2:$F$4000=AP$5),'2013 E Maize Soil VWC'!$G$2:$G$4000)</f>
        <v>0.29294124858757059</v>
      </c>
      <c r="AQ69" s="4" t="e" cm="1">
        <f t="array" ref="AQ69">_xlfn.XLOOKUP(1,('2013 E Maize Soil VWC'!$C$2:$C$4000=$AA69)*('2013 E Maize Soil VWC'!$E$2:$E$4000=$AB69)*('2013 E Maize Soil VWC'!$F$2:$F$4000=AQ$5),'2013 E Maize Soil VWC'!$G$2:$G$4000)</f>
        <v>#N/A</v>
      </c>
      <c r="AR69" s="4" t="e" cm="1">
        <f t="array" ref="AR69">_xlfn.XLOOKUP(1,('2013 E Maize Soil VWC'!$C$2:$C$4000=$AA69)*('2013 E Maize Soil VWC'!$E$2:$E$4000=$AB69)*('2013 E Maize Soil VWC'!$F$2:$F$4000=AR$5),'2013 E Maize Soil VWC'!$G$2:$G$4000)</f>
        <v>#N/A</v>
      </c>
      <c r="AS69" s="4" cm="1">
        <f t="array" ref="AS69">_xlfn.XLOOKUP(1,('2013 E Maize Soil VWC'!$C$2:$C$4000=$AA69)*('2013 E Maize Soil VWC'!$E$2:$E$4000=$AB69)*('2013 E Maize Soil VWC'!$F$2:$F$4000=AS$5),'2013 E Maize Soil VWC'!$G$2:$G$4000)</f>
        <v>0.30697692867231641</v>
      </c>
      <c r="AT69" s="4" cm="1">
        <f t="array" ref="AT69">_xlfn.XLOOKUP(1,('2013 E Maize Soil VWC'!$C$2:$C$4000=$AA69)*('2013 E Maize Soil VWC'!$E$2:$E$4000=$AB69)*('2013 E Maize Soil VWC'!$F$2:$F$4000=AT$5),'2013 E Maize Soil VWC'!$G$2:$G$4000)</f>
        <v>0.30247454872881357</v>
      </c>
      <c r="AU69" s="4" cm="1">
        <f t="array" ref="AU69">_xlfn.XLOOKUP(1,('2013 E Maize Soil VWC'!$C$2:$C$4000=$AA69)*('2013 E Maize Soil VWC'!$E$2:$E$4000=$AB69)*('2013 E Maize Soil VWC'!$F$2:$F$4000=AU$5),'2013 E Maize Soil VWC'!$G$2:$G$4000)</f>
        <v>0.29446814265536725</v>
      </c>
      <c r="AV69" s="4" cm="1">
        <f t="array" ref="AV69">_xlfn.XLOOKUP(1,('2013 E Maize Soil VWC'!$C$2:$C$4000=$AA69)*('2013 E Maize Soil VWC'!$E$2:$E$4000=$AB69)*('2013 E Maize Soil VWC'!$F$2:$F$4000=AV$5),'2013 E Maize Soil VWC'!$G$2:$G$4000)</f>
        <v>0.30208303742937859</v>
      </c>
    </row>
    <row r="70" spans="25:64" x14ac:dyDescent="0.25">
      <c r="AA70" s="15"/>
    </row>
    <row r="71" spans="25:64" x14ac:dyDescent="0.25">
      <c r="Y71" s="4">
        <v>2013</v>
      </c>
      <c r="Z71" s="4">
        <v>189</v>
      </c>
      <c r="AA71" s="15">
        <f>DATE(Y71,1,Z71)</f>
        <v>41463</v>
      </c>
      <c r="AB71" s="4">
        <v>10</v>
      </c>
      <c r="AC71" s="4" cm="1">
        <f t="array" ref="AC71">_xlfn.XLOOKUP(1,('2013 E Maize Soil VWC'!$C$2:$C$4000=$AA71)*('2013 E Maize Soil VWC'!$E$2:$E$4000=$AB71)*('2013 E Maize Soil VWC'!$F$2:$F$4000=AC$5),'2013 E Maize Soil VWC'!$G$2:$G$4000)</f>
        <v>0.27947792766343826</v>
      </c>
      <c r="AD71" s="4" cm="1">
        <f t="array" ref="AD71">_xlfn.XLOOKUP(1,('2013 E Maize Soil VWC'!$C$2:$C$4000=$AA71)*('2013 E Maize Soil VWC'!$E$2:$E$4000=$AB71)*('2013 E Maize Soil VWC'!$F$2:$F$4000=AD$5),'2013 E Maize Soil VWC'!$G$2:$G$4000)</f>
        <v>0.28813952360774819</v>
      </c>
      <c r="AE71" s="4" cm="1">
        <f t="array" ref="AE71">_xlfn.XLOOKUP(1,('2013 E Maize Soil VWC'!$C$2:$C$4000=$AA71)*('2013 E Maize Soil VWC'!$E$2:$E$4000=$AB71)*('2013 E Maize Soil VWC'!$F$2:$F$4000=AE$5),'2013 E Maize Soil VWC'!$G$2:$G$4000)</f>
        <v>0.29780424424939467</v>
      </c>
      <c r="AF71" s="4" cm="1">
        <f t="array" ref="AF71">_xlfn.XLOOKUP(1,('2013 E Maize Soil VWC'!$C$2:$C$4000=$AA71)*('2013 E Maize Soil VWC'!$E$2:$E$4000=$AB71)*('2013 E Maize Soil VWC'!$F$2:$F$4000=AF$5),'2013 E Maize Soil VWC'!$G$2:$G$4000)</f>
        <v>0.25621315102905567</v>
      </c>
      <c r="AG71" s="4" cm="1">
        <f t="array" ref="AG71">_xlfn.XLOOKUP(1,('2013 E Maize Soil VWC'!$C$2:$C$4000=$AA71)*('2013 E Maize Soil VWC'!$E$2:$E$4000=$AB71)*('2013 E Maize Soil VWC'!$F$2:$F$4000=AG$5),'2013 E Maize Soil VWC'!$G$2:$G$4000)</f>
        <v>0.26570425393462466</v>
      </c>
      <c r="AH71" s="4" cm="1">
        <f t="array" ref="AH71">_xlfn.XLOOKUP(1,('2013 E Maize Soil VWC'!$C$2:$C$4000=$AA71)*('2013 E Maize Soil VWC'!$E$2:$E$4000=$AB71)*('2013 E Maize Soil VWC'!$F$2:$F$4000=AH$5),'2013 E Maize Soil VWC'!$G$2:$G$4000)</f>
        <v>0.24461934443099276</v>
      </c>
      <c r="AI71" s="4" cm="1">
        <f t="array" ref="AI71">_xlfn.XLOOKUP(1,('2013 E Maize Soil VWC'!$C$2:$C$4000=$AA71)*('2013 E Maize Soil VWC'!$E$2:$E$4000=$AB71)*('2013 E Maize Soil VWC'!$F$2:$F$4000=AI$5),'2013 E Maize Soil VWC'!$G$2:$G$4000)</f>
        <v>0.30247263226392251</v>
      </c>
      <c r="AJ71" s="4" cm="1">
        <f t="array" ref="AJ71">_xlfn.XLOOKUP(1,('2013 E Maize Soil VWC'!$C$2:$C$4000=$AA71)*('2013 E Maize Soil VWC'!$E$2:$E$4000=$AB71)*('2013 E Maize Soil VWC'!$F$2:$F$4000=AJ$5),'2013 E Maize Soil VWC'!$G$2:$G$4000)</f>
        <v>0.2935409642857143</v>
      </c>
      <c r="AK71" s="4" cm="1">
        <f t="array" ref="AK71">_xlfn.XLOOKUP(1,('2013 E Maize Soil VWC'!$C$2:$C$4000=$AA71)*('2013 E Maize Soil VWC'!$E$2:$E$4000=$AB71)*('2013 E Maize Soil VWC'!$F$2:$F$4000=AK$5),'2013 E Maize Soil VWC'!$G$2:$G$4000)</f>
        <v>0.28181212167070219</v>
      </c>
      <c r="AL71" s="4" cm="1">
        <f t="array" ref="AL71">_xlfn.XLOOKUP(1,('2013 E Maize Soil VWC'!$C$2:$C$4000=$AA71)*('2013 E Maize Soil VWC'!$E$2:$E$4000=$AB71)*('2013 E Maize Soil VWC'!$F$2:$F$4000=AL$5),'2013 E Maize Soil VWC'!$G$2:$G$4000)</f>
        <v>0.26688099636803875</v>
      </c>
      <c r="AM71" s="4" cm="1">
        <f t="array" ref="AM71">_xlfn.XLOOKUP(1,('2013 E Maize Soil VWC'!$C$2:$C$4000=$AA71)*('2013 E Maize Soil VWC'!$E$2:$E$4000=$AB71)*('2013 E Maize Soil VWC'!$F$2:$F$4000=AM$5),'2013 E Maize Soil VWC'!$G$2:$G$4000)</f>
        <v>0.2428252944915254</v>
      </c>
      <c r="AN71" s="4" cm="1">
        <f t="array" ref="AN71">_xlfn.XLOOKUP(1,('2013 E Maize Soil VWC'!$C$2:$C$4000=$AA71)*('2013 E Maize Soil VWC'!$E$2:$E$4000=$AB71)*('2013 E Maize Soil VWC'!$F$2:$F$4000=AN$5),'2013 E Maize Soil VWC'!$G$2:$G$4000)</f>
        <v>0.24357763801452781</v>
      </c>
      <c r="AO71" s="4" cm="1">
        <f t="array" ref="AO71">_xlfn.XLOOKUP(1,('2013 E Maize Soil VWC'!$C$2:$C$4000=$AA71)*('2013 E Maize Soil VWC'!$E$2:$E$4000=$AB71)*('2013 E Maize Soil VWC'!$F$2:$F$4000=AO$5),'2013 E Maize Soil VWC'!$G$2:$G$4000)</f>
        <v>0.27301548970944312</v>
      </c>
      <c r="AP71" s="4" cm="1">
        <f t="array" ref="AP71">_xlfn.XLOOKUP(1,('2013 E Maize Soil VWC'!$C$2:$C$4000=$AA71)*('2013 E Maize Soil VWC'!$E$2:$E$4000=$AB71)*('2013 E Maize Soil VWC'!$F$2:$F$4000=AP$5),'2013 E Maize Soil VWC'!$G$2:$G$4000)</f>
        <v>0.23449164315980631</v>
      </c>
      <c r="AQ71" s="4" cm="1">
        <f t="array" ref="AQ71">_xlfn.XLOOKUP(1,('2013 E Maize Soil VWC'!$C$2:$C$4000=$AA71)*('2013 E Maize Soil VWC'!$E$2:$E$4000=$AB71)*('2013 E Maize Soil VWC'!$F$2:$F$4000=AQ$5),'2013 E Maize Soil VWC'!$G$2:$G$4000)</f>
        <v>0.24367409231234866</v>
      </c>
      <c r="AR71" s="4" cm="1">
        <f t="array" ref="AR71">_xlfn.XLOOKUP(1,('2013 E Maize Soil VWC'!$C$2:$C$4000=$AA71)*('2013 E Maize Soil VWC'!$E$2:$E$4000=$AB71)*('2013 E Maize Soil VWC'!$F$2:$F$4000=AR$5),'2013 E Maize Soil VWC'!$G$2:$G$4000)</f>
        <v>0.24224656870460048</v>
      </c>
      <c r="AS71" s="4" cm="1">
        <f t="array" ref="AS71">_xlfn.XLOOKUP(1,('2013 E Maize Soil VWC'!$C$2:$C$4000=$AA71)*('2013 E Maize Soil VWC'!$E$2:$E$4000=$AB71)*('2013 E Maize Soil VWC'!$F$2:$F$4000=AS$5),'2013 E Maize Soil VWC'!$G$2:$G$4000)</f>
        <v>0.26352438680387408</v>
      </c>
      <c r="AT71" s="4" cm="1">
        <f t="array" ref="AT71">_xlfn.XLOOKUP(1,('2013 E Maize Soil VWC'!$C$2:$C$4000=$AA71)*('2013 E Maize Soil VWC'!$E$2:$E$4000=$AB71)*('2013 E Maize Soil VWC'!$F$2:$F$4000=AT$5),'2013 E Maize Soil VWC'!$G$2:$G$4000)</f>
        <v>0.24510161592009683</v>
      </c>
      <c r="AU71" s="4" cm="1">
        <f t="array" ref="AU71">_xlfn.XLOOKUP(1,('2013 E Maize Soil VWC'!$C$2:$C$4000=$AA71)*('2013 E Maize Soil VWC'!$E$2:$E$4000=$AB71)*('2013 E Maize Soil VWC'!$F$2:$F$4000=AU$5),'2013 E Maize Soil VWC'!$G$2:$G$4000)</f>
        <v>0.22370805266343829</v>
      </c>
      <c r="AV71" s="4" cm="1">
        <f t="array" ref="AV71">_xlfn.XLOOKUP(1,('2013 E Maize Soil VWC'!$C$2:$C$4000=$AA71)*('2013 E Maize Soil VWC'!$E$2:$E$4000=$AB71)*('2013 E Maize Soil VWC'!$F$2:$F$4000=AV$5),'2013 E Maize Soil VWC'!$G$2:$G$4000)</f>
        <v>0.22465330478208229</v>
      </c>
      <c r="AW71" s="22">
        <f>Z71</f>
        <v>189</v>
      </c>
      <c r="AX71" s="20">
        <f>AA71</f>
        <v>41463</v>
      </c>
      <c r="AY71" s="4">
        <f>1400*AVERAGE(AG71:AH77)+100*AVERAGE(AG78:AH78)</f>
        <v>459.89125556396283</v>
      </c>
      <c r="AZ71" s="4">
        <f>1400*AVERAGE(AC71:AF77,AI71:AL77)+100*AVERAGE(AC78:AF78,AI78:AL78)</f>
        <v>493.56863118063956</v>
      </c>
      <c r="BA71" s="4">
        <f>1400*AVERAGE(AQ71:AR77)+100*AVERAGE(AQ78:AR78)</f>
        <v>443.71050808615814</v>
      </c>
      <c r="BB71" s="4">
        <f>1400*AVERAGE(AM71:AP77,AS71:AV77)+100*AVERAGE(AM78:AP78,AS78:AV78)</f>
        <v>479.82985249949559</v>
      </c>
      <c r="BC71" s="4">
        <f>AVERAGE(AC71:AD82)*2400</f>
        <v>760.807095338983</v>
      </c>
      <c r="BD71" s="4">
        <f>AVERAGE(AE71:AF82)*2400</f>
        <v>747.56899355326891</v>
      </c>
      <c r="BE71" s="4">
        <f>AVERAGE(AG71:AH80)*2000</f>
        <v>628.91978215294603</v>
      </c>
      <c r="BF71" s="4">
        <f>AVERAGE(AI71:AJ82)*2400</f>
        <v>776.75581714083944</v>
      </c>
      <c r="BG71" s="4">
        <f>AVERAGE(AK71:AL82)*2400</f>
        <v>763.09036858353522</v>
      </c>
      <c r="BH71" s="4">
        <f>AVERAGE(AM71:AN82)*2400</f>
        <v>763.88474769975812</v>
      </c>
      <c r="BI71" s="4">
        <f>AVERAGE(AO71:AP82)*2400</f>
        <v>754.06790954398707</v>
      </c>
      <c r="BJ71" s="4">
        <f>AVERAGE(AQ71:AR80)*2000</f>
        <v>608.9276721751412</v>
      </c>
      <c r="BK71" s="4">
        <f>AVERAGE(AS71:AT82)*2400</f>
        <v>770.27880620460041</v>
      </c>
      <c r="BL71" s="4">
        <f>AVERAGE(AU71:AV82)*2400</f>
        <v>752.5622318603713</v>
      </c>
    </row>
    <row r="72" spans="25:64" x14ac:dyDescent="0.25">
      <c r="AA72" s="15">
        <f t="shared" ref="AA72:AA82" si="11">AA71</f>
        <v>41463</v>
      </c>
      <c r="AB72" s="4">
        <f t="shared" ref="AB72:AB82" si="12">AB71+20</f>
        <v>30</v>
      </c>
      <c r="AC72" s="4" cm="1">
        <f t="array" ref="AC72">_xlfn.XLOOKUP(1,('2013 E Maize Soil VWC'!$C$2:$C$4000=$AA72)*('2013 E Maize Soil VWC'!$E$2:$E$4000=$AB72)*('2013 E Maize Soil VWC'!$F$2:$F$4000=AC$5),'2013 E Maize Soil VWC'!$G$2:$G$4000)</f>
        <v>0.30714604096045195</v>
      </c>
      <c r="AD72" s="4" cm="1">
        <f t="array" ref="AD72">_xlfn.XLOOKUP(1,('2013 E Maize Soil VWC'!$C$2:$C$4000=$AA72)*('2013 E Maize Soil VWC'!$E$2:$E$4000=$AB72)*('2013 E Maize Soil VWC'!$F$2:$F$4000=AD$5),'2013 E Maize Soil VWC'!$G$2:$G$4000)</f>
        <v>0.30583339053672315</v>
      </c>
      <c r="AE72" s="4" cm="1">
        <f t="array" ref="AE72">_xlfn.XLOOKUP(1,('2013 E Maize Soil VWC'!$C$2:$C$4000=$AA72)*('2013 E Maize Soil VWC'!$E$2:$E$4000=$AB72)*('2013 E Maize Soil VWC'!$F$2:$F$4000=AE$5),'2013 E Maize Soil VWC'!$G$2:$G$4000)</f>
        <v>0.31668002824858754</v>
      </c>
      <c r="AF72" s="4" cm="1">
        <f t="array" ref="AF72">_xlfn.XLOOKUP(1,('2013 E Maize Soil VWC'!$C$2:$C$4000=$AA72)*('2013 E Maize Soil VWC'!$E$2:$E$4000=$AB72)*('2013 E Maize Soil VWC'!$F$2:$F$4000=AF$5),'2013 E Maize Soil VWC'!$G$2:$G$4000)</f>
        <v>0.30233298940677966</v>
      </c>
      <c r="AG72" s="4" cm="1">
        <f t="array" ref="AG72">_xlfn.XLOOKUP(1,('2013 E Maize Soil VWC'!$C$2:$C$4000=$AA72)*('2013 E Maize Soil VWC'!$E$2:$E$4000=$AB72)*('2013 E Maize Soil VWC'!$F$2:$F$4000=AG$5),'2013 E Maize Soil VWC'!$G$2:$G$4000)</f>
        <v>0.28093909039548021</v>
      </c>
      <c r="AH72" s="4" cm="1">
        <f t="array" ref="AH72">_xlfn.XLOOKUP(1,('2013 E Maize Soil VWC'!$C$2:$C$4000=$AA72)*('2013 E Maize Soil VWC'!$E$2:$E$4000=$AB72)*('2013 E Maize Soil VWC'!$F$2:$F$4000=AH$5),'2013 E Maize Soil VWC'!$G$2:$G$4000)</f>
        <v>0.28192933545197735</v>
      </c>
      <c r="AI72" s="4" cm="1">
        <f t="array" ref="AI72">_xlfn.XLOOKUP(1,('2013 E Maize Soil VWC'!$C$2:$C$4000=$AA72)*('2013 E Maize Soil VWC'!$E$2:$E$4000=$AB72)*('2013 E Maize Soil VWC'!$F$2:$F$4000=AI$5),'2013 E Maize Soil VWC'!$G$2:$G$4000)</f>
        <v>0.32729637641242937</v>
      </c>
      <c r="AJ72" s="4" cm="1">
        <f t="array" ref="AJ72">_xlfn.XLOOKUP(1,('2013 E Maize Soil VWC'!$C$2:$C$4000=$AA72)*('2013 E Maize Soil VWC'!$E$2:$E$4000=$AB72)*('2013 E Maize Soil VWC'!$F$2:$F$4000=AJ$5),'2013 E Maize Soil VWC'!$G$2:$G$4000)</f>
        <v>0.32706608686440675</v>
      </c>
      <c r="AK72" s="4" cm="1">
        <f t="array" ref="AK72">_xlfn.XLOOKUP(1,('2013 E Maize Soil VWC'!$C$2:$C$4000=$AA72)*('2013 E Maize Soil VWC'!$E$2:$E$4000=$AB72)*('2013 E Maize Soil VWC'!$F$2:$F$4000=AK$5),'2013 E Maize Soil VWC'!$G$2:$G$4000)</f>
        <v>0.32310510663841802</v>
      </c>
      <c r="AL72" s="4" cm="1">
        <f t="array" ref="AL72">_xlfn.XLOOKUP(1,('2013 E Maize Soil VWC'!$C$2:$C$4000=$AA72)*('2013 E Maize Soil VWC'!$E$2:$E$4000=$AB72)*('2013 E Maize Soil VWC'!$F$2:$F$4000=AL$5),'2013 E Maize Soil VWC'!$G$2:$G$4000)</f>
        <v>0.31532131991525425</v>
      </c>
      <c r="AM72" s="4" cm="1">
        <f t="array" ref="AM72">_xlfn.XLOOKUP(1,('2013 E Maize Soil VWC'!$C$2:$C$4000=$AA72)*('2013 E Maize Soil VWC'!$E$2:$E$4000=$AB72)*('2013 E Maize Soil VWC'!$F$2:$F$4000=AM$5),'2013 E Maize Soil VWC'!$G$2:$G$4000)</f>
        <v>0.29894773305084743</v>
      </c>
      <c r="AN72" s="4" cm="1">
        <f t="array" ref="AN72">_xlfn.XLOOKUP(1,('2013 E Maize Soil VWC'!$C$2:$C$4000=$AA72)*('2013 E Maize Soil VWC'!$E$2:$E$4000=$AB72)*('2013 E Maize Soil VWC'!$F$2:$F$4000=AN$5),'2013 E Maize Soil VWC'!$G$2:$G$4000)</f>
        <v>0.28319592796610166</v>
      </c>
      <c r="AO72" s="4" cm="1">
        <f t="array" ref="AO72">_xlfn.XLOOKUP(1,('2013 E Maize Soil VWC'!$C$2:$C$4000=$AA72)*('2013 E Maize Soil VWC'!$E$2:$E$4000=$AB72)*('2013 E Maize Soil VWC'!$F$2:$F$4000=AO$5),'2013 E Maize Soil VWC'!$G$2:$G$4000)</f>
        <v>0.30364563983050846</v>
      </c>
      <c r="AP72" s="4" cm="1">
        <f t="array" ref="AP72">_xlfn.XLOOKUP(1,('2013 E Maize Soil VWC'!$C$2:$C$4000=$AA72)*('2013 E Maize Soil VWC'!$E$2:$E$4000=$AB72)*('2013 E Maize Soil VWC'!$F$2:$F$4000=AP$5),'2013 E Maize Soil VWC'!$G$2:$G$4000)</f>
        <v>0.28998946963276834</v>
      </c>
      <c r="AQ72" s="4" cm="1">
        <f t="array" ref="AQ72">_xlfn.XLOOKUP(1,('2013 E Maize Soil VWC'!$C$2:$C$4000=$AA72)*('2013 E Maize Soil VWC'!$E$2:$E$4000=$AB72)*('2013 E Maize Soil VWC'!$F$2:$F$4000=AQ$5),'2013 E Maize Soil VWC'!$G$2:$G$4000)</f>
        <v>0.27409949081920898</v>
      </c>
      <c r="AR72" s="4" cm="1">
        <f t="array" ref="AR72">_xlfn.XLOOKUP(1,('2013 E Maize Soil VWC'!$C$2:$C$4000=$AA72)*('2013 E Maize Soil VWC'!$E$2:$E$4000=$AB72)*('2013 E Maize Soil VWC'!$F$2:$F$4000=AR$5),'2013 E Maize Soil VWC'!$G$2:$G$4000)</f>
        <v>0.28411708615819209</v>
      </c>
      <c r="AS72" s="4" cm="1">
        <f t="array" ref="AS72">_xlfn.XLOOKUP(1,('2013 E Maize Soil VWC'!$C$2:$C$4000=$AA72)*('2013 E Maize Soil VWC'!$E$2:$E$4000=$AB72)*('2013 E Maize Soil VWC'!$F$2:$F$4000=AS$5),'2013 E Maize Soil VWC'!$G$2:$G$4000)</f>
        <v>0.31306448234463274</v>
      </c>
      <c r="AT72" s="4" cm="1">
        <f t="array" ref="AT72">_xlfn.XLOOKUP(1,('2013 E Maize Soil VWC'!$C$2:$C$4000=$AA72)*('2013 E Maize Soil VWC'!$E$2:$E$4000=$AB72)*('2013 E Maize Soil VWC'!$F$2:$F$4000=AT$5),'2013 E Maize Soil VWC'!$G$2:$G$4000)</f>
        <v>0.32024951624293779</v>
      </c>
      <c r="AU72" s="4" cm="1">
        <f t="array" ref="AU72">_xlfn.XLOOKUP(1,('2013 E Maize Soil VWC'!$C$2:$C$4000=$AA72)*('2013 E Maize Soil VWC'!$E$2:$E$4000=$AB72)*('2013 E Maize Soil VWC'!$F$2:$F$4000=AU$5),'2013 E Maize Soil VWC'!$G$2:$G$4000)</f>
        <v>0.28835441384180788</v>
      </c>
      <c r="AV72" s="4" cm="1">
        <f t="array" ref="AV72">_xlfn.XLOOKUP(1,('2013 E Maize Soil VWC'!$C$2:$C$4000=$AA72)*('2013 E Maize Soil VWC'!$E$2:$E$4000=$AB72)*('2013 E Maize Soil VWC'!$F$2:$F$4000=AV$5),'2013 E Maize Soil VWC'!$G$2:$G$4000)</f>
        <v>0.31138336864406779</v>
      </c>
    </row>
    <row r="73" spans="25:64" x14ac:dyDescent="0.25">
      <c r="AA73" s="15">
        <f t="shared" si="11"/>
        <v>41463</v>
      </c>
      <c r="AB73" s="4">
        <f t="shared" si="12"/>
        <v>50</v>
      </c>
      <c r="AC73" s="4" cm="1">
        <f t="array" ref="AC73">_xlfn.XLOOKUP(1,('2013 E Maize Soil VWC'!$C$2:$C$4000=$AA73)*('2013 E Maize Soil VWC'!$E$2:$E$4000=$AB73)*('2013 E Maize Soil VWC'!$F$2:$F$4000=AC$5),'2013 E Maize Soil VWC'!$G$2:$G$4000)</f>
        <v>0.3448904978813559</v>
      </c>
      <c r="AD73" s="4" cm="1">
        <f t="array" ref="AD73">_xlfn.XLOOKUP(1,('2013 E Maize Soil VWC'!$C$2:$C$4000=$AA73)*('2013 E Maize Soil VWC'!$E$2:$E$4000=$AB73)*('2013 E Maize Soil VWC'!$F$2:$F$4000=AD$5),'2013 E Maize Soil VWC'!$G$2:$G$4000)</f>
        <v>0.35691161228813556</v>
      </c>
      <c r="AE73" s="4" cm="1">
        <f t="array" ref="AE73">_xlfn.XLOOKUP(1,('2013 E Maize Soil VWC'!$C$2:$C$4000=$AA73)*('2013 E Maize Soil VWC'!$E$2:$E$4000=$AB73)*('2013 E Maize Soil VWC'!$F$2:$F$4000=AE$5),'2013 E Maize Soil VWC'!$G$2:$G$4000)</f>
        <v>0.35055562076271185</v>
      </c>
      <c r="AF73" s="4" cm="1">
        <f t="array" ref="AF73">_xlfn.XLOOKUP(1,('2013 E Maize Soil VWC'!$C$2:$C$4000=$AA73)*('2013 E Maize Soil VWC'!$E$2:$E$4000=$AB73)*('2013 E Maize Soil VWC'!$F$2:$F$4000=AF$5),'2013 E Maize Soil VWC'!$G$2:$G$4000)</f>
        <v>0.34364693432203391</v>
      </c>
      <c r="AG73" s="4" cm="1">
        <f t="array" ref="AG73">_xlfn.XLOOKUP(1,('2013 E Maize Soil VWC'!$C$2:$C$4000=$AA73)*('2013 E Maize Soil VWC'!$E$2:$E$4000=$AB73)*('2013 E Maize Soil VWC'!$F$2:$F$4000=AG$5),'2013 E Maize Soil VWC'!$G$2:$G$4000)</f>
        <v>0.2933516970338983</v>
      </c>
      <c r="AH73" s="4" cm="1">
        <f t="array" ref="AH73">_xlfn.XLOOKUP(1,('2013 E Maize Soil VWC'!$C$2:$C$4000=$AA73)*('2013 E Maize Soil VWC'!$E$2:$E$4000=$AB73)*('2013 E Maize Soil VWC'!$F$2:$F$4000=AH$5),'2013 E Maize Soil VWC'!$G$2:$G$4000)</f>
        <v>0.30553401412429376</v>
      </c>
      <c r="AI73" s="4" cm="1">
        <f t="array" ref="AI73">_xlfn.XLOOKUP(1,('2013 E Maize Soil VWC'!$C$2:$C$4000=$AA73)*('2013 E Maize Soil VWC'!$E$2:$E$4000=$AB73)*('2013 E Maize Soil VWC'!$F$2:$F$4000=AI$5),'2013 E Maize Soil VWC'!$G$2:$G$4000)</f>
        <v>0.35502323799435026</v>
      </c>
      <c r="AJ73" s="4" cm="1">
        <f t="array" ref="AJ73">_xlfn.XLOOKUP(1,('2013 E Maize Soil VWC'!$C$2:$C$4000=$AA73)*('2013 E Maize Soil VWC'!$E$2:$E$4000=$AB73)*('2013 E Maize Soil VWC'!$F$2:$F$4000=AJ$5),'2013 E Maize Soil VWC'!$G$2:$G$4000)</f>
        <v>0.3430021235875706</v>
      </c>
      <c r="AK73" s="4" cm="1">
        <f t="array" ref="AK73">_xlfn.XLOOKUP(1,('2013 E Maize Soil VWC'!$C$2:$C$4000=$AA73)*('2013 E Maize Soil VWC'!$E$2:$E$4000=$AB73)*('2013 E Maize Soil VWC'!$F$2:$F$4000=AK$5),'2013 E Maize Soil VWC'!$G$2:$G$4000)</f>
        <v>0.35103922881355931</v>
      </c>
      <c r="AL73" s="4" cm="1">
        <f t="array" ref="AL73">_xlfn.XLOOKUP(1,('2013 E Maize Soil VWC'!$C$2:$C$4000=$AA73)*('2013 E Maize Soil VWC'!$E$2:$E$4000=$AB73)*('2013 E Maize Soil VWC'!$F$2:$F$4000=AL$5),'2013 E Maize Soil VWC'!$G$2:$G$4000)</f>
        <v>0.35900724717514121</v>
      </c>
      <c r="AM73" s="4" cm="1">
        <f t="array" ref="AM73">_xlfn.XLOOKUP(1,('2013 E Maize Soil VWC'!$C$2:$C$4000=$AA73)*('2013 E Maize Soil VWC'!$E$2:$E$4000=$AB73)*('2013 E Maize Soil VWC'!$F$2:$F$4000=AM$5),'2013 E Maize Soil VWC'!$G$2:$G$4000)</f>
        <v>0.35124648940677961</v>
      </c>
      <c r="AN73" s="4" cm="1">
        <f t="array" ref="AN73">_xlfn.XLOOKUP(1,('2013 E Maize Soil VWC'!$C$2:$C$4000=$AA73)*('2013 E Maize Soil VWC'!$E$2:$E$4000=$AB73)*('2013 E Maize Soil VWC'!$F$2:$F$4000=AN$5),'2013 E Maize Soil VWC'!$G$2:$G$4000)</f>
        <v>0.34364693432203391</v>
      </c>
      <c r="AO73" s="4" cm="1">
        <f t="array" ref="AO73">_xlfn.XLOOKUP(1,('2013 E Maize Soil VWC'!$C$2:$C$4000=$AA73)*('2013 E Maize Soil VWC'!$E$2:$E$4000=$AB73)*('2013 E Maize Soil VWC'!$F$2:$F$4000=AO$5),'2013 E Maize Soil VWC'!$G$2:$G$4000)</f>
        <v>0.34058408333333334</v>
      </c>
      <c r="AP73" s="4" cm="1">
        <f t="array" ref="AP73">_xlfn.XLOOKUP(1,('2013 E Maize Soil VWC'!$C$2:$C$4000=$AA73)*('2013 E Maize Soil VWC'!$E$2:$E$4000=$AB73)*('2013 E Maize Soil VWC'!$F$2:$F$4000=AP$5),'2013 E Maize Soil VWC'!$G$2:$G$4000)</f>
        <v>0.34645646680790959</v>
      </c>
      <c r="AQ73" s="4" cm="1">
        <f t="array" ref="AQ73">_xlfn.XLOOKUP(1,('2013 E Maize Soil VWC'!$C$2:$C$4000=$AA73)*('2013 E Maize Soil VWC'!$E$2:$E$4000=$AB73)*('2013 E Maize Soil VWC'!$F$2:$F$4000=AQ$5),'2013 E Maize Soil VWC'!$G$2:$G$4000)</f>
        <v>0.27674782062146891</v>
      </c>
      <c r="AR73" s="4" cm="1">
        <f t="array" ref="AR73">_xlfn.XLOOKUP(1,('2013 E Maize Soil VWC'!$C$2:$C$4000=$AA73)*('2013 E Maize Soil VWC'!$E$2:$E$4000=$AB73)*('2013 E Maize Soil VWC'!$F$2:$F$4000=AR$5),'2013 E Maize Soil VWC'!$G$2:$G$4000)</f>
        <v>0.29535521610169485</v>
      </c>
      <c r="AS73" s="4" cm="1">
        <f t="array" ref="AS73">_xlfn.XLOOKUP(1,('2013 E Maize Soil VWC'!$C$2:$C$4000=$AA73)*('2013 E Maize Soil VWC'!$E$2:$E$4000=$AB73)*('2013 E Maize Soil VWC'!$F$2:$F$4000=AS$5),'2013 E Maize Soil VWC'!$G$2:$G$4000)</f>
        <v>0.34984172316384177</v>
      </c>
      <c r="AT73" s="4" cm="1">
        <f t="array" ref="AT73">_xlfn.XLOOKUP(1,('2013 E Maize Soil VWC'!$C$2:$C$4000=$AA73)*('2013 E Maize Soil VWC'!$E$2:$E$4000=$AB73)*('2013 E Maize Soil VWC'!$F$2:$F$4000=AT$5),'2013 E Maize Soil VWC'!$G$2:$G$4000)</f>
        <v>0.34452203460451974</v>
      </c>
      <c r="AU73" s="4" cm="1">
        <f t="array" ref="AU73">_xlfn.XLOOKUP(1,('2013 E Maize Soil VWC'!$C$2:$C$4000=$AA73)*('2013 E Maize Soil VWC'!$E$2:$E$4000=$AB73)*('2013 E Maize Soil VWC'!$F$2:$F$4000=AU$5),'2013 E Maize Soil VWC'!$G$2:$G$4000)</f>
        <v>0.33549468432203389</v>
      </c>
      <c r="AV73" s="4" cm="1">
        <f t="array" ref="AV73">_xlfn.XLOOKUP(1,('2013 E Maize Soil VWC'!$C$2:$C$4000=$AA73)*('2013 E Maize Soil VWC'!$E$2:$E$4000=$AB73)*('2013 E Maize Soil VWC'!$F$2:$F$4000=AV$5),'2013 E Maize Soil VWC'!$G$2:$G$4000)</f>
        <v>0.3524900529661017</v>
      </c>
    </row>
    <row r="74" spans="25:64" x14ac:dyDescent="0.25">
      <c r="AA74" s="15">
        <f t="shared" si="11"/>
        <v>41463</v>
      </c>
      <c r="AB74" s="4">
        <f t="shared" si="12"/>
        <v>70</v>
      </c>
      <c r="AC74" s="4" cm="1">
        <f t="array" ref="AC74">_xlfn.XLOOKUP(1,('2013 E Maize Soil VWC'!$C$2:$C$4000=$AA74)*('2013 E Maize Soil VWC'!$E$2:$E$4000=$AB74)*('2013 E Maize Soil VWC'!$F$2:$F$4000=AC$5),'2013 E Maize Soil VWC'!$G$2:$G$4000)</f>
        <v>0.34802243573446329</v>
      </c>
      <c r="AD74" s="4" cm="1">
        <f t="array" ref="AD74">_xlfn.XLOOKUP(1,('2013 E Maize Soil VWC'!$C$2:$C$4000=$AA74)*('2013 E Maize Soil VWC'!$E$2:$E$4000=$AB74)*('2013 E Maize Soil VWC'!$F$2:$F$4000=AD$5),'2013 E Maize Soil VWC'!$G$2:$G$4000)</f>
        <v>0.3560134830508474</v>
      </c>
      <c r="AE74" s="4" cm="1">
        <f t="array" ref="AE74">_xlfn.XLOOKUP(1,('2013 E Maize Soil VWC'!$C$2:$C$4000=$AA74)*('2013 E Maize Soil VWC'!$E$2:$E$4000=$AB74)*('2013 E Maize Soil VWC'!$F$2:$F$4000=AE$5),'2013 E Maize Soil VWC'!$G$2:$G$4000)</f>
        <v>0.34859815960451979</v>
      </c>
      <c r="AF74" s="4" cm="1">
        <f t="array" ref="AF74">_xlfn.XLOOKUP(1,('2013 E Maize Soil VWC'!$C$2:$C$4000=$AA74)*('2013 E Maize Soil VWC'!$E$2:$E$4000=$AB74)*('2013 E Maize Soil VWC'!$F$2:$F$4000=AF$5),'2013 E Maize Soil VWC'!$G$2:$G$4000)</f>
        <v>0.34074528601694914</v>
      </c>
      <c r="AG74" s="4" cm="1">
        <f t="array" ref="AG74">_xlfn.XLOOKUP(1,('2013 E Maize Soil VWC'!$C$2:$C$4000=$AA74)*('2013 E Maize Soil VWC'!$E$2:$E$4000=$AB74)*('2013 E Maize Soil VWC'!$F$2:$F$4000=AG$5),'2013 E Maize Soil VWC'!$G$2:$G$4000)</f>
        <v>0.30737633050847457</v>
      </c>
      <c r="AH74" s="4" cm="1">
        <f t="array" ref="AH74">_xlfn.XLOOKUP(1,('2013 E Maize Soil VWC'!$C$2:$C$4000=$AA74)*('2013 E Maize Soil VWC'!$E$2:$E$4000=$AB74)*('2013 E Maize Soil VWC'!$F$2:$F$4000=AH$5),'2013 E Maize Soil VWC'!$G$2:$G$4000)</f>
        <v>0.31900595268361581</v>
      </c>
      <c r="AI74" s="4" cm="1">
        <f t="array" ref="AI74">_xlfn.XLOOKUP(1,('2013 E Maize Soil VWC'!$C$2:$C$4000=$AA74)*('2013 E Maize Soil VWC'!$E$2:$E$4000=$AB74)*('2013 E Maize Soil VWC'!$F$2:$F$4000=AI$5),'2013 E Maize Soil VWC'!$G$2:$G$4000)</f>
        <v>0.35021018644067797</v>
      </c>
      <c r="AJ74" s="4" cm="1">
        <f t="array" ref="AJ74">_xlfn.XLOOKUP(1,('2013 E Maize Soil VWC'!$C$2:$C$4000=$AA74)*('2013 E Maize Soil VWC'!$E$2:$E$4000=$AB74)*('2013 E Maize Soil VWC'!$F$2:$F$4000=AJ$5),'2013 E Maize Soil VWC'!$G$2:$G$4000)</f>
        <v>0.3490357097457627</v>
      </c>
      <c r="AK74" s="4" cm="1">
        <f t="array" ref="AK74">_xlfn.XLOOKUP(1,('2013 E Maize Soil VWC'!$C$2:$C$4000=$AA74)*('2013 E Maize Soil VWC'!$E$2:$E$4000=$AB74)*('2013 E Maize Soil VWC'!$F$2:$F$4000=AK$5),'2013 E Maize Soil VWC'!$G$2:$G$4000)</f>
        <v>0.34991081002824853</v>
      </c>
      <c r="AL74" s="4" cm="1">
        <f t="array" ref="AL74">_xlfn.XLOOKUP(1,('2013 E Maize Soil VWC'!$C$2:$C$4000=$AA74)*('2013 E Maize Soil VWC'!$E$2:$E$4000=$AB74)*('2013 E Maize Soil VWC'!$F$2:$F$4000=AL$5),'2013 E Maize Soil VWC'!$G$2:$G$4000)</f>
        <v>0.35502323799435026</v>
      </c>
      <c r="AM74" s="4" cm="1">
        <f t="array" ref="AM74">_xlfn.XLOOKUP(1,('2013 E Maize Soil VWC'!$C$2:$C$4000=$AA74)*('2013 E Maize Soil VWC'!$E$2:$E$4000=$AB74)*('2013 E Maize Soil VWC'!$F$2:$F$4000=AM$5),'2013 E Maize Soil VWC'!$G$2:$G$4000)</f>
        <v>0.35850061016949147</v>
      </c>
      <c r="AN74" s="4" cm="1">
        <f t="array" ref="AN74">_xlfn.XLOOKUP(1,('2013 E Maize Soil VWC'!$C$2:$C$4000=$AA74)*('2013 E Maize Soil VWC'!$E$2:$E$4000=$AB74)*('2013 E Maize Soil VWC'!$F$2:$F$4000=AN$5),'2013 E Maize Soil VWC'!$G$2:$G$4000)</f>
        <v>0.34072225706214687</v>
      </c>
      <c r="AO74" s="4" cm="1">
        <f t="array" ref="AO74">_xlfn.XLOOKUP(1,('2013 E Maize Soil VWC'!$C$2:$C$4000=$AA74)*('2013 E Maize Soil VWC'!$E$2:$E$4000=$AB74)*('2013 E Maize Soil VWC'!$F$2:$F$4000=AO$5),'2013 E Maize Soil VWC'!$G$2:$G$4000)</f>
        <v>0.34758488559322032</v>
      </c>
      <c r="AP74" s="4" cm="1">
        <f t="array" ref="AP74">_xlfn.XLOOKUP(1,('2013 E Maize Soil VWC'!$C$2:$C$4000=$AA74)*('2013 E Maize Soil VWC'!$E$2:$E$4000=$AB74)*('2013 E Maize Soil VWC'!$F$2:$F$4000=AP$5),'2013 E Maize Soil VWC'!$G$2:$G$4000)</f>
        <v>0.35080893926553669</v>
      </c>
      <c r="AQ74" s="4" cm="1">
        <f t="array" ref="AQ74">_xlfn.XLOOKUP(1,('2013 E Maize Soil VWC'!$C$2:$C$4000=$AA74)*('2013 E Maize Soil VWC'!$E$2:$E$4000=$AB74)*('2013 E Maize Soil VWC'!$F$2:$F$4000=AQ$5),'2013 E Maize Soil VWC'!$G$2:$G$4000)</f>
        <v>0.29678301129943502</v>
      </c>
      <c r="AR74" s="4" cm="1">
        <f t="array" ref="AR74">_xlfn.XLOOKUP(1,('2013 E Maize Soil VWC'!$C$2:$C$4000=$AA74)*('2013 E Maize Soil VWC'!$E$2:$E$4000=$AB74)*('2013 E Maize Soil VWC'!$F$2:$F$4000=AR$5),'2013 E Maize Soil VWC'!$G$2:$G$4000)</f>
        <v>0.30917258898305083</v>
      </c>
      <c r="AS74" s="4" cm="1">
        <f t="array" ref="AS74">_xlfn.XLOOKUP(1,('2013 E Maize Soil VWC'!$C$2:$C$4000=$AA74)*('2013 E Maize Soil VWC'!$E$2:$E$4000=$AB74)*('2013 E Maize Soil VWC'!$F$2:$F$4000=AS$5),'2013 E Maize Soil VWC'!$G$2:$G$4000)</f>
        <v>0.34689401694915256</v>
      </c>
      <c r="AT74" s="4" cm="1">
        <f t="array" ref="AT74">_xlfn.XLOOKUP(1,('2013 E Maize Soil VWC'!$C$2:$C$4000=$AA74)*('2013 E Maize Soil VWC'!$E$2:$E$4000=$AB74)*('2013 E Maize Soil VWC'!$F$2:$F$4000=AT$5),'2013 E Maize Soil VWC'!$G$2:$G$4000)</f>
        <v>0.34588074293785309</v>
      </c>
      <c r="AU74" s="4" cm="1">
        <f t="array" ref="AU74">_xlfn.XLOOKUP(1,('2013 E Maize Soil VWC'!$C$2:$C$4000=$AA74)*('2013 E Maize Soil VWC'!$E$2:$E$4000=$AB74)*('2013 E Maize Soil VWC'!$F$2:$F$4000=AU$5),'2013 E Maize Soil VWC'!$G$2:$G$4000)</f>
        <v>0.33139553036723163</v>
      </c>
      <c r="AV74" s="4" cm="1">
        <f t="array" ref="AV74">_xlfn.XLOOKUP(1,('2013 E Maize Soil VWC'!$C$2:$C$4000=$AA74)*('2013 E Maize Soil VWC'!$E$2:$E$4000=$AB74)*('2013 E Maize Soil VWC'!$F$2:$F$4000=AV$5),'2013 E Maize Soil VWC'!$G$2:$G$4000)</f>
        <v>0.34668675635593221</v>
      </c>
    </row>
    <row r="75" spans="25:64" x14ac:dyDescent="0.25">
      <c r="AA75" s="15">
        <f t="shared" si="11"/>
        <v>41463</v>
      </c>
      <c r="AB75" s="4">
        <f t="shared" si="12"/>
        <v>90</v>
      </c>
      <c r="AC75" s="4" cm="1">
        <f t="array" ref="AC75">_xlfn.XLOOKUP(1,('2013 E Maize Soil VWC'!$C$2:$C$4000=$AA75)*('2013 E Maize Soil VWC'!$E$2:$E$4000=$AB75)*('2013 E Maize Soil VWC'!$F$2:$F$4000=AC$5),'2013 E Maize Soil VWC'!$G$2:$G$4000)</f>
        <v>0.34825272528248585</v>
      </c>
      <c r="AD75" s="4" cm="1">
        <f t="array" ref="AD75">_xlfn.XLOOKUP(1,('2013 E Maize Soil VWC'!$C$2:$C$4000=$AA75)*('2013 E Maize Soil VWC'!$E$2:$E$4000=$AB75)*('2013 E Maize Soil VWC'!$F$2:$F$4000=AD$5),'2013 E Maize Soil VWC'!$G$2:$G$4000)</f>
        <v>0.34892056497175139</v>
      </c>
      <c r="AE75" s="4" cm="1">
        <f t="array" ref="AE75">_xlfn.XLOOKUP(1,('2013 E Maize Soil VWC'!$C$2:$C$4000=$AA75)*('2013 E Maize Soil VWC'!$E$2:$E$4000=$AB75)*('2013 E Maize Soil VWC'!$F$2:$F$4000=AE$5),'2013 E Maize Soil VWC'!$G$2:$G$4000)</f>
        <v>0.33710671115819207</v>
      </c>
      <c r="AF75" s="4" cm="1">
        <f t="array" ref="AF75">_xlfn.XLOOKUP(1,('2013 E Maize Soil VWC'!$C$2:$C$4000=$AA75)*('2013 E Maize Soil VWC'!$E$2:$E$4000=$AB75)*('2013 E Maize Soil VWC'!$F$2:$F$4000=AF$5),'2013 E Maize Soil VWC'!$G$2:$G$4000)</f>
        <v>0.34323241313559316</v>
      </c>
      <c r="AG75" s="4" cm="1">
        <f t="array" ref="AG75">_xlfn.XLOOKUP(1,('2013 E Maize Soil VWC'!$C$2:$C$4000=$AA75)*('2013 E Maize Soil VWC'!$E$2:$E$4000=$AB75)*('2013 E Maize Soil VWC'!$F$2:$F$4000=AG$5),'2013 E Maize Soil VWC'!$G$2:$G$4000)</f>
        <v>0.33098100918079099</v>
      </c>
      <c r="AH75" s="4" cm="1">
        <f t="array" ref="AH75">_xlfn.XLOOKUP(1,('2013 E Maize Soil VWC'!$C$2:$C$4000=$AA75)*('2013 E Maize Soil VWC'!$E$2:$E$4000=$AB75)*('2013 E Maize Soil VWC'!$F$2:$F$4000=AH$5),'2013 E Maize Soil VWC'!$G$2:$G$4000)</f>
        <v>0.32455593079096046</v>
      </c>
      <c r="AI75" s="4" cm="1">
        <f t="array" ref="AI75">_xlfn.XLOOKUP(1,('2013 E Maize Soil VWC'!$C$2:$C$4000=$AA75)*('2013 E Maize Soil VWC'!$E$2:$E$4000=$AB75)*('2013 E Maize Soil VWC'!$F$2:$F$4000=AI$5),'2013 E Maize Soil VWC'!$G$2:$G$4000)</f>
        <v>0.35106225776836153</v>
      </c>
      <c r="AJ75" s="4" cm="1">
        <f t="array" ref="AJ75">_xlfn.XLOOKUP(1,('2013 E Maize Soil VWC'!$C$2:$C$4000=$AA75)*('2013 E Maize Soil VWC'!$E$2:$E$4000=$AB75)*('2013 E Maize Soil VWC'!$F$2:$F$4000=AJ$5),'2013 E Maize Soil VWC'!$G$2:$G$4000)</f>
        <v>0.35170706850282485</v>
      </c>
      <c r="AK75" s="4" cm="1">
        <f t="array" ref="AK75">_xlfn.XLOOKUP(1,('2013 E Maize Soil VWC'!$C$2:$C$4000=$AA75)*('2013 E Maize Soil VWC'!$E$2:$E$4000=$AB75)*('2013 E Maize Soil VWC'!$F$2:$F$4000=AK$5),'2013 E Maize Soil VWC'!$G$2:$G$4000)</f>
        <v>0.33883388276836157</v>
      </c>
      <c r="AL75" s="4" cm="1">
        <f t="array" ref="AL75">_xlfn.XLOOKUP(1,('2013 E Maize Soil VWC'!$C$2:$C$4000=$AA75)*('2013 E Maize Soil VWC'!$E$2:$E$4000=$AB75)*('2013 E Maize Soil VWC'!$F$2:$F$4000=AL$5),'2013 E Maize Soil VWC'!$G$2:$G$4000)</f>
        <v>0.35000292584745762</v>
      </c>
      <c r="AM75" s="4" cm="1">
        <f t="array" ref="AM75">_xlfn.XLOOKUP(1,('2013 E Maize Soil VWC'!$C$2:$C$4000=$AA75)*('2013 E Maize Soil VWC'!$E$2:$E$4000=$AB75)*('2013 E Maize Soil VWC'!$F$2:$F$4000=AM$5),'2013 E Maize Soil VWC'!$G$2:$G$4000)</f>
        <v>0.34728550918079099</v>
      </c>
      <c r="AN75" s="4" cm="1">
        <f t="array" ref="AN75">_xlfn.XLOOKUP(1,('2013 E Maize Soil VWC'!$C$2:$C$4000=$AA75)*('2013 E Maize Soil VWC'!$E$2:$E$4000=$AB75)*('2013 E Maize Soil VWC'!$F$2:$F$4000=AN$5),'2013 E Maize Soil VWC'!$G$2:$G$4000)</f>
        <v>0.34802243573446329</v>
      </c>
      <c r="AO75" s="4" cm="1">
        <f t="array" ref="AO75">_xlfn.XLOOKUP(1,('2013 E Maize Soil VWC'!$C$2:$C$4000=$AA75)*('2013 E Maize Soil VWC'!$E$2:$E$4000=$AB75)*('2013 E Maize Soil VWC'!$F$2:$F$4000=AO$5),'2013 E Maize Soil VWC'!$G$2:$G$4000)</f>
        <v>0.34461415042372878</v>
      </c>
      <c r="AP75" s="4" cm="1">
        <f t="array" ref="AP75">_xlfn.XLOOKUP(1,('2013 E Maize Soil VWC'!$C$2:$C$4000=$AA75)*('2013 E Maize Soil VWC'!$E$2:$E$4000=$AB75)*('2013 E Maize Soil VWC'!$F$2:$F$4000=AP$5),'2013 E Maize Soil VWC'!$G$2:$G$4000)</f>
        <v>0.33947869350282484</v>
      </c>
      <c r="AQ75" s="4" cm="1">
        <f t="array" ref="AQ75">_xlfn.XLOOKUP(1,('2013 E Maize Soil VWC'!$C$2:$C$4000=$AA75)*('2013 E Maize Soil VWC'!$E$2:$E$4000=$AB75)*('2013 E Maize Soil VWC'!$F$2:$F$4000=AQ$5),'2013 E Maize Soil VWC'!$G$2:$G$4000)</f>
        <v>0.31898292372881354</v>
      </c>
      <c r="AR75" s="4" cm="1">
        <f t="array" ref="AR75">_xlfn.XLOOKUP(1,('2013 E Maize Soil VWC'!$C$2:$C$4000=$AA75)*('2013 E Maize Soil VWC'!$E$2:$E$4000=$AB75)*('2013 E Maize Soil VWC'!$F$2:$F$4000=AR$5),'2013 E Maize Soil VWC'!$G$2:$G$4000)</f>
        <v>0.31534434887005647</v>
      </c>
      <c r="AS75" s="4" cm="1">
        <f t="array" ref="AS75">_xlfn.XLOOKUP(1,('2013 E Maize Soil VWC'!$C$2:$C$4000=$AA75)*('2013 E Maize Soil VWC'!$E$2:$E$4000=$AB75)*('2013 E Maize Soil VWC'!$F$2:$F$4000=AS$5),'2013 E Maize Soil VWC'!$G$2:$G$4000)</f>
        <v>0.35044047598870054</v>
      </c>
      <c r="AT75" s="4" cm="1">
        <f t="array" ref="AT75">_xlfn.XLOOKUP(1,('2013 E Maize Soil VWC'!$C$2:$C$4000=$AA75)*('2013 E Maize Soil VWC'!$E$2:$E$4000=$AB75)*('2013 E Maize Soil VWC'!$F$2:$F$4000=AT$5),'2013 E Maize Soil VWC'!$G$2:$G$4000)</f>
        <v>0.34231125494350284</v>
      </c>
      <c r="AU75" s="4" cm="1">
        <f t="array" ref="AU75">_xlfn.XLOOKUP(1,('2013 E Maize Soil VWC'!$C$2:$C$4000=$AA75)*('2013 E Maize Soil VWC'!$E$2:$E$4000=$AB75)*('2013 E Maize Soil VWC'!$F$2:$F$4000=AU$5),'2013 E Maize Soil VWC'!$G$2:$G$4000)</f>
        <v>0.33673824788135592</v>
      </c>
      <c r="AV75" s="4" cm="1">
        <f t="array" ref="AV75">_xlfn.XLOOKUP(1,('2013 E Maize Soil VWC'!$C$2:$C$4000=$AA75)*('2013 E Maize Soil VWC'!$E$2:$E$4000=$AB75)*('2013 E Maize Soil VWC'!$F$2:$F$4000=AV$5),'2013 E Maize Soil VWC'!$G$2:$G$4000)</f>
        <v>0.33671521892655365</v>
      </c>
    </row>
    <row r="76" spans="25:64" x14ac:dyDescent="0.25">
      <c r="AA76" s="15">
        <f t="shared" si="11"/>
        <v>41463</v>
      </c>
      <c r="AB76" s="4">
        <f t="shared" si="12"/>
        <v>110</v>
      </c>
      <c r="AC76" s="4" cm="1">
        <f t="array" ref="AC76">_xlfn.XLOOKUP(1,('2013 E Maize Soil VWC'!$C$2:$C$4000=$AA76)*('2013 E Maize Soil VWC'!$E$2:$E$4000=$AB76)*('2013 E Maize Soil VWC'!$F$2:$F$4000=AC$5),'2013 E Maize Soil VWC'!$G$2:$G$4000)</f>
        <v>0.34703219067796609</v>
      </c>
      <c r="AD76" s="4" cm="1">
        <f t="array" ref="AD76">_xlfn.XLOOKUP(1,('2013 E Maize Soil VWC'!$C$2:$C$4000=$AA76)*('2013 E Maize Soil VWC'!$E$2:$E$4000=$AB76)*('2013 E Maize Soil VWC'!$F$2:$F$4000=AD$5),'2013 E Maize Soil VWC'!$G$2:$G$4000)</f>
        <v>0.3425876024011299</v>
      </c>
      <c r="AE76" s="4" cm="1">
        <f t="array" ref="AE76">_xlfn.XLOOKUP(1,('2013 E Maize Soil VWC'!$C$2:$C$4000=$AA76)*('2013 E Maize Soil VWC'!$E$2:$E$4000=$AB76)*('2013 E Maize Soil VWC'!$F$2:$F$4000=AE$5),'2013 E Maize Soil VWC'!$G$2:$G$4000)</f>
        <v>0.33208639901129938</v>
      </c>
      <c r="AF76" s="4" cm="1">
        <f t="array" ref="AF76">_xlfn.XLOOKUP(1,('2013 E Maize Soil VWC'!$C$2:$C$4000=$AA76)*('2013 E Maize Soil VWC'!$E$2:$E$4000=$AB76)*('2013 E Maize Soil VWC'!$F$2:$F$4000=AF$5),'2013 E Maize Soil VWC'!$G$2:$G$4000)</f>
        <v>0.34104466242937853</v>
      </c>
      <c r="AG76" s="4" cm="1">
        <f t="array" ref="AG76">_xlfn.XLOOKUP(1,('2013 E Maize Soil VWC'!$C$2:$C$4000=$AA76)*('2013 E Maize Soil VWC'!$E$2:$E$4000=$AB76)*('2013 E Maize Soil VWC'!$F$2:$F$4000=AG$5),'2013 E Maize Soil VWC'!$G$2:$G$4000)</f>
        <v>0.33825815889830507</v>
      </c>
      <c r="AH76" s="4" cm="1">
        <f t="array" ref="AH76">_xlfn.XLOOKUP(1,('2013 E Maize Soil VWC'!$C$2:$C$4000=$AA76)*('2013 E Maize Soil VWC'!$E$2:$E$4000=$AB76)*('2013 E Maize Soil VWC'!$F$2:$F$4000=AH$5),'2013 E Maize Soil VWC'!$G$2:$G$4000)</f>
        <v>0.3253849731638418</v>
      </c>
      <c r="AI76" s="4" cm="1">
        <f t="array" ref="AI76">_xlfn.XLOOKUP(1,('2013 E Maize Soil VWC'!$C$2:$C$4000=$AA76)*('2013 E Maize Soil VWC'!$E$2:$E$4000=$AB76)*('2013 E Maize Soil VWC'!$F$2:$F$4000=AI$5),'2013 E Maize Soil VWC'!$G$2:$G$4000)</f>
        <v>0.34491352683615817</v>
      </c>
      <c r="AJ76" s="4" cm="1">
        <f t="array" ref="AJ76">_xlfn.XLOOKUP(1,('2013 E Maize Soil VWC'!$C$2:$C$4000=$AA76)*('2013 E Maize Soil VWC'!$E$2:$E$4000=$AB76)*('2013 E Maize Soil VWC'!$F$2:$F$4000=AJ$5),'2013 E Maize Soil VWC'!$G$2:$G$4000)</f>
        <v>0.3448904978813559</v>
      </c>
      <c r="AK76" s="4" cm="1">
        <f t="array" ref="AK76">_xlfn.XLOOKUP(1,('2013 E Maize Soil VWC'!$C$2:$C$4000=$AA76)*('2013 E Maize Soil VWC'!$E$2:$E$4000=$AB76)*('2013 E Maize Soil VWC'!$F$2:$F$4000=AK$5),'2013 E Maize Soil VWC'!$G$2:$G$4000)</f>
        <v>0.34007744632768361</v>
      </c>
      <c r="AL76" s="4" cm="1">
        <f t="array" ref="AL76">_xlfn.XLOOKUP(1,('2013 E Maize Soil VWC'!$C$2:$C$4000=$AA76)*('2013 E Maize Soil VWC'!$E$2:$E$4000=$AB76)*('2013 E Maize Soil VWC'!$F$2:$F$4000=AL$5),'2013 E Maize Soil VWC'!$G$2:$G$4000)</f>
        <v>0.34523593220338983</v>
      </c>
      <c r="AM76" s="4" cm="1">
        <f t="array" ref="AM76">_xlfn.XLOOKUP(1,('2013 E Maize Soil VWC'!$C$2:$C$4000=$AA76)*('2013 E Maize Soil VWC'!$E$2:$E$4000=$AB76)*('2013 E Maize Soil VWC'!$F$2:$F$4000=AM$5),'2013 E Maize Soil VWC'!$G$2:$G$4000)</f>
        <v>0.3351953079096045</v>
      </c>
      <c r="AN76" s="4" cm="1">
        <f t="array" ref="AN76">_xlfn.XLOOKUP(1,('2013 E Maize Soil VWC'!$C$2:$C$4000=$AA76)*('2013 E Maize Soil VWC'!$E$2:$E$4000=$AB76)*('2013 E Maize Soil VWC'!$F$2:$F$4000=AN$5),'2013 E Maize Soil VWC'!$G$2:$G$4000)</f>
        <v>0.34362390536723164</v>
      </c>
      <c r="AO76" s="4" cm="1">
        <f t="array" ref="AO76">_xlfn.XLOOKUP(1,('2013 E Maize Soil VWC'!$C$2:$C$4000=$AA76)*('2013 E Maize Soil VWC'!$E$2:$E$4000=$AB76)*('2013 E Maize Soil VWC'!$F$2:$F$4000=AO$5),'2013 E Maize Soil VWC'!$G$2:$G$4000)</f>
        <v>0.35069379449152538</v>
      </c>
      <c r="AP76" s="4" cm="1">
        <f t="array" ref="AP76">_xlfn.XLOOKUP(1,('2013 E Maize Soil VWC'!$C$2:$C$4000=$AA76)*('2013 E Maize Soil VWC'!$E$2:$E$4000=$AB76)*('2013 E Maize Soil VWC'!$F$2:$F$4000=AP$5),'2013 E Maize Soil VWC'!$G$2:$G$4000)</f>
        <v>0.33275423870056497</v>
      </c>
      <c r="AQ76" s="4" cm="1">
        <f t="array" ref="AQ76">_xlfn.XLOOKUP(1,('2013 E Maize Soil VWC'!$C$2:$C$4000=$AA76)*('2013 E Maize Soil VWC'!$E$2:$E$4000=$AB76)*('2013 E Maize Soil VWC'!$F$2:$F$4000=AQ$5),'2013 E Maize Soil VWC'!$G$2:$G$4000)</f>
        <v>0.32275967231638419</v>
      </c>
      <c r="AR76" s="4" cm="1">
        <f t="array" ref="AR76">_xlfn.XLOOKUP(1,('2013 E Maize Soil VWC'!$C$2:$C$4000=$AA76)*('2013 E Maize Soil VWC'!$E$2:$E$4000=$AB76)*('2013 E Maize Soil VWC'!$F$2:$F$4000=AR$5),'2013 E Maize Soil VWC'!$G$2:$G$4000)</f>
        <v>0.32333539618644069</v>
      </c>
      <c r="AS76" s="4" cm="1">
        <f t="array" ref="AS76">_xlfn.XLOOKUP(1,('2013 E Maize Soil VWC'!$C$2:$C$4000=$AA76)*('2013 E Maize Soil VWC'!$E$2:$E$4000=$AB76)*('2013 E Maize Soil VWC'!$F$2:$F$4000=AS$5),'2013 E Maize Soil VWC'!$G$2:$G$4000)</f>
        <v>0.3442687161016949</v>
      </c>
      <c r="AT76" s="4" cm="1">
        <f t="array" ref="AT76">_xlfn.XLOOKUP(1,('2013 E Maize Soil VWC'!$C$2:$C$4000=$AA76)*('2013 E Maize Soil VWC'!$E$2:$E$4000=$AB76)*('2013 E Maize Soil VWC'!$F$2:$F$4000=AT$5),'2013 E Maize Soil VWC'!$G$2:$G$4000)</f>
        <v>0.34670978531073449</v>
      </c>
      <c r="AU76" s="4" cm="1">
        <f t="array" ref="AU76">_xlfn.XLOOKUP(1,('2013 E Maize Soil VWC'!$C$2:$C$4000=$AA76)*('2013 E Maize Soil VWC'!$E$2:$E$4000=$AB76)*('2013 E Maize Soil VWC'!$F$2:$F$4000=AU$5),'2013 E Maize Soil VWC'!$G$2:$G$4000)</f>
        <v>0.34132100988700564</v>
      </c>
      <c r="AV76" s="4" cm="1">
        <f t="array" ref="AV76">_xlfn.XLOOKUP(1,('2013 E Maize Soil VWC'!$C$2:$C$4000=$AA76)*('2013 E Maize Soil VWC'!$E$2:$E$4000=$AB76)*('2013 E Maize Soil VWC'!$F$2:$F$4000=AV$5),'2013 E Maize Soil VWC'!$G$2:$G$4000)</f>
        <v>0.33786666666666665</v>
      </c>
    </row>
    <row r="77" spans="25:64" x14ac:dyDescent="0.25">
      <c r="AA77" s="15">
        <f t="shared" si="11"/>
        <v>41463</v>
      </c>
      <c r="AB77" s="4">
        <f t="shared" si="12"/>
        <v>130</v>
      </c>
      <c r="AC77" s="4" cm="1">
        <f t="array" ref="AC77">_xlfn.XLOOKUP(1,('2013 E Maize Soil VWC'!$C$2:$C$4000=$AA77)*('2013 E Maize Soil VWC'!$E$2:$E$4000=$AB77)*('2013 E Maize Soil VWC'!$F$2:$F$4000=AC$5),'2013 E Maize Soil VWC'!$G$2:$G$4000)</f>
        <v>0.31263426694915253</v>
      </c>
      <c r="AD77" s="4" cm="1">
        <f t="array" ref="AD77">_xlfn.XLOOKUP(1,('2013 E Maize Soil VWC'!$C$2:$C$4000=$AA77)*('2013 E Maize Soil VWC'!$E$2:$E$4000=$AB77)*('2013 E Maize Soil VWC'!$F$2:$F$4000=AD$5),'2013 E Maize Soil VWC'!$G$2:$G$4000)</f>
        <v>0.31052010593220336</v>
      </c>
      <c r="AE77" s="4" cm="1">
        <f t="array" ref="AE77">_xlfn.XLOOKUP(1,('2013 E Maize Soil VWC'!$C$2:$C$4000=$AA77)*('2013 E Maize Soil VWC'!$E$2:$E$4000=$AB77)*('2013 E Maize Soil VWC'!$F$2:$F$4000=AE$5),'2013 E Maize Soil VWC'!$G$2:$G$4000)</f>
        <v>0.30623305720338984</v>
      </c>
      <c r="AF77" s="4" cm="1">
        <f t="array" ref="AF77">_xlfn.XLOOKUP(1,('2013 E Maize Soil VWC'!$C$2:$C$4000=$AA77)*('2013 E Maize Soil VWC'!$E$2:$E$4000=$AB77)*('2013 E Maize Soil VWC'!$F$2:$F$4000=AF$5),'2013 E Maize Soil VWC'!$G$2:$G$4000)</f>
        <v>0.30897363629943503</v>
      </c>
      <c r="AG77" s="4" cm="1">
        <f t="array" ref="AG77">_xlfn.XLOOKUP(1,('2013 E Maize Soil VWC'!$C$2:$C$4000=$AA77)*('2013 E Maize Soil VWC'!$E$2:$E$4000=$AB77)*('2013 E Maize Soil VWC'!$F$2:$F$4000=AG$5),'2013 E Maize Soil VWC'!$G$2:$G$4000)</f>
        <v>0.32618055790960454</v>
      </c>
      <c r="AH77" s="4" cm="1">
        <f t="array" ref="AH77">_xlfn.XLOOKUP(1,('2013 E Maize Soil VWC'!$C$2:$C$4000=$AA77)*('2013 E Maize Soil VWC'!$E$2:$E$4000=$AB77)*('2013 E Maize Soil VWC'!$F$2:$F$4000=AH$5),'2013 E Maize Soil VWC'!$G$2:$G$4000)</f>
        <v>0.30294436228813559</v>
      </c>
      <c r="AI77" s="4" cm="1">
        <f t="array" ref="AI77">_xlfn.XLOOKUP(1,('2013 E Maize Soil VWC'!$C$2:$C$4000=$AA77)*('2013 E Maize Soil VWC'!$E$2:$E$4000=$AB77)*('2013 E Maize Soil VWC'!$F$2:$F$4000=AI$5),'2013 E Maize Soil VWC'!$G$2:$G$4000)</f>
        <v>0.31899632556497176</v>
      </c>
      <c r="AJ77" s="4" cm="1">
        <f t="array" ref="AJ77">_xlfn.XLOOKUP(1,('2013 E Maize Soil VWC'!$C$2:$C$4000=$AA77)*('2013 E Maize Soil VWC'!$E$2:$E$4000=$AB77)*('2013 E Maize Soil VWC'!$F$2:$F$4000=AJ$5),'2013 E Maize Soil VWC'!$G$2:$G$4000)</f>
        <v>0.35209860593220343</v>
      </c>
      <c r="AK77" s="4" cm="1">
        <f t="array" ref="AK77">_xlfn.XLOOKUP(1,('2013 E Maize Soil VWC'!$C$2:$C$4000=$AA77)*('2013 E Maize Soil VWC'!$E$2:$E$4000=$AB77)*('2013 E Maize Soil VWC'!$F$2:$F$4000=AK$5),'2013 E Maize Soil VWC'!$G$2:$G$4000)</f>
        <v>0.30627220833333335</v>
      </c>
      <c r="AL77" s="4" cm="1">
        <f t="array" ref="AL77">_xlfn.XLOOKUP(1,('2013 E Maize Soil VWC'!$C$2:$C$4000=$AA77)*('2013 E Maize Soil VWC'!$E$2:$E$4000=$AB77)*('2013 E Maize Soil VWC'!$F$2:$F$4000=AL$5),'2013 E Maize Soil VWC'!$G$2:$G$4000)</f>
        <v>0.31398498093220339</v>
      </c>
      <c r="AM77" s="4" cm="1">
        <f t="array" ref="AM77">_xlfn.XLOOKUP(1,('2013 E Maize Soil VWC'!$C$2:$C$4000=$AA77)*('2013 E Maize Soil VWC'!$E$2:$E$4000=$AB77)*('2013 E Maize Soil VWC'!$F$2:$F$4000=AM$5),'2013 E Maize Soil VWC'!$G$2:$G$4000)</f>
        <v>0.31069628601694915</v>
      </c>
      <c r="AN77" s="4" cm="1">
        <f t="array" ref="AN77">_xlfn.XLOOKUP(1,('2013 E Maize Soil VWC'!$C$2:$C$4000=$AA77)*('2013 E Maize Soil VWC'!$E$2:$E$4000=$AB77)*('2013 E Maize Soil VWC'!$F$2:$F$4000=AN$5),'2013 E Maize Soil VWC'!$G$2:$G$4000)</f>
        <v>0.29660187923728815</v>
      </c>
      <c r="AO77" s="4" cm="1">
        <f t="array" ref="AO77">_xlfn.XLOOKUP(1,('2013 E Maize Soil VWC'!$C$2:$C$4000=$AA77)*('2013 E Maize Soil VWC'!$E$2:$E$4000=$AB77)*('2013 E Maize Soil VWC'!$F$2:$F$4000=AO$5),'2013 E Maize Soil VWC'!$G$2:$G$4000)</f>
        <v>0.32802066101694916</v>
      </c>
      <c r="AP77" s="4" cm="1">
        <f t="array" ref="AP77">_xlfn.XLOOKUP(1,('2013 E Maize Soil VWC'!$C$2:$C$4000=$AA77)*('2013 E Maize Soil VWC'!$E$2:$E$4000=$AB77)*('2013 E Maize Soil VWC'!$F$2:$F$4000=AP$5),'2013 E Maize Soil VWC'!$G$2:$G$4000)</f>
        <v>0.31699961793785314</v>
      </c>
      <c r="AQ77" s="4" cm="1">
        <f t="array" ref="AQ77">_xlfn.XLOOKUP(1,('2013 E Maize Soil VWC'!$C$2:$C$4000=$AA77)*('2013 E Maize Soil VWC'!$E$2:$E$4000=$AB77)*('2013 E Maize Soil VWC'!$F$2:$F$4000=AQ$5),'2013 E Maize Soil VWC'!$G$2:$G$4000)</f>
        <v>0.30360993149717513</v>
      </c>
      <c r="AR77" s="4" cm="1">
        <f t="array" ref="AR77">_xlfn.XLOOKUP(1,('2013 E Maize Soil VWC'!$C$2:$C$4000=$AA77)*('2013 E Maize Soil VWC'!$E$2:$E$4000=$AB77)*('2013 E Maize Soil VWC'!$F$2:$F$4000=AR$5),'2013 E Maize Soil VWC'!$G$2:$G$4000)</f>
        <v>0.29619079237288137</v>
      </c>
      <c r="AS77" s="4" cm="1">
        <f t="array" ref="AS77">_xlfn.XLOOKUP(1,('2013 E Maize Soil VWC'!$C$2:$C$4000=$AA77)*('2013 E Maize Soil VWC'!$E$2:$E$4000=$AB77)*('2013 E Maize Soil VWC'!$F$2:$F$4000=AS$5),'2013 E Maize Soil VWC'!$G$2:$G$4000)</f>
        <v>0.31363262076271187</v>
      </c>
      <c r="AT77" s="4" cm="1">
        <f t="array" ref="AT77">_xlfn.XLOOKUP(1,('2013 E Maize Soil VWC'!$C$2:$C$4000=$AA77)*('2013 E Maize Soil VWC'!$E$2:$E$4000=$AB77)*('2013 E Maize Soil VWC'!$F$2:$F$4000=AT$5),'2013 E Maize Soil VWC'!$G$2:$G$4000)</f>
        <v>0.31189039548022601</v>
      </c>
      <c r="AU77" s="4" cm="1">
        <f t="array" ref="AU77">_xlfn.XLOOKUP(1,('2013 E Maize Soil VWC'!$C$2:$C$4000=$AA77)*('2013 E Maize Soil VWC'!$E$2:$E$4000=$AB77)*('2013 E Maize Soil VWC'!$F$2:$F$4000=AU$5),'2013 E Maize Soil VWC'!$G$2:$G$4000)</f>
        <v>0.30748589336158194</v>
      </c>
      <c r="AV77" s="4" cm="1">
        <f t="array" ref="AV77">_xlfn.XLOOKUP(1,('2013 E Maize Soil VWC'!$C$2:$C$4000=$AA77)*('2013 E Maize Soil VWC'!$E$2:$E$4000=$AB77)*('2013 E Maize Soil VWC'!$F$2:$F$4000=AV$5),'2013 E Maize Soil VWC'!$G$2:$G$4000)</f>
        <v>0.30969793220338981</v>
      </c>
    </row>
    <row r="78" spans="25:64" x14ac:dyDescent="0.25">
      <c r="AA78" s="15">
        <f t="shared" si="11"/>
        <v>41463</v>
      </c>
      <c r="AB78" s="4">
        <f t="shared" si="12"/>
        <v>150</v>
      </c>
      <c r="AC78" s="4" cm="1">
        <f t="array" ref="AC78">_xlfn.XLOOKUP(1,('2013 E Maize Soil VWC'!$C$2:$C$4000=$AA78)*('2013 E Maize Soil VWC'!$E$2:$E$4000=$AB78)*('2013 E Maize Soil VWC'!$F$2:$F$4000=AC$5),'2013 E Maize Soil VWC'!$G$2:$G$4000)</f>
        <v>0.33592918926553672</v>
      </c>
      <c r="AD78" s="4" cm="1">
        <f t="array" ref="AD78">_xlfn.XLOOKUP(1,('2013 E Maize Soil VWC'!$C$2:$C$4000=$AA78)*('2013 E Maize Soil VWC'!$E$2:$E$4000=$AB78)*('2013 E Maize Soil VWC'!$F$2:$F$4000=AD$5),'2013 E Maize Soil VWC'!$G$2:$G$4000)</f>
        <v>0.33115275141242939</v>
      </c>
      <c r="AE78" s="4" cm="1">
        <f t="array" ref="AE78">_xlfn.XLOOKUP(1,('2013 E Maize Soil VWC'!$C$2:$C$4000=$AA78)*('2013 E Maize Soil VWC'!$E$2:$E$4000=$AB78)*('2013 E Maize Soil VWC'!$F$2:$F$4000=AE$5),'2013 E Maize Soil VWC'!$G$2:$G$4000)</f>
        <v>0.30930642090395483</v>
      </c>
      <c r="AF78" s="4" cm="1">
        <f t="array" ref="AF78">_xlfn.XLOOKUP(1,('2013 E Maize Soil VWC'!$C$2:$C$4000=$AA78)*('2013 E Maize Soil VWC'!$E$2:$E$4000=$AB78)*('2013 E Maize Soil VWC'!$F$2:$F$4000=AF$5),'2013 E Maize Soil VWC'!$G$2:$G$4000)</f>
        <v>0.30084977683615821</v>
      </c>
      <c r="AG78" s="4" cm="1">
        <f t="array" ref="AG78">_xlfn.XLOOKUP(1,('2013 E Maize Soil VWC'!$C$2:$C$4000=$AA78)*('2013 E Maize Soil VWC'!$E$2:$E$4000=$AB78)*('2013 E Maize Soil VWC'!$F$2:$F$4000=AG$5),'2013 E Maize Soil VWC'!$G$2:$G$4000)</f>
        <v>0.35797127542372881</v>
      </c>
      <c r="AH78" s="4" cm="1">
        <f t="array" ref="AH78">_xlfn.XLOOKUP(1,('2013 E Maize Soil VWC'!$C$2:$C$4000=$AA78)*('2013 E Maize Soil VWC'!$E$2:$E$4000=$AB78)*('2013 E Maize Soil VWC'!$F$2:$F$4000=AH$5),'2013 E Maize Soil VWC'!$G$2:$G$4000)</f>
        <v>0.34632381426553677</v>
      </c>
      <c r="AI78" s="4" cm="1">
        <f t="array" ref="AI78">_xlfn.XLOOKUP(1,('2013 E Maize Soil VWC'!$C$2:$C$4000=$AA78)*('2013 E Maize Soil VWC'!$E$2:$E$4000=$AB78)*('2013 E Maize Soil VWC'!$F$2:$F$4000=AI$5),'2013 E Maize Soil VWC'!$G$2:$G$4000)</f>
        <v>0.32988033968926556</v>
      </c>
      <c r="AJ78" s="4" cm="1">
        <f t="array" ref="AJ78">_xlfn.XLOOKUP(1,('2013 E Maize Soil VWC'!$C$2:$C$4000=$AA78)*('2013 E Maize Soil VWC'!$E$2:$E$4000=$AB78)*('2013 E Maize Soil VWC'!$F$2:$F$4000=AJ$5),'2013 E Maize Soil VWC'!$G$2:$G$4000)</f>
        <v>0.3368296652542373</v>
      </c>
      <c r="AK78" s="4" cm="1">
        <f t="array" ref="AK78">_xlfn.XLOOKUP(1,('2013 E Maize Soil VWC'!$C$2:$C$4000=$AA78)*('2013 E Maize Soil VWC'!$E$2:$E$4000=$AB78)*('2013 E Maize Soil VWC'!$F$2:$F$4000=AK$5),'2013 E Maize Soil VWC'!$G$2:$G$4000)</f>
        <v>0.33040887994350288</v>
      </c>
      <c r="AL78" s="4" cm="1">
        <f t="array" ref="AL78">_xlfn.XLOOKUP(1,('2013 E Maize Soil VWC'!$C$2:$C$4000=$AA78)*('2013 E Maize Soil VWC'!$E$2:$E$4000=$AB78)*('2013 E Maize Soil VWC'!$F$2:$F$4000=AL$5),'2013 E Maize Soil VWC'!$G$2:$G$4000)</f>
        <v>0.35221605932203387</v>
      </c>
      <c r="AM78" s="4" cm="1">
        <f t="array" ref="AM78">_xlfn.XLOOKUP(1,('2013 E Maize Soil VWC'!$C$2:$C$4000=$AA78)*('2013 E Maize Soil VWC'!$E$2:$E$4000=$AB78)*('2013 E Maize Soil VWC'!$F$2:$F$4000=AM$5),'2013 E Maize Soil VWC'!$G$2:$G$4000)</f>
        <v>0.34146907415254241</v>
      </c>
      <c r="AN78" s="4" cm="1">
        <f t="array" ref="AN78">_xlfn.XLOOKUP(1,('2013 E Maize Soil VWC'!$C$2:$C$4000=$AA78)*('2013 E Maize Soil VWC'!$E$2:$E$4000=$AB78)*('2013 E Maize Soil VWC'!$F$2:$F$4000=AN$5),'2013 E Maize Soil VWC'!$G$2:$G$4000)</f>
        <v>0.3427806370056497</v>
      </c>
      <c r="AO78" s="4" cm="1">
        <f t="array" ref="AO78">_xlfn.XLOOKUP(1,('2013 E Maize Soil VWC'!$C$2:$C$4000=$AA78)*('2013 E Maize Soil VWC'!$E$2:$E$4000=$AB78)*('2013 E Maize Soil VWC'!$F$2:$F$4000=AO$5),'2013 E Maize Soil VWC'!$G$2:$G$4000)</f>
        <v>0.32015128389830511</v>
      </c>
      <c r="AP78" s="4" cm="1">
        <f t="array" ref="AP78">_xlfn.XLOOKUP(1,('2013 E Maize Soil VWC'!$C$2:$C$4000=$AA78)*('2013 E Maize Soil VWC'!$E$2:$E$4000=$AB78)*('2013 E Maize Soil VWC'!$F$2:$F$4000=AP$5),'2013 E Maize Soil VWC'!$G$2:$G$4000)</f>
        <v>0.3073097132768362</v>
      </c>
      <c r="AQ78" s="4" cm="1">
        <f t="array" ref="AQ78">_xlfn.XLOOKUP(1,('2013 E Maize Soil VWC'!$C$2:$C$4000=$AA78)*('2013 E Maize Soil VWC'!$E$2:$E$4000=$AB78)*('2013 E Maize Soil VWC'!$F$2:$F$4000=AQ$5),'2013 E Maize Soil VWC'!$G$2:$G$4000)</f>
        <v>0.33692754307909606</v>
      </c>
      <c r="AR78" s="4" cm="1">
        <f t="array" ref="AR78">_xlfn.XLOOKUP(1,('2013 E Maize Soil VWC'!$C$2:$C$4000=$AA78)*('2013 E Maize Soil VWC'!$E$2:$E$4000=$AB78)*('2013 E Maize Soil VWC'!$F$2:$F$4000=AR$5),'2013 E Maize Soil VWC'!$G$2:$G$4000)</f>
        <v>0.33244473870056496</v>
      </c>
      <c r="AS78" s="4" cm="1">
        <f t="array" ref="AS78">_xlfn.XLOOKUP(1,('2013 E Maize Soil VWC'!$C$2:$C$4000=$AA78)*('2013 E Maize Soil VWC'!$E$2:$E$4000=$AB78)*('2013 E Maize Soil VWC'!$F$2:$F$4000=AS$5),'2013 E Maize Soil VWC'!$G$2:$G$4000)</f>
        <v>0.32668952259887007</v>
      </c>
      <c r="AT78" s="4" cm="1">
        <f t="array" ref="AT78">_xlfn.XLOOKUP(1,('2013 E Maize Soil VWC'!$C$2:$C$4000=$AA78)*('2013 E Maize Soil VWC'!$E$2:$E$4000=$AB78)*('2013 E Maize Soil VWC'!$F$2:$F$4000=AT$5),'2013 E Maize Soil VWC'!$G$2:$G$4000)</f>
        <v>0.33401078389830513</v>
      </c>
      <c r="AU78" s="4" cm="1">
        <f t="array" ref="AU78">_xlfn.XLOOKUP(1,('2013 E Maize Soil VWC'!$C$2:$C$4000=$AA78)*('2013 E Maize Soil VWC'!$E$2:$E$4000=$AB78)*('2013 E Maize Soil VWC'!$F$2:$F$4000=AU$5),'2013 E Maize Soil VWC'!$G$2:$G$4000)</f>
        <v>0.33647730508474577</v>
      </c>
      <c r="AV78" s="4" cm="1">
        <f t="array" ref="AV78">_xlfn.XLOOKUP(1,('2013 E Maize Soil VWC'!$C$2:$C$4000=$AA78)*('2013 E Maize Soil VWC'!$E$2:$E$4000=$AB78)*('2013 E Maize Soil VWC'!$F$2:$F$4000=AV$5),'2013 E Maize Soil VWC'!$G$2:$G$4000)</f>
        <v>0.34640211652542374</v>
      </c>
    </row>
    <row r="79" spans="25:64" x14ac:dyDescent="0.25">
      <c r="AA79" s="15">
        <f t="shared" si="11"/>
        <v>41463</v>
      </c>
      <c r="AB79" s="4">
        <f t="shared" si="12"/>
        <v>170</v>
      </c>
      <c r="AC79" s="4" cm="1">
        <f t="array" ref="AC79">_xlfn.XLOOKUP(1,('2013 E Maize Soil VWC'!$C$2:$C$4000=$AA79)*('2013 E Maize Soil VWC'!$E$2:$E$4000=$AB79)*('2013 E Maize Soil VWC'!$F$2:$F$4000=AC$5),'2013 E Maize Soil VWC'!$G$2:$G$4000)</f>
        <v>0.28015840466101699</v>
      </c>
      <c r="AD79" s="4" cm="1">
        <f t="array" ref="AD79">_xlfn.XLOOKUP(1,('2013 E Maize Soil VWC'!$C$2:$C$4000=$AA79)*('2013 E Maize Soil VWC'!$E$2:$E$4000=$AB79)*('2013 E Maize Soil VWC'!$F$2:$F$4000=AD$5),'2013 E Maize Soil VWC'!$G$2:$G$4000)</f>
        <v>0.26851094350282484</v>
      </c>
      <c r="AE79" s="4" cm="1">
        <f t="array" ref="AE79">_xlfn.XLOOKUP(1,('2013 E Maize Soil VWC'!$C$2:$C$4000=$AA79)*('2013 E Maize Soil VWC'!$E$2:$E$4000=$AB79)*('2013 E Maize Soil VWC'!$F$2:$F$4000=AE$5),'2013 E Maize Soil VWC'!$G$2:$G$4000)</f>
        <v>0.30063444562146896</v>
      </c>
      <c r="AF79" s="4" cm="1">
        <f t="array" ref="AF79">_xlfn.XLOOKUP(1,('2013 E Maize Soil VWC'!$C$2:$C$4000=$AA79)*('2013 E Maize Soil VWC'!$E$2:$E$4000=$AB79)*('2013 E Maize Soil VWC'!$F$2:$F$4000=AF$5),'2013 E Maize Soil VWC'!$G$2:$G$4000)</f>
        <v>0.29875519138418077</v>
      </c>
      <c r="AG79" s="4" cm="1">
        <f t="array" ref="AG79">_xlfn.XLOOKUP(1,('2013 E Maize Soil VWC'!$C$2:$C$4000=$AA79)*('2013 E Maize Soil VWC'!$E$2:$E$4000=$AB79)*('2013 E Maize Soil VWC'!$F$2:$F$4000=AG$5),'2013 E Maize Soil VWC'!$G$2:$G$4000)</f>
        <v>0.32369446115819211</v>
      </c>
      <c r="AH79" s="4" cm="1">
        <f t="array" ref="AH79">_xlfn.XLOOKUP(1,('2013 E Maize Soil VWC'!$C$2:$C$4000=$AA79)*('2013 E Maize Soil VWC'!$E$2:$E$4000=$AB79)*('2013 E Maize Soil VWC'!$F$2:$F$4000=AH$5),'2013 E Maize Soil VWC'!$G$2:$G$4000)</f>
        <v>0.3302131242937853</v>
      </c>
      <c r="AI79" s="4" cm="1">
        <f t="array" ref="AI79">_xlfn.XLOOKUP(1,('2013 E Maize Soil VWC'!$C$2:$C$4000=$AA79)*('2013 E Maize Soil VWC'!$E$2:$E$4000=$AB79)*('2013 E Maize Soil VWC'!$F$2:$F$4000=AI$5),'2013 E Maize Soil VWC'!$G$2:$G$4000)</f>
        <v>0.30088892796610167</v>
      </c>
      <c r="AJ79" s="4" cm="1">
        <f t="array" ref="AJ79">_xlfn.XLOOKUP(1,('2013 E Maize Soil VWC'!$C$2:$C$4000=$AA79)*('2013 E Maize Soil VWC'!$E$2:$E$4000=$AB79)*('2013 E Maize Soil VWC'!$F$2:$F$4000=AJ$5),'2013 E Maize Soil VWC'!$G$2:$G$4000)</f>
        <v>0.30621348163841811</v>
      </c>
      <c r="AK79" s="4" cm="1">
        <f t="array" ref="AK79">_xlfn.XLOOKUP(1,('2013 E Maize Soil VWC'!$C$2:$C$4000=$AA79)*('2013 E Maize Soil VWC'!$E$2:$E$4000=$AB79)*('2013 E Maize Soil VWC'!$F$2:$F$4000=AK$5),'2013 E Maize Soil VWC'!$G$2:$G$4000)</f>
        <v>0.29844198234463276</v>
      </c>
      <c r="AL79" s="4" cm="1">
        <f t="array" ref="AL79">_xlfn.XLOOKUP(1,('2013 E Maize Soil VWC'!$C$2:$C$4000=$AA79)*('2013 E Maize Soil VWC'!$E$2:$E$4000=$AB79)*('2013 E Maize Soil VWC'!$F$2:$F$4000=AL$5),'2013 E Maize Soil VWC'!$G$2:$G$4000)</f>
        <v>0.31482673022598873</v>
      </c>
      <c r="AM79" s="4" cm="1">
        <f t="array" ref="AM79">_xlfn.XLOOKUP(1,('2013 E Maize Soil VWC'!$C$2:$C$4000=$AA79)*('2013 E Maize Soil VWC'!$E$2:$E$4000=$AB79)*('2013 E Maize Soil VWC'!$F$2:$F$4000=AM$5),'2013 E Maize Soil VWC'!$G$2:$G$4000)</f>
        <v>0.32864707909604524</v>
      </c>
      <c r="AN79" s="4" cm="1">
        <f t="array" ref="AN79">_xlfn.XLOOKUP(1,('2013 E Maize Soil VWC'!$C$2:$C$4000=$AA79)*('2013 E Maize Soil VWC'!$E$2:$E$4000=$AB79)*('2013 E Maize Soil VWC'!$F$2:$F$4000=AN$5),'2013 E Maize Soil VWC'!$G$2:$G$4000)</f>
        <v>0.3369862697740113</v>
      </c>
      <c r="AO79" s="4" cm="1">
        <f t="array" ref="AO79">_xlfn.XLOOKUP(1,('2013 E Maize Soil VWC'!$C$2:$C$4000=$AA79)*('2013 E Maize Soil VWC'!$E$2:$E$4000=$AB79)*('2013 E Maize Soil VWC'!$F$2:$F$4000=AO$5),'2013 E Maize Soil VWC'!$G$2:$G$4000)</f>
        <v>0.31435691666666671</v>
      </c>
      <c r="AP79" s="4" cm="1">
        <f t="array" ref="AP79">_xlfn.XLOOKUP(1,('2013 E Maize Soil VWC'!$C$2:$C$4000=$AA79)*('2013 E Maize Soil VWC'!$E$2:$E$4000=$AB79)*('2013 E Maize Soil VWC'!$F$2:$F$4000=AP$5),'2013 E Maize Soil VWC'!$G$2:$G$4000)</f>
        <v>0.31960316807909606</v>
      </c>
      <c r="AQ79" s="4" cm="1">
        <f t="array" ref="AQ79">_xlfn.XLOOKUP(1,('2013 E Maize Soil VWC'!$C$2:$C$4000=$AA79)*('2013 E Maize Soil VWC'!$E$2:$E$4000=$AB79)*('2013 E Maize Soil VWC'!$F$2:$F$4000=AQ$5),'2013 E Maize Soil VWC'!$G$2:$G$4000)</f>
        <v>0.32657206920903958</v>
      </c>
      <c r="AR79" s="4" cm="1">
        <f t="array" ref="AR79">_xlfn.XLOOKUP(1,('2013 E Maize Soil VWC'!$C$2:$C$4000=$AA79)*('2013 E Maize Soil VWC'!$E$2:$E$4000=$AB79)*('2013 E Maize Soil VWC'!$F$2:$F$4000=AR$5),'2013 E Maize Soil VWC'!$G$2:$G$4000)</f>
        <v>0.32238289830508476</v>
      </c>
      <c r="AS79" s="4" cm="1">
        <f t="array" ref="AS79">_xlfn.XLOOKUP(1,('2013 E Maize Soil VWC'!$C$2:$C$4000=$AA79)*('2013 E Maize Soil VWC'!$E$2:$E$4000=$AB79)*('2013 E Maize Soil VWC'!$F$2:$F$4000=AS$5),'2013 E Maize Soil VWC'!$G$2:$G$4000)</f>
        <v>0.32040576624293787</v>
      </c>
      <c r="AT79" s="4" cm="1">
        <f t="array" ref="AT79">_xlfn.XLOOKUP(1,('2013 E Maize Soil VWC'!$C$2:$C$4000=$AA79)*('2013 E Maize Soil VWC'!$E$2:$E$4000=$AB79)*('2013 E Maize Soil VWC'!$F$2:$F$4000=AT$5),'2013 E Maize Soil VWC'!$G$2:$G$4000)</f>
        <v>0.33031100211864406</v>
      </c>
      <c r="AU79" s="4" cm="1">
        <f t="array" ref="AU79">_xlfn.XLOOKUP(1,('2013 E Maize Soil VWC'!$C$2:$C$4000=$AA79)*('2013 E Maize Soil VWC'!$E$2:$E$4000=$AB79)*('2013 E Maize Soil VWC'!$F$2:$F$4000=AU$5),'2013 E Maize Soil VWC'!$G$2:$G$4000)</f>
        <v>0.31784136723163842</v>
      </c>
      <c r="AV79" s="4" cm="1">
        <f t="array" ref="AV79">_xlfn.XLOOKUP(1,('2013 E Maize Soil VWC'!$C$2:$C$4000=$AA79)*('2013 E Maize Soil VWC'!$E$2:$E$4000=$AB79)*('2013 E Maize Soil VWC'!$F$2:$F$4000=AV$5),'2013 E Maize Soil VWC'!$G$2:$G$4000)</f>
        <v>0.32024916172316387</v>
      </c>
    </row>
    <row r="80" spans="25:64" x14ac:dyDescent="0.25">
      <c r="AA80" s="15">
        <f t="shared" si="11"/>
        <v>41463</v>
      </c>
      <c r="AB80" s="4">
        <f t="shared" si="12"/>
        <v>190</v>
      </c>
      <c r="AC80" s="4" cm="1">
        <f t="array" ref="AC80">_xlfn.XLOOKUP(1,('2013 E Maize Soil VWC'!$C$2:$C$4000=$AA80)*('2013 E Maize Soil VWC'!$E$2:$E$4000=$AB80)*('2013 E Maize Soil VWC'!$F$2:$F$4000=AC$5),'2013 E Maize Soil VWC'!$G$2:$G$4000)</f>
        <v>0.2925497372881356</v>
      </c>
      <c r="AD80" s="4" cm="1">
        <f t="array" ref="AD80">_xlfn.XLOOKUP(1,('2013 E Maize Soil VWC'!$C$2:$C$4000=$AA80)*('2013 E Maize Soil VWC'!$E$2:$E$4000=$AB80)*('2013 E Maize Soil VWC'!$F$2:$F$4000=AD$5),'2013 E Maize Soil VWC'!$G$2:$G$4000)</f>
        <v>0.29452686935028249</v>
      </c>
      <c r="AE80" s="4" cm="1">
        <f t="array" ref="AE80">_xlfn.XLOOKUP(1,('2013 E Maize Soil VWC'!$C$2:$C$4000=$AA80)*('2013 E Maize Soil VWC'!$E$2:$E$4000=$AB80)*('2013 E Maize Soil VWC'!$F$2:$F$4000=AE$5),'2013 E Maize Soil VWC'!$G$2:$G$4000)</f>
        <v>0.29464432274011298</v>
      </c>
      <c r="AF80" s="4" cm="1">
        <f t="array" ref="AF80">_xlfn.XLOOKUP(1,('2013 E Maize Soil VWC'!$C$2:$C$4000=$AA80)*('2013 E Maize Soil VWC'!$E$2:$E$4000=$AB80)*('2013 E Maize Soil VWC'!$F$2:$F$4000=AF$5),'2013 E Maize Soil VWC'!$G$2:$G$4000)</f>
        <v>0.29773726200564976</v>
      </c>
      <c r="AG80" s="4" cm="1">
        <f t="array" ref="AG80">_xlfn.XLOOKUP(1,('2013 E Maize Soil VWC'!$C$2:$C$4000=$AA80)*('2013 E Maize Soil VWC'!$E$2:$E$4000=$AB80)*('2013 E Maize Soil VWC'!$F$2:$F$4000=AG$5),'2013 E Maize Soil VWC'!$G$2:$G$4000)</f>
        <v>0.33953109322033903</v>
      </c>
      <c r="AH80" s="4" cm="1">
        <f t="array" ref="AH80">_xlfn.XLOOKUP(1,('2013 E Maize Soil VWC'!$C$2:$C$4000=$AA80)*('2013 E Maize Soil VWC'!$E$2:$E$4000=$AB80)*('2013 E Maize Soil VWC'!$F$2:$F$4000=AH$5),'2013 E Maize Soil VWC'!$G$2:$G$4000)</f>
        <v>0.34469904237288135</v>
      </c>
      <c r="AI80" s="4" cm="1">
        <f t="array" ref="AI80">_xlfn.XLOOKUP(1,('2013 E Maize Soil VWC'!$C$2:$C$4000=$AA80)*('2013 E Maize Soil VWC'!$E$2:$E$4000=$AB80)*('2013 E Maize Soil VWC'!$F$2:$F$4000=AI$5),'2013 E Maize Soil VWC'!$G$2:$G$4000)</f>
        <v>0.28832141525423732</v>
      </c>
      <c r="AJ80" s="4" cm="1">
        <f t="array" ref="AJ80">_xlfn.XLOOKUP(1,('2013 E Maize Soil VWC'!$C$2:$C$4000=$AA80)*('2013 E Maize Soil VWC'!$E$2:$E$4000=$AB80)*('2013 E Maize Soil VWC'!$F$2:$F$4000=AJ$5),'2013 E Maize Soil VWC'!$G$2:$G$4000)</f>
        <v>0.29799174435028247</v>
      </c>
      <c r="AK80" s="4" cm="1">
        <f t="array" ref="AK80">_xlfn.XLOOKUP(1,('2013 E Maize Soil VWC'!$C$2:$C$4000=$AA80)*('2013 E Maize Soil VWC'!$E$2:$E$4000=$AB80)*('2013 E Maize Soil VWC'!$F$2:$F$4000=AK$5),'2013 E Maize Soil VWC'!$G$2:$G$4000)</f>
        <v>0.29319573093220341</v>
      </c>
      <c r="AL80" s="4" cm="1">
        <f t="array" ref="AL80">_xlfn.XLOOKUP(1,('2013 E Maize Soil VWC'!$C$2:$C$4000=$AA80)*('2013 E Maize Soil VWC'!$E$2:$E$4000=$AB80)*('2013 E Maize Soil VWC'!$F$2:$F$4000=AL$5),'2013 E Maize Soil VWC'!$G$2:$G$4000)</f>
        <v>0.2957797055084746</v>
      </c>
      <c r="AM80" s="4" cm="1">
        <f t="array" ref="AM80">_xlfn.XLOOKUP(1,('2013 E Maize Soil VWC'!$C$2:$C$4000=$AA80)*('2013 E Maize Soil VWC'!$E$2:$E$4000=$AB80)*('2013 E Maize Soil VWC'!$F$2:$F$4000=AM$5),'2013 E Maize Soil VWC'!$G$2:$G$4000)</f>
        <v>0.31065713488700564</v>
      </c>
      <c r="AN80" s="4" cm="1">
        <f t="array" ref="AN80">_xlfn.XLOOKUP(1,('2013 E Maize Soil VWC'!$C$2:$C$4000=$AA80)*('2013 E Maize Soil VWC'!$E$2:$E$4000=$AB80)*('2013 E Maize Soil VWC'!$F$2:$F$4000=AN$5),'2013 E Maize Soil VWC'!$G$2:$G$4000)</f>
        <v>0.31457224788135596</v>
      </c>
      <c r="AO80" s="4" cm="1">
        <f t="array" ref="AO80">_xlfn.XLOOKUP(1,('2013 E Maize Soil VWC'!$C$2:$C$4000=$AA80)*('2013 E Maize Soil VWC'!$E$2:$E$4000=$AB80)*('2013 E Maize Soil VWC'!$F$2:$F$4000=AO$5),'2013 E Maize Soil VWC'!$G$2:$G$4000)</f>
        <v>0.3038644138418079</v>
      </c>
      <c r="AP80" s="4" cm="1">
        <f t="array" ref="AP80">_xlfn.XLOOKUP(1,('2013 E Maize Soil VWC'!$C$2:$C$4000=$AA80)*('2013 E Maize Soil VWC'!$E$2:$E$4000=$AB80)*('2013 E Maize Soil VWC'!$F$2:$F$4000=AP$5),'2013 E Maize Soil VWC'!$G$2:$G$4000)</f>
        <v>0.30627220833333335</v>
      </c>
      <c r="AQ80" s="4" cm="1">
        <f t="array" ref="AQ80">_xlfn.XLOOKUP(1,('2013 E Maize Soil VWC'!$C$2:$C$4000=$AA80)*('2013 E Maize Soil VWC'!$E$2:$E$4000=$AB80)*('2013 E Maize Soil VWC'!$F$2:$F$4000=AQ$5),'2013 E Maize Soil VWC'!$G$2:$G$4000)</f>
        <v>0.33058506002824861</v>
      </c>
      <c r="AR80" s="4" cm="1">
        <f t="array" ref="AR80">_xlfn.XLOOKUP(1,('2013 E Maize Soil VWC'!$C$2:$C$4000=$AA80)*('2013 E Maize Soil VWC'!$E$2:$E$4000=$AB80)*('2013 E Maize Soil VWC'!$F$2:$F$4000=AR$5),'2013 E Maize Soil VWC'!$G$2:$G$4000)</f>
        <v>0.33794547245762713</v>
      </c>
      <c r="AS80" s="4" cm="1">
        <f t="array" ref="AS80">_xlfn.XLOOKUP(1,('2013 E Maize Soil VWC'!$C$2:$C$4000=$AA80)*('2013 E Maize Soil VWC'!$E$2:$E$4000=$AB80)*('2013 E Maize Soil VWC'!$F$2:$F$4000=AS$5),'2013 E Maize Soil VWC'!$G$2:$G$4000)</f>
        <v>0.32253950282485877</v>
      </c>
      <c r="AT80" s="4" cm="1">
        <f t="array" ref="AT80">_xlfn.XLOOKUP(1,('2013 E Maize Soil VWC'!$C$2:$C$4000=$AA80)*('2013 E Maize Soil VWC'!$E$2:$E$4000=$AB80)*('2013 E Maize Soil VWC'!$F$2:$F$4000=AT$5),'2013 E Maize Soil VWC'!$G$2:$G$4000)</f>
        <v>0.3138675275423729</v>
      </c>
      <c r="AU80" s="4" cm="1">
        <f t="array" ref="AU80">_xlfn.XLOOKUP(1,('2013 E Maize Soil VWC'!$C$2:$C$4000=$AA80)*('2013 E Maize Soil VWC'!$E$2:$E$4000=$AB80)*('2013 E Maize Soil VWC'!$F$2:$F$4000=AU$5),'2013 E Maize Soil VWC'!$G$2:$G$4000)</f>
        <v>0.30750546892655367</v>
      </c>
      <c r="AV80" s="4" cm="1">
        <f t="array" ref="AV80">_xlfn.XLOOKUP(1,('2013 E Maize Soil VWC'!$C$2:$C$4000=$AA80)*('2013 E Maize Soil VWC'!$E$2:$E$4000=$AB80)*('2013 E Maize Soil VWC'!$F$2:$F$4000=AV$5),'2013 E Maize Soil VWC'!$G$2:$G$4000)</f>
        <v>0.30979581002824863</v>
      </c>
    </row>
    <row r="81" spans="25:64" x14ac:dyDescent="0.25">
      <c r="AA81" s="15">
        <f t="shared" si="11"/>
        <v>41463</v>
      </c>
      <c r="AB81" s="4">
        <f t="shared" si="12"/>
        <v>210</v>
      </c>
      <c r="AC81" s="4" cm="1">
        <f t="array" ref="AC81">_xlfn.XLOOKUP(1,('2013 E Maize Soil VWC'!$C$2:$C$4000=$AA81)*('2013 E Maize Soil VWC'!$E$2:$E$4000=$AB81)*('2013 E Maize Soil VWC'!$F$2:$F$4000=AC$5),'2013 E Maize Soil VWC'!$G$2:$G$4000)</f>
        <v>0.30384483827683617</v>
      </c>
      <c r="AD81" s="4" cm="1">
        <f t="array" ref="AD81">_xlfn.XLOOKUP(1,('2013 E Maize Soil VWC'!$C$2:$C$4000=$AA81)*('2013 E Maize Soil VWC'!$E$2:$E$4000=$AB81)*('2013 E Maize Soil VWC'!$F$2:$F$4000=AD$5),'2013 E Maize Soil VWC'!$G$2:$G$4000)</f>
        <v>0.29897052259887003</v>
      </c>
      <c r="AE81" s="4" cm="1">
        <f t="array" ref="AE81">_xlfn.XLOOKUP(1,('2013 E Maize Soil VWC'!$C$2:$C$4000=$AA81)*('2013 E Maize Soil VWC'!$E$2:$E$4000=$AB81)*('2013 E Maize Soil VWC'!$F$2:$F$4000=AE$5),'2013 E Maize Soil VWC'!$G$2:$G$4000)</f>
        <v>0.27679140748587572</v>
      </c>
      <c r="AF81" s="4" cm="1">
        <f t="array" ref="AF81">_xlfn.XLOOKUP(1,('2013 E Maize Soil VWC'!$C$2:$C$4000=$AA81)*('2013 E Maize Soil VWC'!$E$2:$E$4000=$AB81)*('2013 E Maize Soil VWC'!$F$2:$F$4000=AF$5),'2013 E Maize Soil VWC'!$G$2:$G$4000)</f>
        <v>0.29591673446327688</v>
      </c>
      <c r="AG81" s="4" t="e" cm="1">
        <f t="array" ref="AG81">_xlfn.XLOOKUP(1,('2013 E Maize Soil VWC'!$C$2:$C$4000=$AA81)*('2013 E Maize Soil VWC'!$E$2:$E$4000=$AB81)*('2013 E Maize Soil VWC'!$F$2:$F$4000=AG$5),'2013 E Maize Soil VWC'!$G$2:$G$4000)</f>
        <v>#N/A</v>
      </c>
      <c r="AH81" s="4" t="e" cm="1">
        <f t="array" ref="AH81">_xlfn.XLOOKUP(1,('2013 E Maize Soil VWC'!$C$2:$C$4000=$AA81)*('2013 E Maize Soil VWC'!$E$2:$E$4000=$AB81)*('2013 E Maize Soil VWC'!$F$2:$F$4000=AH$5),'2013 E Maize Soil VWC'!$G$2:$G$4000)</f>
        <v>#N/A</v>
      </c>
      <c r="AI81" s="4" cm="1">
        <f t="array" ref="AI81">_xlfn.XLOOKUP(1,('2013 E Maize Soil VWC'!$C$2:$C$4000=$AA81)*('2013 E Maize Soil VWC'!$E$2:$E$4000=$AB81)*('2013 E Maize Soil VWC'!$F$2:$F$4000=AI$5),'2013 E Maize Soil VWC'!$G$2:$G$4000)</f>
        <v>0.28642258545197741</v>
      </c>
      <c r="AJ81" s="4" cm="1">
        <f t="array" ref="AJ81">_xlfn.XLOOKUP(1,('2013 E Maize Soil VWC'!$C$2:$C$4000=$AA81)*('2013 E Maize Soil VWC'!$E$2:$E$4000=$AB81)*('2013 E Maize Soil VWC'!$F$2:$F$4000=AJ$5),'2013 E Maize Soil VWC'!$G$2:$G$4000)</f>
        <v>0.30932599646892656</v>
      </c>
      <c r="AK81" s="4" cm="1">
        <f t="array" ref="AK81">_xlfn.XLOOKUP(1,('2013 E Maize Soil VWC'!$C$2:$C$4000=$AA81)*('2013 E Maize Soil VWC'!$E$2:$E$4000=$AB81)*('2013 E Maize Soil VWC'!$F$2:$F$4000=AK$5),'2013 E Maize Soil VWC'!$G$2:$G$4000)</f>
        <v>0.30251369985875709</v>
      </c>
      <c r="AL81" s="4" cm="1">
        <f t="array" ref="AL81">_xlfn.XLOOKUP(1,('2013 E Maize Soil VWC'!$C$2:$C$4000=$AA81)*('2013 E Maize Soil VWC'!$E$2:$E$4000=$AB81)*('2013 E Maize Soil VWC'!$F$2:$F$4000=AL$5),'2013 E Maize Soil VWC'!$G$2:$G$4000)</f>
        <v>0.26900033262711864</v>
      </c>
      <c r="AM81" s="4" cm="1">
        <f t="array" ref="AM81">_xlfn.XLOOKUP(1,('2013 E Maize Soil VWC'!$C$2:$C$4000=$AA81)*('2013 E Maize Soil VWC'!$E$2:$E$4000=$AB81)*('2013 E Maize Soil VWC'!$F$2:$F$4000=AM$5),'2013 E Maize Soil VWC'!$G$2:$G$4000)</f>
        <v>0.3055674879943503</v>
      </c>
      <c r="AN81" s="4" cm="1">
        <f t="array" ref="AN81">_xlfn.XLOOKUP(1,('2013 E Maize Soil VWC'!$C$2:$C$4000=$AA81)*('2013 E Maize Soil VWC'!$E$2:$E$4000=$AB81)*('2013 E Maize Soil VWC'!$F$2:$F$4000=AN$5),'2013 E Maize Soil VWC'!$G$2:$G$4000)</f>
        <v>0.31114652401129944</v>
      </c>
      <c r="AO81" s="4" cm="1">
        <f t="array" ref="AO81">_xlfn.XLOOKUP(1,('2013 E Maize Soil VWC'!$C$2:$C$4000=$AA81)*('2013 E Maize Soil VWC'!$E$2:$E$4000=$AB81)*('2013 E Maize Soil VWC'!$F$2:$F$4000=AO$5),'2013 E Maize Soil VWC'!$G$2:$G$4000)</f>
        <v>0.30274860663841813</v>
      </c>
      <c r="AP81" s="4" cm="1">
        <f t="array" ref="AP81">_xlfn.XLOOKUP(1,('2013 E Maize Soil VWC'!$C$2:$C$4000=$AA81)*('2013 E Maize Soil VWC'!$E$2:$E$4000=$AB81)*('2013 E Maize Soil VWC'!$F$2:$F$4000=AP$5),'2013 E Maize Soil VWC'!$G$2:$G$4000)</f>
        <v>0.27790721468926555</v>
      </c>
      <c r="AQ81" s="4" t="e" cm="1">
        <f t="array" ref="AQ81">_xlfn.XLOOKUP(1,('2013 E Maize Soil VWC'!$C$2:$C$4000=$AA81)*('2013 E Maize Soil VWC'!$E$2:$E$4000=$AB81)*('2013 E Maize Soil VWC'!$F$2:$F$4000=AQ$5),'2013 E Maize Soil VWC'!$G$2:$G$4000)</f>
        <v>#N/A</v>
      </c>
      <c r="AR81" s="4" t="e" cm="1">
        <f t="array" ref="AR81">_xlfn.XLOOKUP(1,('2013 E Maize Soil VWC'!$C$2:$C$4000=$AA81)*('2013 E Maize Soil VWC'!$E$2:$E$4000=$AB81)*('2013 E Maize Soil VWC'!$F$2:$F$4000=AR$5),'2013 E Maize Soil VWC'!$G$2:$G$4000)</f>
        <v>#N/A</v>
      </c>
      <c r="AS81" s="4" cm="1">
        <f t="array" ref="AS81">_xlfn.XLOOKUP(1,('2013 E Maize Soil VWC'!$C$2:$C$4000=$AA81)*('2013 E Maize Soil VWC'!$E$2:$E$4000=$AB81)*('2013 E Maize Soil VWC'!$F$2:$F$4000=AS$5),'2013 E Maize Soil VWC'!$G$2:$G$4000)</f>
        <v>0.30687905084745765</v>
      </c>
      <c r="AT81" s="4" cm="1">
        <f t="array" ref="AT81">_xlfn.XLOOKUP(1,('2013 E Maize Soil VWC'!$C$2:$C$4000=$AA81)*('2013 E Maize Soil VWC'!$E$2:$E$4000=$AB81)*('2013 E Maize Soil VWC'!$F$2:$F$4000=AT$5),'2013 E Maize Soil VWC'!$G$2:$G$4000)</f>
        <v>0.30683989971751413</v>
      </c>
      <c r="AU81" s="4" cm="1">
        <f t="array" ref="AU81">_xlfn.XLOOKUP(1,('2013 E Maize Soil VWC'!$C$2:$C$4000=$AA81)*('2013 E Maize Soil VWC'!$E$2:$E$4000=$AB81)*('2013 E Maize Soil VWC'!$F$2:$F$4000=AU$5),'2013 E Maize Soil VWC'!$G$2:$G$4000)</f>
        <v>0.29902924929378533</v>
      </c>
      <c r="AV81" s="4" cm="1">
        <f t="array" ref="AV81">_xlfn.XLOOKUP(1,('2013 E Maize Soil VWC'!$C$2:$C$4000=$AA81)*('2013 E Maize Soil VWC'!$E$2:$E$4000=$AB81)*('2013 E Maize Soil VWC'!$F$2:$F$4000=AV$5),'2013 E Maize Soil VWC'!$G$2:$G$4000)</f>
        <v>0.30599815042372885</v>
      </c>
    </row>
    <row r="82" spans="25:64" x14ac:dyDescent="0.25">
      <c r="AA82" s="15">
        <f t="shared" si="11"/>
        <v>41463</v>
      </c>
      <c r="AB82" s="4">
        <f t="shared" si="12"/>
        <v>230</v>
      </c>
      <c r="AC82" s="4" cm="1">
        <f t="array" ref="AC82">_xlfn.XLOOKUP(1,('2013 E Maize Soil VWC'!$C$2:$C$4000=$AA82)*('2013 E Maize Soil VWC'!$E$2:$E$4000=$AB82)*('2013 E Maize Soil VWC'!$F$2:$F$4000=AC$5),'2013 E Maize Soil VWC'!$G$2:$G$4000)</f>
        <v>0.30061487005649717</v>
      </c>
      <c r="AD82" s="4" cm="1">
        <f t="array" ref="AD82">_xlfn.XLOOKUP(1,('2013 E Maize Soil VWC'!$C$2:$C$4000=$AA82)*('2013 E Maize Soil VWC'!$E$2:$E$4000=$AB82)*('2013 E Maize Soil VWC'!$F$2:$F$4000=AD$5),'2013 E Maize Soil VWC'!$G$2:$G$4000)</f>
        <v>0.30543045903954802</v>
      </c>
      <c r="AE82" s="4" cm="1">
        <f t="array" ref="AE82">_xlfn.XLOOKUP(1,('2013 E Maize Soil VWC'!$C$2:$C$4000=$AA82)*('2013 E Maize Soil VWC'!$E$2:$E$4000=$AB82)*('2013 E Maize Soil VWC'!$F$2:$F$4000=AE$5),'2013 E Maize Soil VWC'!$G$2:$G$4000)</f>
        <v>0.28943722245762715</v>
      </c>
      <c r="AF82" s="4" cm="1">
        <f t="array" ref="AF82">_xlfn.XLOOKUP(1,('2013 E Maize Soil VWC'!$C$2:$C$4000=$AA82)*('2013 E Maize Soil VWC'!$E$2:$E$4000=$AB82)*('2013 E Maize Soil VWC'!$F$2:$F$4000=AF$5),'2013 E Maize Soil VWC'!$G$2:$G$4000)</f>
        <v>0.28636385875706216</v>
      </c>
      <c r="AG82" s="4" t="e" cm="1">
        <f t="array" ref="AG82">_xlfn.XLOOKUP(1,('2013 E Maize Soil VWC'!$C$2:$C$4000=$AA82)*('2013 E Maize Soil VWC'!$E$2:$E$4000=$AB82)*('2013 E Maize Soil VWC'!$F$2:$F$4000=AG$5),'2013 E Maize Soil VWC'!$G$2:$G$4000)</f>
        <v>#N/A</v>
      </c>
      <c r="AH82" s="4" t="e" cm="1">
        <f t="array" ref="AH82">_xlfn.XLOOKUP(1,('2013 E Maize Soil VWC'!$C$2:$C$4000=$AA82)*('2013 E Maize Soil VWC'!$E$2:$E$4000=$AB82)*('2013 E Maize Soil VWC'!$F$2:$F$4000=AH$5),'2013 E Maize Soil VWC'!$G$2:$G$4000)</f>
        <v>#N/A</v>
      </c>
      <c r="AI82" s="4" cm="1">
        <f t="array" ref="AI82">_xlfn.XLOOKUP(1,('2013 E Maize Soil VWC'!$C$2:$C$4000=$AA82)*('2013 E Maize Soil VWC'!$E$2:$E$4000=$AB82)*('2013 E Maize Soil VWC'!$F$2:$F$4000=AI$5),'2013 E Maize Soil VWC'!$G$2:$G$4000)</f>
        <v>0.29023982062146897</v>
      </c>
      <c r="AJ82" s="4" cm="1">
        <f t="array" ref="AJ82">_xlfn.XLOOKUP(1,('2013 E Maize Soil VWC'!$C$2:$C$4000=$AA82)*('2013 E Maize Soil VWC'!$E$2:$E$4000=$AB82)*('2013 E Maize Soil VWC'!$F$2:$F$4000=AJ$5),'2013 E Maize Soil VWC'!$G$2:$G$4000)</f>
        <v>0.31012859463276837</v>
      </c>
      <c r="AK82" s="4" cm="1">
        <f t="array" ref="AK82">_xlfn.XLOOKUP(1,('2013 E Maize Soil VWC'!$C$2:$C$4000=$AA82)*('2013 E Maize Soil VWC'!$E$2:$E$4000=$AB82)*('2013 E Maize Soil VWC'!$F$2:$F$4000=AK$5),'2013 E Maize Soil VWC'!$G$2:$G$4000)</f>
        <v>0.30926726977401131</v>
      </c>
      <c r="AL82" s="4" cm="1">
        <f t="array" ref="AL82">_xlfn.XLOOKUP(1,('2013 E Maize Soil VWC'!$C$2:$C$4000=$AA82)*('2013 E Maize Soil VWC'!$E$2:$E$4000=$AB82)*('2013 E Maize Soil VWC'!$F$2:$F$4000=AL$5),'2013 E Maize Soil VWC'!$G$2:$G$4000)</f>
        <v>0.26874585028248588</v>
      </c>
      <c r="AM82" s="4" cm="1">
        <f t="array" ref="AM82">_xlfn.XLOOKUP(1,('2013 E Maize Soil VWC'!$C$2:$C$4000=$AA82)*('2013 E Maize Soil VWC'!$E$2:$E$4000=$AB82)*('2013 E Maize Soil VWC'!$F$2:$F$4000=AM$5),'2013 E Maize Soil VWC'!$G$2:$G$4000)</f>
        <v>0.29992972528248585</v>
      </c>
      <c r="AN82" s="4" cm="1">
        <f t="array" ref="AN82">_xlfn.XLOOKUP(1,('2013 E Maize Soil VWC'!$C$2:$C$4000=$AA82)*('2013 E Maize Soil VWC'!$E$2:$E$4000=$AB82)*('2013 E Maize Soil VWC'!$F$2:$F$4000=AN$5),'2013 E Maize Soil VWC'!$G$2:$G$4000)</f>
        <v>0.30300308898305084</v>
      </c>
      <c r="AO82" s="4" cm="1">
        <f t="array" ref="AO82">_xlfn.XLOOKUP(1,('2013 E Maize Soil VWC'!$C$2:$C$4000=$AA82)*('2013 E Maize Soil VWC'!$E$2:$E$4000=$AB82)*('2013 E Maize Soil VWC'!$F$2:$F$4000=AO$5),'2013 E Maize Soil VWC'!$G$2:$G$4000)</f>
        <v>0.30002760310734466</v>
      </c>
      <c r="AP82" s="4" cm="1">
        <f t="array" ref="AP82">_xlfn.XLOOKUP(1,('2013 E Maize Soil VWC'!$C$2:$C$4000=$AA82)*('2013 E Maize Soil VWC'!$E$2:$E$4000=$AB82)*('2013 E Maize Soil VWC'!$F$2:$F$4000=AP$5),'2013 E Maize Soil VWC'!$G$2:$G$4000)</f>
        <v>0.28930019350282488</v>
      </c>
      <c r="AQ82" s="4" t="e" cm="1">
        <f t="array" ref="AQ82">_xlfn.XLOOKUP(1,('2013 E Maize Soil VWC'!$C$2:$C$4000=$AA82)*('2013 E Maize Soil VWC'!$E$2:$E$4000=$AB82)*('2013 E Maize Soil VWC'!$F$2:$F$4000=AQ$5),'2013 E Maize Soil VWC'!$G$2:$G$4000)</f>
        <v>#N/A</v>
      </c>
      <c r="AR82" s="4" t="e" cm="1">
        <f t="array" ref="AR82">_xlfn.XLOOKUP(1,('2013 E Maize Soil VWC'!$C$2:$C$4000=$AA82)*('2013 E Maize Soil VWC'!$E$2:$E$4000=$AB82)*('2013 E Maize Soil VWC'!$F$2:$F$4000=AR$5),'2013 E Maize Soil VWC'!$G$2:$G$4000)</f>
        <v>#N/A</v>
      </c>
      <c r="AS82" s="4" cm="1">
        <f t="array" ref="AS82">_xlfn.XLOOKUP(1,('2013 E Maize Soil VWC'!$C$2:$C$4000=$AA82)*('2013 E Maize Soil VWC'!$E$2:$E$4000=$AB82)*('2013 E Maize Soil VWC'!$F$2:$F$4000=AS$5),'2013 E Maize Soil VWC'!$G$2:$G$4000)</f>
        <v>0.30067359675141242</v>
      </c>
      <c r="AT82" s="4" cm="1">
        <f t="array" ref="AT82">_xlfn.XLOOKUP(1,('2013 E Maize Soil VWC'!$C$2:$C$4000=$AA82)*('2013 E Maize Soil VWC'!$E$2:$E$4000=$AB82)*('2013 E Maize Soil VWC'!$F$2:$F$4000=AT$5),'2013 E Maize Soil VWC'!$G$2:$G$4000)</f>
        <v>0.30223964194915254</v>
      </c>
      <c r="AU82" s="4" cm="1">
        <f t="array" ref="AU82">_xlfn.XLOOKUP(1,('2013 E Maize Soil VWC'!$C$2:$C$4000=$AA82)*('2013 E Maize Soil VWC'!$E$2:$E$4000=$AB82)*('2013 E Maize Soil VWC'!$F$2:$F$4000=AU$5),'2013 E Maize Soil VWC'!$G$2:$G$4000)</f>
        <v>0.29452686935028249</v>
      </c>
      <c r="AV82" s="4" cm="1">
        <f t="array" ref="AV82">_xlfn.XLOOKUP(1,('2013 E Maize Soil VWC'!$C$2:$C$4000=$AA82)*('2013 E Maize Soil VWC'!$E$2:$E$4000=$AB82)*('2013 E Maize Soil VWC'!$F$2:$F$4000=AV$5),'2013 E Maize Soil VWC'!$G$2:$G$4000)</f>
        <v>0.30380568714689266</v>
      </c>
    </row>
    <row r="83" spans="25:64" x14ac:dyDescent="0.25">
      <c r="AA83" s="15"/>
    </row>
    <row r="84" spans="25:64" x14ac:dyDescent="0.25">
      <c r="Y84" s="4">
        <v>2013</v>
      </c>
      <c r="Z84" s="4">
        <v>197</v>
      </c>
      <c r="AA84" s="15">
        <f>DATE(Y84,1,Z84)</f>
        <v>41471</v>
      </c>
      <c r="AB84" s="4">
        <v>10</v>
      </c>
      <c r="AC84" s="4" cm="1">
        <f t="array" ref="AC84">_xlfn.XLOOKUP(1,('2013 E Maize Soil VWC'!$C$2:$C$4000=$AA84)*('2013 E Maize Soil VWC'!$E$2:$E$4000=$AB84)*('2013 E Maize Soil VWC'!$F$2:$F$4000=AC$5),'2013 E Maize Soil VWC'!$G$2:$G$4000)</f>
        <v>0.23892854085956416</v>
      </c>
      <c r="AD84" s="4" cm="1">
        <f t="array" ref="AD84">_xlfn.XLOOKUP(1,('2013 E Maize Soil VWC'!$C$2:$C$4000=$AA84)*('2013 E Maize Soil VWC'!$E$2:$E$4000=$AB84)*('2013 E Maize Soil VWC'!$F$2:$F$4000=AD$5),'2013 E Maize Soil VWC'!$G$2:$G$4000)</f>
        <v>0.27081633171912833</v>
      </c>
      <c r="AE84" s="4" cm="1">
        <f t="array" ref="AE84">_xlfn.XLOOKUP(1,('2013 E Maize Soil VWC'!$C$2:$C$4000=$AA84)*('2013 E Maize Soil VWC'!$E$2:$E$4000=$AB84)*('2013 E Maize Soil VWC'!$F$2:$F$4000=AE$5),'2013 E Maize Soil VWC'!$G$2:$G$4000)</f>
        <v>0.25858592675544795</v>
      </c>
      <c r="AF84" s="4" cm="1">
        <f t="array" ref="AF84">_xlfn.XLOOKUP(1,('2013 E Maize Soil VWC'!$C$2:$C$4000=$AA84)*('2013 E Maize Soil VWC'!$E$2:$E$4000=$AB84)*('2013 E Maize Soil VWC'!$F$2:$F$4000=AF$5),'2013 E Maize Soil VWC'!$G$2:$G$4000)</f>
        <v>0.24392487348668279</v>
      </c>
      <c r="AG84" s="4" cm="1">
        <f t="array" ref="AG84">_xlfn.XLOOKUP(1,('2013 E Maize Soil VWC'!$C$2:$C$4000=$AA84)*('2013 E Maize Soil VWC'!$E$2:$E$4000=$AB84)*('2013 E Maize Soil VWC'!$F$2:$F$4000=AG$5),'2013 E Maize Soil VWC'!$G$2:$G$4000)</f>
        <v>0.24020173759079899</v>
      </c>
      <c r="AH84" s="4" cm="1">
        <f t="array" ref="AH84">_xlfn.XLOOKUP(1,('2013 E Maize Soil VWC'!$C$2:$C$4000=$AA84)*('2013 E Maize Soil VWC'!$E$2:$E$4000=$AB84)*('2013 E Maize Soil VWC'!$F$2:$F$4000=AH$5),'2013 E Maize Soil VWC'!$G$2:$G$4000)</f>
        <v>0.21525865617433415</v>
      </c>
      <c r="AI84" s="4" cm="1">
        <f t="array" ref="AI84">_xlfn.XLOOKUP(1,('2013 E Maize Soil VWC'!$C$2:$C$4000=$AA84)*('2013 E Maize Soil VWC'!$E$2:$E$4000=$AB84)*('2013 E Maize Soil VWC'!$F$2:$F$4000=AI$5),'2013 E Maize Soil VWC'!$G$2:$G$4000)</f>
        <v>0.28636476452784504</v>
      </c>
      <c r="AJ84" s="4" cm="1">
        <f t="array" ref="AJ84">_xlfn.XLOOKUP(1,('2013 E Maize Soil VWC'!$C$2:$C$4000=$AA84)*('2013 E Maize Soil VWC'!$E$2:$E$4000=$AB84)*('2013 E Maize Soil VWC'!$F$2:$F$4000=AJ$5),'2013 E Maize Soil VWC'!$G$2:$G$4000)</f>
        <v>0.27994090829297819</v>
      </c>
      <c r="AK84" s="4" cm="1">
        <f t="array" ref="AK84">_xlfn.XLOOKUP(1,('2013 E Maize Soil VWC'!$C$2:$C$4000=$AA84)*('2013 E Maize Soil VWC'!$E$2:$E$4000=$AB84)*('2013 E Maize Soil VWC'!$F$2:$F$4000=AK$5),'2013 E Maize Soil VWC'!$G$2:$G$4000)</f>
        <v>0.22731544340193705</v>
      </c>
      <c r="AL84" s="4" cm="1">
        <f t="array" ref="AL84">_xlfn.XLOOKUP(1,('2013 E Maize Soil VWC'!$C$2:$C$4000=$AA84)*('2013 E Maize Soil VWC'!$E$2:$E$4000=$AB84)*('2013 E Maize Soil VWC'!$F$2:$F$4000=AL$5),'2013 E Maize Soil VWC'!$G$2:$G$4000)</f>
        <v>0.2613252288135593</v>
      </c>
      <c r="AM84" s="4" cm="1">
        <f t="array" ref="AM84">_xlfn.XLOOKUP(1,('2013 E Maize Soil VWC'!$C$2:$C$4000=$AA84)*('2013 E Maize Soil VWC'!$E$2:$E$4000=$AB84)*('2013 E Maize Soil VWC'!$F$2:$F$4000=AM$5),'2013 E Maize Soil VWC'!$G$2:$G$4000)</f>
        <v>0.25081171035108962</v>
      </c>
      <c r="AN84" s="4" cm="1">
        <f t="array" ref="AN84">_xlfn.XLOOKUP(1,('2013 E Maize Soil VWC'!$C$2:$C$4000=$AA84)*('2013 E Maize Soil VWC'!$E$2:$E$4000=$AB84)*('2013 E Maize Soil VWC'!$F$2:$F$4000=AN$5),'2013 E Maize Soil VWC'!$G$2:$G$4000)</f>
        <v>0.21471851210653753</v>
      </c>
      <c r="AO84" s="4" cm="1">
        <f t="array" ref="AO84">_xlfn.XLOOKUP(1,('2013 E Maize Soil VWC'!$C$2:$C$4000=$AA84)*('2013 E Maize Soil VWC'!$E$2:$E$4000=$AB84)*('2013 E Maize Soil VWC'!$F$2:$F$4000=AO$5),'2013 E Maize Soil VWC'!$G$2:$G$4000)</f>
        <v>0.25781429237288134</v>
      </c>
      <c r="AP84" s="4" cm="1">
        <f t="array" ref="AP84">_xlfn.XLOOKUP(1,('2013 E Maize Soil VWC'!$C$2:$C$4000=$AA84)*('2013 E Maize Soil VWC'!$E$2:$E$4000=$AB84)*('2013 E Maize Soil VWC'!$F$2:$F$4000=AP$5),'2013 E Maize Soil VWC'!$G$2:$G$4000)</f>
        <v>0.22017782536319613</v>
      </c>
      <c r="AQ84" s="4" cm="1">
        <f t="array" ref="AQ84">_xlfn.XLOOKUP(1,('2013 E Maize Soil VWC'!$C$2:$C$4000=$AA84)*('2013 E Maize Soil VWC'!$E$2:$E$4000=$AB84)*('2013 E Maize Soil VWC'!$F$2:$F$4000=AQ$5),'2013 E Maize Soil VWC'!$G$2:$G$4000)</f>
        <v>0.21631965345036319</v>
      </c>
      <c r="AR84" s="4" cm="1">
        <f t="array" ref="AR84">_xlfn.XLOOKUP(1,('2013 E Maize Soil VWC'!$C$2:$C$4000=$AA84)*('2013 E Maize Soil VWC'!$E$2:$E$4000=$AB84)*('2013 E Maize Soil VWC'!$F$2:$F$4000=AR$5),'2013 E Maize Soil VWC'!$G$2:$G$4000)</f>
        <v>0.23943010320823244</v>
      </c>
      <c r="AS84" s="4" cm="1">
        <f t="array" ref="AS84">_xlfn.XLOOKUP(1,('2013 E Maize Soil VWC'!$C$2:$C$4000=$AA84)*('2013 E Maize Soil VWC'!$E$2:$E$4000=$AB84)*('2013 E Maize Soil VWC'!$F$2:$F$4000=AS$5),'2013 E Maize Soil VWC'!$G$2:$G$4000)</f>
        <v>0.24197649667070215</v>
      </c>
      <c r="AT84" s="4" t="e" cm="1">
        <f t="array" ref="AT84">_xlfn.XLOOKUP(1,('2013 E Maize Soil VWC'!$C$2:$C$4000=$AA84)*('2013 E Maize Soil VWC'!$E$2:$E$4000=$AB84)*('2013 E Maize Soil VWC'!$F$2:$F$4000=AT$5),'2013 E Maize Soil VWC'!$G$2:$G$4000)</f>
        <v>#N/A</v>
      </c>
      <c r="AU84" s="4" t="e" cm="1">
        <f t="array" ref="AU84">_xlfn.XLOOKUP(1,('2013 E Maize Soil VWC'!$C$2:$C$4000=$AA84)*('2013 E Maize Soil VWC'!$E$2:$E$4000=$AB84)*('2013 E Maize Soil VWC'!$F$2:$F$4000=AU$5),'2013 E Maize Soil VWC'!$G$2:$G$4000)</f>
        <v>#N/A</v>
      </c>
      <c r="AV84" s="4" t="e" cm="1">
        <f t="array" ref="AV84">_xlfn.XLOOKUP(1,('2013 E Maize Soil VWC'!$C$2:$C$4000=$AA84)*('2013 E Maize Soil VWC'!$E$2:$E$4000=$AB84)*('2013 E Maize Soil VWC'!$F$2:$F$4000=AV$5),'2013 E Maize Soil VWC'!$G$2:$G$4000)</f>
        <v>#N/A</v>
      </c>
      <c r="AW84" s="22">
        <f>Z84</f>
        <v>197</v>
      </c>
      <c r="AX84" s="20">
        <f>AA84</f>
        <v>41471</v>
      </c>
      <c r="AY84" s="4">
        <f>1400*AVERAGE(AG84:AH90)+100*AVERAGE(AG91:AH91)</f>
        <v>445.7968167776433</v>
      </c>
      <c r="AZ84" s="4">
        <f>1400*AVERAGE(AC84:AF90,AI84:AL90)+100*AVERAGE(AC91:AF91,AI91:AL91)</f>
        <v>485.0924860573042</v>
      </c>
      <c r="BA84" s="4">
        <f>1400*AVERAGE(AQ84:AR90)+100*AVERAGE(AQ91:AR91)</f>
        <v>433.53709840597259</v>
      </c>
      <c r="BB84" s="4" t="e">
        <f>1400*AVERAGE(AM84:AP90,AS84:AV90)+100*AVERAGE(AM91:AP91,AS91:AV91)</f>
        <v>#N/A</v>
      </c>
      <c r="BC84" s="4">
        <f>AVERAGE(AC84:AD95)*2400</f>
        <v>761.23587511097651</v>
      </c>
      <c r="BD84" s="4">
        <f>AVERAGE(AE84:AF95)*2400</f>
        <v>730.68937458636003</v>
      </c>
      <c r="BE84" s="4">
        <f>AVERAGE(AG84:AH93)*2000</f>
        <v>612.81199650928181</v>
      </c>
      <c r="BF84" s="4">
        <f>AVERAGE(AI84:AJ95)*2400</f>
        <v>767.78706586965302</v>
      </c>
      <c r="BG84" s="4">
        <f>AVERAGE(AK84:AL95)*2400</f>
        <v>747.83516941081518</v>
      </c>
      <c r="BH84" s="4">
        <f>AVERAGE(AM84:AN95)*2400</f>
        <v>769.97202676553661</v>
      </c>
      <c r="BI84" s="4">
        <f>AVERAGE(AO84:AP95)*2400</f>
        <v>753.24608451372069</v>
      </c>
      <c r="BJ84" s="4">
        <f>AVERAGE(AQ84:AR93)*2000</f>
        <v>597.48282955004049</v>
      </c>
      <c r="BK84" s="4" t="e">
        <f>AVERAGE(AS84:AT95)*2400</f>
        <v>#N/A</v>
      </c>
      <c r="BL84" s="4" t="e">
        <f>AVERAGE(AU84:AV95)*2400</f>
        <v>#N/A</v>
      </c>
    </row>
    <row r="85" spans="25:64" x14ac:dyDescent="0.25">
      <c r="AA85" s="15">
        <f t="shared" ref="AA85:AA95" si="13">AA84</f>
        <v>41471</v>
      </c>
      <c r="AB85" s="4">
        <f t="shared" ref="AB85:AB95" si="14">AB84+20</f>
        <v>30</v>
      </c>
      <c r="AC85" s="4" cm="1">
        <f t="array" ref="AC85">_xlfn.XLOOKUP(1,('2013 E Maize Soil VWC'!$C$2:$C$4000=$AA85)*('2013 E Maize Soil VWC'!$E$2:$E$4000=$AB85)*('2013 E Maize Soil VWC'!$F$2:$F$4000=AC$5),'2013 E Maize Soil VWC'!$G$2:$G$4000)</f>
        <v>0.31760118644067797</v>
      </c>
      <c r="AD85" s="4" cm="1">
        <f t="array" ref="AD85">_xlfn.XLOOKUP(1,('2013 E Maize Soil VWC'!$C$2:$C$4000=$AA85)*('2013 E Maize Soil VWC'!$E$2:$E$4000=$AB85)*('2013 E Maize Soil VWC'!$F$2:$F$4000=AD$5),'2013 E Maize Soil VWC'!$G$2:$G$4000)</f>
        <v>0.34076831497175142</v>
      </c>
      <c r="AE85" s="4" cm="1">
        <f t="array" ref="AE85">_xlfn.XLOOKUP(1,('2013 E Maize Soil VWC'!$C$2:$C$4000=$AA85)*('2013 E Maize Soil VWC'!$E$2:$E$4000=$AB85)*('2013 E Maize Soil VWC'!$F$2:$F$4000=AE$5),'2013 E Maize Soil VWC'!$G$2:$G$4000)</f>
        <v>0.3143771327683616</v>
      </c>
      <c r="AF85" s="4" cm="1">
        <f t="array" ref="AF85">_xlfn.XLOOKUP(1,('2013 E Maize Soil VWC'!$C$2:$C$4000=$AA85)*('2013 E Maize Soil VWC'!$E$2:$E$4000=$AB85)*('2013 E Maize Soil VWC'!$F$2:$F$4000=AF$5),'2013 E Maize Soil VWC'!$G$2:$G$4000)</f>
        <v>0.28492309957627115</v>
      </c>
      <c r="AG85" s="4" cm="1">
        <f t="array" ref="AG85">_xlfn.XLOOKUP(1,('2013 E Maize Soil VWC'!$C$2:$C$4000=$AA85)*('2013 E Maize Soil VWC'!$E$2:$E$4000=$AB85)*('2013 E Maize Soil VWC'!$F$2:$F$4000=AG$5),'2013 E Maize Soil VWC'!$G$2:$G$4000)</f>
        <v>0.27426069350282484</v>
      </c>
      <c r="AH85" s="4" cm="1">
        <f t="array" ref="AH85">_xlfn.XLOOKUP(1,('2013 E Maize Soil VWC'!$C$2:$C$4000=$AA85)*('2013 E Maize Soil VWC'!$E$2:$E$4000=$AB85)*('2013 E Maize Soil VWC'!$F$2:$F$4000=AH$5),'2013 E Maize Soil VWC'!$G$2:$G$4000)</f>
        <v>0.28063971398305088</v>
      </c>
      <c r="AI85" s="4" cm="1">
        <f t="array" ref="AI85">_xlfn.XLOOKUP(1,('2013 E Maize Soil VWC'!$C$2:$C$4000=$AA85)*('2013 E Maize Soil VWC'!$E$2:$E$4000=$AB85)*('2013 E Maize Soil VWC'!$F$2:$F$4000=AI$5),'2013 E Maize Soil VWC'!$G$2:$G$4000)</f>
        <v>0.35198341596045196</v>
      </c>
      <c r="AJ85" s="4" cm="1">
        <f t="array" ref="AJ85">_xlfn.XLOOKUP(1,('2013 E Maize Soil VWC'!$C$2:$C$4000=$AA85)*('2013 E Maize Soil VWC'!$E$2:$E$4000=$AB85)*('2013 E Maize Soil VWC'!$F$2:$F$4000=AJ$5),'2013 E Maize Soil VWC'!$G$2:$G$4000)</f>
        <v>0.32796421610169491</v>
      </c>
      <c r="AK85" s="4" cm="1">
        <f t="array" ref="AK85">_xlfn.XLOOKUP(1,('2013 E Maize Soil VWC'!$C$2:$C$4000=$AA85)*('2013 E Maize Soil VWC'!$E$2:$E$4000=$AB85)*('2013 E Maize Soil VWC'!$F$2:$F$4000=AK$5),'2013 E Maize Soil VWC'!$G$2:$G$4000)</f>
        <v>0.30903441525423725</v>
      </c>
      <c r="AL85" s="4" cm="1">
        <f t="array" ref="AL85">_xlfn.XLOOKUP(1,('2013 E Maize Soil VWC'!$C$2:$C$4000=$AA85)*('2013 E Maize Soil VWC'!$E$2:$E$4000=$AB85)*('2013 E Maize Soil VWC'!$F$2:$F$4000=AL$5),'2013 E Maize Soil VWC'!$G$2:$G$4000)</f>
        <v>0.30657031709039545</v>
      </c>
      <c r="AM85" s="4" cm="1">
        <f t="array" ref="AM85">_xlfn.XLOOKUP(1,('2013 E Maize Soil VWC'!$C$2:$C$4000=$AA85)*('2013 E Maize Soil VWC'!$E$2:$E$4000=$AB85)*('2013 E Maize Soil VWC'!$F$2:$F$4000=AM$5),'2013 E Maize Soil VWC'!$G$2:$G$4000)</f>
        <v>0.33151067514124288</v>
      </c>
      <c r="AN85" s="4" cm="1">
        <f t="array" ref="AN85">_xlfn.XLOOKUP(1,('2013 E Maize Soil VWC'!$C$2:$C$4000=$AA85)*('2013 E Maize Soil VWC'!$E$2:$E$4000=$AB85)*('2013 E Maize Soil VWC'!$F$2:$F$4000=AN$5),'2013 E Maize Soil VWC'!$G$2:$G$4000)</f>
        <v>0.32084826906779662</v>
      </c>
      <c r="AO85" s="4" cm="1">
        <f t="array" ref="AO85">_xlfn.XLOOKUP(1,('2013 E Maize Soil VWC'!$C$2:$C$4000=$AA85)*('2013 E Maize Soil VWC'!$E$2:$E$4000=$AB85)*('2013 E Maize Soil VWC'!$F$2:$F$4000=AO$5),'2013 E Maize Soil VWC'!$G$2:$G$4000)</f>
        <v>0.30327717655367231</v>
      </c>
      <c r="AP85" s="4" cm="1">
        <f t="array" ref="AP85">_xlfn.XLOOKUP(1,('2013 E Maize Soil VWC'!$C$2:$C$4000=$AA85)*('2013 E Maize Soil VWC'!$E$2:$E$4000=$AB85)*('2013 E Maize Soil VWC'!$F$2:$F$4000=AP$5),'2013 E Maize Soil VWC'!$G$2:$G$4000)</f>
        <v>0.30263236581920899</v>
      </c>
      <c r="AQ85" s="4" cm="1">
        <f t="array" ref="AQ85">_xlfn.XLOOKUP(1,('2013 E Maize Soil VWC'!$C$2:$C$4000=$AA85)*('2013 E Maize Soil VWC'!$E$2:$E$4000=$AB85)*('2013 E Maize Soil VWC'!$F$2:$F$4000=AQ$5),'2013 E Maize Soil VWC'!$G$2:$G$4000)</f>
        <v>0.27456006991525422</v>
      </c>
      <c r="AR85" s="4" cm="1">
        <f t="array" ref="AR85">_xlfn.XLOOKUP(1,('2013 E Maize Soil VWC'!$C$2:$C$4000=$AA85)*('2013 E Maize Soil VWC'!$E$2:$E$4000=$AB85)*('2013 E Maize Soil VWC'!$F$2:$F$4000=AR$5),'2013 E Maize Soil VWC'!$G$2:$G$4000)</f>
        <v>0.28017913488700563</v>
      </c>
      <c r="AS85" s="4" cm="1">
        <f t="array" ref="AS85">_xlfn.XLOOKUP(1,('2013 E Maize Soil VWC'!$C$2:$C$4000=$AA85)*('2013 E Maize Soil VWC'!$E$2:$E$4000=$AB85)*('2013 E Maize Soil VWC'!$F$2:$F$4000=AS$5),'2013 E Maize Soil VWC'!$G$2:$G$4000)</f>
        <v>0.33623161087570619</v>
      </c>
      <c r="AT85" s="4" t="e" cm="1">
        <f t="array" ref="AT85">_xlfn.XLOOKUP(1,('2013 E Maize Soil VWC'!$C$2:$C$4000=$AA85)*('2013 E Maize Soil VWC'!$E$2:$E$4000=$AB85)*('2013 E Maize Soil VWC'!$F$2:$F$4000=AT$5),'2013 E Maize Soil VWC'!$G$2:$G$4000)</f>
        <v>#N/A</v>
      </c>
      <c r="AU85" s="4" t="e" cm="1">
        <f t="array" ref="AU85">_xlfn.XLOOKUP(1,('2013 E Maize Soil VWC'!$C$2:$C$4000=$AA85)*('2013 E Maize Soil VWC'!$E$2:$E$4000=$AB85)*('2013 E Maize Soil VWC'!$F$2:$F$4000=AU$5),'2013 E Maize Soil VWC'!$G$2:$G$4000)</f>
        <v>#N/A</v>
      </c>
      <c r="AV85" s="4" t="e" cm="1">
        <f t="array" ref="AV85">_xlfn.XLOOKUP(1,('2013 E Maize Soil VWC'!$C$2:$C$4000=$AA85)*('2013 E Maize Soil VWC'!$E$2:$E$4000=$AB85)*('2013 E Maize Soil VWC'!$F$2:$F$4000=AV$5),'2013 E Maize Soil VWC'!$G$2:$G$4000)</f>
        <v>#N/A</v>
      </c>
    </row>
    <row r="86" spans="25:64" x14ac:dyDescent="0.25">
      <c r="AA86" s="15">
        <f t="shared" si="13"/>
        <v>41471</v>
      </c>
      <c r="AB86" s="4">
        <f t="shared" si="14"/>
        <v>50</v>
      </c>
      <c r="AC86" s="4" cm="1">
        <f t="array" ref="AC86">_xlfn.XLOOKUP(1,('2013 E Maize Soil VWC'!$C$2:$C$4000=$AA86)*('2013 E Maize Soil VWC'!$E$2:$E$4000=$AB86)*('2013 E Maize Soil VWC'!$F$2:$F$4000=AC$5),'2013 E Maize Soil VWC'!$G$2:$G$4000)</f>
        <v>0.33563285805084747</v>
      </c>
      <c r="AD86" s="4" cm="1">
        <f t="array" ref="AD86">_xlfn.XLOOKUP(1,('2013 E Maize Soil VWC'!$C$2:$C$4000=$AA86)*('2013 E Maize Soil VWC'!$E$2:$E$4000=$AB86)*('2013 E Maize Soil VWC'!$F$2:$F$4000=AD$5),'2013 E Maize Soil VWC'!$G$2:$G$4000)</f>
        <v>0.35573713559322034</v>
      </c>
      <c r="AE86" s="4" cm="1">
        <f t="array" ref="AE86">_xlfn.XLOOKUP(1,('2013 E Maize Soil VWC'!$C$2:$C$4000=$AA86)*('2013 E Maize Soil VWC'!$E$2:$E$4000=$AB86)*('2013 E Maize Soil VWC'!$F$2:$F$4000=AE$5),'2013 E Maize Soil VWC'!$G$2:$G$4000)</f>
        <v>0.33395174435028246</v>
      </c>
      <c r="AF86" s="4" cm="1">
        <f t="array" ref="AF86">_xlfn.XLOOKUP(1,('2013 E Maize Soil VWC'!$C$2:$C$4000=$AA86)*('2013 E Maize Soil VWC'!$E$2:$E$4000=$AB86)*('2013 E Maize Soil VWC'!$F$2:$F$4000=AF$5),'2013 E Maize Soil VWC'!$G$2:$G$4000)</f>
        <v>0.32759575282485875</v>
      </c>
      <c r="AG86" s="4" cm="1">
        <f t="array" ref="AG86">_xlfn.XLOOKUP(1,('2013 E Maize Soil VWC'!$C$2:$C$4000=$AA86)*('2013 E Maize Soil VWC'!$E$2:$E$4000=$AB86)*('2013 E Maize Soil VWC'!$F$2:$F$4000=AG$5),'2013 E Maize Soil VWC'!$G$2:$G$4000)</f>
        <v>0.28787080579096042</v>
      </c>
      <c r="AH86" s="4" cm="1">
        <f t="array" ref="AH86">_xlfn.XLOOKUP(1,('2013 E Maize Soil VWC'!$C$2:$C$4000=$AA86)*('2013 E Maize Soil VWC'!$E$2:$E$4000=$AB86)*('2013 E Maize Soil VWC'!$F$2:$F$4000=AH$5),'2013 E Maize Soil VWC'!$G$2:$G$4000)</f>
        <v>0.29404256567796611</v>
      </c>
      <c r="AI86" s="4" cm="1">
        <f t="array" ref="AI86">_xlfn.XLOOKUP(1,('2013 E Maize Soil VWC'!$C$2:$C$4000=$AA86)*('2013 E Maize Soil VWC'!$E$2:$E$4000=$AB86)*('2013 E Maize Soil VWC'!$F$2:$F$4000=AI$5),'2013 E Maize Soil VWC'!$G$2:$G$4000)</f>
        <v>0.34396933968926552</v>
      </c>
      <c r="AJ86" s="4" cm="1">
        <f t="array" ref="AJ86">_xlfn.XLOOKUP(1,('2013 E Maize Soil VWC'!$C$2:$C$4000=$AA86)*('2013 E Maize Soil VWC'!$E$2:$E$4000=$AB86)*('2013 E Maize Soil VWC'!$F$2:$F$4000=AJ$5),'2013 E Maize Soil VWC'!$G$2:$G$4000)</f>
        <v>0.33600132132768362</v>
      </c>
      <c r="AK86" s="4" cm="1">
        <f t="array" ref="AK86">_xlfn.XLOOKUP(1,('2013 E Maize Soil VWC'!$C$2:$C$4000=$AA86)*('2013 E Maize Soil VWC'!$E$2:$E$4000=$AB86)*('2013 E Maize Soil VWC'!$F$2:$F$4000=AK$5),'2013 E Maize Soil VWC'!$G$2:$G$4000)</f>
        <v>0.32874720056497175</v>
      </c>
      <c r="AL86" s="4" cm="1">
        <f t="array" ref="AL86">_xlfn.XLOOKUP(1,('2013 E Maize Soil VWC'!$C$2:$C$4000=$AA86)*('2013 E Maize Soil VWC'!$E$2:$E$4000=$AB86)*('2013 E Maize Soil VWC'!$F$2:$F$4000=AL$5),'2013 E Maize Soil VWC'!$G$2:$G$4000)</f>
        <v>0.34044590960451976</v>
      </c>
      <c r="AM86" s="4" cm="1">
        <f t="array" ref="AM86">_xlfn.XLOOKUP(1,('2013 E Maize Soil VWC'!$C$2:$C$4000=$AA86)*('2013 E Maize Soil VWC'!$E$2:$E$4000=$AB86)*('2013 E Maize Soil VWC'!$F$2:$F$4000=AM$5),'2013 E Maize Soil VWC'!$G$2:$G$4000)</f>
        <v>0.34908176765536719</v>
      </c>
      <c r="AN86" s="4" cm="1">
        <f t="array" ref="AN86">_xlfn.XLOOKUP(1,('2013 E Maize Soil VWC'!$C$2:$C$4000=$AA86)*('2013 E Maize Soil VWC'!$E$2:$E$4000=$AB86)*('2013 E Maize Soil VWC'!$F$2:$F$4000=AN$5),'2013 E Maize Soil VWC'!$G$2:$G$4000)</f>
        <v>0.3356098290960452</v>
      </c>
      <c r="AO86" s="4" cm="1">
        <f t="array" ref="AO86">_xlfn.XLOOKUP(1,('2013 E Maize Soil VWC'!$C$2:$C$4000=$AA86)*('2013 E Maize Soil VWC'!$E$2:$E$4000=$AB86)*('2013 E Maize Soil VWC'!$F$2:$F$4000=AO$5),'2013 E Maize Soil VWC'!$G$2:$G$4000)</f>
        <v>0.33821210098870053</v>
      </c>
      <c r="AP86" s="4" cm="1">
        <f t="array" ref="AP86">_xlfn.XLOOKUP(1,('2013 E Maize Soil VWC'!$C$2:$C$4000=$AA86)*('2013 E Maize Soil VWC'!$E$2:$E$4000=$AB86)*('2013 E Maize Soil VWC'!$F$2:$F$4000=AP$5),'2013 E Maize Soil VWC'!$G$2:$G$4000)</f>
        <v>0.33671521892655365</v>
      </c>
      <c r="AQ86" s="4" cm="1">
        <f t="array" ref="AQ86">_xlfn.XLOOKUP(1,('2013 E Maize Soil VWC'!$C$2:$C$4000=$AA86)*('2013 E Maize Soil VWC'!$E$2:$E$4000=$AB86)*('2013 E Maize Soil VWC'!$F$2:$F$4000=AQ$5),'2013 E Maize Soil VWC'!$G$2:$G$4000)</f>
        <v>0.27730051553672314</v>
      </c>
      <c r="AR86" s="4" cm="1">
        <f t="array" ref="AR86">_xlfn.XLOOKUP(1,('2013 E Maize Soil VWC'!$C$2:$C$4000=$AA86)*('2013 E Maize Soil VWC'!$E$2:$E$4000=$AB86)*('2013 E Maize Soil VWC'!$F$2:$F$4000=AR$5),'2013 E Maize Soil VWC'!$G$2:$G$4000)</f>
        <v>0.28356439124293786</v>
      </c>
      <c r="AS86" s="4" cm="1">
        <f t="array" ref="AS86">_xlfn.XLOOKUP(1,('2013 E Maize Soil VWC'!$C$2:$C$4000=$AA86)*('2013 E Maize Soil VWC'!$E$2:$E$4000=$AB86)*('2013 E Maize Soil VWC'!$F$2:$F$4000=AS$5),'2013 E Maize Soil VWC'!$G$2:$G$4000)</f>
        <v>0.34848301483050848</v>
      </c>
      <c r="AT86" s="4" t="e" cm="1">
        <f t="array" ref="AT86">_xlfn.XLOOKUP(1,('2013 E Maize Soil VWC'!$C$2:$C$4000=$AA86)*('2013 E Maize Soil VWC'!$E$2:$E$4000=$AB86)*('2013 E Maize Soil VWC'!$F$2:$F$4000=AT$5),'2013 E Maize Soil VWC'!$G$2:$G$4000)</f>
        <v>#N/A</v>
      </c>
      <c r="AU86" s="4" t="e" cm="1">
        <f t="array" ref="AU86">_xlfn.XLOOKUP(1,('2013 E Maize Soil VWC'!$C$2:$C$4000=$AA86)*('2013 E Maize Soil VWC'!$E$2:$E$4000=$AB86)*('2013 E Maize Soil VWC'!$F$2:$F$4000=AU$5),'2013 E Maize Soil VWC'!$G$2:$G$4000)</f>
        <v>#N/A</v>
      </c>
      <c r="AV86" s="4" t="e" cm="1">
        <f t="array" ref="AV86">_xlfn.XLOOKUP(1,('2013 E Maize Soil VWC'!$C$2:$C$4000=$AA86)*('2013 E Maize Soil VWC'!$E$2:$E$4000=$AB86)*('2013 E Maize Soil VWC'!$F$2:$F$4000=AV$5),'2013 E Maize Soil VWC'!$G$2:$G$4000)</f>
        <v>#N/A</v>
      </c>
    </row>
    <row r="87" spans="25:64" x14ac:dyDescent="0.25">
      <c r="AA87" s="15">
        <f t="shared" si="13"/>
        <v>41471</v>
      </c>
      <c r="AB87" s="4">
        <f t="shared" si="14"/>
        <v>70</v>
      </c>
      <c r="AC87" s="4" cm="1">
        <f t="array" ref="AC87">_xlfn.XLOOKUP(1,('2013 E Maize Soil VWC'!$C$2:$C$4000=$AA87)*('2013 E Maize Soil VWC'!$E$2:$E$4000=$AB87)*('2013 E Maize Soil VWC'!$F$2:$F$4000=AC$5),'2013 E Maize Soil VWC'!$G$2:$G$4000)</f>
        <v>0.34921994138418078</v>
      </c>
      <c r="AD87" s="4" cm="1">
        <f t="array" ref="AD87">_xlfn.XLOOKUP(1,('2013 E Maize Soil VWC'!$C$2:$C$4000=$AA87)*('2013 E Maize Soil VWC'!$E$2:$E$4000=$AB87)*('2013 E Maize Soil VWC'!$F$2:$F$4000=AD$5),'2013 E Maize Soil VWC'!$G$2:$G$4000)</f>
        <v>0.35516141172316384</v>
      </c>
      <c r="AE87" s="4" cm="1">
        <f t="array" ref="AE87">_xlfn.XLOOKUP(1,('2013 E Maize Soil VWC'!$C$2:$C$4000=$AA87)*('2013 E Maize Soil VWC'!$E$2:$E$4000=$AB87)*('2013 E Maize Soil VWC'!$F$2:$F$4000=AE$5),'2013 E Maize Soil VWC'!$G$2:$G$4000)</f>
        <v>0.34546622175141239</v>
      </c>
      <c r="AF87" s="4" cm="1">
        <f t="array" ref="AF87">_xlfn.XLOOKUP(1,('2013 E Maize Soil VWC'!$C$2:$C$4000=$AA87)*('2013 E Maize Soil VWC'!$E$2:$E$4000=$AB87)*('2013 E Maize Soil VWC'!$F$2:$F$4000=AF$5),'2013 E Maize Soil VWC'!$G$2:$G$4000)</f>
        <v>0.33374448375706212</v>
      </c>
      <c r="AG87" s="4" cm="1">
        <f t="array" ref="AG87">_xlfn.XLOOKUP(1,('2013 E Maize Soil VWC'!$C$2:$C$4000=$AA87)*('2013 E Maize Soil VWC'!$E$2:$E$4000=$AB87)*('2013 E Maize Soil VWC'!$F$2:$F$4000=AG$5),'2013 E Maize Soil VWC'!$G$2:$G$4000)</f>
        <v>0.30072096257062142</v>
      </c>
      <c r="AH87" s="4" cm="1">
        <f t="array" ref="AH87">_xlfn.XLOOKUP(1,('2013 E Maize Soil VWC'!$C$2:$C$4000=$AA87)*('2013 E Maize Soil VWC'!$E$2:$E$4000=$AB87)*('2013 E Maize Soil VWC'!$F$2:$F$4000=AH$5),'2013 E Maize Soil VWC'!$G$2:$G$4000)</f>
        <v>0.30323111864406782</v>
      </c>
      <c r="AI87" s="4" cm="1">
        <f t="array" ref="AI87">_xlfn.XLOOKUP(1,('2013 E Maize Soil VWC'!$C$2:$C$4000=$AA87)*('2013 E Maize Soil VWC'!$E$2:$E$4000=$AB87)*('2013 E Maize Soil VWC'!$F$2:$F$4000=AI$5),'2013 E Maize Soil VWC'!$G$2:$G$4000)</f>
        <v>0.34539713488700563</v>
      </c>
      <c r="AJ87" s="4" cm="1">
        <f t="array" ref="AJ87">_xlfn.XLOOKUP(1,('2013 E Maize Soil VWC'!$C$2:$C$4000=$AA87)*('2013 E Maize Soil VWC'!$E$2:$E$4000=$AB87)*('2013 E Maize Soil VWC'!$F$2:$F$4000=AJ$5),'2013 E Maize Soil VWC'!$G$2:$G$4000)</f>
        <v>0.34380813700564972</v>
      </c>
      <c r="AK87" s="4" cm="1">
        <f t="array" ref="AK87">_xlfn.XLOOKUP(1,('2013 E Maize Soil VWC'!$C$2:$C$4000=$AA87)*('2013 E Maize Soil VWC'!$E$2:$E$4000=$AB87)*('2013 E Maize Soil VWC'!$F$2:$F$4000=AK$5),'2013 E Maize Soil VWC'!$G$2:$G$4000)</f>
        <v>0.34601891666666662</v>
      </c>
      <c r="AL87" s="4" cm="1">
        <f t="array" ref="AL87">_xlfn.XLOOKUP(1,('2013 E Maize Soil VWC'!$C$2:$C$4000=$AA87)*('2013 E Maize Soil VWC'!$E$2:$E$4000=$AB87)*('2013 E Maize Soil VWC'!$F$2:$F$4000=AL$5),'2013 E Maize Soil VWC'!$G$2:$G$4000)</f>
        <v>0.34901268079096043</v>
      </c>
      <c r="AM87" s="4" cm="1">
        <f t="array" ref="AM87">_xlfn.XLOOKUP(1,('2013 E Maize Soil VWC'!$C$2:$C$4000=$AA87)*('2013 E Maize Soil VWC'!$E$2:$E$4000=$AB87)*('2013 E Maize Soil VWC'!$F$2:$F$4000=AM$5),'2013 E Maize Soil VWC'!$G$2:$G$4000)</f>
        <v>0.35532261440677965</v>
      </c>
      <c r="AN87" s="4" cm="1">
        <f t="array" ref="AN87">_xlfn.XLOOKUP(1,('2013 E Maize Soil VWC'!$C$2:$C$4000=$AA87)*('2013 E Maize Soil VWC'!$E$2:$E$4000=$AB87)*('2013 E Maize Soil VWC'!$F$2:$F$4000=AN$5),'2013 E Maize Soil VWC'!$G$2:$G$4000)</f>
        <v>0.34277183403954797</v>
      </c>
      <c r="AO87" s="4" cm="1">
        <f t="array" ref="AO87">_xlfn.XLOOKUP(1,('2013 E Maize Soil VWC'!$C$2:$C$4000=$AA87)*('2013 E Maize Soil VWC'!$E$2:$E$4000=$AB87)*('2013 E Maize Soil VWC'!$F$2:$F$4000=AO$5),'2013 E Maize Soil VWC'!$G$2:$G$4000)</f>
        <v>0.34857513064971746</v>
      </c>
      <c r="AP87" s="4" cm="1">
        <f t="array" ref="AP87">_xlfn.XLOOKUP(1,('2013 E Maize Soil VWC'!$C$2:$C$4000=$AA87)*('2013 E Maize Soil VWC'!$E$2:$E$4000=$AB87)*('2013 E Maize Soil VWC'!$F$2:$F$4000=AP$5),'2013 E Maize Soil VWC'!$G$2:$G$4000)</f>
        <v>0.3503483601694915</v>
      </c>
      <c r="AQ87" s="4" cm="1">
        <f t="array" ref="AQ87">_xlfn.XLOOKUP(1,('2013 E Maize Soil VWC'!$C$2:$C$4000=$AA87)*('2013 E Maize Soil VWC'!$E$2:$E$4000=$AB87)*('2013 E Maize Soil VWC'!$F$2:$F$4000=AQ$5),'2013 E Maize Soil VWC'!$G$2:$G$4000)</f>
        <v>0.27651753107344629</v>
      </c>
      <c r="AR87" s="4" cm="1">
        <f t="array" ref="AR87">_xlfn.XLOOKUP(1,('2013 E Maize Soil VWC'!$C$2:$C$4000=$AA87)*('2013 E Maize Soil VWC'!$E$2:$E$4000=$AB87)*('2013 E Maize Soil VWC'!$F$2:$F$4000=AR$5),'2013 E Maize Soil VWC'!$G$2:$G$4000)</f>
        <v>0.29070336723163837</v>
      </c>
      <c r="AS87" s="4" cm="1">
        <f t="array" ref="AS87">_xlfn.XLOOKUP(1,('2013 E Maize Soil VWC'!$C$2:$C$4000=$AA87)*('2013 E Maize Soil VWC'!$E$2:$E$4000=$AB87)*('2013 E Maize Soil VWC'!$F$2:$F$4000=AS$5),'2013 E Maize Soil VWC'!$G$2:$G$4000)</f>
        <v>0.34622617725988697</v>
      </c>
      <c r="AT87" s="4" t="e" cm="1">
        <f t="array" ref="AT87">_xlfn.XLOOKUP(1,('2013 E Maize Soil VWC'!$C$2:$C$4000=$AA87)*('2013 E Maize Soil VWC'!$E$2:$E$4000=$AB87)*('2013 E Maize Soil VWC'!$F$2:$F$4000=AT$5),'2013 E Maize Soil VWC'!$G$2:$G$4000)</f>
        <v>#N/A</v>
      </c>
      <c r="AU87" s="4" t="e" cm="1">
        <f t="array" ref="AU87">_xlfn.XLOOKUP(1,('2013 E Maize Soil VWC'!$C$2:$C$4000=$AA87)*('2013 E Maize Soil VWC'!$E$2:$E$4000=$AB87)*('2013 E Maize Soil VWC'!$F$2:$F$4000=AU$5),'2013 E Maize Soil VWC'!$G$2:$G$4000)</f>
        <v>#N/A</v>
      </c>
      <c r="AV87" s="4" t="e" cm="1">
        <f t="array" ref="AV87">_xlfn.XLOOKUP(1,('2013 E Maize Soil VWC'!$C$2:$C$4000=$AA87)*('2013 E Maize Soil VWC'!$E$2:$E$4000=$AB87)*('2013 E Maize Soil VWC'!$F$2:$F$4000=AV$5),'2013 E Maize Soil VWC'!$G$2:$G$4000)</f>
        <v>#N/A</v>
      </c>
    </row>
    <row r="88" spans="25:64" x14ac:dyDescent="0.25">
      <c r="AA88" s="15">
        <f t="shared" si="13"/>
        <v>41471</v>
      </c>
      <c r="AB88" s="4">
        <f t="shared" si="14"/>
        <v>90</v>
      </c>
      <c r="AC88" s="4" cm="1">
        <f t="array" ref="AC88">_xlfn.XLOOKUP(1,('2013 E Maize Soil VWC'!$C$2:$C$4000=$AA88)*('2013 E Maize Soil VWC'!$E$2:$E$4000=$AB88)*('2013 E Maize Soil VWC'!$F$2:$F$4000=AC$5),'2013 E Maize Soil VWC'!$G$2:$G$4000)</f>
        <v>0.35214461864406776</v>
      </c>
      <c r="AD88" s="4" cm="1">
        <f t="array" ref="AD88">_xlfn.XLOOKUP(1,('2013 E Maize Soil VWC'!$C$2:$C$4000=$AA88)*('2013 E Maize Soil VWC'!$E$2:$E$4000=$AB88)*('2013 E Maize Soil VWC'!$F$2:$F$4000=AD$5),'2013 E Maize Soil VWC'!$G$2:$G$4000)</f>
        <v>0.35670435169491527</v>
      </c>
      <c r="AE88" s="4" cm="1">
        <f t="array" ref="AE88">_xlfn.XLOOKUP(1,('2013 E Maize Soil VWC'!$C$2:$C$4000=$AA88)*('2013 E Maize Soil VWC'!$E$2:$E$4000=$AB88)*('2013 E Maize Soil VWC'!$F$2:$F$4000=AE$5),'2013 E Maize Soil VWC'!$G$2:$G$4000)</f>
        <v>0.33611646610169488</v>
      </c>
      <c r="AF88" s="4" cm="1">
        <f t="array" ref="AF88">_xlfn.XLOOKUP(1,('2013 E Maize Soil VWC'!$C$2:$C$4000=$AA88)*('2013 E Maize Soil VWC'!$E$2:$E$4000=$AB88)*('2013 E Maize Soil VWC'!$F$2:$F$4000=AF$5),'2013 E Maize Soil VWC'!$G$2:$G$4000)</f>
        <v>0.3378206087570621</v>
      </c>
      <c r="AG88" s="4" cm="1">
        <f t="array" ref="AG88">_xlfn.XLOOKUP(1,('2013 E Maize Soil VWC'!$C$2:$C$4000=$AA88)*('2013 E Maize Soil VWC'!$E$2:$E$4000=$AB88)*('2013 E Maize Soil VWC'!$F$2:$F$4000=AG$5),'2013 E Maize Soil VWC'!$G$2:$G$4000)</f>
        <v>0.3188908079096045</v>
      </c>
      <c r="AH88" s="4" cm="1">
        <f t="array" ref="AH88">_xlfn.XLOOKUP(1,('2013 E Maize Soil VWC'!$C$2:$C$4000=$AA88)*('2013 E Maize Soil VWC'!$E$2:$E$4000=$AB88)*('2013 E Maize Soil VWC'!$F$2:$F$4000=AH$5),'2013 E Maize Soil VWC'!$G$2:$G$4000)</f>
        <v>0.32229909322033895</v>
      </c>
      <c r="AI88" s="4" cm="1">
        <f t="array" ref="AI88">_xlfn.XLOOKUP(1,('2013 E Maize Soil VWC'!$C$2:$C$4000=$AA88)*('2013 E Maize Soil VWC'!$E$2:$E$4000=$AB88)*('2013 E Maize Soil VWC'!$F$2:$F$4000=AI$5),'2013 E Maize Soil VWC'!$G$2:$G$4000)</f>
        <v>0.34553530861581921</v>
      </c>
      <c r="AJ88" s="4" cm="1">
        <f t="array" ref="AJ88">_xlfn.XLOOKUP(1,('2013 E Maize Soil VWC'!$C$2:$C$4000=$AA88)*('2013 E Maize Soil VWC'!$E$2:$E$4000=$AB88)*('2013 E Maize Soil VWC'!$F$2:$F$4000=AJ$5),'2013 E Maize Soil VWC'!$G$2:$G$4000)</f>
        <v>0.3405380254237288</v>
      </c>
      <c r="AK88" s="4" cm="1">
        <f t="array" ref="AK88">_xlfn.XLOOKUP(1,('2013 E Maize Soil VWC'!$C$2:$C$4000=$AA88)*('2013 E Maize Soil VWC'!$E$2:$E$4000=$AB88)*('2013 E Maize Soil VWC'!$F$2:$F$4000=AK$5),'2013 E Maize Soil VWC'!$G$2:$G$4000)</f>
        <v>0.34097557556497177</v>
      </c>
      <c r="AL88" s="4" cm="1">
        <f t="array" ref="AL88">_xlfn.XLOOKUP(1,('2013 E Maize Soil VWC'!$C$2:$C$4000=$AA88)*('2013 E Maize Soil VWC'!$E$2:$E$4000=$AB88)*('2013 E Maize Soil VWC'!$F$2:$F$4000=AL$5),'2013 E Maize Soil VWC'!$G$2:$G$4000)</f>
        <v>0.34360087641242931</v>
      </c>
      <c r="AM88" s="4" cm="1">
        <f t="array" ref="AM88">_xlfn.XLOOKUP(1,('2013 E Maize Soil VWC'!$C$2:$C$4000=$AA88)*('2013 E Maize Soil VWC'!$E$2:$E$4000=$AB88)*('2013 E Maize Soil VWC'!$F$2:$F$4000=AM$5),'2013 E Maize Soil VWC'!$G$2:$G$4000)</f>
        <v>0.35009504166666661</v>
      </c>
      <c r="AN88" s="4" cm="1">
        <f t="array" ref="AN88">_xlfn.XLOOKUP(1,('2013 E Maize Soil VWC'!$C$2:$C$4000=$AA88)*('2013 E Maize Soil VWC'!$E$2:$E$4000=$AB88)*('2013 E Maize Soil VWC'!$F$2:$F$4000=AN$5),'2013 E Maize Soil VWC'!$G$2:$G$4000)</f>
        <v>0.34433780296610167</v>
      </c>
      <c r="AO88" s="4" cm="1">
        <f t="array" ref="AO88">_xlfn.XLOOKUP(1,('2013 E Maize Soil VWC'!$C$2:$C$4000=$AA88)*('2013 E Maize Soil VWC'!$E$2:$E$4000=$AB88)*('2013 E Maize Soil VWC'!$F$2:$F$4000=AO$5),'2013 E Maize Soil VWC'!$G$2:$G$4000)</f>
        <v>0.34997989689265535</v>
      </c>
      <c r="AP88" s="4" cm="1">
        <f t="array" ref="AP88">_xlfn.XLOOKUP(1,('2013 E Maize Soil VWC'!$C$2:$C$4000=$AA88)*('2013 E Maize Soil VWC'!$E$2:$E$4000=$AB88)*('2013 E Maize Soil VWC'!$F$2:$F$4000=AP$5),'2013 E Maize Soil VWC'!$G$2:$G$4000)</f>
        <v>0.33625463983050846</v>
      </c>
      <c r="AQ88" s="4" cm="1">
        <f t="array" ref="AQ88">_xlfn.XLOOKUP(1,('2013 E Maize Soil VWC'!$C$2:$C$4000=$AA88)*('2013 E Maize Soil VWC'!$E$2:$E$4000=$AB88)*('2013 E Maize Soil VWC'!$F$2:$F$4000=AQ$5),'2013 E Maize Soil VWC'!$G$2:$G$4000)</f>
        <v>0.30719209887005644</v>
      </c>
      <c r="AR88" s="4" cm="1">
        <f t="array" ref="AR88">_xlfn.XLOOKUP(1,('2013 E Maize Soil VWC'!$C$2:$C$4000=$AA88)*('2013 E Maize Soil VWC'!$E$2:$E$4000=$AB88)*('2013 E Maize Soil VWC'!$F$2:$F$4000=AR$5),'2013 E Maize Soil VWC'!$G$2:$G$4000)</f>
        <v>0.31007071822033894</v>
      </c>
      <c r="AS88" s="4" cm="1">
        <f t="array" ref="AS88">_xlfn.XLOOKUP(1,('2013 E Maize Soil VWC'!$C$2:$C$4000=$AA88)*('2013 E Maize Soil VWC'!$E$2:$E$4000=$AB88)*('2013 E Maize Soil VWC'!$F$2:$F$4000=AS$5),'2013 E Maize Soil VWC'!$G$2:$G$4000)</f>
        <v>0.34760791454802259</v>
      </c>
      <c r="AT88" s="4" t="e" cm="1">
        <f t="array" ref="AT88">_xlfn.XLOOKUP(1,('2013 E Maize Soil VWC'!$C$2:$C$4000=$AA88)*('2013 E Maize Soil VWC'!$E$2:$E$4000=$AB88)*('2013 E Maize Soil VWC'!$F$2:$F$4000=AT$5),'2013 E Maize Soil VWC'!$G$2:$G$4000)</f>
        <v>#N/A</v>
      </c>
      <c r="AU88" s="4" t="e" cm="1">
        <f t="array" ref="AU88">_xlfn.XLOOKUP(1,('2013 E Maize Soil VWC'!$C$2:$C$4000=$AA88)*('2013 E Maize Soil VWC'!$E$2:$E$4000=$AB88)*('2013 E Maize Soil VWC'!$F$2:$F$4000=AU$5),'2013 E Maize Soil VWC'!$G$2:$G$4000)</f>
        <v>#N/A</v>
      </c>
      <c r="AV88" s="4" t="e" cm="1">
        <f t="array" ref="AV88">_xlfn.XLOOKUP(1,('2013 E Maize Soil VWC'!$C$2:$C$4000=$AA88)*('2013 E Maize Soil VWC'!$E$2:$E$4000=$AB88)*('2013 E Maize Soil VWC'!$F$2:$F$4000=AV$5),'2013 E Maize Soil VWC'!$G$2:$G$4000)</f>
        <v>#N/A</v>
      </c>
    </row>
    <row r="89" spans="25:64" x14ac:dyDescent="0.25">
      <c r="AA89" s="15">
        <f t="shared" si="13"/>
        <v>41471</v>
      </c>
      <c r="AB89" s="4">
        <f t="shared" si="14"/>
        <v>110</v>
      </c>
      <c r="AC89" s="4" cm="1">
        <f t="array" ref="AC89">_xlfn.XLOOKUP(1,('2013 E Maize Soil VWC'!$C$2:$C$4000=$AA89)*('2013 E Maize Soil VWC'!$E$2:$E$4000=$AB89)*('2013 E Maize Soil VWC'!$F$2:$F$4000=AC$5),'2013 E Maize Soil VWC'!$G$2:$G$4000)</f>
        <v>0.34834484110169489</v>
      </c>
      <c r="AD89" s="4" cm="1">
        <f t="array" ref="AD89">_xlfn.XLOOKUP(1,('2013 E Maize Soil VWC'!$C$2:$C$4000=$AA89)*('2013 E Maize Soil VWC'!$E$2:$E$4000=$AB89)*('2013 E Maize Soil VWC'!$F$2:$F$4000=AD$5),'2013 E Maize Soil VWC'!$G$2:$G$4000)</f>
        <v>0.34369299223163841</v>
      </c>
      <c r="AE89" s="4" cm="1">
        <f t="array" ref="AE89">_xlfn.XLOOKUP(1,('2013 E Maize Soil VWC'!$C$2:$C$4000=$AA89)*('2013 E Maize Soil VWC'!$E$2:$E$4000=$AB89)*('2013 E Maize Soil VWC'!$F$2:$F$4000=AE$5),'2013 E Maize Soil VWC'!$G$2:$G$4000)</f>
        <v>0.32619098658192092</v>
      </c>
      <c r="AF89" s="4" cm="1">
        <f t="array" ref="AF89">_xlfn.XLOOKUP(1,('2013 E Maize Soil VWC'!$C$2:$C$4000=$AA89)*('2013 E Maize Soil VWC'!$E$2:$E$4000=$AB89)*('2013 E Maize Soil VWC'!$F$2:$F$4000=AF$5),'2013 E Maize Soil VWC'!$G$2:$G$4000)</f>
        <v>0.33913325918079096</v>
      </c>
      <c r="AG89" s="4" cm="1">
        <f t="array" ref="AG89">_xlfn.XLOOKUP(1,('2013 E Maize Soil VWC'!$C$2:$C$4000=$AA89)*('2013 E Maize Soil VWC'!$E$2:$E$4000=$AB89)*('2013 E Maize Soil VWC'!$F$2:$F$4000=AG$5),'2013 E Maize Soil VWC'!$G$2:$G$4000)</f>
        <v>0.33102706709039548</v>
      </c>
      <c r="AH89" s="4" cm="1">
        <f t="array" ref="AH89">_xlfn.XLOOKUP(1,('2013 E Maize Soil VWC'!$C$2:$C$4000=$AA89)*('2013 E Maize Soil VWC'!$E$2:$E$4000=$AB89)*('2013 E Maize Soil VWC'!$F$2:$F$4000=AH$5),'2013 E Maize Soil VWC'!$G$2:$G$4000)</f>
        <v>0.32216091949152537</v>
      </c>
      <c r="AI89" s="4" cm="1">
        <f t="array" ref="AI89">_xlfn.XLOOKUP(1,('2013 E Maize Soil VWC'!$C$2:$C$4000=$AA89)*('2013 E Maize Soil VWC'!$E$2:$E$4000=$AB89)*('2013 E Maize Soil VWC'!$F$2:$F$4000=AI$5),'2013 E Maize Soil VWC'!$G$2:$G$4000)</f>
        <v>0.34005441737288133</v>
      </c>
      <c r="AJ89" s="4" cm="1">
        <f t="array" ref="AJ89">_xlfn.XLOOKUP(1,('2013 E Maize Soil VWC'!$C$2:$C$4000=$AA89)*('2013 E Maize Soil VWC'!$E$2:$E$4000=$AB89)*('2013 E Maize Soil VWC'!$F$2:$F$4000=AJ$5),'2013 E Maize Soil VWC'!$G$2:$G$4000)</f>
        <v>0.34650252471751414</v>
      </c>
      <c r="AK89" s="4" cm="1">
        <f t="array" ref="AK89">_xlfn.XLOOKUP(1,('2013 E Maize Soil VWC'!$C$2:$C$4000=$AA89)*('2013 E Maize Soil VWC'!$E$2:$E$4000=$AB89)*('2013 E Maize Soil VWC'!$F$2:$F$4000=AK$5),'2013 E Maize Soil VWC'!$G$2:$G$4000)</f>
        <v>0.336922479519774</v>
      </c>
      <c r="AL89" s="4" cm="1">
        <f t="array" ref="AL89">_xlfn.XLOOKUP(1,('2013 E Maize Soil VWC'!$C$2:$C$4000=$AA89)*('2013 E Maize Soil VWC'!$E$2:$E$4000=$AB89)*('2013 E Maize Soil VWC'!$F$2:$F$4000=AL$5),'2013 E Maize Soil VWC'!$G$2:$G$4000)</f>
        <v>0.33977806991525422</v>
      </c>
      <c r="AM89" s="4" cm="1">
        <f t="array" ref="AM89">_xlfn.XLOOKUP(1,('2013 E Maize Soil VWC'!$C$2:$C$4000=$AA89)*('2013 E Maize Soil VWC'!$E$2:$E$4000=$AB89)*('2013 E Maize Soil VWC'!$F$2:$F$4000=AM$5),'2013 E Maize Soil VWC'!$G$2:$G$4000)</f>
        <v>0.34452203460451974</v>
      </c>
      <c r="AN89" s="4" cm="1">
        <f t="array" ref="AN89">_xlfn.XLOOKUP(1,('2013 E Maize Soil VWC'!$C$2:$C$4000=$AA89)*('2013 E Maize Soil VWC'!$E$2:$E$4000=$AB89)*('2013 E Maize Soil VWC'!$F$2:$F$4000=AN$5),'2013 E Maize Soil VWC'!$G$2:$G$4000)</f>
        <v>0.34219611016949153</v>
      </c>
      <c r="AO89" s="4" cm="1">
        <f t="array" ref="AO89">_xlfn.XLOOKUP(1,('2013 E Maize Soil VWC'!$C$2:$C$4000=$AA89)*('2013 E Maize Soil VWC'!$E$2:$E$4000=$AB89)*('2013 E Maize Soil VWC'!$F$2:$F$4000=AO$5),'2013 E Maize Soil VWC'!$G$2:$G$4000)</f>
        <v>0.35193735805084742</v>
      </c>
      <c r="AP89" s="4" cm="1">
        <f t="array" ref="AP89">_xlfn.XLOOKUP(1,('2013 E Maize Soil VWC'!$C$2:$C$4000=$AA89)*('2013 E Maize Soil VWC'!$E$2:$E$4000=$AB89)*('2013 E Maize Soil VWC'!$F$2:$F$4000=AP$5),'2013 E Maize Soil VWC'!$G$2:$G$4000)</f>
        <v>0.33480381567796608</v>
      </c>
      <c r="AQ89" s="4" cm="1">
        <f t="array" ref="AQ89">_xlfn.XLOOKUP(1,('2013 E Maize Soil VWC'!$C$2:$C$4000=$AA89)*('2013 E Maize Soil VWC'!$E$2:$E$4000=$AB89)*('2013 E Maize Soil VWC'!$F$2:$F$4000=AQ$5),'2013 E Maize Soil VWC'!$G$2:$G$4000)</f>
        <v>0.32317419350282484</v>
      </c>
      <c r="AR89" s="4" cm="1">
        <f t="array" ref="AR89">_xlfn.XLOOKUP(1,('2013 E Maize Soil VWC'!$C$2:$C$4000=$AA89)*('2013 E Maize Soil VWC'!$E$2:$E$4000=$AB89)*('2013 E Maize Soil VWC'!$F$2:$F$4000=AR$5),'2013 E Maize Soil VWC'!$G$2:$G$4000)</f>
        <v>0.32474016242937853</v>
      </c>
      <c r="AS89" s="4" cm="1">
        <f t="array" ref="AS89">_xlfn.XLOOKUP(1,('2013 E Maize Soil VWC'!$C$2:$C$4000=$AA89)*('2013 E Maize Soil VWC'!$E$2:$E$4000=$AB89)*('2013 E Maize Soil VWC'!$F$2:$F$4000=AS$5),'2013 E Maize Soil VWC'!$G$2:$G$4000)</f>
        <v>0.34532804802259881</v>
      </c>
      <c r="AT89" s="4" t="e" cm="1">
        <f t="array" ref="AT89">_xlfn.XLOOKUP(1,('2013 E Maize Soil VWC'!$C$2:$C$4000=$AA89)*('2013 E Maize Soil VWC'!$E$2:$E$4000=$AB89)*('2013 E Maize Soil VWC'!$F$2:$F$4000=AT$5),'2013 E Maize Soil VWC'!$G$2:$G$4000)</f>
        <v>#N/A</v>
      </c>
      <c r="AU89" s="4" t="e" cm="1">
        <f t="array" ref="AU89">_xlfn.XLOOKUP(1,('2013 E Maize Soil VWC'!$C$2:$C$4000=$AA89)*('2013 E Maize Soil VWC'!$E$2:$E$4000=$AB89)*('2013 E Maize Soil VWC'!$F$2:$F$4000=AU$5),'2013 E Maize Soil VWC'!$G$2:$G$4000)</f>
        <v>#N/A</v>
      </c>
      <c r="AV89" s="4" t="e" cm="1">
        <f t="array" ref="AV89">_xlfn.XLOOKUP(1,('2013 E Maize Soil VWC'!$C$2:$C$4000=$AA89)*('2013 E Maize Soil VWC'!$E$2:$E$4000=$AB89)*('2013 E Maize Soil VWC'!$F$2:$F$4000=AV$5),'2013 E Maize Soil VWC'!$G$2:$G$4000)</f>
        <v>#N/A</v>
      </c>
    </row>
    <row r="90" spans="25:64" x14ac:dyDescent="0.25">
      <c r="AA90" s="15">
        <f t="shared" si="13"/>
        <v>41471</v>
      </c>
      <c r="AB90" s="4">
        <f t="shared" si="14"/>
        <v>130</v>
      </c>
      <c r="AC90" s="4" cm="1">
        <f t="array" ref="AC90">_xlfn.XLOOKUP(1,('2013 E Maize Soil VWC'!$C$2:$C$4000=$AA90)*('2013 E Maize Soil VWC'!$E$2:$E$4000=$AB90)*('2013 E Maize Soil VWC'!$F$2:$F$4000=AC$5),'2013 E Maize Soil VWC'!$G$2:$G$4000)</f>
        <v>0.3193878368644068</v>
      </c>
      <c r="AD90" s="4" cm="1">
        <f t="array" ref="AD90">_xlfn.XLOOKUP(1,('2013 E Maize Soil VWC'!$C$2:$C$4000=$AA90)*('2013 E Maize Soil VWC'!$E$2:$E$4000=$AB90)*('2013 E Maize Soil VWC'!$F$2:$F$4000=AD$5),'2013 E Maize Soil VWC'!$G$2:$G$4000)</f>
        <v>0.31100949505649716</v>
      </c>
      <c r="AE90" s="4" cm="1">
        <f t="array" ref="AE90">_xlfn.XLOOKUP(1,('2013 E Maize Soil VWC'!$C$2:$C$4000=$AA90)*('2013 E Maize Soil VWC'!$E$2:$E$4000=$AB90)*('2013 E Maize Soil VWC'!$F$2:$F$4000=AE$5),'2013 E Maize Soil VWC'!$G$2:$G$4000)</f>
        <v>0.30668329519774012</v>
      </c>
      <c r="AF90" s="4" cm="1">
        <f t="array" ref="AF90">_xlfn.XLOOKUP(1,('2013 E Maize Soil VWC'!$C$2:$C$4000=$AA90)*('2013 E Maize Soil VWC'!$E$2:$E$4000=$AB90)*('2013 E Maize Soil VWC'!$F$2:$F$4000=AF$5),'2013 E Maize Soil VWC'!$G$2:$G$4000)</f>
        <v>0.30809273587570618</v>
      </c>
      <c r="AG90" s="4" cm="1">
        <f t="array" ref="AG90">_xlfn.XLOOKUP(1,('2013 E Maize Soil VWC'!$C$2:$C$4000=$AA90)*('2013 E Maize Soil VWC'!$E$2:$E$4000=$AB90)*('2013 E Maize Soil VWC'!$F$2:$F$4000=AG$5),'2013 E Maize Soil VWC'!$G$2:$G$4000)</f>
        <v>0.31611871751412429</v>
      </c>
      <c r="AH90" s="4" cm="1">
        <f t="array" ref="AH90">_xlfn.XLOOKUP(1,('2013 E Maize Soil VWC'!$C$2:$C$4000=$AA90)*('2013 E Maize Soil VWC'!$E$2:$E$4000=$AB90)*('2013 E Maize Soil VWC'!$F$2:$F$4000=AH$5),'2013 E Maize Soil VWC'!$G$2:$G$4000)</f>
        <v>0.30274860663841813</v>
      </c>
      <c r="AI90" s="4" cm="1">
        <f t="array" ref="AI90">_xlfn.XLOOKUP(1,('2013 E Maize Soil VWC'!$C$2:$C$4000=$AA90)*('2013 E Maize Soil VWC'!$E$2:$E$4000=$AB90)*('2013 E Maize Soil VWC'!$F$2:$F$4000=AI$5),'2013 E Maize Soil VWC'!$G$2:$G$4000)</f>
        <v>0.31421988771186443</v>
      </c>
      <c r="AJ90" s="4" cm="1">
        <f t="array" ref="AJ90">_xlfn.XLOOKUP(1,('2013 E Maize Soil VWC'!$C$2:$C$4000=$AA90)*('2013 E Maize Soil VWC'!$E$2:$E$4000=$AB90)*('2013 E Maize Soil VWC'!$F$2:$F$4000=AJ$5),'2013 E Maize Soil VWC'!$G$2:$G$4000)</f>
        <v>0.33900255296610171</v>
      </c>
      <c r="AK90" s="4" cm="1">
        <f t="array" ref="AK90">_xlfn.XLOOKUP(1,('2013 E Maize Soil VWC'!$C$2:$C$4000=$AA90)*('2013 E Maize Soil VWC'!$E$2:$E$4000=$AB90)*('2013 E Maize Soil VWC'!$F$2:$F$4000=AK$5),'2013 E Maize Soil VWC'!$G$2:$G$4000)</f>
        <v>0.30754462005649719</v>
      </c>
      <c r="AL90" s="4" cm="1">
        <f t="array" ref="AL90">_xlfn.XLOOKUP(1,('2013 E Maize Soil VWC'!$C$2:$C$4000=$AA90)*('2013 E Maize Soil VWC'!$E$2:$E$4000=$AB90)*('2013 E Maize Soil VWC'!$F$2:$F$4000=AL$5),'2013 E Maize Soil VWC'!$G$2:$G$4000)</f>
        <v>0.31420031214689265</v>
      </c>
      <c r="AM90" s="4" cm="1">
        <f t="array" ref="AM90">_xlfn.XLOOKUP(1,('2013 E Maize Soil VWC'!$C$2:$C$4000=$AA90)*('2013 E Maize Soil VWC'!$E$2:$E$4000=$AB90)*('2013 E Maize Soil VWC'!$F$2:$F$4000=AM$5),'2013 E Maize Soil VWC'!$G$2:$G$4000)</f>
        <v>0.31439606779661017</v>
      </c>
      <c r="AN90" s="4" cm="1">
        <f t="array" ref="AN90">_xlfn.XLOOKUP(1,('2013 E Maize Soil VWC'!$C$2:$C$4000=$AA90)*('2013 E Maize Soil VWC'!$E$2:$E$4000=$AB90)*('2013 E Maize Soil VWC'!$F$2:$F$4000=AN$5),'2013 E Maize Soil VWC'!$G$2:$G$4000)</f>
        <v>0.29853986016949152</v>
      </c>
      <c r="AO90" s="4" cm="1">
        <f t="array" ref="AO90">_xlfn.XLOOKUP(1,('2013 E Maize Soil VWC'!$C$2:$C$4000=$AA90)*('2013 E Maize Soil VWC'!$E$2:$E$4000=$AB90)*('2013 E Maize Soil VWC'!$F$2:$F$4000=AO$5),'2013 E Maize Soil VWC'!$G$2:$G$4000)</f>
        <v>0.32849047457627123</v>
      </c>
      <c r="AP90" s="4" cm="1">
        <f t="array" ref="AP90">_xlfn.XLOOKUP(1,('2013 E Maize Soil VWC'!$C$2:$C$4000=$AA90)*('2013 E Maize Soil VWC'!$E$2:$E$4000=$AB90)*('2013 E Maize Soil VWC'!$F$2:$F$4000=AP$5),'2013 E Maize Soil VWC'!$G$2:$G$4000)</f>
        <v>0.31746943149717516</v>
      </c>
      <c r="AQ90" s="4" cm="1">
        <f t="array" ref="AQ90">_xlfn.XLOOKUP(1,('2013 E Maize Soil VWC'!$C$2:$C$4000=$AA90)*('2013 E Maize Soil VWC'!$E$2:$E$4000=$AB90)*('2013 E Maize Soil VWC'!$F$2:$F$4000=AQ$5),'2013 E Maize Soil VWC'!$G$2:$G$4000)</f>
        <v>0.30075189901129945</v>
      </c>
      <c r="AR90" s="4" cm="1">
        <f t="array" ref="AR90">_xlfn.XLOOKUP(1,('2013 E Maize Soil VWC'!$C$2:$C$4000=$AA90)*('2013 E Maize Soil VWC'!$E$2:$E$4000=$AB90)*('2013 E Maize Soil VWC'!$F$2:$F$4000=AR$5),'2013 E Maize Soil VWC'!$G$2:$G$4000)</f>
        <v>0.29709126836158195</v>
      </c>
      <c r="AS90" s="4" cm="1">
        <f t="array" ref="AS90">_xlfn.XLOOKUP(1,('2013 E Maize Soil VWC'!$C$2:$C$4000=$AA90)*('2013 E Maize Soil VWC'!$E$2:$E$4000=$AB90)*('2013 E Maize Soil VWC'!$F$2:$F$4000=AS$5),'2013 E Maize Soil VWC'!$G$2:$G$4000)</f>
        <v>0.31257554025423728</v>
      </c>
      <c r="AT90" s="4" t="e" cm="1">
        <f t="array" ref="AT90">_xlfn.XLOOKUP(1,('2013 E Maize Soil VWC'!$C$2:$C$4000=$AA90)*('2013 E Maize Soil VWC'!$E$2:$E$4000=$AB90)*('2013 E Maize Soil VWC'!$F$2:$F$4000=AT$5),'2013 E Maize Soil VWC'!$G$2:$G$4000)</f>
        <v>#N/A</v>
      </c>
      <c r="AU90" s="4" t="e" cm="1">
        <f t="array" ref="AU90">_xlfn.XLOOKUP(1,('2013 E Maize Soil VWC'!$C$2:$C$4000=$AA90)*('2013 E Maize Soil VWC'!$E$2:$E$4000=$AB90)*('2013 E Maize Soil VWC'!$F$2:$F$4000=AU$5),'2013 E Maize Soil VWC'!$G$2:$G$4000)</f>
        <v>#N/A</v>
      </c>
      <c r="AV90" s="4" t="e" cm="1">
        <f t="array" ref="AV90">_xlfn.XLOOKUP(1,('2013 E Maize Soil VWC'!$C$2:$C$4000=$AA90)*('2013 E Maize Soil VWC'!$E$2:$E$4000=$AB90)*('2013 E Maize Soil VWC'!$F$2:$F$4000=AV$5),'2013 E Maize Soil VWC'!$G$2:$G$4000)</f>
        <v>#N/A</v>
      </c>
    </row>
    <row r="91" spans="25:64" x14ac:dyDescent="0.25">
      <c r="AA91" s="15">
        <f t="shared" si="13"/>
        <v>41471</v>
      </c>
      <c r="AB91" s="4">
        <f t="shared" si="14"/>
        <v>150</v>
      </c>
      <c r="AC91" s="4" cm="1">
        <f t="array" ref="AC91">_xlfn.XLOOKUP(1,('2013 E Maize Soil VWC'!$C$2:$C$4000=$AA91)*('2013 E Maize Soil VWC'!$E$2:$E$4000=$AB91)*('2013 E Maize Soil VWC'!$F$2:$F$4000=AC$5),'2013 E Maize Soil VWC'!$G$2:$G$4000)</f>
        <v>0.34420965324858754</v>
      </c>
      <c r="AD91" s="4" cm="1">
        <f t="array" ref="AD91">_xlfn.XLOOKUP(1,('2013 E Maize Soil VWC'!$C$2:$C$4000=$AA91)*('2013 E Maize Soil VWC'!$E$2:$E$4000=$AB91)*('2013 E Maize Soil VWC'!$F$2:$F$4000=AD$5),'2013 E Maize Soil VWC'!$G$2:$G$4000)</f>
        <v>0.33577258474576271</v>
      </c>
      <c r="AE91" s="4" cm="1">
        <f t="array" ref="AE91">_xlfn.XLOOKUP(1,('2013 E Maize Soil VWC'!$C$2:$C$4000=$AA91)*('2013 E Maize Soil VWC'!$E$2:$E$4000=$AB91)*('2013 E Maize Soil VWC'!$F$2:$F$4000=AE$5),'2013 E Maize Soil VWC'!$G$2:$G$4000)</f>
        <v>0.31036350141242935</v>
      </c>
      <c r="AF91" s="4" cm="1">
        <f t="array" ref="AF91">_xlfn.XLOOKUP(1,('2013 E Maize Soil VWC'!$C$2:$C$4000=$AA91)*('2013 E Maize Soil VWC'!$E$2:$E$4000=$AB91)*('2013 E Maize Soil VWC'!$F$2:$F$4000=AF$5),'2013 E Maize Soil VWC'!$G$2:$G$4000)</f>
        <v>0.29638654802259889</v>
      </c>
      <c r="AG91" s="4" cm="1">
        <f t="array" ref="AG91">_xlfn.XLOOKUP(1,('2013 E Maize Soil VWC'!$C$2:$C$4000=$AA91)*('2013 E Maize Soil VWC'!$E$2:$E$4000=$AB91)*('2013 E Maize Soil VWC'!$F$2:$F$4000=AG$5),'2013 E Maize Soil VWC'!$G$2:$G$4000)</f>
        <v>0.35485876059322036</v>
      </c>
      <c r="AH91" s="4" cm="1">
        <f t="array" ref="AH91">_xlfn.XLOOKUP(1,('2013 E Maize Soil VWC'!$C$2:$C$4000=$AA91)*('2013 E Maize Soil VWC'!$E$2:$E$4000=$AB91)*('2013 E Maize Soil VWC'!$F$2:$F$4000=AH$5),'2013 E Maize Soil VWC'!$G$2:$G$4000)</f>
        <v>0.34213464336158195</v>
      </c>
      <c r="AI91" s="4" cm="1">
        <f t="array" ref="AI91">_xlfn.XLOOKUP(1,('2013 E Maize Soil VWC'!$C$2:$C$4000=$AA91)*('2013 E Maize Soil VWC'!$E$2:$E$4000=$AB91)*('2013 E Maize Soil VWC'!$F$2:$F$4000=AI$5),'2013 E Maize Soil VWC'!$G$2:$G$4000)</f>
        <v>0.3302718509887006</v>
      </c>
      <c r="AJ91" s="4" cm="1">
        <f t="array" ref="AJ91">_xlfn.XLOOKUP(1,('2013 E Maize Soil VWC'!$C$2:$C$4000=$AA91)*('2013 E Maize Soil VWC'!$E$2:$E$4000=$AB91)*('2013 E Maize Soil VWC'!$F$2:$F$4000=AJ$5),'2013 E Maize Soil VWC'!$G$2:$G$4000)</f>
        <v>0.34109713841807909</v>
      </c>
      <c r="AK91" s="4" cm="1">
        <f t="array" ref="AK91">_xlfn.XLOOKUP(1,('2013 E Maize Soil VWC'!$C$2:$C$4000=$AA91)*('2013 E Maize Soil VWC'!$E$2:$E$4000=$AB91)*('2013 E Maize Soil VWC'!$F$2:$F$4000=AK$5),'2013 E Maize Soil VWC'!$G$2:$G$4000)</f>
        <v>0.33080039124293786</v>
      </c>
      <c r="AL91" s="4" cm="1">
        <f t="array" ref="AL91">_xlfn.XLOOKUP(1,('2013 E Maize Soil VWC'!$C$2:$C$4000=$AA91)*('2013 E Maize Soil VWC'!$E$2:$E$4000=$AB91)*('2013 E Maize Soil VWC'!$F$2:$F$4000=AL$5),'2013 E Maize Soil VWC'!$G$2:$G$4000)</f>
        <v>0.34943632909604522</v>
      </c>
      <c r="AM91" s="4" cm="1">
        <f t="array" ref="AM91">_xlfn.XLOOKUP(1,('2013 E Maize Soil VWC'!$C$2:$C$4000=$AA91)*('2013 E Maize Soil VWC'!$E$2:$E$4000=$AB91)*('2013 E Maize Soil VWC'!$F$2:$F$4000=AM$5),'2013 E Maize Soil VWC'!$G$2:$G$4000)</f>
        <v>0.33908085522598874</v>
      </c>
      <c r="AN91" s="4" cm="1">
        <f t="array" ref="AN91">_xlfn.XLOOKUP(1,('2013 E Maize Soil VWC'!$C$2:$C$4000=$AA91)*('2013 E Maize Soil VWC'!$E$2:$E$4000=$AB91)*('2013 E Maize Soil VWC'!$F$2:$F$4000=AN$5),'2013 E Maize Soil VWC'!$G$2:$G$4000)</f>
        <v>0.33755396115819208</v>
      </c>
      <c r="AO91" s="4" cm="1">
        <f t="array" ref="AO91">_xlfn.XLOOKUP(1,('2013 E Maize Soil VWC'!$C$2:$C$4000=$AA91)*('2013 E Maize Soil VWC'!$E$2:$E$4000=$AB91)*('2013 E Maize Soil VWC'!$F$2:$F$4000=AO$5),'2013 E Maize Soil VWC'!$G$2:$G$4000)</f>
        <v>0.32056237076271188</v>
      </c>
      <c r="AP91" s="4" cm="1">
        <f t="array" ref="AP91">_xlfn.XLOOKUP(1,('2013 E Maize Soil VWC'!$C$2:$C$4000=$AA91)*('2013 E Maize Soil VWC'!$E$2:$E$4000=$AB91)*('2013 E Maize Soil VWC'!$F$2:$F$4000=AP$5),'2013 E Maize Soil VWC'!$G$2:$G$4000)</f>
        <v>0.30615475494350286</v>
      </c>
      <c r="AQ91" s="4" cm="1">
        <f t="array" ref="AQ91">_xlfn.XLOOKUP(1,('2013 E Maize Soil VWC'!$C$2:$C$4000=$AA91)*('2013 E Maize Soil VWC'!$E$2:$E$4000=$AB91)*('2013 E Maize Soil VWC'!$F$2:$F$4000=AQ$5),'2013 E Maize Soil VWC'!$G$2:$G$4000)</f>
        <v>0.34227167231638422</v>
      </c>
      <c r="AR91" s="4" cm="1">
        <f t="array" ref="AR91">_xlfn.XLOOKUP(1,('2013 E Maize Soil VWC'!$C$2:$C$4000=$AA91)*('2013 E Maize Soil VWC'!$E$2:$E$4000=$AB91)*('2013 E Maize Soil VWC'!$F$2:$F$4000=AR$5),'2013 E Maize Soil VWC'!$G$2:$G$4000)</f>
        <v>0.32528008192090396</v>
      </c>
      <c r="AS91" s="4" cm="1">
        <f t="array" ref="AS91">_xlfn.XLOOKUP(1,('2013 E Maize Soil VWC'!$C$2:$C$4000=$AA91)*('2013 E Maize Soil VWC'!$E$2:$E$4000=$AB91)*('2013 E Maize Soil VWC'!$F$2:$F$4000=AS$5),'2013 E Maize Soil VWC'!$G$2:$G$4000)</f>
        <v>0.32377276341807915</v>
      </c>
      <c r="AT91" s="4" t="e" cm="1">
        <f t="array" ref="AT91">_xlfn.XLOOKUP(1,('2013 E Maize Soil VWC'!$C$2:$C$4000=$AA91)*('2013 E Maize Soil VWC'!$E$2:$E$4000=$AB91)*('2013 E Maize Soil VWC'!$F$2:$F$4000=AT$5),'2013 E Maize Soil VWC'!$G$2:$G$4000)</f>
        <v>#N/A</v>
      </c>
      <c r="AU91" s="4" t="e" cm="1">
        <f t="array" ref="AU91">_xlfn.XLOOKUP(1,('2013 E Maize Soil VWC'!$C$2:$C$4000=$AA91)*('2013 E Maize Soil VWC'!$E$2:$E$4000=$AB91)*('2013 E Maize Soil VWC'!$F$2:$F$4000=AU$5),'2013 E Maize Soil VWC'!$G$2:$G$4000)</f>
        <v>#N/A</v>
      </c>
      <c r="AV91" s="4" t="e" cm="1">
        <f t="array" ref="AV91">_xlfn.XLOOKUP(1,('2013 E Maize Soil VWC'!$C$2:$C$4000=$AA91)*('2013 E Maize Soil VWC'!$E$2:$E$4000=$AB91)*('2013 E Maize Soil VWC'!$F$2:$F$4000=AV$5),'2013 E Maize Soil VWC'!$G$2:$G$4000)</f>
        <v>#N/A</v>
      </c>
    </row>
    <row r="92" spans="25:64" x14ac:dyDescent="0.25">
      <c r="AA92" s="15">
        <f t="shared" si="13"/>
        <v>41471</v>
      </c>
      <c r="AB92" s="4">
        <f t="shared" si="14"/>
        <v>170</v>
      </c>
      <c r="AC92" s="4" cm="1">
        <f t="array" ref="AC92">_xlfn.XLOOKUP(1,('2013 E Maize Soil VWC'!$C$2:$C$4000=$AA92)*('2013 E Maize Soil VWC'!$E$2:$E$4000=$AB92)*('2013 E Maize Soil VWC'!$F$2:$F$4000=AC$5),'2013 E Maize Soil VWC'!$G$2:$G$4000)</f>
        <v>0.27890556850282489</v>
      </c>
      <c r="AD92" s="4" cm="1">
        <f t="array" ref="AD92">_xlfn.XLOOKUP(1,('2013 E Maize Soil VWC'!$C$2:$C$4000=$AA92)*('2013 E Maize Soil VWC'!$E$2:$E$4000=$AB92)*('2013 E Maize Soil VWC'!$F$2:$F$4000=AD$5),'2013 E Maize Soil VWC'!$G$2:$G$4000)</f>
        <v>0.27506875776836159</v>
      </c>
      <c r="AE92" s="4" cm="1">
        <f t="array" ref="AE92">_xlfn.XLOOKUP(1,('2013 E Maize Soil VWC'!$C$2:$C$4000=$AA92)*('2013 E Maize Soil VWC'!$E$2:$E$4000=$AB92)*('2013 E Maize Soil VWC'!$F$2:$F$4000=AE$5),'2013 E Maize Soil VWC'!$G$2:$G$4000)</f>
        <v>0.28552210946327683</v>
      </c>
      <c r="AF92" s="4" cm="1">
        <f t="array" ref="AF92">_xlfn.XLOOKUP(1,('2013 E Maize Soil VWC'!$C$2:$C$4000=$AA92)*('2013 E Maize Soil VWC'!$E$2:$E$4000=$AB92)*('2013 E Maize Soil VWC'!$F$2:$F$4000=AF$5),'2013 E Maize Soil VWC'!$G$2:$G$4000)</f>
        <v>0.29262803954802258</v>
      </c>
      <c r="AG92" s="4" cm="1">
        <f t="array" ref="AG92">_xlfn.XLOOKUP(1,('2013 E Maize Soil VWC'!$C$2:$C$4000=$AA92)*('2013 E Maize Soil VWC'!$E$2:$E$4000=$AB92)*('2013 E Maize Soil VWC'!$F$2:$F$4000=AG$5),'2013 E Maize Soil VWC'!$G$2:$G$4000)</f>
        <v>0.32015128389830511</v>
      </c>
      <c r="AH92" s="4" cm="1">
        <f t="array" ref="AH92">_xlfn.XLOOKUP(1,('2013 E Maize Soil VWC'!$C$2:$C$4000=$AA92)*('2013 E Maize Soil VWC'!$E$2:$E$4000=$AB92)*('2013 E Maize Soil VWC'!$F$2:$F$4000=AH$5),'2013 E Maize Soil VWC'!$G$2:$G$4000)</f>
        <v>0.32753127189265541</v>
      </c>
      <c r="AI92" s="4" cm="1">
        <f t="array" ref="AI92">_xlfn.XLOOKUP(1,('2013 E Maize Soil VWC'!$C$2:$C$4000=$AA92)*('2013 E Maize Soil VWC'!$E$2:$E$4000=$AB92)*('2013 E Maize Soil VWC'!$F$2:$F$4000=AI$5),'2013 E Maize Soil VWC'!$G$2:$G$4000)</f>
        <v>0.29718914618644066</v>
      </c>
      <c r="AJ92" s="4" cm="1">
        <f t="array" ref="AJ92">_xlfn.XLOOKUP(1,('2013 E Maize Soil VWC'!$C$2:$C$4000=$AA92)*('2013 E Maize Soil VWC'!$E$2:$E$4000=$AB92)*('2013 E Maize Soil VWC'!$F$2:$F$4000=AJ$5),'2013 E Maize Soil VWC'!$G$2:$G$4000)</f>
        <v>0.30873872951977399</v>
      </c>
      <c r="AK92" s="4" cm="1">
        <f t="array" ref="AK92">_xlfn.XLOOKUP(1,('2013 E Maize Soil VWC'!$C$2:$C$4000=$AA92)*('2013 E Maize Soil VWC'!$E$2:$E$4000=$AB92)*('2013 E Maize Soil VWC'!$F$2:$F$4000=AK$5),'2013 E Maize Soil VWC'!$G$2:$G$4000)</f>
        <v>0.30615475494350286</v>
      </c>
      <c r="AL92" s="4" cm="1">
        <f t="array" ref="AL92">_xlfn.XLOOKUP(1,('2013 E Maize Soil VWC'!$C$2:$C$4000=$AA92)*('2013 E Maize Soil VWC'!$E$2:$E$4000=$AB92)*('2013 E Maize Soil VWC'!$F$2:$F$4000=AL$5),'2013 E Maize Soil VWC'!$G$2:$G$4000)</f>
        <v>0.31114652401129944</v>
      </c>
      <c r="AM92" s="4" cm="1">
        <f t="array" ref="AM92">_xlfn.XLOOKUP(1,('2013 E Maize Soil VWC'!$C$2:$C$4000=$AA92)*('2013 E Maize Soil VWC'!$E$2:$E$4000=$AB92)*('2013 E Maize Soil VWC'!$F$2:$F$4000=AM$5),'2013 E Maize Soil VWC'!$G$2:$G$4000)</f>
        <v>0.3316421405367232</v>
      </c>
      <c r="AN92" s="4" cm="1">
        <f t="array" ref="AN92">_xlfn.XLOOKUP(1,('2013 E Maize Soil VWC'!$C$2:$C$4000=$AA92)*('2013 E Maize Soil VWC'!$E$2:$E$4000=$AB92)*('2013 E Maize Soil VWC'!$F$2:$F$4000=AN$5),'2013 E Maize Soil VWC'!$G$2:$G$4000)</f>
        <v>0.34060774929378529</v>
      </c>
      <c r="AO92" s="4" cm="1">
        <f t="array" ref="AO92">_xlfn.XLOOKUP(1,('2013 E Maize Soil VWC'!$C$2:$C$4000=$AA92)*('2013 E Maize Soil VWC'!$E$2:$E$4000=$AB92)*('2013 E Maize Soil VWC'!$F$2:$F$4000=AO$5),'2013 E Maize Soil VWC'!$G$2:$G$4000)</f>
        <v>0.31746943149717516</v>
      </c>
      <c r="AP92" s="4" cm="1">
        <f t="array" ref="AP92">_xlfn.XLOOKUP(1,('2013 E Maize Soil VWC'!$C$2:$C$4000=$AA92)*('2013 E Maize Soil VWC'!$E$2:$E$4000=$AB92)*('2013 E Maize Soil VWC'!$F$2:$F$4000=AP$5),'2013 E Maize Soil VWC'!$G$2:$G$4000)</f>
        <v>0.32428172810734462</v>
      </c>
      <c r="AQ92" s="4" cm="1">
        <f t="array" ref="AQ92">_xlfn.XLOOKUP(1,('2013 E Maize Soil VWC'!$C$2:$C$4000=$AA92)*('2013 E Maize Soil VWC'!$E$2:$E$4000=$AB92)*('2013 E Maize Soil VWC'!$F$2:$F$4000=AQ$5),'2013 E Maize Soil VWC'!$G$2:$G$4000)</f>
        <v>0.32768787641242941</v>
      </c>
      <c r="AR92" s="4" cm="1">
        <f t="array" ref="AR92">_xlfn.XLOOKUP(1,('2013 E Maize Soil VWC'!$C$2:$C$4000=$AA92)*('2013 E Maize Soil VWC'!$E$2:$E$4000=$AB92)*('2013 E Maize Soil VWC'!$F$2:$F$4000=AR$5),'2013 E Maize Soil VWC'!$G$2:$G$4000)</f>
        <v>0.32432087923728814</v>
      </c>
      <c r="AS92" s="4" cm="1">
        <f t="array" ref="AS92">_xlfn.XLOOKUP(1,('2013 E Maize Soil VWC'!$C$2:$C$4000=$AA92)*('2013 E Maize Soil VWC'!$E$2:$E$4000=$AB92)*('2013 E Maize Soil VWC'!$F$2:$F$4000=AS$5),'2013 E Maize Soil VWC'!$G$2:$G$4000)</f>
        <v>0.32107133545197741</v>
      </c>
      <c r="AT92" s="4" t="e" cm="1">
        <f t="array" ref="AT92">_xlfn.XLOOKUP(1,('2013 E Maize Soil VWC'!$C$2:$C$4000=$AA92)*('2013 E Maize Soil VWC'!$E$2:$E$4000=$AB92)*('2013 E Maize Soil VWC'!$F$2:$F$4000=AT$5),'2013 E Maize Soil VWC'!$G$2:$G$4000)</f>
        <v>#N/A</v>
      </c>
      <c r="AU92" s="4" t="e" cm="1">
        <f t="array" ref="AU92">_xlfn.XLOOKUP(1,('2013 E Maize Soil VWC'!$C$2:$C$4000=$AA92)*('2013 E Maize Soil VWC'!$E$2:$E$4000=$AB92)*('2013 E Maize Soil VWC'!$F$2:$F$4000=AU$5),'2013 E Maize Soil VWC'!$G$2:$G$4000)</f>
        <v>#N/A</v>
      </c>
      <c r="AV92" s="4" t="e" cm="1">
        <f t="array" ref="AV92">_xlfn.XLOOKUP(1,('2013 E Maize Soil VWC'!$C$2:$C$4000=$AA92)*('2013 E Maize Soil VWC'!$E$2:$E$4000=$AB92)*('2013 E Maize Soil VWC'!$F$2:$F$4000=AV$5),'2013 E Maize Soil VWC'!$G$2:$G$4000)</f>
        <v>#N/A</v>
      </c>
    </row>
    <row r="93" spans="25:64" x14ac:dyDescent="0.25">
      <c r="AA93" s="15">
        <f t="shared" si="13"/>
        <v>41471</v>
      </c>
      <c r="AB93" s="4">
        <f t="shared" si="14"/>
        <v>190</v>
      </c>
      <c r="AC93" s="4" cm="1">
        <f t="array" ref="AC93">_xlfn.XLOOKUP(1,('2013 E Maize Soil VWC'!$C$2:$C$4000=$AA93)*('2013 E Maize Soil VWC'!$E$2:$E$4000=$AB93)*('2013 E Maize Soil VWC'!$F$2:$F$4000=AC$5),'2013 E Maize Soil VWC'!$G$2:$G$4000)</f>
        <v>0.28628555649717513</v>
      </c>
      <c r="AD93" s="4" cm="1">
        <f t="array" ref="AD93">_xlfn.XLOOKUP(1,('2013 E Maize Soil VWC'!$C$2:$C$4000=$AA93)*('2013 E Maize Soil VWC'!$E$2:$E$4000=$AB93)*('2013 E Maize Soil VWC'!$F$2:$F$4000=AD$5),'2013 E Maize Soil VWC'!$G$2:$G$4000)</f>
        <v>0.28886953107344632</v>
      </c>
      <c r="AE93" s="4" cm="1">
        <f t="array" ref="AE93">_xlfn.XLOOKUP(1,('2013 E Maize Soil VWC'!$C$2:$C$4000=$AA93)*('2013 E Maize Soil VWC'!$E$2:$E$4000=$AB93)*('2013 E Maize Soil VWC'!$F$2:$F$4000=AE$5),'2013 E Maize Soil VWC'!$G$2:$G$4000)</f>
        <v>0.29521201412429376</v>
      </c>
      <c r="AF93" s="4" cm="1">
        <f t="array" ref="AF93">_xlfn.XLOOKUP(1,('2013 E Maize Soil VWC'!$C$2:$C$4000=$AA93)*('2013 E Maize Soil VWC'!$E$2:$E$4000=$AB93)*('2013 E Maize Soil VWC'!$F$2:$F$4000=AF$5),'2013 E Maize Soil VWC'!$G$2:$G$4000)</f>
        <v>0.29716957062146893</v>
      </c>
      <c r="AG93" s="4" cm="1">
        <f t="array" ref="AG93">_xlfn.XLOOKUP(1,('2013 E Maize Soil VWC'!$C$2:$C$4000=$AA93)*('2013 E Maize Soil VWC'!$E$2:$E$4000=$AB93)*('2013 E Maize Soil VWC'!$F$2:$F$4000=AG$5),'2013 E Maize Soil VWC'!$G$2:$G$4000)</f>
        <v>0.3325034653954802</v>
      </c>
      <c r="AH93" s="4" cm="1">
        <f t="array" ref="AH93">_xlfn.XLOOKUP(1,('2013 E Maize Soil VWC'!$C$2:$C$4000=$AA93)*('2013 E Maize Soil VWC'!$E$2:$E$4000=$AB93)*('2013 E Maize Soil VWC'!$F$2:$F$4000=AH$5),'2013 E Maize Soil VWC'!$G$2:$G$4000)</f>
        <v>0.34146907415254241</v>
      </c>
      <c r="AI93" s="4" cm="1">
        <f t="array" ref="AI93">_xlfn.XLOOKUP(1,('2013 E Maize Soil VWC'!$C$2:$C$4000=$AA93)*('2013 E Maize Soil VWC'!$E$2:$E$4000=$AB93)*('2013 E Maize Soil VWC'!$F$2:$F$4000=AI$5),'2013 E Maize Soil VWC'!$G$2:$G$4000)</f>
        <v>0.2814112408192091</v>
      </c>
      <c r="AJ93" s="4" cm="1">
        <f t="array" ref="AJ93">_xlfn.XLOOKUP(1,('2013 E Maize Soil VWC'!$C$2:$C$4000=$AA93)*('2013 E Maize Soil VWC'!$E$2:$E$4000=$AB93)*('2013 E Maize Soil VWC'!$F$2:$F$4000=AJ$5),'2013 E Maize Soil VWC'!$G$2:$G$4000)</f>
        <v>0.29538819420903956</v>
      </c>
      <c r="AK93" s="4" cm="1">
        <f t="array" ref="AK93">_xlfn.XLOOKUP(1,('2013 E Maize Soil VWC'!$C$2:$C$4000=$AA93)*('2013 E Maize Soil VWC'!$E$2:$E$4000=$AB93)*('2013 E Maize Soil VWC'!$F$2:$F$4000=AK$5),'2013 E Maize Soil VWC'!$G$2:$G$4000)</f>
        <v>0.29061175635593223</v>
      </c>
      <c r="AL93" s="4" cm="1">
        <f t="array" ref="AL93">_xlfn.XLOOKUP(1,('2013 E Maize Soil VWC'!$C$2:$C$4000=$AA93)*('2013 E Maize Soil VWC'!$E$2:$E$4000=$AB93)*('2013 E Maize Soil VWC'!$F$2:$F$4000=AL$5),'2013 E Maize Soil VWC'!$G$2:$G$4000)</f>
        <v>0.29906840042372884</v>
      </c>
      <c r="AM93" s="4" cm="1">
        <f t="array" ref="AM93">_xlfn.XLOOKUP(1,('2013 E Maize Soil VWC'!$C$2:$C$4000=$AA93)*('2013 E Maize Soil VWC'!$E$2:$E$4000=$AB93)*('2013 E Maize Soil VWC'!$F$2:$F$4000=AM$5),'2013 E Maize Soil VWC'!$G$2:$G$4000)</f>
        <v>0.31373049858757063</v>
      </c>
      <c r="AN93" s="4" cm="1">
        <f t="array" ref="AN93">_xlfn.XLOOKUP(1,('2013 E Maize Soil VWC'!$C$2:$C$4000=$AA93)*('2013 E Maize Soil VWC'!$E$2:$E$4000=$AB93)*('2013 E Maize Soil VWC'!$F$2:$F$4000=AN$5),'2013 E Maize Soil VWC'!$G$2:$G$4000)</f>
        <v>0.31241893573446328</v>
      </c>
      <c r="AO93" s="4" cm="1">
        <f t="array" ref="AO93">_xlfn.XLOOKUP(1,('2013 E Maize Soil VWC'!$C$2:$C$4000=$AA93)*('2013 E Maize Soil VWC'!$E$2:$E$4000=$AB93)*('2013 E Maize Soil VWC'!$F$2:$F$4000=AO$5),'2013 E Maize Soil VWC'!$G$2:$G$4000)</f>
        <v>0.30646796398305082</v>
      </c>
      <c r="AP93" s="4" cm="1">
        <f t="array" ref="AP93">_xlfn.XLOOKUP(1,('2013 E Maize Soil VWC'!$C$2:$C$4000=$AA93)*('2013 E Maize Soil VWC'!$E$2:$E$4000=$AB93)*('2013 E Maize Soil VWC'!$F$2:$F$4000=AP$5),'2013 E Maize Soil VWC'!$G$2:$G$4000)</f>
        <v>0.30345332697740113</v>
      </c>
      <c r="AQ93" s="4" cm="1">
        <f t="array" ref="AQ93">_xlfn.XLOOKUP(1,('2013 E Maize Soil VWC'!$C$2:$C$4000=$AA93)*('2013 E Maize Soil VWC'!$E$2:$E$4000=$AB93)*('2013 E Maize Soil VWC'!$F$2:$F$4000=AQ$5),'2013 E Maize Soil VWC'!$G$2:$G$4000)</f>
        <v>0.3299390663841808</v>
      </c>
      <c r="AR93" s="4" cm="1">
        <f t="array" ref="AR93">_xlfn.XLOOKUP(1,('2013 E Maize Soil VWC'!$C$2:$C$4000=$AA93)*('2013 E Maize Soil VWC'!$E$2:$E$4000=$AB93)*('2013 E Maize Soil VWC'!$F$2:$F$4000=AR$5),'2013 E Maize Soil VWC'!$G$2:$G$4000)</f>
        <v>0.32373361228813563</v>
      </c>
      <c r="AS93" s="4" cm="1">
        <f t="array" ref="AS93">_xlfn.XLOOKUP(1,('2013 E Maize Soil VWC'!$C$2:$C$4000=$AA93)*('2013 E Maize Soil VWC'!$E$2:$E$4000=$AB93)*('2013 E Maize Soil VWC'!$F$2:$F$4000=AS$5),'2013 E Maize Soil VWC'!$G$2:$G$4000)</f>
        <v>0.32161945127118646</v>
      </c>
      <c r="AT93" s="4" t="e" cm="1">
        <f t="array" ref="AT93">_xlfn.XLOOKUP(1,('2013 E Maize Soil VWC'!$C$2:$C$4000=$AA93)*('2013 E Maize Soil VWC'!$E$2:$E$4000=$AB93)*('2013 E Maize Soil VWC'!$F$2:$F$4000=AT$5),'2013 E Maize Soil VWC'!$G$2:$G$4000)</f>
        <v>#N/A</v>
      </c>
      <c r="AU93" s="4" t="e" cm="1">
        <f t="array" ref="AU93">_xlfn.XLOOKUP(1,('2013 E Maize Soil VWC'!$C$2:$C$4000=$AA93)*('2013 E Maize Soil VWC'!$E$2:$E$4000=$AB93)*('2013 E Maize Soil VWC'!$F$2:$F$4000=AU$5),'2013 E Maize Soil VWC'!$G$2:$G$4000)</f>
        <v>#N/A</v>
      </c>
      <c r="AV93" s="4" t="e" cm="1">
        <f t="array" ref="AV93">_xlfn.XLOOKUP(1,('2013 E Maize Soil VWC'!$C$2:$C$4000=$AA93)*('2013 E Maize Soil VWC'!$E$2:$E$4000=$AB93)*('2013 E Maize Soil VWC'!$F$2:$F$4000=AV$5),'2013 E Maize Soil VWC'!$G$2:$G$4000)</f>
        <v>#N/A</v>
      </c>
    </row>
    <row r="94" spans="25:64" x14ac:dyDescent="0.25">
      <c r="AA94" s="15">
        <f t="shared" si="13"/>
        <v>41471</v>
      </c>
      <c r="AB94" s="4">
        <f t="shared" si="14"/>
        <v>210</v>
      </c>
      <c r="AC94" s="4" cm="1">
        <f t="array" ref="AC94">_xlfn.XLOOKUP(1,('2013 E Maize Soil VWC'!$C$2:$C$4000=$AA94)*('2013 E Maize Soil VWC'!$E$2:$E$4000=$AB94)*('2013 E Maize Soil VWC'!$F$2:$F$4000=AC$5),'2013 E Maize Soil VWC'!$G$2:$G$4000)</f>
        <v>0.30525427895480228</v>
      </c>
      <c r="AD94" s="4" cm="1">
        <f t="array" ref="AD94">_xlfn.XLOOKUP(1,('2013 E Maize Soil VWC'!$C$2:$C$4000=$AA94)*('2013 E Maize Soil VWC'!$E$2:$E$4000=$AB94)*('2013 E Maize Soil VWC'!$F$2:$F$4000=AD$5),'2013 E Maize Soil VWC'!$G$2:$G$4000)</f>
        <v>0.30141746822033899</v>
      </c>
      <c r="AE94" s="4" cm="1">
        <f t="array" ref="AE94">_xlfn.XLOOKUP(1,('2013 E Maize Soil VWC'!$C$2:$C$4000=$AA94)*('2013 E Maize Soil VWC'!$E$2:$E$4000=$AB94)*('2013 E Maize Soil VWC'!$F$2:$F$4000=AE$5),'2013 E Maize Soil VWC'!$G$2:$G$4000)</f>
        <v>0.27176048728813557</v>
      </c>
      <c r="AF94" s="4" cm="1">
        <f t="array" ref="AF94">_xlfn.XLOOKUP(1,('2013 E Maize Soil VWC'!$C$2:$C$4000=$AA94)*('2013 E Maize Soil VWC'!$E$2:$E$4000=$AB94)*('2013 E Maize Soil VWC'!$F$2:$F$4000=AF$5),'2013 E Maize Soil VWC'!$G$2:$G$4000)</f>
        <v>0.28969170480225986</v>
      </c>
      <c r="AG94" s="4" t="e" cm="1">
        <f t="array" ref="AG94">_xlfn.XLOOKUP(1,('2013 E Maize Soil VWC'!$C$2:$C$4000=$AA94)*('2013 E Maize Soil VWC'!$E$2:$E$4000=$AB94)*('2013 E Maize Soil VWC'!$F$2:$F$4000=AG$5),'2013 E Maize Soil VWC'!$G$2:$G$4000)</f>
        <v>#N/A</v>
      </c>
      <c r="AH94" s="4" t="e" cm="1">
        <f t="array" ref="AH94">_xlfn.XLOOKUP(1,('2013 E Maize Soil VWC'!$C$2:$C$4000=$AA94)*('2013 E Maize Soil VWC'!$E$2:$E$4000=$AB94)*('2013 E Maize Soil VWC'!$F$2:$F$4000=AH$5),'2013 E Maize Soil VWC'!$G$2:$G$4000)</f>
        <v>#N/A</v>
      </c>
      <c r="AI94" s="4" cm="1">
        <f t="array" ref="AI94">_xlfn.XLOOKUP(1,('2013 E Maize Soil VWC'!$C$2:$C$4000=$AA94)*('2013 E Maize Soil VWC'!$E$2:$E$4000=$AB94)*('2013 E Maize Soil VWC'!$F$2:$F$4000=AI$5),'2013 E Maize Soil VWC'!$G$2:$G$4000)</f>
        <v>0.27957113771186443</v>
      </c>
      <c r="AJ94" s="4" cm="1">
        <f t="array" ref="AJ94">_xlfn.XLOOKUP(1,('2013 E Maize Soil VWC'!$C$2:$C$4000=$AA94)*('2013 E Maize Soil VWC'!$E$2:$E$4000=$AB94)*('2013 E Maize Soil VWC'!$F$2:$F$4000=AJ$5),'2013 E Maize Soil VWC'!$G$2:$G$4000)</f>
        <v>0.30729013771186442</v>
      </c>
      <c r="AK94" s="4" cm="1">
        <f t="array" ref="AK94">_xlfn.XLOOKUP(1,('2013 E Maize Soil VWC'!$C$2:$C$4000=$AA94)*('2013 E Maize Soil VWC'!$E$2:$E$4000=$AB94)*('2013 E Maize Soil VWC'!$F$2:$F$4000=AK$5),'2013 E Maize Soil VWC'!$G$2:$G$4000)</f>
        <v>0.29341106214689266</v>
      </c>
      <c r="AL94" s="4" cm="1">
        <f t="array" ref="AL94">_xlfn.XLOOKUP(1,('2013 E Maize Soil VWC'!$C$2:$C$4000=$AA94)*('2013 E Maize Soil VWC'!$E$2:$E$4000=$AB94)*('2013 E Maize Soil VWC'!$F$2:$F$4000=AL$5),'2013 E Maize Soil VWC'!$G$2:$G$4000)</f>
        <v>0.27015529096045199</v>
      </c>
      <c r="AM94" s="4" cm="1">
        <f t="array" ref="AM94">_xlfn.XLOOKUP(1,('2013 E Maize Soil VWC'!$C$2:$C$4000=$AA94)*('2013 E Maize Soil VWC'!$E$2:$E$4000=$AB94)*('2013 E Maize Soil VWC'!$F$2:$F$4000=AM$5),'2013 E Maize Soil VWC'!$G$2:$G$4000)</f>
        <v>0.30958047881355938</v>
      </c>
      <c r="AN94" s="4" cm="1">
        <f t="array" ref="AN94">_xlfn.XLOOKUP(1,('2013 E Maize Soil VWC'!$C$2:$C$4000=$AA94)*('2013 E Maize Soil VWC'!$E$2:$E$4000=$AB94)*('2013 E Maize Soil VWC'!$F$2:$F$4000=AN$5),'2013 E Maize Soil VWC'!$G$2:$G$4000)</f>
        <v>0.31320195833333336</v>
      </c>
      <c r="AO94" s="4" cm="1">
        <f t="array" ref="AO94">_xlfn.XLOOKUP(1,('2013 E Maize Soil VWC'!$C$2:$C$4000=$AA94)*('2013 E Maize Soil VWC'!$E$2:$E$4000=$AB94)*('2013 E Maize Soil VWC'!$F$2:$F$4000=AO$5),'2013 E Maize Soil VWC'!$G$2:$G$4000)</f>
        <v>0.30858212499999998</v>
      </c>
      <c r="AP94" s="4" cm="1">
        <f t="array" ref="AP94">_xlfn.XLOOKUP(1,('2013 E Maize Soil VWC'!$C$2:$C$4000=$AA94)*('2013 E Maize Soil VWC'!$E$2:$E$4000=$AB94)*('2013 E Maize Soil VWC'!$F$2:$F$4000=AP$5),'2013 E Maize Soil VWC'!$G$2:$G$4000)</f>
        <v>0.28051076483050846</v>
      </c>
      <c r="AQ94" s="4" t="e" cm="1">
        <f t="array" ref="AQ94">_xlfn.XLOOKUP(1,('2013 E Maize Soil VWC'!$C$2:$C$4000=$AA94)*('2013 E Maize Soil VWC'!$E$2:$E$4000=$AB94)*('2013 E Maize Soil VWC'!$F$2:$F$4000=AQ$5),'2013 E Maize Soil VWC'!$G$2:$G$4000)</f>
        <v>#N/A</v>
      </c>
      <c r="AR94" s="4" t="e" cm="1">
        <f t="array" ref="AR94">_xlfn.XLOOKUP(1,('2013 E Maize Soil VWC'!$C$2:$C$4000=$AA94)*('2013 E Maize Soil VWC'!$E$2:$E$4000=$AB94)*('2013 E Maize Soil VWC'!$F$2:$F$4000=AR$5),'2013 E Maize Soil VWC'!$G$2:$G$4000)</f>
        <v>#N/A</v>
      </c>
      <c r="AS94" s="4" cm="1">
        <f t="array" ref="AS94">_xlfn.XLOOKUP(1,('2013 E Maize Soil VWC'!$C$2:$C$4000=$AA94)*('2013 E Maize Soil VWC'!$E$2:$E$4000=$AB94)*('2013 E Maize Soil VWC'!$F$2:$F$4000=AS$5),'2013 E Maize Soil VWC'!$G$2:$G$4000)</f>
        <v>0.3067615974576271</v>
      </c>
      <c r="AT94" s="4" t="e" cm="1">
        <f t="array" ref="AT94">_xlfn.XLOOKUP(1,('2013 E Maize Soil VWC'!$C$2:$C$4000=$AA94)*('2013 E Maize Soil VWC'!$E$2:$E$4000=$AB94)*('2013 E Maize Soil VWC'!$F$2:$F$4000=AT$5),'2013 E Maize Soil VWC'!$G$2:$G$4000)</f>
        <v>#N/A</v>
      </c>
      <c r="AU94" s="4" t="e" cm="1">
        <f t="array" ref="AU94">_xlfn.XLOOKUP(1,('2013 E Maize Soil VWC'!$C$2:$C$4000=$AA94)*('2013 E Maize Soil VWC'!$E$2:$E$4000=$AB94)*('2013 E Maize Soil VWC'!$F$2:$F$4000=AU$5),'2013 E Maize Soil VWC'!$G$2:$G$4000)</f>
        <v>#N/A</v>
      </c>
      <c r="AV94" s="4" t="e" cm="1">
        <f t="array" ref="AV94">_xlfn.XLOOKUP(1,('2013 E Maize Soil VWC'!$C$2:$C$4000=$AA94)*('2013 E Maize Soil VWC'!$E$2:$E$4000=$AB94)*('2013 E Maize Soil VWC'!$F$2:$F$4000=AV$5),'2013 E Maize Soil VWC'!$G$2:$G$4000)</f>
        <v>#N/A</v>
      </c>
    </row>
    <row r="95" spans="25:64" x14ac:dyDescent="0.25">
      <c r="AA95" s="15">
        <f t="shared" si="13"/>
        <v>41471</v>
      </c>
      <c r="AB95" s="4">
        <f t="shared" si="14"/>
        <v>230</v>
      </c>
      <c r="AC95" s="4" cm="1">
        <f t="array" ref="AC95">_xlfn.XLOOKUP(1,('2013 E Maize Soil VWC'!$C$2:$C$4000=$AA95)*('2013 E Maize Soil VWC'!$E$2:$E$4000=$AB95)*('2013 E Maize Soil VWC'!$F$2:$F$4000=AC$5),'2013 E Maize Soil VWC'!$G$2:$G$4000)</f>
        <v>0.29955778954802259</v>
      </c>
      <c r="AD95" s="4" cm="1">
        <f t="array" ref="AD95">_xlfn.XLOOKUP(1,('2013 E Maize Soil VWC'!$C$2:$C$4000=$AA95)*('2013 E Maize Soil VWC'!$E$2:$E$4000=$AB95)*('2013 E Maize Soil VWC'!$F$2:$F$4000=AD$5),'2013 E Maize Soil VWC'!$G$2:$G$4000)</f>
        <v>0.30186770621468928</v>
      </c>
      <c r="AE95" s="4" cm="1">
        <f t="array" ref="AE95">_xlfn.XLOOKUP(1,('2013 E Maize Soil VWC'!$C$2:$C$4000=$AA95)*('2013 E Maize Soil VWC'!$E$2:$E$4000=$AB95)*('2013 E Maize Soil VWC'!$F$2:$F$4000=AE$5),'2013 E Maize Soil VWC'!$G$2:$G$4000)</f>
        <v>0.28417139548022596</v>
      </c>
      <c r="AF95" s="4" cm="1">
        <f t="array" ref="AF95">_xlfn.XLOOKUP(1,('2013 E Maize Soil VWC'!$C$2:$C$4000=$AA95)*('2013 E Maize Soil VWC'!$E$2:$E$4000=$AB95)*('2013 E Maize Soil VWC'!$F$2:$F$4000=AF$5),'2013 E Maize Soil VWC'!$G$2:$G$4000)</f>
        <v>0.28738178813559323</v>
      </c>
      <c r="AG95" s="4" t="e" cm="1">
        <f t="array" ref="AG95">_xlfn.XLOOKUP(1,('2013 E Maize Soil VWC'!$C$2:$C$4000=$AA95)*('2013 E Maize Soil VWC'!$E$2:$E$4000=$AB95)*('2013 E Maize Soil VWC'!$F$2:$F$4000=AG$5),'2013 E Maize Soil VWC'!$G$2:$G$4000)</f>
        <v>#N/A</v>
      </c>
      <c r="AH95" s="4" t="e" cm="1">
        <f t="array" ref="AH95">_xlfn.XLOOKUP(1,('2013 E Maize Soil VWC'!$C$2:$C$4000=$AA95)*('2013 E Maize Soil VWC'!$E$2:$E$4000=$AB95)*('2013 E Maize Soil VWC'!$F$2:$F$4000=AH$5),'2013 E Maize Soil VWC'!$G$2:$G$4000)</f>
        <v>#N/A</v>
      </c>
      <c r="AI95" s="4" cm="1">
        <f t="array" ref="AI95">_xlfn.XLOOKUP(1,('2013 E Maize Soil VWC'!$C$2:$C$4000=$AA95)*('2013 E Maize Soil VWC'!$E$2:$E$4000=$AB95)*('2013 E Maize Soil VWC'!$F$2:$F$4000=AI$5),'2013 E Maize Soil VWC'!$G$2:$G$4000)</f>
        <v>0.28383861087570622</v>
      </c>
      <c r="AJ95" s="4" cm="1">
        <f t="array" ref="AJ95">_xlfn.XLOOKUP(1,('2013 E Maize Soil VWC'!$C$2:$C$4000=$AA95)*('2013 E Maize Soil VWC'!$E$2:$E$4000=$AB95)*('2013 E Maize Soil VWC'!$F$2:$F$4000=AJ$5),'2013 E Maize Soil VWC'!$G$2:$G$4000)</f>
        <v>0.31179251765536725</v>
      </c>
      <c r="AK95" s="4" cm="1">
        <f t="array" ref="AK95">_xlfn.XLOOKUP(1,('2013 E Maize Soil VWC'!$C$2:$C$4000=$AA95)*('2013 E Maize Soil VWC'!$E$2:$E$4000=$AB95)*('2013 E Maize Soil VWC'!$F$2:$F$4000=AK$5),'2013 E Maize Soil VWC'!$G$2:$G$4000)</f>
        <v>0.30821018926553673</v>
      </c>
      <c r="AL95" s="4" cm="1">
        <f t="array" ref="AL95">_xlfn.XLOOKUP(1,('2013 E Maize Soil VWC'!$C$2:$C$4000=$AA95)*('2013 E Maize Soil VWC'!$E$2:$E$4000=$AB95)*('2013 E Maize Soil VWC'!$F$2:$F$4000=AL$5),'2013 E Maize Soil VWC'!$G$2:$G$4000)</f>
        <v>0.26786494985875708</v>
      </c>
      <c r="AM95" s="4" cm="1">
        <f t="array" ref="AM95">_xlfn.XLOOKUP(1,('2013 E Maize Soil VWC'!$C$2:$C$4000=$AA95)*('2013 E Maize Soil VWC'!$E$2:$E$4000=$AB95)*('2013 E Maize Soil VWC'!$F$2:$F$4000=AM$5),'2013 E Maize Soil VWC'!$G$2:$G$4000)</f>
        <v>0.30171110169491527</v>
      </c>
      <c r="AN95" s="4" cm="1">
        <f t="array" ref="AN95">_xlfn.XLOOKUP(1,('2013 E Maize Soil VWC'!$C$2:$C$4000=$AA95)*('2013 E Maize Soil VWC'!$E$2:$E$4000=$AB95)*('2013 E Maize Soil VWC'!$F$2:$F$4000=AN$5),'2013 E Maize Soil VWC'!$G$2:$G$4000)</f>
        <v>0.30543045903954802</v>
      </c>
      <c r="AO95" s="4" cm="1">
        <f t="array" ref="AO95">_xlfn.XLOOKUP(1,('2013 E Maize Soil VWC'!$C$2:$C$4000=$AA95)*('2013 E Maize Soil VWC'!$E$2:$E$4000=$AB95)*('2013 E Maize Soil VWC'!$F$2:$F$4000=AO$5),'2013 E Maize Soil VWC'!$G$2:$G$4000)</f>
        <v>0.29726744844632769</v>
      </c>
      <c r="AP95" s="4" cm="1">
        <f t="array" ref="AP95">_xlfn.XLOOKUP(1,('2013 E Maize Soil VWC'!$C$2:$C$4000=$AA95)*('2013 E Maize Soil VWC'!$E$2:$E$4000=$AB95)*('2013 E Maize Soil VWC'!$F$2:$F$4000=AP$5),'2013 E Maize Soil VWC'!$G$2:$G$4000)</f>
        <v>0.291022843220339</v>
      </c>
      <c r="AQ95" s="4" t="e" cm="1">
        <f t="array" ref="AQ95">_xlfn.XLOOKUP(1,('2013 E Maize Soil VWC'!$C$2:$C$4000=$AA95)*('2013 E Maize Soil VWC'!$E$2:$E$4000=$AB95)*('2013 E Maize Soil VWC'!$F$2:$F$4000=AQ$5),'2013 E Maize Soil VWC'!$G$2:$G$4000)</f>
        <v>#N/A</v>
      </c>
      <c r="AR95" s="4" t="e" cm="1">
        <f t="array" ref="AR95">_xlfn.XLOOKUP(1,('2013 E Maize Soil VWC'!$C$2:$C$4000=$AA95)*('2013 E Maize Soil VWC'!$E$2:$E$4000=$AB95)*('2013 E Maize Soil VWC'!$F$2:$F$4000=AR$5),'2013 E Maize Soil VWC'!$G$2:$G$4000)</f>
        <v>#N/A</v>
      </c>
      <c r="AS95" s="4" cm="1">
        <f t="array" ref="AS95">_xlfn.XLOOKUP(1,('2013 E Maize Soil VWC'!$C$2:$C$4000=$AA95)*('2013 E Maize Soil VWC'!$E$2:$E$4000=$AB95)*('2013 E Maize Soil VWC'!$F$2:$F$4000=AS$5),'2013 E Maize Soil VWC'!$G$2:$G$4000)</f>
        <v>0.30194600847457631</v>
      </c>
      <c r="AT95" s="4" t="e" cm="1">
        <f t="array" ref="AT95">_xlfn.XLOOKUP(1,('2013 E Maize Soil VWC'!$C$2:$C$4000=$AA95)*('2013 E Maize Soil VWC'!$E$2:$E$4000=$AB95)*('2013 E Maize Soil VWC'!$F$2:$F$4000=AT$5),'2013 E Maize Soil VWC'!$G$2:$G$4000)</f>
        <v>#N/A</v>
      </c>
      <c r="AU95" s="4" t="e" cm="1">
        <f t="array" ref="AU95">_xlfn.XLOOKUP(1,('2013 E Maize Soil VWC'!$C$2:$C$4000=$AA95)*('2013 E Maize Soil VWC'!$E$2:$E$4000=$AB95)*('2013 E Maize Soil VWC'!$F$2:$F$4000=AU$5),'2013 E Maize Soil VWC'!$G$2:$G$4000)</f>
        <v>#N/A</v>
      </c>
      <c r="AV95" s="4" t="e" cm="1">
        <f t="array" ref="AV95">_xlfn.XLOOKUP(1,('2013 E Maize Soil VWC'!$C$2:$C$4000=$AA95)*('2013 E Maize Soil VWC'!$E$2:$E$4000=$AB95)*('2013 E Maize Soil VWC'!$F$2:$F$4000=AV$5),'2013 E Maize Soil VWC'!$G$2:$G$4000)</f>
        <v>#N/A</v>
      </c>
    </row>
    <row r="96" spans="25:64" x14ac:dyDescent="0.25">
      <c r="AA96" s="15"/>
    </row>
    <row r="97" spans="25:64" x14ac:dyDescent="0.25">
      <c r="Y97" s="4">
        <v>2013</v>
      </c>
      <c r="Z97" s="4">
        <v>203</v>
      </c>
      <c r="AA97" s="15">
        <f>DATE(Y97,1,Z97)</f>
        <v>41477</v>
      </c>
      <c r="AB97" s="4">
        <v>10</v>
      </c>
      <c r="AC97" s="4" cm="1">
        <f t="array" ref="AC97">_xlfn.XLOOKUP(1,('2013 E Maize Soil VWC'!$C$2:$C$4000=$AA97)*('2013 E Maize Soil VWC'!$E$2:$E$4000=$AB97)*('2013 E Maize Soil VWC'!$F$2:$F$4000=AC$5),'2013 E Maize Soil VWC'!$G$2:$G$4000)</f>
        <v>0.29145755145278451</v>
      </c>
      <c r="AD97" s="4" cm="1">
        <f t="array" ref="AD97">_xlfn.XLOOKUP(1,('2013 E Maize Soil VWC'!$C$2:$C$4000=$AA97)*('2013 E Maize Soil VWC'!$E$2:$E$4000=$AB97)*('2013 E Maize Soil VWC'!$F$2:$F$4000=AD$5),'2013 E Maize Soil VWC'!$G$2:$G$4000)</f>
        <v>0.3082791809927361</v>
      </c>
      <c r="AE97" s="4" cm="1">
        <f t="array" ref="AE97">_xlfn.XLOOKUP(1,('2013 E Maize Soil VWC'!$C$2:$C$4000=$AA97)*('2013 E Maize Soil VWC'!$E$2:$E$4000=$AB97)*('2013 E Maize Soil VWC'!$F$2:$F$4000=AE$5),'2013 E Maize Soil VWC'!$G$2:$G$4000)</f>
        <v>0.32620038952784508</v>
      </c>
      <c r="AF97" s="4" cm="1">
        <f t="array" ref="AF97">_xlfn.XLOOKUP(1,('2013 E Maize Soil VWC'!$C$2:$C$4000=$AA97)*('2013 E Maize Soil VWC'!$E$2:$E$4000=$AB97)*('2013 E Maize Soil VWC'!$F$2:$F$4000=AF$5),'2013 E Maize Soil VWC'!$G$2:$G$4000)</f>
        <v>0.29525785078692496</v>
      </c>
      <c r="AG97" s="4" cm="1">
        <f t="array" ref="AG97">_xlfn.XLOOKUP(1,('2013 E Maize Soil VWC'!$C$2:$C$4000=$AA97)*('2013 E Maize Soil VWC'!$E$2:$E$4000=$AB97)*('2013 E Maize Soil VWC'!$F$2:$F$4000=AG$5),'2013 E Maize Soil VWC'!$G$2:$G$4000)</f>
        <v>0.29759204479418888</v>
      </c>
      <c r="AH97" s="4" cm="1">
        <f t="array" ref="AH97">_xlfn.XLOOKUP(1,('2013 E Maize Soil VWC'!$C$2:$C$4000=$AA97)*('2013 E Maize Soil VWC'!$E$2:$E$4000=$AB97)*('2013 E Maize Soil VWC'!$F$2:$F$4000=AH$5),'2013 E Maize Soil VWC'!$G$2:$G$4000)</f>
        <v>0.28362546246973364</v>
      </c>
      <c r="AI97" s="4" cm="1">
        <f t="array" ref="AI97">_xlfn.XLOOKUP(1,('2013 E Maize Soil VWC'!$C$2:$C$4000=$AA97)*('2013 E Maize Soil VWC'!$E$2:$E$4000=$AB97)*('2013 E Maize Soil VWC'!$F$2:$F$4000=AI$5),'2013 E Maize Soil VWC'!$G$2:$G$4000)</f>
        <v>0.30876145248184023</v>
      </c>
      <c r="AJ97" s="4" cm="1">
        <f t="array" ref="AJ97">_xlfn.XLOOKUP(1,('2013 E Maize Soil VWC'!$C$2:$C$4000=$AA97)*('2013 E Maize Soil VWC'!$E$2:$E$4000=$AB97)*('2013 E Maize Soil VWC'!$F$2:$F$4000=AJ$5),'2013 E Maize Soil VWC'!$G$2:$G$4000)</f>
        <v>0.32074107627118642</v>
      </c>
      <c r="AK97" s="4" cm="1">
        <f t="array" ref="AK97">_xlfn.XLOOKUP(1,('2013 E Maize Soil VWC'!$C$2:$C$4000=$AA97)*('2013 E Maize Soil VWC'!$E$2:$E$4000=$AB97)*('2013 E Maize Soil VWC'!$F$2:$F$4000=AK$5),'2013 E Maize Soil VWC'!$G$2:$G$4000)</f>
        <v>0.32319101543583534</v>
      </c>
      <c r="AL97" s="4" cm="1">
        <f t="array" ref="AL97">_xlfn.XLOOKUP(1,('2013 E Maize Soil VWC'!$C$2:$C$4000=$AA97)*('2013 E Maize Soil VWC'!$E$2:$E$4000=$AB97)*('2013 E Maize Soil VWC'!$F$2:$F$4000=AL$5),'2013 E Maize Soil VWC'!$G$2:$G$4000)</f>
        <v>0.30110298123486684</v>
      </c>
      <c r="AM97" s="4" cm="1">
        <f t="array" ref="AM97">_xlfn.XLOOKUP(1,('2013 E Maize Soil VWC'!$C$2:$C$4000=$AA97)*('2013 E Maize Soil VWC'!$E$2:$E$4000=$AB97)*('2013 E Maize Soil VWC'!$F$2:$F$4000=AM$5),'2013 E Maize Soil VWC'!$G$2:$G$4000)</f>
        <v>0.26362084110169487</v>
      </c>
      <c r="AN97" s="4" cm="1">
        <f t="array" ref="AN97">_xlfn.XLOOKUP(1,('2013 E Maize Soil VWC'!$C$2:$C$4000=$AA97)*('2013 E Maize Soil VWC'!$E$2:$E$4000=$AB97)*('2013 E Maize Soil VWC'!$F$2:$F$4000=AN$5),'2013 E Maize Soil VWC'!$G$2:$G$4000)</f>
        <v>0.24820744430992736</v>
      </c>
      <c r="AO97" s="4" cm="1">
        <f t="array" ref="AO97">_xlfn.XLOOKUP(1,('2013 E Maize Soil VWC'!$C$2:$C$4000=$AA97)*('2013 E Maize Soil VWC'!$E$2:$E$4000=$AB97)*('2013 E Maize Soil VWC'!$F$2:$F$4000=AO$5),'2013 E Maize Soil VWC'!$G$2:$G$4000)</f>
        <v>0.30106439951573849</v>
      </c>
      <c r="AP97" s="4" cm="1">
        <f t="array" ref="AP97">_xlfn.XLOOKUP(1,('2013 E Maize Soil VWC'!$C$2:$C$4000=$AA97)*('2013 E Maize Soil VWC'!$E$2:$E$4000=$AB97)*('2013 E Maize Soil VWC'!$F$2:$F$4000=AP$5),'2013 E Maize Soil VWC'!$G$2:$G$4000)</f>
        <v>0.25376321186440676</v>
      </c>
      <c r="AQ97" s="4" cm="1">
        <f t="array" ref="AQ97">_xlfn.XLOOKUP(1,('2013 E Maize Soil VWC'!$C$2:$C$4000=$AA97)*('2013 E Maize Soil VWC'!$E$2:$E$4000=$AB97)*('2013 E Maize Soil VWC'!$F$2:$F$4000=AQ$5),'2013 E Maize Soil VWC'!$G$2:$G$4000)</f>
        <v>0.28354829903147699</v>
      </c>
      <c r="AR97" s="4" cm="1">
        <f t="array" ref="AR97">_xlfn.XLOOKUP(1,('2013 E Maize Soil VWC'!$C$2:$C$4000=$AA97)*('2013 E Maize Soil VWC'!$E$2:$E$4000=$AB97)*('2013 E Maize Soil VWC'!$F$2:$F$4000=AR$5),'2013 E Maize Soil VWC'!$G$2:$G$4000)</f>
        <v>0.2677683759079903</v>
      </c>
      <c r="AS97" s="4" cm="1">
        <f t="array" ref="AS97">_xlfn.XLOOKUP(1,('2013 E Maize Soil VWC'!$C$2:$C$4000=$AA97)*('2013 E Maize Soil VWC'!$E$2:$E$4000=$AB97)*('2013 E Maize Soil VWC'!$F$2:$F$4000=AS$5),'2013 E Maize Soil VWC'!$G$2:$G$4000)</f>
        <v>0.3010258177966102</v>
      </c>
      <c r="AT97" s="4" cm="1">
        <f t="array" ref="AT97">_xlfn.XLOOKUP(1,('2013 E Maize Soil VWC'!$C$2:$C$4000=$AA97)*('2013 E Maize Soil VWC'!$E$2:$E$4000=$AB97)*('2013 E Maize Soil VWC'!$F$2:$F$4000=AT$5),'2013 E Maize Soil VWC'!$G$2:$G$4000)</f>
        <v>0.2806353792372881</v>
      </c>
      <c r="AU97" s="4" cm="1">
        <f t="array" ref="AU97">_xlfn.XLOOKUP(1,('2013 E Maize Soil VWC'!$C$2:$C$4000=$AA97)*('2013 E Maize Soil VWC'!$E$2:$E$4000=$AB97)*('2013 E Maize Soil VWC'!$F$2:$F$4000=AU$5),'2013 E Maize Soil VWC'!$G$2:$G$4000)</f>
        <v>0.24452289013317191</v>
      </c>
      <c r="AV97" s="4" cm="1">
        <f t="array" ref="AV97">_xlfn.XLOOKUP(1,('2013 E Maize Soil VWC'!$C$2:$C$4000=$AA97)*('2013 E Maize Soil VWC'!$E$2:$E$4000=$AB97)*('2013 E Maize Soil VWC'!$F$2:$F$4000=AV$5),'2013 E Maize Soil VWC'!$G$2:$G$4000)</f>
        <v>0.23063347124697336</v>
      </c>
      <c r="AW97" s="22">
        <f>Z97</f>
        <v>203</v>
      </c>
      <c r="AX97" s="20">
        <f>AA97</f>
        <v>41477</v>
      </c>
      <c r="AY97" s="4">
        <f>1400*AVERAGE(AG97:AH103)+100*AVERAGE(AG104:AH104)</f>
        <v>487.84112848062961</v>
      </c>
      <c r="AZ97" s="4">
        <f>1400*AVERAGE(AC97:AF103,AI97:AL103)+100*AVERAGE(AC104:AF104,AI104:AL104)</f>
        <v>502.7873047921712</v>
      </c>
      <c r="BA97" s="4">
        <f>1400*AVERAGE(AQ97:AR103)+100*AVERAGE(AQ104:AR104)</f>
        <v>469.9871200363196</v>
      </c>
      <c r="BB97" s="4">
        <f>1400*AVERAGE(AM97:AP103,AS97:AV103)+100*AVERAGE(AM104:AP104,AS104:AV104)</f>
        <v>488.64633949631752</v>
      </c>
      <c r="BC97" s="4">
        <f>AVERAGE(AC97:AD108)*2400</f>
        <v>768.47153355528667</v>
      </c>
      <c r="BD97" s="4">
        <f>AVERAGE(AE97:AF108)*2400</f>
        <v>759.84675849475366</v>
      </c>
      <c r="BE97" s="4">
        <f>AVERAGE(AG97:AH106)*2000</f>
        <v>657.18775800040362</v>
      </c>
      <c r="BF97" s="4">
        <f>AVERAGE(AI97:AJ108)*2400</f>
        <v>779.47260280468117</v>
      </c>
      <c r="BG97" s="4">
        <f>AVERAGE(AK97:AL108)*2400</f>
        <v>771.34825100887815</v>
      </c>
      <c r="BH97" s="4">
        <f>AVERAGE(AM97:AN108)*2400</f>
        <v>770.10320594229211</v>
      </c>
      <c r="BI97" s="4">
        <f>AVERAGE(AO97:AP108)*2400</f>
        <v>763.96475287530257</v>
      </c>
      <c r="BJ97" s="4">
        <f>AVERAGE(AQ97:AR106)*2000</f>
        <v>635.51847194309926</v>
      </c>
      <c r="BK97" s="4">
        <f>AVERAGE(AS97:AT108)*2400</f>
        <v>780.79103368644053</v>
      </c>
      <c r="BL97" s="4">
        <f>AVERAGE(AU97:AV108)*2400</f>
        <v>760.16216707021783</v>
      </c>
    </row>
    <row r="98" spans="25:64" x14ac:dyDescent="0.25">
      <c r="AA98" s="15">
        <f t="shared" ref="AA98:AA108" si="15">AA97</f>
        <v>41477</v>
      </c>
      <c r="AB98" s="4">
        <f t="shared" ref="AB98:AB108" si="16">AB97+20</f>
        <v>30</v>
      </c>
      <c r="AC98" s="4" cm="1">
        <f t="array" ref="AC98">_xlfn.XLOOKUP(1,('2013 E Maize Soil VWC'!$C$2:$C$4000=$AA98)*('2013 E Maize Soil VWC'!$E$2:$E$4000=$AB98)*('2013 E Maize Soil VWC'!$F$2:$F$4000=AC$5),'2013 E Maize Soil VWC'!$G$2:$G$4000)</f>
        <v>0.32757272387005648</v>
      </c>
      <c r="AD98" s="4" cm="1">
        <f t="array" ref="AD98">_xlfn.XLOOKUP(1,('2013 E Maize Soil VWC'!$C$2:$C$4000=$AA98)*('2013 E Maize Soil VWC'!$E$2:$E$4000=$AB98)*('2013 E Maize Soil VWC'!$F$2:$F$4000=AD$5),'2013 E Maize Soil VWC'!$G$2:$G$4000)</f>
        <v>0.32939201129943502</v>
      </c>
      <c r="AE98" s="4" cm="1">
        <f t="array" ref="AE98">_xlfn.XLOOKUP(1,('2013 E Maize Soil VWC'!$C$2:$C$4000=$AA98)*('2013 E Maize Soil VWC'!$E$2:$E$4000=$AB98)*('2013 E Maize Soil VWC'!$F$2:$F$4000=AE$5),'2013 E Maize Soil VWC'!$G$2:$G$4000)</f>
        <v>0.35032533121468928</v>
      </c>
      <c r="AF98" s="4" cm="1">
        <f t="array" ref="AF98">_xlfn.XLOOKUP(1,('2013 E Maize Soil VWC'!$C$2:$C$4000=$AA98)*('2013 E Maize Soil VWC'!$E$2:$E$4000=$AB98)*('2013 E Maize Soil VWC'!$F$2:$F$4000=AF$5),'2013 E Maize Soil VWC'!$G$2:$G$4000)</f>
        <v>0.3363467556497175</v>
      </c>
      <c r="AG98" s="4" cm="1">
        <f t="array" ref="AG98">_xlfn.XLOOKUP(1,('2013 E Maize Soil VWC'!$C$2:$C$4000=$AA98)*('2013 E Maize Soil VWC'!$E$2:$E$4000=$AB98)*('2013 E Maize Soil VWC'!$F$2:$F$4000=AG$5),'2013 E Maize Soil VWC'!$G$2:$G$4000)</f>
        <v>0.34717036440677962</v>
      </c>
      <c r="AH98" s="4" cm="1">
        <f t="array" ref="AH98">_xlfn.XLOOKUP(1,('2013 E Maize Soil VWC'!$C$2:$C$4000=$AA98)*('2013 E Maize Soil VWC'!$E$2:$E$4000=$AB98)*('2013 E Maize Soil VWC'!$F$2:$F$4000=AH$5),'2013 E Maize Soil VWC'!$G$2:$G$4000)</f>
        <v>0.3360934371468926</v>
      </c>
      <c r="AI98" s="4" cm="1">
        <f t="array" ref="AI98">_xlfn.XLOOKUP(1,('2013 E Maize Soil VWC'!$C$2:$C$4000=$AA98)*('2013 E Maize Soil VWC'!$E$2:$E$4000=$AB98)*('2013 E Maize Soil VWC'!$F$2:$F$4000=AI$5),'2013 E Maize Soil VWC'!$G$2:$G$4000)</f>
        <v>0.33319178884180789</v>
      </c>
      <c r="AJ98" s="4" cm="1">
        <f t="array" ref="AJ98">_xlfn.XLOOKUP(1,('2013 E Maize Soil VWC'!$C$2:$C$4000=$AA98)*('2013 E Maize Soil VWC'!$E$2:$E$4000=$AB98)*('2013 E Maize Soil VWC'!$F$2:$F$4000=AJ$5),'2013 E Maize Soil VWC'!$G$2:$G$4000)</f>
        <v>0.33936354872881352</v>
      </c>
      <c r="AK98" s="4" cm="1">
        <f t="array" ref="AK98">_xlfn.XLOOKUP(1,('2013 E Maize Soil VWC'!$C$2:$C$4000=$AA98)*('2013 E Maize Soil VWC'!$E$2:$E$4000=$AB98)*('2013 E Maize Soil VWC'!$F$2:$F$4000=AK$5),'2013 E Maize Soil VWC'!$G$2:$G$4000)</f>
        <v>0.34286394985875707</v>
      </c>
      <c r="AL98" s="4" cm="1">
        <f t="array" ref="AL98">_xlfn.XLOOKUP(1,('2013 E Maize Soil VWC'!$C$2:$C$4000=$AA98)*('2013 E Maize Soil VWC'!$E$2:$E$4000=$AB98)*('2013 E Maize Soil VWC'!$F$2:$F$4000=AL$5),'2013 E Maize Soil VWC'!$G$2:$G$4000)</f>
        <v>0.35281245833333336</v>
      </c>
      <c r="AM98" s="4" cm="1">
        <f t="array" ref="AM98">_xlfn.XLOOKUP(1,('2013 E Maize Soil VWC'!$C$2:$C$4000=$AA98)*('2013 E Maize Soil VWC'!$E$2:$E$4000=$AB98)*('2013 E Maize Soil VWC'!$F$2:$F$4000=AM$5),'2013 E Maize Soil VWC'!$G$2:$G$4000)</f>
        <v>0.320617979519774</v>
      </c>
      <c r="AN98" s="4" cm="1">
        <f t="array" ref="AN98">_xlfn.XLOOKUP(1,('2013 E Maize Soil VWC'!$C$2:$C$4000=$AA98)*('2013 E Maize Soil VWC'!$E$2:$E$4000=$AB98)*('2013 E Maize Soil VWC'!$F$2:$F$4000=AN$5),'2013 E Maize Soil VWC'!$G$2:$G$4000)</f>
        <v>0.3028396264124294</v>
      </c>
      <c r="AO98" s="4" cm="1">
        <f t="array" ref="AO98">_xlfn.XLOOKUP(1,('2013 E Maize Soil VWC'!$C$2:$C$4000=$AA98)*('2013 E Maize Soil VWC'!$E$2:$E$4000=$AB98)*('2013 E Maize Soil VWC'!$F$2:$F$4000=AO$5),'2013 E Maize Soil VWC'!$G$2:$G$4000)</f>
        <v>0.33342207838983046</v>
      </c>
      <c r="AP98" s="4" cm="1">
        <f t="array" ref="AP98">_xlfn.XLOOKUP(1,('2013 E Maize Soil VWC'!$C$2:$C$4000=$AA98)*('2013 E Maize Soil VWC'!$E$2:$E$4000=$AB98)*('2013 E Maize Soil VWC'!$F$2:$F$4000=AP$5),'2013 E Maize Soil VWC'!$G$2:$G$4000)</f>
        <v>0.32545406002824856</v>
      </c>
      <c r="AQ98" s="4" cm="1">
        <f t="array" ref="AQ98">_xlfn.XLOOKUP(1,('2013 E Maize Soil VWC'!$C$2:$C$4000=$AA98)*('2013 E Maize Soil VWC'!$E$2:$E$4000=$AB98)*('2013 E Maize Soil VWC'!$F$2:$F$4000=AQ$5),'2013 E Maize Soil VWC'!$G$2:$G$4000)</f>
        <v>0.33722185593220338</v>
      </c>
      <c r="AR98" s="4" cm="1">
        <f t="array" ref="AR98">_xlfn.XLOOKUP(1,('2013 E Maize Soil VWC'!$C$2:$C$4000=$AA98)*('2013 E Maize Soil VWC'!$E$2:$E$4000=$AB98)*('2013 E Maize Soil VWC'!$F$2:$F$4000=AR$5),'2013 E Maize Soil VWC'!$G$2:$G$4000)</f>
        <v>0.34843695692090393</v>
      </c>
      <c r="AS98" s="4" cm="1">
        <f t="array" ref="AS98">_xlfn.XLOOKUP(1,('2013 E Maize Soil VWC'!$C$2:$C$4000=$AA98)*('2013 E Maize Soil VWC'!$E$2:$E$4000=$AB98)*('2013 E Maize Soil VWC'!$F$2:$F$4000=AS$5),'2013 E Maize Soil VWC'!$G$2:$G$4000)</f>
        <v>0.3388108538135593</v>
      </c>
      <c r="AT98" s="4" cm="1">
        <f t="array" ref="AT98">_xlfn.XLOOKUP(1,('2013 E Maize Soil VWC'!$C$2:$C$4000=$AA98)*('2013 E Maize Soil VWC'!$E$2:$E$4000=$AB98)*('2013 E Maize Soil VWC'!$F$2:$F$4000=AT$5),'2013 E Maize Soil VWC'!$G$2:$G$4000)</f>
        <v>0.3459958877118644</v>
      </c>
      <c r="AU98" s="4" cm="1">
        <f t="array" ref="AU98">_xlfn.XLOOKUP(1,('2013 E Maize Soil VWC'!$C$2:$C$4000=$AA98)*('2013 E Maize Soil VWC'!$E$2:$E$4000=$AB98)*('2013 E Maize Soil VWC'!$F$2:$F$4000=AU$5),'2013 E Maize Soil VWC'!$G$2:$G$4000)</f>
        <v>0.32319722245762711</v>
      </c>
      <c r="AV98" s="4" cm="1">
        <f t="array" ref="AV98">_xlfn.XLOOKUP(1,('2013 E Maize Soil VWC'!$C$2:$C$4000=$AA98)*('2013 E Maize Soil VWC'!$E$2:$E$4000=$AB98)*('2013 E Maize Soil VWC'!$F$2:$F$4000=AV$5),'2013 E Maize Soil VWC'!$G$2:$G$4000)</f>
        <v>0.32464804661016944</v>
      </c>
    </row>
    <row r="99" spans="25:64" x14ac:dyDescent="0.25">
      <c r="AA99" s="15">
        <f t="shared" si="15"/>
        <v>41477</v>
      </c>
      <c r="AB99" s="4">
        <f t="shared" si="16"/>
        <v>50</v>
      </c>
      <c r="AC99" s="4" cm="1">
        <f t="array" ref="AC99">_xlfn.XLOOKUP(1,('2013 E Maize Soil VWC'!$C$2:$C$4000=$AA99)*('2013 E Maize Soil VWC'!$E$2:$E$4000=$AB99)*('2013 E Maize Soil VWC'!$F$2:$F$4000=AC$5),'2013 E Maize Soil VWC'!$G$2:$G$4000)</f>
        <v>0.34728550918079099</v>
      </c>
      <c r="AD99" s="4" cm="1">
        <f t="array" ref="AD99">_xlfn.XLOOKUP(1,('2013 E Maize Soil VWC'!$C$2:$C$4000=$AA99)*('2013 E Maize Soil VWC'!$E$2:$E$4000=$AB99)*('2013 E Maize Soil VWC'!$F$2:$F$4000=AD$5),'2013 E Maize Soil VWC'!$G$2:$G$4000)</f>
        <v>0.3558522803672316</v>
      </c>
      <c r="AE99" s="4" cm="1">
        <f t="array" ref="AE99">_xlfn.XLOOKUP(1,('2013 E Maize Soil VWC'!$C$2:$C$4000=$AA99)*('2013 E Maize Soil VWC'!$E$2:$E$4000=$AB99)*('2013 E Maize Soil VWC'!$F$2:$F$4000=AE$5),'2013 E Maize Soil VWC'!$G$2:$G$4000)</f>
        <v>0.35571410663841807</v>
      </c>
      <c r="AF99" s="4" cm="1">
        <f t="array" ref="AF99">_xlfn.XLOOKUP(1,('2013 E Maize Soil VWC'!$C$2:$C$4000=$AA99)*('2013 E Maize Soil VWC'!$E$2:$E$4000=$AB99)*('2013 E Maize Soil VWC'!$F$2:$F$4000=AF$5),'2013 E Maize Soil VWC'!$G$2:$G$4000)</f>
        <v>0.33779757980225988</v>
      </c>
      <c r="AG99" s="4" cm="1">
        <f t="array" ref="AG99">_xlfn.XLOOKUP(1,('2013 E Maize Soil VWC'!$C$2:$C$4000=$AA99)*('2013 E Maize Soil VWC'!$E$2:$E$4000=$AB99)*('2013 E Maize Soil VWC'!$F$2:$F$4000=AG$5),'2013 E Maize Soil VWC'!$G$2:$G$4000)</f>
        <v>0.34401539759887007</v>
      </c>
      <c r="AH99" s="4" cm="1">
        <f t="array" ref="AH99">_xlfn.XLOOKUP(1,('2013 E Maize Soil VWC'!$C$2:$C$4000=$AA99)*('2013 E Maize Soil VWC'!$E$2:$E$4000=$AB99)*('2013 E Maize Soil VWC'!$F$2:$F$4000=AH$5),'2013 E Maize Soil VWC'!$G$2:$G$4000)</f>
        <v>0.320617979519774</v>
      </c>
      <c r="AI99" s="4" cm="1">
        <f t="array" ref="AI99">_xlfn.XLOOKUP(1,('2013 E Maize Soil VWC'!$C$2:$C$4000=$AA99)*('2013 E Maize Soil VWC'!$E$2:$E$4000=$AB99)*('2013 E Maize Soil VWC'!$F$2:$F$4000=AI$5),'2013 E Maize Soil VWC'!$G$2:$G$4000)</f>
        <v>0.35384876129943499</v>
      </c>
      <c r="AJ99" s="4" cm="1">
        <f t="array" ref="AJ99">_xlfn.XLOOKUP(1,('2013 E Maize Soil VWC'!$C$2:$C$4000=$AA99)*('2013 E Maize Soil VWC'!$E$2:$E$4000=$AB99)*('2013 E Maize Soil VWC'!$F$2:$F$4000=AJ$5),'2013 E Maize Soil VWC'!$G$2:$G$4000)</f>
        <v>0.35205250282485878</v>
      </c>
      <c r="AK99" s="4" cm="1">
        <f t="array" ref="AK99">_xlfn.XLOOKUP(1,('2013 E Maize Soil VWC'!$C$2:$C$4000=$AA99)*('2013 E Maize Soil VWC'!$E$2:$E$4000=$AB99)*('2013 E Maize Soil VWC'!$F$2:$F$4000=AK$5),'2013 E Maize Soil VWC'!$G$2:$G$4000)</f>
        <v>0.34046893855932203</v>
      </c>
      <c r="AL99" s="4" cm="1">
        <f t="array" ref="AL99">_xlfn.XLOOKUP(1,('2013 E Maize Soil VWC'!$C$2:$C$4000=$AA99)*('2013 E Maize Soil VWC'!$E$2:$E$4000=$AB99)*('2013 E Maize Soil VWC'!$F$2:$F$4000=AL$5),'2013 E Maize Soil VWC'!$G$2:$G$4000)</f>
        <v>0.35394087711864403</v>
      </c>
      <c r="AM99" s="4" cm="1">
        <f t="array" ref="AM99">_xlfn.XLOOKUP(1,('2013 E Maize Soil VWC'!$C$2:$C$4000=$AA99)*('2013 E Maize Soil VWC'!$E$2:$E$4000=$AB99)*('2013 E Maize Soil VWC'!$F$2:$F$4000=AM$5),'2013 E Maize Soil VWC'!$G$2:$G$4000)</f>
        <v>0.34802243573446329</v>
      </c>
      <c r="AN99" s="4" cm="1">
        <f t="array" ref="AN99">_xlfn.XLOOKUP(1,('2013 E Maize Soil VWC'!$C$2:$C$4000=$AA99)*('2013 E Maize Soil VWC'!$E$2:$E$4000=$AB99)*('2013 E Maize Soil VWC'!$F$2:$F$4000=AN$5),'2013 E Maize Soil VWC'!$G$2:$G$4000)</f>
        <v>0.34436083192090394</v>
      </c>
      <c r="AO99" s="4" cm="1">
        <f t="array" ref="AO99">_xlfn.XLOOKUP(1,('2013 E Maize Soil VWC'!$C$2:$C$4000=$AA99)*('2013 E Maize Soil VWC'!$E$2:$E$4000=$AB99)*('2013 E Maize Soil VWC'!$F$2:$F$4000=AO$5),'2013 E Maize Soil VWC'!$G$2:$G$4000)</f>
        <v>0.33841936158192087</v>
      </c>
      <c r="AP99" s="4" cm="1">
        <f t="array" ref="AP99">_xlfn.XLOOKUP(1,('2013 E Maize Soil VWC'!$C$2:$C$4000=$AA99)*('2013 E Maize Soil VWC'!$E$2:$E$4000=$AB99)*('2013 E Maize Soil VWC'!$F$2:$F$4000=AP$5),'2013 E Maize Soil VWC'!$G$2:$G$4000)</f>
        <v>0.34864421751412428</v>
      </c>
      <c r="AQ99" s="4" cm="1">
        <f t="array" ref="AQ99">_xlfn.XLOOKUP(1,('2013 E Maize Soil VWC'!$C$2:$C$4000=$AA99)*('2013 E Maize Soil VWC'!$E$2:$E$4000=$AB99)*('2013 E Maize Soil VWC'!$F$2:$F$4000=AQ$5),'2013 E Maize Soil VWC'!$G$2:$G$4000)</f>
        <v>0.32819450564971747</v>
      </c>
      <c r="AR99" s="4" cm="1">
        <f t="array" ref="AR99">_xlfn.XLOOKUP(1,('2013 E Maize Soil VWC'!$C$2:$C$4000=$AA99)*('2013 E Maize Soil VWC'!$E$2:$E$4000=$AB99)*('2013 E Maize Soil VWC'!$F$2:$F$4000=AR$5),'2013 E Maize Soil VWC'!$G$2:$G$4000)</f>
        <v>0.31165971610169491</v>
      </c>
      <c r="AS99" s="4" cm="1">
        <f t="array" ref="AS99">_xlfn.XLOOKUP(1,('2013 E Maize Soil VWC'!$C$2:$C$4000=$AA99)*('2013 E Maize Soil VWC'!$E$2:$E$4000=$AB99)*('2013 E Maize Soil VWC'!$F$2:$F$4000=AS$5),'2013 E Maize Soil VWC'!$G$2:$G$4000)</f>
        <v>0.35021018644067797</v>
      </c>
      <c r="AT99" s="4" cm="1">
        <f t="array" ref="AT99">_xlfn.XLOOKUP(1,('2013 E Maize Soil VWC'!$C$2:$C$4000=$AA99)*('2013 E Maize Soil VWC'!$E$2:$E$4000=$AB99)*('2013 E Maize Soil VWC'!$F$2:$F$4000=AT$5),'2013 E Maize Soil VWC'!$G$2:$G$4000)</f>
        <v>0.34641040889830504</v>
      </c>
      <c r="AU99" s="4" cm="1">
        <f t="array" ref="AU99">_xlfn.XLOOKUP(1,('2013 E Maize Soil VWC'!$C$2:$C$4000=$AA99)*('2013 E Maize Soil VWC'!$E$2:$E$4000=$AB99)*('2013 E Maize Soil VWC'!$F$2:$F$4000=AU$5),'2013 E Maize Soil VWC'!$G$2:$G$4000)</f>
        <v>0.34588074293785309</v>
      </c>
      <c r="AV99" s="4" cm="1">
        <f t="array" ref="AV99">_xlfn.XLOOKUP(1,('2013 E Maize Soil VWC'!$C$2:$C$4000=$AA99)*('2013 E Maize Soil VWC'!$E$2:$E$4000=$AB99)*('2013 E Maize Soil VWC'!$F$2:$F$4000=AV$5),'2013 E Maize Soil VWC'!$G$2:$G$4000)</f>
        <v>0.34834484110169489</v>
      </c>
    </row>
    <row r="100" spans="25:64" x14ac:dyDescent="0.25">
      <c r="AA100" s="15">
        <f t="shared" si="15"/>
        <v>41477</v>
      </c>
      <c r="AB100" s="4">
        <f t="shared" si="16"/>
        <v>70</v>
      </c>
      <c r="AC100" s="4" cm="1">
        <f t="array" ref="AC100">_xlfn.XLOOKUP(1,('2013 E Maize Soil VWC'!$C$2:$C$4000=$AA100)*('2013 E Maize Soil VWC'!$E$2:$E$4000=$AB100)*('2013 E Maize Soil VWC'!$F$2:$F$4000=AC$5),'2013 E Maize Soil VWC'!$G$2:$G$4000)</f>
        <v>0.35108528672316386</v>
      </c>
      <c r="AD100" s="4" cm="1">
        <f t="array" ref="AD100">_xlfn.XLOOKUP(1,('2013 E Maize Soil VWC'!$C$2:$C$4000=$AA100)*('2013 E Maize Soil VWC'!$E$2:$E$4000=$AB100)*('2013 E Maize Soil VWC'!$F$2:$F$4000=AD$5),'2013 E Maize Soil VWC'!$G$2:$G$4000)</f>
        <v>0.35548381709039545</v>
      </c>
      <c r="AE100" s="4" cm="1">
        <f t="array" ref="AE100">_xlfn.XLOOKUP(1,('2013 E Maize Soil VWC'!$C$2:$C$4000=$AA100)*('2013 E Maize Soil VWC'!$E$2:$E$4000=$AB100)*('2013 E Maize Soil VWC'!$F$2:$F$4000=AE$5),'2013 E Maize Soil VWC'!$G$2:$G$4000)</f>
        <v>0.35117740254237284</v>
      </c>
      <c r="AF100" s="4" cm="1">
        <f t="array" ref="AF100">_xlfn.XLOOKUP(1,('2013 E Maize Soil VWC'!$C$2:$C$4000=$AA100)*('2013 E Maize Soil VWC'!$E$2:$E$4000=$AB100)*('2013 E Maize Soil VWC'!$F$2:$F$4000=AF$5),'2013 E Maize Soil VWC'!$G$2:$G$4000)</f>
        <v>0.34166644420903952</v>
      </c>
      <c r="AG100" s="4" cm="1">
        <f t="array" ref="AG100">_xlfn.XLOOKUP(1,('2013 E Maize Soil VWC'!$C$2:$C$4000=$AA100)*('2013 E Maize Soil VWC'!$E$2:$E$4000=$AB100)*('2013 E Maize Soil VWC'!$F$2:$F$4000=AG$5),'2013 E Maize Soil VWC'!$G$2:$G$4000)</f>
        <v>0.33694550847457627</v>
      </c>
      <c r="AH100" s="4" cm="1">
        <f t="array" ref="AH100">_xlfn.XLOOKUP(1,('2013 E Maize Soil VWC'!$C$2:$C$4000=$AA100)*('2013 E Maize Soil VWC'!$E$2:$E$4000=$AB100)*('2013 E Maize Soil VWC'!$F$2:$F$4000=AH$5),'2013 E Maize Soil VWC'!$G$2:$G$4000)</f>
        <v>0.31801570762711862</v>
      </c>
      <c r="AI100" s="4" cm="1">
        <f t="array" ref="AI100">_xlfn.XLOOKUP(1,('2013 E Maize Soil VWC'!$C$2:$C$4000=$AA100)*('2013 E Maize Soil VWC'!$E$2:$E$4000=$AB100)*('2013 E Maize Soil VWC'!$F$2:$F$4000=AI$5),'2013 E Maize Soil VWC'!$G$2:$G$4000)</f>
        <v>0.34910479661016947</v>
      </c>
      <c r="AJ100" s="4" cm="1">
        <f t="array" ref="AJ100">_xlfn.XLOOKUP(1,('2013 E Maize Soil VWC'!$C$2:$C$4000=$AA100)*('2013 E Maize Soil VWC'!$E$2:$E$4000=$AB100)*('2013 E Maize Soil VWC'!$F$2:$F$4000=AJ$5),'2013 E Maize Soil VWC'!$G$2:$G$4000)</f>
        <v>0.34581165607344633</v>
      </c>
      <c r="AK100" s="4" cm="1">
        <f t="array" ref="AK100">_xlfn.XLOOKUP(1,('2013 E Maize Soil VWC'!$C$2:$C$4000=$AA100)*('2013 E Maize Soil VWC'!$E$2:$E$4000=$AB100)*('2013 E Maize Soil VWC'!$F$2:$F$4000=AK$5),'2013 E Maize Soil VWC'!$G$2:$G$4000)</f>
        <v>0.34314029731638418</v>
      </c>
      <c r="AL100" s="4" cm="1">
        <f t="array" ref="AL100">_xlfn.XLOOKUP(1,('2013 E Maize Soil VWC'!$C$2:$C$4000=$AA100)*('2013 E Maize Soil VWC'!$E$2:$E$4000=$AB100)*('2013 E Maize Soil VWC'!$F$2:$F$4000=AL$5),'2013 E Maize Soil VWC'!$G$2:$G$4000)</f>
        <v>0.35272034251412426</v>
      </c>
      <c r="AM100" s="4" cm="1">
        <f t="array" ref="AM100">_xlfn.XLOOKUP(1,('2013 E Maize Soil VWC'!$C$2:$C$4000=$AA100)*('2013 E Maize Soil VWC'!$E$2:$E$4000=$AB100)*('2013 E Maize Soil VWC'!$F$2:$F$4000=AM$5),'2013 E Maize Soil VWC'!$G$2:$G$4000)</f>
        <v>0.34696310381355933</v>
      </c>
      <c r="AN100" s="4" cm="1">
        <f t="array" ref="AN100">_xlfn.XLOOKUP(1,('2013 E Maize Soil VWC'!$C$2:$C$4000=$AA100)*('2013 E Maize Soil VWC'!$E$2:$E$4000=$AB100)*('2013 E Maize Soil VWC'!$F$2:$F$4000=AN$5),'2013 E Maize Soil VWC'!$G$2:$G$4000)</f>
        <v>0.34284092090395474</v>
      </c>
      <c r="AO100" s="4" cm="1">
        <f t="array" ref="AO100">_xlfn.XLOOKUP(1,('2013 E Maize Soil VWC'!$C$2:$C$4000=$AA100)*('2013 E Maize Soil VWC'!$E$2:$E$4000=$AB100)*('2013 E Maize Soil VWC'!$F$2:$F$4000=AO$5),'2013 E Maize Soil VWC'!$G$2:$G$4000)</f>
        <v>0.34251851553672313</v>
      </c>
      <c r="AP100" s="4" cm="1">
        <f t="array" ref="AP100">_xlfn.XLOOKUP(1,('2013 E Maize Soil VWC'!$C$2:$C$4000=$AA100)*('2013 E Maize Soil VWC'!$E$2:$E$4000=$AB100)*('2013 E Maize Soil VWC'!$F$2:$F$4000=AP$5),'2013 E Maize Soil VWC'!$G$2:$G$4000)</f>
        <v>0.35041744703389827</v>
      </c>
      <c r="AQ100" s="4" cm="1">
        <f t="array" ref="AQ100">_xlfn.XLOOKUP(1,('2013 E Maize Soil VWC'!$C$2:$C$4000=$AA100)*('2013 E Maize Soil VWC'!$E$2:$E$4000=$AB100)*('2013 E Maize Soil VWC'!$F$2:$F$4000=AQ$5),'2013 E Maize Soil VWC'!$G$2:$G$4000)</f>
        <v>0.30829748870056495</v>
      </c>
      <c r="AR100" s="4" cm="1">
        <f t="array" ref="AR100">_xlfn.XLOOKUP(1,('2013 E Maize Soil VWC'!$C$2:$C$4000=$AA100)*('2013 E Maize Soil VWC'!$E$2:$E$4000=$AB100)*('2013 E Maize Soil VWC'!$F$2:$F$4000=AR$5),'2013 E Maize Soil VWC'!$G$2:$G$4000)</f>
        <v>0.31073855790960453</v>
      </c>
      <c r="AS100" s="4" cm="1">
        <f t="array" ref="AS100">_xlfn.XLOOKUP(1,('2013 E Maize Soil VWC'!$C$2:$C$4000=$AA100)*('2013 E Maize Soil VWC'!$E$2:$E$4000=$AB100)*('2013 E Maize Soil VWC'!$F$2:$F$4000=AS$5),'2013 E Maize Soil VWC'!$G$2:$G$4000)</f>
        <v>0.34740065395480224</v>
      </c>
      <c r="AT100" s="4" cm="1">
        <f t="array" ref="AT100">_xlfn.XLOOKUP(1,('2013 E Maize Soil VWC'!$C$2:$C$4000=$AA100)*('2013 E Maize Soil VWC'!$E$2:$E$4000=$AB100)*('2013 E Maize Soil VWC'!$F$2:$F$4000=AT$5),'2013 E Maize Soil VWC'!$G$2:$G$4000)</f>
        <v>0.33600132132768362</v>
      </c>
      <c r="AU100" s="4" cm="1">
        <f t="array" ref="AU100">_xlfn.XLOOKUP(1,('2013 E Maize Soil VWC'!$C$2:$C$4000=$AA100)*('2013 E Maize Soil VWC'!$E$2:$E$4000=$AB100)*('2013 E Maize Soil VWC'!$F$2:$F$4000=AU$5),'2013 E Maize Soil VWC'!$G$2:$G$4000)</f>
        <v>0.34007744632768361</v>
      </c>
      <c r="AV100" s="4" cm="1">
        <f t="array" ref="AV100">_xlfn.XLOOKUP(1,('2013 E Maize Soil VWC'!$C$2:$C$4000=$AA100)*('2013 E Maize Soil VWC'!$E$2:$E$4000=$AB100)*('2013 E Maize Soil VWC'!$F$2:$F$4000=AV$5),'2013 E Maize Soil VWC'!$G$2:$G$4000)</f>
        <v>0.34046893855932203</v>
      </c>
    </row>
    <row r="101" spans="25:64" x14ac:dyDescent="0.25">
      <c r="AA101" s="15">
        <f t="shared" si="15"/>
        <v>41477</v>
      </c>
      <c r="AB101" s="4">
        <f t="shared" si="16"/>
        <v>90</v>
      </c>
      <c r="AC101" s="4" cm="1">
        <f t="array" ref="AC101">_xlfn.XLOOKUP(1,('2013 E Maize Soil VWC'!$C$2:$C$4000=$AA101)*('2013 E Maize Soil VWC'!$E$2:$E$4000=$AB101)*('2013 E Maize Soil VWC'!$F$2:$F$4000=AC$5),'2013 E Maize Soil VWC'!$G$2:$G$4000)</f>
        <v>0.34746974081920906</v>
      </c>
      <c r="AD101" s="4" cm="1">
        <f t="array" ref="AD101">_xlfn.XLOOKUP(1,('2013 E Maize Soil VWC'!$C$2:$C$4000=$AA101)*('2013 E Maize Soil VWC'!$E$2:$E$4000=$AB101)*('2013 E Maize Soil VWC'!$F$2:$F$4000=AD$5),'2013 E Maize Soil VWC'!$G$2:$G$4000)</f>
        <v>0.35285851624293785</v>
      </c>
      <c r="AE101" s="4" cm="1">
        <f t="array" ref="AE101">_xlfn.XLOOKUP(1,('2013 E Maize Soil VWC'!$C$2:$C$4000=$AA101)*('2013 E Maize Soil VWC'!$E$2:$E$4000=$AB101)*('2013 E Maize Soil VWC'!$F$2:$F$4000=AE$5),'2013 E Maize Soil VWC'!$G$2:$G$4000)</f>
        <v>0.33802786935028245</v>
      </c>
      <c r="AF101" s="4" cm="1">
        <f t="array" ref="AF101">_xlfn.XLOOKUP(1,('2013 E Maize Soil VWC'!$C$2:$C$4000=$AA101)*('2013 E Maize Soil VWC'!$E$2:$E$4000=$AB101)*('2013 E Maize Soil VWC'!$F$2:$F$4000=AF$5),'2013 E Maize Soil VWC'!$G$2:$G$4000)</f>
        <v>0.34320938418079094</v>
      </c>
      <c r="AG101" s="4" cm="1">
        <f t="array" ref="AG101">_xlfn.XLOOKUP(1,('2013 E Maize Soil VWC'!$C$2:$C$4000=$AA101)*('2013 E Maize Soil VWC'!$E$2:$E$4000=$AB101)*('2013 E Maize Soil VWC'!$F$2:$F$4000=AG$5),'2013 E Maize Soil VWC'!$G$2:$G$4000)</f>
        <v>0.33565588700564969</v>
      </c>
      <c r="AH101" s="4" cm="1">
        <f t="array" ref="AH101">_xlfn.XLOOKUP(1,('2013 E Maize Soil VWC'!$C$2:$C$4000=$AA101)*('2013 E Maize Soil VWC'!$E$2:$E$4000=$AB101)*('2013 E Maize Soil VWC'!$F$2:$F$4000=AH$5),'2013 E Maize Soil VWC'!$G$2:$G$4000)</f>
        <v>0.31898292372881354</v>
      </c>
      <c r="AI101" s="4" cm="1">
        <f t="array" ref="AI101">_xlfn.XLOOKUP(1,('2013 E Maize Soil VWC'!$C$2:$C$4000=$AA101)*('2013 E Maize Soil VWC'!$E$2:$E$4000=$AB101)*('2013 E Maize Soil VWC'!$F$2:$F$4000=AI$5),'2013 E Maize Soil VWC'!$G$2:$G$4000)</f>
        <v>0.34717036440677962</v>
      </c>
      <c r="AJ101" s="4" cm="1">
        <f t="array" ref="AJ101">_xlfn.XLOOKUP(1,('2013 E Maize Soil VWC'!$C$2:$C$4000=$AA101)*('2013 E Maize Soil VWC'!$E$2:$E$4000=$AB101)*('2013 E Maize Soil VWC'!$F$2:$F$4000=AJ$5),'2013 E Maize Soil VWC'!$G$2:$G$4000)</f>
        <v>0.34839089901129938</v>
      </c>
      <c r="AK101" s="4" cm="1">
        <f t="array" ref="AK101">_xlfn.XLOOKUP(1,('2013 E Maize Soil VWC'!$C$2:$C$4000=$AA101)*('2013 E Maize Soil VWC'!$E$2:$E$4000=$AB101)*('2013 E Maize Soil VWC'!$F$2:$F$4000=AK$5),'2013 E Maize Soil VWC'!$G$2:$G$4000)</f>
        <v>0.34339361581920902</v>
      </c>
      <c r="AL101" s="4" cm="1">
        <f t="array" ref="AL101">_xlfn.XLOOKUP(1,('2013 E Maize Soil VWC'!$C$2:$C$4000=$AA101)*('2013 E Maize Soil VWC'!$E$2:$E$4000=$AB101)*('2013 E Maize Soil VWC'!$F$2:$F$4000=AL$5),'2013 E Maize Soil VWC'!$G$2:$G$4000)</f>
        <v>0.35037138912429378</v>
      </c>
      <c r="AM101" s="4" cm="1">
        <f t="array" ref="AM101">_xlfn.XLOOKUP(1,('2013 E Maize Soil VWC'!$C$2:$C$4000=$AA101)*('2013 E Maize Soil VWC'!$E$2:$E$4000=$AB101)*('2013 E Maize Soil VWC'!$F$2:$F$4000=AM$5),'2013 E Maize Soil VWC'!$G$2:$G$4000)</f>
        <v>0.34675584322033898</v>
      </c>
      <c r="AN101" s="4" cm="1">
        <f t="array" ref="AN101">_xlfn.XLOOKUP(1,('2013 E Maize Soil VWC'!$C$2:$C$4000=$AA101)*('2013 E Maize Soil VWC'!$E$2:$E$4000=$AB101)*('2013 E Maize Soil VWC'!$F$2:$F$4000=AN$5),'2013 E Maize Soil VWC'!$G$2:$G$4000)</f>
        <v>0.34380813700564972</v>
      </c>
      <c r="AO101" s="4" cm="1">
        <f t="array" ref="AO101">_xlfn.XLOOKUP(1,('2013 E Maize Soil VWC'!$C$2:$C$4000=$AA101)*('2013 E Maize Soil VWC'!$E$2:$E$4000=$AB101)*('2013 E Maize Soil VWC'!$F$2:$F$4000=AO$5),'2013 E Maize Soil VWC'!$G$2:$G$4000)</f>
        <v>0.34631829307909606</v>
      </c>
      <c r="AP101" s="4" cm="1">
        <f t="array" ref="AP101">_xlfn.XLOOKUP(1,('2013 E Maize Soil VWC'!$C$2:$C$4000=$AA101)*('2013 E Maize Soil VWC'!$E$2:$E$4000=$AB101)*('2013 E Maize Soil VWC'!$F$2:$F$4000=AP$5),'2013 E Maize Soil VWC'!$G$2:$G$4000)</f>
        <v>0.33625463983050846</v>
      </c>
      <c r="AQ101" s="4" cm="1">
        <f t="array" ref="AQ101">_xlfn.XLOOKUP(1,('2013 E Maize Soil VWC'!$C$2:$C$4000=$AA101)*('2013 E Maize Soil VWC'!$E$2:$E$4000=$AB101)*('2013 E Maize Soil VWC'!$F$2:$F$4000=AQ$5),'2013 E Maize Soil VWC'!$G$2:$G$4000)</f>
        <v>0.31271904802259887</v>
      </c>
      <c r="AR101" s="4" cm="1">
        <f t="array" ref="AR101">_xlfn.XLOOKUP(1,('2013 E Maize Soil VWC'!$C$2:$C$4000=$AA101)*('2013 E Maize Soil VWC'!$E$2:$E$4000=$AB101)*('2013 E Maize Soil VWC'!$F$2:$F$4000=AR$5),'2013 E Maize Soil VWC'!$G$2:$G$4000)</f>
        <v>0.31361717725988697</v>
      </c>
      <c r="AS101" s="4" cm="1">
        <f t="array" ref="AS101">_xlfn.XLOOKUP(1,('2013 E Maize Soil VWC'!$C$2:$C$4000=$AA101)*('2013 E Maize Soil VWC'!$E$2:$E$4000=$AB101)*('2013 E Maize Soil VWC'!$F$2:$F$4000=AS$5),'2013 E Maize Soil VWC'!$G$2:$G$4000)</f>
        <v>0.34521290324858755</v>
      </c>
      <c r="AT101" s="4" cm="1">
        <f t="array" ref="AT101">_xlfn.XLOOKUP(1,('2013 E Maize Soil VWC'!$C$2:$C$4000=$AA101)*('2013 E Maize Soil VWC'!$E$2:$E$4000=$AB101)*('2013 E Maize Soil VWC'!$F$2:$F$4000=AT$5),'2013 E Maize Soil VWC'!$G$2:$G$4000)</f>
        <v>0.34274880508474576</v>
      </c>
      <c r="AU101" s="4" cm="1">
        <f t="array" ref="AU101">_xlfn.XLOOKUP(1,('2013 E Maize Soil VWC'!$C$2:$C$4000=$AA101)*('2013 E Maize Soil VWC'!$E$2:$E$4000=$AB101)*('2013 E Maize Soil VWC'!$F$2:$F$4000=AU$5),'2013 E Maize Soil VWC'!$G$2:$G$4000)</f>
        <v>0.33752123234463277</v>
      </c>
      <c r="AV101" s="4" cm="1">
        <f t="array" ref="AV101">_xlfn.XLOOKUP(1,('2013 E Maize Soil VWC'!$C$2:$C$4000=$AA101)*('2013 E Maize Soil VWC'!$E$2:$E$4000=$AB101)*('2013 E Maize Soil VWC'!$F$2:$F$4000=AV$5),'2013 E Maize Soil VWC'!$G$2:$G$4000)</f>
        <v>0.33906417231638419</v>
      </c>
    </row>
    <row r="102" spans="25:64" x14ac:dyDescent="0.25">
      <c r="AA102" s="15">
        <f t="shared" si="15"/>
        <v>41477</v>
      </c>
      <c r="AB102" s="4">
        <f t="shared" si="16"/>
        <v>110</v>
      </c>
      <c r="AC102" s="4" cm="1">
        <f t="array" ref="AC102">_xlfn.XLOOKUP(1,('2013 E Maize Soil VWC'!$C$2:$C$4000=$AA102)*('2013 E Maize Soil VWC'!$E$2:$E$4000=$AB102)*('2013 E Maize Soil VWC'!$F$2:$F$4000=AC$5),'2013 E Maize Soil VWC'!$G$2:$G$4000)</f>
        <v>0.34735459604519769</v>
      </c>
      <c r="AD102" s="4" cm="1">
        <f t="array" ref="AD102">_xlfn.XLOOKUP(1,('2013 E Maize Soil VWC'!$C$2:$C$4000=$AA102)*('2013 E Maize Soil VWC'!$E$2:$E$4000=$AB102)*('2013 E Maize Soil VWC'!$F$2:$F$4000=AD$5),'2013 E Maize Soil VWC'!$G$2:$G$4000)</f>
        <v>0.3405380254237288</v>
      </c>
      <c r="AE102" s="4" cm="1">
        <f t="array" ref="AE102">_xlfn.XLOOKUP(1,('2013 E Maize Soil VWC'!$C$2:$C$4000=$AA102)*('2013 E Maize Soil VWC'!$E$2:$E$4000=$AB102)*('2013 E Maize Soil VWC'!$F$2:$F$4000=AE$5),'2013 E Maize Soil VWC'!$G$2:$G$4000)</f>
        <v>0.33132644350282481</v>
      </c>
      <c r="AF102" s="4" cm="1">
        <f t="array" ref="AF102">_xlfn.XLOOKUP(1,('2013 E Maize Soil VWC'!$C$2:$C$4000=$AA102)*('2013 E Maize Soil VWC'!$E$2:$E$4000=$AB102)*('2013 E Maize Soil VWC'!$F$2:$F$4000=AF$5),'2013 E Maize Soil VWC'!$G$2:$G$4000)</f>
        <v>0.33855753531073446</v>
      </c>
      <c r="AG102" s="4" cm="1">
        <f t="array" ref="AG102">_xlfn.XLOOKUP(1,('2013 E Maize Soil VWC'!$C$2:$C$4000=$AA102)*('2013 E Maize Soil VWC'!$E$2:$E$4000=$AB102)*('2013 E Maize Soil VWC'!$F$2:$F$4000=AG$5),'2013 E Maize Soil VWC'!$G$2:$G$4000)</f>
        <v>0.33556377118644065</v>
      </c>
      <c r="AH102" s="4" cm="1">
        <f t="array" ref="AH102">_xlfn.XLOOKUP(1,('2013 E Maize Soil VWC'!$C$2:$C$4000=$AA102)*('2013 E Maize Soil VWC'!$E$2:$E$4000=$AB102)*('2013 E Maize Soil VWC'!$F$2:$F$4000=AH$5),'2013 E Maize Soil VWC'!$G$2:$G$4000)</f>
        <v>0.32467107556497177</v>
      </c>
      <c r="AI102" s="4" cm="1">
        <f t="array" ref="AI102">_xlfn.XLOOKUP(1,('2013 E Maize Soil VWC'!$C$2:$C$4000=$AA102)*('2013 E Maize Soil VWC'!$E$2:$E$4000=$AB102)*('2013 E Maize Soil VWC'!$F$2:$F$4000=AI$5),'2013 E Maize Soil VWC'!$G$2:$G$4000)</f>
        <v>0.3418506758474576</v>
      </c>
      <c r="AJ102" s="4" cm="1">
        <f t="array" ref="AJ102">_xlfn.XLOOKUP(1,('2013 E Maize Soil VWC'!$C$2:$C$4000=$AA102)*('2013 E Maize Soil VWC'!$E$2:$E$4000=$AB102)*('2013 E Maize Soil VWC'!$F$2:$F$4000=AJ$5),'2013 E Maize Soil VWC'!$G$2:$G$4000)</f>
        <v>0.34309423940677963</v>
      </c>
      <c r="AK102" s="4" cm="1">
        <f t="array" ref="AK102">_xlfn.XLOOKUP(1,('2013 E Maize Soil VWC'!$C$2:$C$4000=$AA102)*('2013 E Maize Soil VWC'!$E$2:$E$4000=$AB102)*('2013 E Maize Soil VWC'!$F$2:$F$4000=AK$5),'2013 E Maize Soil VWC'!$G$2:$G$4000)</f>
        <v>0.33540256850282485</v>
      </c>
      <c r="AL102" s="4" cm="1">
        <f t="array" ref="AL102">_xlfn.XLOOKUP(1,('2013 E Maize Soil VWC'!$C$2:$C$4000=$AA102)*('2013 E Maize Soil VWC'!$E$2:$E$4000=$AB102)*('2013 E Maize Soil VWC'!$F$2:$F$4000=AL$5),'2013 E Maize Soil VWC'!$G$2:$G$4000)</f>
        <v>0.33952475141242933</v>
      </c>
      <c r="AM102" s="4" cm="1">
        <f t="array" ref="AM102">_xlfn.XLOOKUP(1,('2013 E Maize Soil VWC'!$C$2:$C$4000=$AA102)*('2013 E Maize Soil VWC'!$E$2:$E$4000=$AB102)*('2013 E Maize Soil VWC'!$F$2:$F$4000=AM$5),'2013 E Maize Soil VWC'!$G$2:$G$4000)</f>
        <v>0.3395477803672316</v>
      </c>
      <c r="AN102" s="4" cm="1">
        <f t="array" ref="AN102">_xlfn.XLOOKUP(1,('2013 E Maize Soil VWC'!$C$2:$C$4000=$AA102)*('2013 E Maize Soil VWC'!$E$2:$E$4000=$AB102)*('2013 E Maize Soil VWC'!$F$2:$F$4000=AN$5),'2013 E Maize Soil VWC'!$G$2:$G$4000)</f>
        <v>0.34293303672316383</v>
      </c>
      <c r="AO102" s="4" cm="1">
        <f t="array" ref="AO102">_xlfn.XLOOKUP(1,('2013 E Maize Soil VWC'!$C$2:$C$4000=$AA102)*('2013 E Maize Soil VWC'!$E$2:$E$4000=$AB102)*('2013 E Maize Soil VWC'!$F$2:$F$4000=AO$5),'2013 E Maize Soil VWC'!$G$2:$G$4000)</f>
        <v>0.35327303742937849</v>
      </c>
      <c r="AP102" s="4" cm="1">
        <f t="array" ref="AP102">_xlfn.XLOOKUP(1,('2013 E Maize Soil VWC'!$C$2:$C$4000=$AA102)*('2013 E Maize Soil VWC'!$E$2:$E$4000=$AB102)*('2013 E Maize Soil VWC'!$F$2:$F$4000=AP$5),'2013 E Maize Soil VWC'!$G$2:$G$4000)</f>
        <v>0.32833267937853106</v>
      </c>
      <c r="AQ102" s="4" cm="1">
        <f t="array" ref="AQ102">_xlfn.XLOOKUP(1,('2013 E Maize Soil VWC'!$C$2:$C$4000=$AA102)*('2013 E Maize Soil VWC'!$E$2:$E$4000=$AB102)*('2013 E Maize Soil VWC'!$F$2:$F$4000=AQ$5),'2013 E Maize Soil VWC'!$G$2:$G$4000)</f>
        <v>0.32133187711864403</v>
      </c>
      <c r="AR102" s="4" cm="1">
        <f t="array" ref="AR102">_xlfn.XLOOKUP(1,('2013 E Maize Soil VWC'!$C$2:$C$4000=$AA102)*('2013 E Maize Soil VWC'!$E$2:$E$4000=$AB102)*('2013 E Maize Soil VWC'!$F$2:$F$4000=AR$5),'2013 E Maize Soil VWC'!$G$2:$G$4000)</f>
        <v>0.32446381497175136</v>
      </c>
      <c r="AS102" s="4" cm="1">
        <f t="array" ref="AS102">_xlfn.XLOOKUP(1,('2013 E Maize Soil VWC'!$C$2:$C$4000=$AA102)*('2013 E Maize Soil VWC'!$E$2:$E$4000=$AB102)*('2013 E Maize Soil VWC'!$F$2:$F$4000=AS$5),'2013 E Maize Soil VWC'!$G$2:$G$4000)</f>
        <v>0.34284092090395474</v>
      </c>
      <c r="AT102" s="4" cm="1">
        <f t="array" ref="AT102">_xlfn.XLOOKUP(1,('2013 E Maize Soil VWC'!$C$2:$C$4000=$AA102)*('2013 E Maize Soil VWC'!$E$2:$E$4000=$AB102)*('2013 E Maize Soil VWC'!$F$2:$F$4000=AT$5),'2013 E Maize Soil VWC'!$G$2:$G$4000)</f>
        <v>0.34707824858757064</v>
      </c>
      <c r="AU102" s="4" cm="1">
        <f t="array" ref="AU102">_xlfn.XLOOKUP(1,('2013 E Maize Soil VWC'!$C$2:$C$4000=$AA102)*('2013 E Maize Soil VWC'!$E$2:$E$4000=$AB102)*('2013 E Maize Soil VWC'!$F$2:$F$4000=AU$5),'2013 E Maize Soil VWC'!$G$2:$G$4000)</f>
        <v>0.34152827048022599</v>
      </c>
      <c r="AV102" s="4" cm="1">
        <f t="array" ref="AV102">_xlfn.XLOOKUP(1,('2013 E Maize Soil VWC'!$C$2:$C$4000=$AA102)*('2013 E Maize Soil VWC'!$E$2:$E$4000=$AB102)*('2013 E Maize Soil VWC'!$F$2:$F$4000=AV$5),'2013 E Maize Soil VWC'!$G$2:$G$4000)</f>
        <v>0.33653098728813557</v>
      </c>
    </row>
    <row r="103" spans="25:64" x14ac:dyDescent="0.25">
      <c r="AA103" s="15">
        <f t="shared" si="15"/>
        <v>41477</v>
      </c>
      <c r="AB103" s="4">
        <f t="shared" si="16"/>
        <v>130</v>
      </c>
      <c r="AC103" s="4" cm="1">
        <f t="array" ref="AC103">_xlfn.XLOOKUP(1,('2013 E Maize Soil VWC'!$C$2:$C$4000=$AA103)*('2013 E Maize Soil VWC'!$E$2:$E$4000=$AB103)*('2013 E Maize Soil VWC'!$F$2:$F$4000=AC$5),'2013 E Maize Soil VWC'!$G$2:$G$4000)</f>
        <v>0.3160012641242938</v>
      </c>
      <c r="AD103" s="4" cm="1">
        <f t="array" ref="AD103">_xlfn.XLOOKUP(1,('2013 E Maize Soil VWC'!$C$2:$C$4000=$AA103)*('2013 E Maize Soil VWC'!$E$2:$E$4000=$AB103)*('2013 E Maize Soil VWC'!$F$2:$F$4000=AD$5),'2013 E Maize Soil VWC'!$G$2:$G$4000)</f>
        <v>0.31147930861581918</v>
      </c>
      <c r="AE103" s="4" cm="1">
        <f t="array" ref="AE103">_xlfn.XLOOKUP(1,('2013 E Maize Soil VWC'!$C$2:$C$4000=$AA103)*('2013 E Maize Soil VWC'!$E$2:$E$4000=$AB103)*('2013 E Maize Soil VWC'!$F$2:$F$4000=AE$5),'2013 E Maize Soil VWC'!$G$2:$G$4000)</f>
        <v>0.30799485805084748</v>
      </c>
      <c r="AF103" s="4" cm="1">
        <f t="array" ref="AF103">_xlfn.XLOOKUP(1,('2013 E Maize Soil VWC'!$C$2:$C$4000=$AA103)*('2013 E Maize Soil VWC'!$E$2:$E$4000=$AB103)*('2013 E Maize Soil VWC'!$F$2:$F$4000=AF$5),'2013 E Maize Soil VWC'!$G$2:$G$4000)</f>
        <v>0.30846467161016949</v>
      </c>
      <c r="AG103" s="4" cm="1">
        <f t="array" ref="AG103">_xlfn.XLOOKUP(1,('2013 E Maize Soil VWC'!$C$2:$C$4000=$AA103)*('2013 E Maize Soil VWC'!$E$2:$E$4000=$AB103)*('2013 E Maize Soil VWC'!$F$2:$F$4000=AG$5),'2013 E Maize Soil VWC'!$G$2:$G$4000)</f>
        <v>0.32408597245762716</v>
      </c>
      <c r="AH103" s="4" cm="1">
        <f t="array" ref="AH103">_xlfn.XLOOKUP(1,('2013 E Maize Soil VWC'!$C$2:$C$4000=$AA103)*('2013 E Maize Soil VWC'!$E$2:$E$4000=$AB103)*('2013 E Maize Soil VWC'!$F$2:$F$4000=AH$5),'2013 E Maize Soil VWC'!$G$2:$G$4000)</f>
        <v>0.30239624646892654</v>
      </c>
      <c r="AI103" s="4" cm="1">
        <f t="array" ref="AI103">_xlfn.XLOOKUP(1,('2013 E Maize Soil VWC'!$C$2:$C$4000=$AA103)*('2013 E Maize Soil VWC'!$E$2:$E$4000=$AB103)*('2013 E Maize Soil VWC'!$F$2:$F$4000=AI$5),'2013 E Maize Soil VWC'!$G$2:$G$4000)</f>
        <v>0.31895717443502825</v>
      </c>
      <c r="AJ103" s="4" cm="1">
        <f t="array" ref="AJ103">_xlfn.XLOOKUP(1,('2013 E Maize Soil VWC'!$C$2:$C$4000=$AA103)*('2013 E Maize Soil VWC'!$E$2:$E$4000=$AB103)*('2013 E Maize Soil VWC'!$F$2:$F$4000=AJ$5),'2013 E Maize Soil VWC'!$G$2:$G$4000)</f>
        <v>0.35182454802259888</v>
      </c>
      <c r="AK103" s="4" cm="1">
        <f t="array" ref="AK103">_xlfn.XLOOKUP(1,('2013 E Maize Soil VWC'!$C$2:$C$4000=$AA103)*('2013 E Maize Soil VWC'!$E$2:$E$4000=$AB103)*('2013 E Maize Soil VWC'!$F$2:$F$4000=AK$5),'2013 E Maize Soil VWC'!$G$2:$G$4000)</f>
        <v>0.30723141101694917</v>
      </c>
      <c r="AL103" s="4" cm="1">
        <f t="array" ref="AL103">_xlfn.XLOOKUP(1,('2013 E Maize Soil VWC'!$C$2:$C$4000=$AA103)*('2013 E Maize Soil VWC'!$E$2:$E$4000=$AB103)*('2013 E Maize Soil VWC'!$F$2:$F$4000=AL$5),'2013 E Maize Soil VWC'!$G$2:$G$4000)</f>
        <v>0.31451352118644071</v>
      </c>
      <c r="AM103" s="4" cm="1">
        <f t="array" ref="AM103">_xlfn.XLOOKUP(1,('2013 E Maize Soil VWC'!$C$2:$C$4000=$AA103)*('2013 E Maize Soil VWC'!$E$2:$E$4000=$AB103)*('2013 E Maize Soil VWC'!$F$2:$F$4000=AM$5),'2013 E Maize Soil VWC'!$G$2:$G$4000)</f>
        <v>0.31508121257062144</v>
      </c>
      <c r="AN103" s="4" cm="1">
        <f t="array" ref="AN103">_xlfn.XLOOKUP(1,('2013 E Maize Soil VWC'!$C$2:$C$4000=$AA103)*('2013 E Maize Soil VWC'!$E$2:$E$4000=$AB103)*('2013 E Maize Soil VWC'!$F$2:$F$4000=AN$5),'2013 E Maize Soil VWC'!$G$2:$G$4000)</f>
        <v>0.29891179590395484</v>
      </c>
      <c r="AO103" s="4" cm="1">
        <f t="array" ref="AO103">_xlfn.XLOOKUP(1,('2013 E Maize Soil VWC'!$C$2:$C$4000=$AA103)*('2013 E Maize Soil VWC'!$E$2:$E$4000=$AB103)*('2013 E Maize Soil VWC'!$F$2:$F$4000=AO$5),'2013 E Maize Soil VWC'!$G$2:$G$4000)</f>
        <v>0.32095388206214687</v>
      </c>
      <c r="AP103" s="4" cm="1">
        <f t="array" ref="AP103">_xlfn.XLOOKUP(1,('2013 E Maize Soil VWC'!$C$2:$C$4000=$AA103)*('2013 E Maize Soil VWC'!$E$2:$E$4000=$AB103)*('2013 E Maize Soil VWC'!$F$2:$F$4000=AP$5),'2013 E Maize Soil VWC'!$G$2:$G$4000)</f>
        <v>0.31643192655367236</v>
      </c>
      <c r="AQ103" s="4" cm="1">
        <f t="array" ref="AQ103">_xlfn.XLOOKUP(1,('2013 E Maize Soil VWC'!$C$2:$C$4000=$AA103)*('2013 E Maize Soil VWC'!$E$2:$E$4000=$AB103)*('2013 E Maize Soil VWC'!$F$2:$F$4000=AQ$5),'2013 E Maize Soil VWC'!$G$2:$G$4000)</f>
        <v>0.30110425918079092</v>
      </c>
      <c r="AR103" s="4" cm="1">
        <f t="array" ref="AR103">_xlfn.XLOOKUP(1,('2013 E Maize Soil VWC'!$C$2:$C$4000=$AA103)*('2013 E Maize Soil VWC'!$E$2:$E$4000=$AB103)*('2013 E Maize Soil VWC'!$F$2:$F$4000=AR$5),'2013 E Maize Soil VWC'!$G$2:$G$4000)</f>
        <v>0.29558394985875708</v>
      </c>
      <c r="AS103" s="4" cm="1">
        <f t="array" ref="AS103">_xlfn.XLOOKUP(1,('2013 E Maize Soil VWC'!$C$2:$C$4000=$AA103)*('2013 E Maize Soil VWC'!$E$2:$E$4000=$AB103)*('2013 E Maize Soil VWC'!$F$2:$F$4000=AS$5),'2013 E Maize Soil VWC'!$G$2:$G$4000)</f>
        <v>0.31126397740112993</v>
      </c>
      <c r="AT103" s="4" cm="1">
        <f t="array" ref="AT103">_xlfn.XLOOKUP(1,('2013 E Maize Soil VWC'!$C$2:$C$4000=$AA103)*('2013 E Maize Soil VWC'!$E$2:$E$4000=$AB103)*('2013 E Maize Soil VWC'!$F$2:$F$4000=AT$5),'2013 E Maize Soil VWC'!$G$2:$G$4000)</f>
        <v>0.31376964971751414</v>
      </c>
      <c r="AU103" s="4" cm="1">
        <f t="array" ref="AU103">_xlfn.XLOOKUP(1,('2013 E Maize Soil VWC'!$C$2:$C$4000=$AA103)*('2013 E Maize Soil VWC'!$E$2:$E$4000=$AB103)*('2013 E Maize Soil VWC'!$F$2:$F$4000=AU$5),'2013 E Maize Soil VWC'!$G$2:$G$4000)</f>
        <v>0.31095076836158192</v>
      </c>
      <c r="AV103" s="4" cm="1">
        <f t="array" ref="AV103">_xlfn.XLOOKUP(1,('2013 E Maize Soil VWC'!$C$2:$C$4000=$AA103)*('2013 E Maize Soil VWC'!$E$2:$E$4000=$AB103)*('2013 E Maize Soil VWC'!$F$2:$F$4000=AV$5),'2013 E Maize Soil VWC'!$G$2:$G$4000)</f>
        <v>0.30699650423728814</v>
      </c>
    </row>
    <row r="104" spans="25:64" x14ac:dyDescent="0.25">
      <c r="AA104" s="15">
        <f t="shared" si="15"/>
        <v>41477</v>
      </c>
      <c r="AB104" s="4">
        <f t="shared" si="16"/>
        <v>150</v>
      </c>
      <c r="AC104" s="4" cm="1">
        <f t="array" ref="AC104">_xlfn.XLOOKUP(1,('2013 E Maize Soil VWC'!$C$2:$C$4000=$AA104)*('2013 E Maize Soil VWC'!$E$2:$E$4000=$AB104)*('2013 E Maize Soil VWC'!$F$2:$F$4000=AC$5),'2013 E Maize Soil VWC'!$G$2:$G$4000)</f>
        <v>0.33900255296610171</v>
      </c>
      <c r="AD104" s="4" cm="1">
        <f t="array" ref="AD104">_xlfn.XLOOKUP(1,('2013 E Maize Soil VWC'!$C$2:$C$4000=$AA104)*('2013 E Maize Soil VWC'!$E$2:$E$4000=$AB104)*('2013 E Maize Soil VWC'!$F$2:$F$4000=AD$5),'2013 E Maize Soil VWC'!$G$2:$G$4000)</f>
        <v>0.33301243008474579</v>
      </c>
      <c r="AE104" s="4" cm="1">
        <f t="array" ref="AE104">_xlfn.XLOOKUP(1,('2013 E Maize Soil VWC'!$C$2:$C$4000=$AA104)*('2013 E Maize Soil VWC'!$E$2:$E$4000=$AB104)*('2013 E Maize Soil VWC'!$F$2:$F$4000=AE$5),'2013 E Maize Soil VWC'!$G$2:$G$4000)</f>
        <v>0.31306492937853109</v>
      </c>
      <c r="AF104" s="4" cm="1">
        <f t="array" ref="AF104">_xlfn.XLOOKUP(1,('2013 E Maize Soil VWC'!$C$2:$C$4000=$AA104)*('2013 E Maize Soil VWC'!$E$2:$E$4000=$AB104)*('2013 E Maize Soil VWC'!$F$2:$F$4000=AF$5),'2013 E Maize Soil VWC'!$G$2:$G$4000)</f>
        <v>0.29728702401129942</v>
      </c>
      <c r="AG104" s="4" cm="1">
        <f t="array" ref="AG104">_xlfn.XLOOKUP(1,('2013 E Maize Soil VWC'!$C$2:$C$4000=$AA104)*('2013 E Maize Soil VWC'!$E$2:$E$4000=$AB104)*('2013 E Maize Soil VWC'!$F$2:$F$4000=AG$5),'2013 E Maize Soil VWC'!$G$2:$G$4000)</f>
        <v>0.35742315960451976</v>
      </c>
      <c r="AH104" s="4" cm="1">
        <f t="array" ref="AH104">_xlfn.XLOOKUP(1,('2013 E Maize Soil VWC'!$C$2:$C$4000=$AA104)*('2013 E Maize Soil VWC'!$E$2:$E$4000=$AB104)*('2013 E Maize Soil VWC'!$F$2:$F$4000=AH$5),'2013 E Maize Soil VWC'!$G$2:$G$4000)</f>
        <v>0.34853585310734464</v>
      </c>
      <c r="AI104" s="4" cm="1">
        <f t="array" ref="AI104">_xlfn.XLOOKUP(1,('2013 E Maize Soil VWC'!$C$2:$C$4000=$AA104)*('2013 E Maize Soil VWC'!$E$2:$E$4000=$AB104)*('2013 E Maize Soil VWC'!$F$2:$F$4000=AI$5),'2013 E Maize Soil VWC'!$G$2:$G$4000)</f>
        <v>0.32453621045197739</v>
      </c>
      <c r="AJ104" s="4" cm="1">
        <f t="array" ref="AJ104">_xlfn.XLOOKUP(1,('2013 E Maize Soil VWC'!$C$2:$C$4000=$AA104)*('2013 E Maize Soil VWC'!$E$2:$E$4000=$AB104)*('2013 E Maize Soil VWC'!$F$2:$F$4000=AJ$5),'2013 E Maize Soil VWC'!$G$2:$G$4000)</f>
        <v>0.3357921603107345</v>
      </c>
      <c r="AK104" s="4" cm="1">
        <f t="array" ref="AK104">_xlfn.XLOOKUP(1,('2013 E Maize Soil VWC'!$C$2:$C$4000=$AA104)*('2013 E Maize Soil VWC'!$E$2:$E$4000=$AB104)*('2013 E Maize Soil VWC'!$F$2:$F$4000=AK$5),'2013 E Maize Soil VWC'!$G$2:$G$4000)</f>
        <v>0.33363884816384182</v>
      </c>
      <c r="AL104" s="4" cm="1">
        <f t="array" ref="AL104">_xlfn.XLOOKUP(1,('2013 E Maize Soil VWC'!$C$2:$C$4000=$AA104)*('2013 E Maize Soil VWC'!$E$2:$E$4000=$AB104)*('2013 E Maize Soil VWC'!$F$2:$F$4000=AL$5),'2013 E Maize Soil VWC'!$G$2:$G$4000)</f>
        <v>0.34861415536723162</v>
      </c>
      <c r="AM104" s="4" cm="1">
        <f t="array" ref="AM104">_xlfn.XLOOKUP(1,('2013 E Maize Soil VWC'!$C$2:$C$4000=$AA104)*('2013 E Maize Soil VWC'!$E$2:$E$4000=$AB104)*('2013 E Maize Soil VWC'!$F$2:$F$4000=AM$5),'2013 E Maize Soil VWC'!$G$2:$G$4000)</f>
        <v>0.34620636087570622</v>
      </c>
      <c r="AN104" s="4" cm="1">
        <f t="array" ref="AN104">_xlfn.XLOOKUP(1,('2013 E Maize Soil VWC'!$C$2:$C$4000=$AA104)*('2013 E Maize Soil VWC'!$E$2:$E$4000=$AB104)*('2013 E Maize Soil VWC'!$F$2:$F$4000=AN$5),'2013 E Maize Soil VWC'!$G$2:$G$4000)</f>
        <v>0.33929618644067799</v>
      </c>
      <c r="AO104" s="4" cm="1">
        <f t="array" ref="AO104">_xlfn.XLOOKUP(1,('2013 E Maize Soil VWC'!$C$2:$C$4000=$AA104)*('2013 E Maize Soil VWC'!$E$2:$E$4000=$AB104)*('2013 E Maize Soil VWC'!$F$2:$F$4000=AO$5),'2013 E Maize Soil VWC'!$G$2:$G$4000)</f>
        <v>0.3236553100282486</v>
      </c>
      <c r="AP104" s="4" cm="1">
        <f t="array" ref="AP104">_xlfn.XLOOKUP(1,('2013 E Maize Soil VWC'!$C$2:$C$4000=$AA104)*('2013 E Maize Soil VWC'!$E$2:$E$4000=$AB104)*('2013 E Maize Soil VWC'!$F$2:$F$4000=AP$5),'2013 E Maize Soil VWC'!$G$2:$G$4000)</f>
        <v>0.30552833686440678</v>
      </c>
      <c r="AQ104" s="4" cm="1">
        <f t="array" ref="AQ104">_xlfn.XLOOKUP(1,('2013 E Maize Soil VWC'!$C$2:$C$4000=$AA104)*('2013 E Maize Soil VWC'!$E$2:$E$4000=$AB104)*('2013 E Maize Soil VWC'!$F$2:$F$4000=AQ$5),'2013 E Maize Soil VWC'!$G$2:$G$4000)</f>
        <v>0.33847401271186439</v>
      </c>
      <c r="AR104" s="4" cm="1">
        <f t="array" ref="AR104">_xlfn.XLOOKUP(1,('2013 E Maize Soil VWC'!$C$2:$C$4000=$AA104)*('2013 E Maize Soil VWC'!$E$2:$E$4000=$AB104)*('2013 E Maize Soil VWC'!$F$2:$F$4000=AR$5),'2013 E Maize Soil VWC'!$G$2:$G$4000)</f>
        <v>0.33189662288135596</v>
      </c>
      <c r="AS104" s="4" cm="1">
        <f t="array" ref="AS104">_xlfn.XLOOKUP(1,('2013 E Maize Soil VWC'!$C$2:$C$4000=$AA104)*('2013 E Maize Soil VWC'!$E$2:$E$4000=$AB104)*('2013 E Maize Soil VWC'!$F$2:$F$4000=AS$5),'2013 E Maize Soil VWC'!$G$2:$G$4000)</f>
        <v>0.32394894350282488</v>
      </c>
      <c r="AT104" s="4" cm="1">
        <f t="array" ref="AT104">_xlfn.XLOOKUP(1,('2013 E Maize Soil VWC'!$C$2:$C$4000=$AA104)*('2013 E Maize Soil VWC'!$E$2:$E$4000=$AB104)*('2013 E Maize Soil VWC'!$F$2:$F$4000=AT$5),'2013 E Maize Soil VWC'!$G$2:$G$4000)</f>
        <v>0.33260134322033902</v>
      </c>
      <c r="AU104" s="4" cm="1">
        <f t="array" ref="AU104">_xlfn.XLOOKUP(1,('2013 E Maize Soil VWC'!$C$2:$C$4000=$AA104)*('2013 E Maize Soil VWC'!$E$2:$E$4000=$AB104)*('2013 E Maize Soil VWC'!$F$2:$F$4000=AU$5),'2013 E Maize Soil VWC'!$G$2:$G$4000)</f>
        <v>0.33600749152542375</v>
      </c>
      <c r="AV104" s="4" cm="1">
        <f t="array" ref="AV104">_xlfn.XLOOKUP(1,('2013 E Maize Soil VWC'!$C$2:$C$4000=$AA104)*('2013 E Maize Soil VWC'!$E$2:$E$4000=$AB104)*('2013 E Maize Soil VWC'!$F$2:$F$4000=AV$5),'2013 E Maize Soil VWC'!$G$2:$G$4000)</f>
        <v>0.34536461158192089</v>
      </c>
    </row>
    <row r="105" spans="25:64" x14ac:dyDescent="0.25">
      <c r="AA105" s="15">
        <f t="shared" si="15"/>
        <v>41477</v>
      </c>
      <c r="AB105" s="4">
        <f t="shared" si="16"/>
        <v>170</v>
      </c>
      <c r="AC105" s="4" cm="1">
        <f t="array" ref="AC105">_xlfn.XLOOKUP(1,('2013 E Maize Soil VWC'!$C$2:$C$4000=$AA105)*('2013 E Maize Soil VWC'!$E$2:$E$4000=$AB105)*('2013 E Maize Soil VWC'!$F$2:$F$4000=AC$5),'2013 E Maize Soil VWC'!$G$2:$G$4000)</f>
        <v>0.27839660381355935</v>
      </c>
      <c r="AD105" s="4" cm="1">
        <f t="array" ref="AD105">_xlfn.XLOOKUP(1,('2013 E Maize Soil VWC'!$C$2:$C$4000=$AA105)*('2013 E Maize Soil VWC'!$E$2:$E$4000=$AB105)*('2013 E Maize Soil VWC'!$F$2:$F$4000=AD$5),'2013 E Maize Soil VWC'!$G$2:$G$4000)</f>
        <v>0.27164303389830513</v>
      </c>
      <c r="AE105" s="4" cm="1">
        <f t="array" ref="AE105">_xlfn.XLOOKUP(1,('2013 E Maize Soil VWC'!$C$2:$C$4000=$AA105)*('2013 E Maize Soil VWC'!$E$2:$E$4000=$AB105)*('2013 E Maize Soil VWC'!$F$2:$F$4000=AE$5),'2013 E Maize Soil VWC'!$G$2:$G$4000)</f>
        <v>0.29401790466101696</v>
      </c>
      <c r="AF105" s="4" cm="1">
        <f t="array" ref="AF105">_xlfn.XLOOKUP(1,('2013 E Maize Soil VWC'!$C$2:$C$4000=$AA105)*('2013 E Maize Soil VWC'!$E$2:$E$4000=$AB105)*('2013 E Maize Soil VWC'!$F$2:$F$4000=AF$5),'2013 E Maize Soil VWC'!$G$2:$G$4000)</f>
        <v>0.2914535056497175</v>
      </c>
      <c r="AG105" s="4" cm="1">
        <f t="array" ref="AG105">_xlfn.XLOOKUP(1,('2013 E Maize Soil VWC'!$C$2:$C$4000=$AA105)*('2013 E Maize Soil VWC'!$E$2:$E$4000=$AB105)*('2013 E Maize Soil VWC'!$F$2:$F$4000=AG$5),'2013 E Maize Soil VWC'!$G$2:$G$4000)</f>
        <v>0.32715933615819215</v>
      </c>
      <c r="AH105" s="4" cm="1">
        <f t="array" ref="AH105">_xlfn.XLOOKUP(1,('2013 E Maize Soil VWC'!$C$2:$C$4000=$AA105)*('2013 E Maize Soil VWC'!$E$2:$E$4000=$AB105)*('2013 E Maize Soil VWC'!$F$2:$F$4000=AH$5),'2013 E Maize Soil VWC'!$G$2:$G$4000)</f>
        <v>0.33383460381355934</v>
      </c>
      <c r="AI105" s="4" cm="1">
        <f t="array" ref="AI105">_xlfn.XLOOKUP(1,('2013 E Maize Soil VWC'!$C$2:$C$4000=$AA105)*('2013 E Maize Soil VWC'!$E$2:$E$4000=$AB105)*('2013 E Maize Soil VWC'!$F$2:$F$4000=AI$5),'2013 E Maize Soil VWC'!$G$2:$G$4000)</f>
        <v>0.29961651624293784</v>
      </c>
      <c r="AJ105" s="4" cm="1">
        <f t="array" ref="AJ105">_xlfn.XLOOKUP(1,('2013 E Maize Soil VWC'!$C$2:$C$4000=$AA105)*('2013 E Maize Soil VWC'!$E$2:$E$4000=$AB105)*('2013 E Maize Soil VWC'!$F$2:$F$4000=AJ$5),'2013 E Maize Soil VWC'!$G$2:$G$4000)</f>
        <v>0.3121840289548023</v>
      </c>
      <c r="AK105" s="4" cm="1">
        <f t="array" ref="AK105">_xlfn.XLOOKUP(1,('2013 E Maize Soil VWC'!$C$2:$C$4000=$AA105)*('2013 E Maize Soil VWC'!$E$2:$E$4000=$AB105)*('2013 E Maize Soil VWC'!$F$2:$F$4000=AK$5),'2013 E Maize Soil VWC'!$G$2:$G$4000)</f>
        <v>0.29945991172316383</v>
      </c>
      <c r="AL105" s="4" cm="1">
        <f t="array" ref="AL105">_xlfn.XLOOKUP(1,('2013 E Maize Soil VWC'!$C$2:$C$4000=$AA105)*('2013 E Maize Soil VWC'!$E$2:$E$4000=$AB105)*('2013 E Maize Soil VWC'!$F$2:$F$4000=AL$5),'2013 E Maize Soil VWC'!$G$2:$G$4000)</f>
        <v>0.30668329519774012</v>
      </c>
      <c r="AM105" s="4" cm="1">
        <f t="array" ref="AM105">_xlfn.XLOOKUP(1,('2013 E Maize Soil VWC'!$C$2:$C$4000=$AA105)*('2013 E Maize Soil VWC'!$E$2:$E$4000=$AB105)*('2013 E Maize Soil VWC'!$F$2:$F$4000=AM$5),'2013 E Maize Soil VWC'!$G$2:$G$4000)</f>
        <v>0.32770745197740114</v>
      </c>
      <c r="AN105" s="4" cm="1">
        <f t="array" ref="AN105">_xlfn.XLOOKUP(1,('2013 E Maize Soil VWC'!$C$2:$C$4000=$AA105)*('2013 E Maize Soil VWC'!$E$2:$E$4000=$AB105)*('2013 E Maize Soil VWC'!$F$2:$F$4000=AN$5),'2013 E Maize Soil VWC'!$G$2:$G$4000)</f>
        <v>0.33542022457627119</v>
      </c>
      <c r="AO105" s="4" cm="1">
        <f t="array" ref="AO105">_xlfn.XLOOKUP(1,('2013 E Maize Soil VWC'!$C$2:$C$4000=$AA105)*('2013 E Maize Soil VWC'!$E$2:$E$4000=$AB105)*('2013 E Maize Soil VWC'!$F$2:$F$4000=AO$5),'2013 E Maize Soil VWC'!$G$2:$G$4000)</f>
        <v>0.31243851129943501</v>
      </c>
      <c r="AP105" s="4" cm="1">
        <f t="array" ref="AP105">_xlfn.XLOOKUP(1,('2013 E Maize Soil VWC'!$C$2:$C$4000=$AA105)*('2013 E Maize Soil VWC'!$E$2:$E$4000=$AB105)*('2013 E Maize Soil VWC'!$F$2:$F$4000=AP$5),'2013 E Maize Soil VWC'!$G$2:$G$4000)</f>
        <v>0.32455578601694918</v>
      </c>
      <c r="AQ105" s="4" cm="1">
        <f t="array" ref="AQ105">_xlfn.XLOOKUP(1,('2013 E Maize Soil VWC'!$C$2:$C$4000=$AA105)*('2013 E Maize Soil VWC'!$E$2:$E$4000=$AB105)*('2013 E Maize Soil VWC'!$F$2:$F$4000=AQ$5),'2013 E Maize Soil VWC'!$G$2:$G$4000)</f>
        <v>0.33001736864406778</v>
      </c>
      <c r="AR105" s="4" cm="1">
        <f t="array" ref="AR105">_xlfn.XLOOKUP(1,('2013 E Maize Soil VWC'!$C$2:$C$4000=$AA105)*('2013 E Maize Soil VWC'!$E$2:$E$4000=$AB105)*('2013 E Maize Soil VWC'!$F$2:$F$4000=AR$5),'2013 E Maize Soil VWC'!$G$2:$G$4000)</f>
        <v>0.3175281581920904</v>
      </c>
      <c r="AS105" s="4" cm="1">
        <f t="array" ref="AS105">_xlfn.XLOOKUP(1,('2013 E Maize Soil VWC'!$C$2:$C$4000=$AA105)*('2013 E Maize Soil VWC'!$E$2:$E$4000=$AB105)*('2013 E Maize Soil VWC'!$F$2:$F$4000=AS$5),'2013 E Maize Soil VWC'!$G$2:$G$4000)</f>
        <v>0.31564890395480227</v>
      </c>
      <c r="AT105" s="4" cm="1">
        <f t="array" ref="AT105">_xlfn.XLOOKUP(1,('2013 E Maize Soil VWC'!$C$2:$C$4000=$AA105)*('2013 E Maize Soil VWC'!$E$2:$E$4000=$AB105)*('2013 E Maize Soil VWC'!$F$2:$F$4000=AT$5),'2013 E Maize Soil VWC'!$G$2:$G$4000)</f>
        <v>0.33307115677966104</v>
      </c>
      <c r="AU105" s="4" cm="1">
        <f t="array" ref="AU105">_xlfn.XLOOKUP(1,('2013 E Maize Soil VWC'!$C$2:$C$4000=$AA105)*('2013 E Maize Soil VWC'!$E$2:$E$4000=$AB105)*('2013 E Maize Soil VWC'!$F$2:$F$4000=AU$5),'2013 E Maize Soil VWC'!$G$2:$G$4000)</f>
        <v>0.31588381073446326</v>
      </c>
      <c r="AV105" s="4" cm="1">
        <f t="array" ref="AV105">_xlfn.XLOOKUP(1,('2013 E Maize Soil VWC'!$C$2:$C$4000=$AA105)*('2013 E Maize Soil VWC'!$E$2:$E$4000=$AB105)*('2013 E Maize Soil VWC'!$F$2:$F$4000=AV$5),'2013 E Maize Soil VWC'!$G$2:$G$4000)</f>
        <v>0.32302889194915252</v>
      </c>
    </row>
    <row r="106" spans="25:64" x14ac:dyDescent="0.25">
      <c r="AA106" s="15">
        <f t="shared" si="15"/>
        <v>41477</v>
      </c>
      <c r="AB106" s="4">
        <f t="shared" si="16"/>
        <v>190</v>
      </c>
      <c r="AC106" s="4" cm="1">
        <f t="array" ref="AC106">_xlfn.XLOOKUP(1,('2013 E Maize Soil VWC'!$C$2:$C$4000=$AA106)*('2013 E Maize Soil VWC'!$E$2:$E$4000=$AB106)*('2013 E Maize Soil VWC'!$F$2:$F$4000=AC$5),'2013 E Maize Soil VWC'!$G$2:$G$4000)</f>
        <v>0.28542423163841807</v>
      </c>
      <c r="AD106" s="4" cm="1">
        <f t="array" ref="AD106">_xlfn.XLOOKUP(1,('2013 E Maize Soil VWC'!$C$2:$C$4000=$AA106)*('2013 E Maize Soil VWC'!$E$2:$E$4000=$AB106)*('2013 E Maize Soil VWC'!$F$2:$F$4000=AD$5),'2013 E Maize Soil VWC'!$G$2:$G$4000)</f>
        <v>0.29583843220338985</v>
      </c>
      <c r="AE106" s="4" cm="1">
        <f t="array" ref="AE106">_xlfn.XLOOKUP(1,('2013 E Maize Soil VWC'!$C$2:$C$4000=$AA106)*('2013 E Maize Soil VWC'!$E$2:$E$4000=$AB106)*('2013 E Maize Soil VWC'!$F$2:$F$4000=AE$5),'2013 E Maize Soil VWC'!$G$2:$G$4000)</f>
        <v>0.29356766666666667</v>
      </c>
      <c r="AF106" s="4" cm="1">
        <f t="array" ref="AF106">_xlfn.XLOOKUP(1,('2013 E Maize Soil VWC'!$C$2:$C$4000=$AA106)*('2013 E Maize Soil VWC'!$E$2:$E$4000=$AB106)*('2013 E Maize Soil VWC'!$F$2:$F$4000=AF$5),'2013 E Maize Soil VWC'!$G$2:$G$4000)</f>
        <v>0.29615164124293786</v>
      </c>
      <c r="AG106" s="4" cm="1">
        <f t="array" ref="AG106">_xlfn.XLOOKUP(1,('2013 E Maize Soil VWC'!$C$2:$C$4000=$AA106)*('2013 E Maize Soil VWC'!$E$2:$E$4000=$AB106)*('2013 E Maize Soil VWC'!$F$2:$F$4000=AG$5),'2013 E Maize Soil VWC'!$G$2:$G$4000)</f>
        <v>0.33677093855932205</v>
      </c>
      <c r="AH106" s="4" cm="1">
        <f t="array" ref="AH106">_xlfn.XLOOKUP(1,('2013 E Maize Soil VWC'!$C$2:$C$4000=$AA106)*('2013 E Maize Soil VWC'!$E$2:$E$4000=$AB106)*('2013 E Maize Soil VWC'!$F$2:$F$4000=AH$5),'2013 E Maize Soil VWC'!$G$2:$G$4000)</f>
        <v>0.34272191031073451</v>
      </c>
      <c r="AI106" s="4" cm="1">
        <f t="array" ref="AI106">_xlfn.XLOOKUP(1,('2013 E Maize Soil VWC'!$C$2:$C$4000=$AA106)*('2013 E Maize Soil VWC'!$E$2:$E$4000=$AB106)*('2013 E Maize Soil VWC'!$F$2:$F$4000=AI$5),'2013 E Maize Soil VWC'!$G$2:$G$4000)</f>
        <v>0.2831534661016949</v>
      </c>
      <c r="AJ106" s="4" cm="1">
        <f t="array" ref="AJ106">_xlfn.XLOOKUP(1,('2013 E Maize Soil VWC'!$C$2:$C$4000=$AA106)*('2013 E Maize Soil VWC'!$E$2:$E$4000=$AB106)*('2013 E Maize Soil VWC'!$F$2:$F$4000=AJ$5),'2013 E Maize Soil VWC'!$G$2:$G$4000)</f>
        <v>0.29384172457627122</v>
      </c>
      <c r="AK106" s="4" cm="1">
        <f t="array" ref="AK106">_xlfn.XLOOKUP(1,('2013 E Maize Soil VWC'!$C$2:$C$4000=$AA106)*('2013 E Maize Soil VWC'!$E$2:$E$4000=$AB106)*('2013 E Maize Soil VWC'!$F$2:$F$4000=AK$5),'2013 E Maize Soil VWC'!$G$2:$G$4000)</f>
        <v>0.29237355720338987</v>
      </c>
      <c r="AL106" s="4" cm="1">
        <f t="array" ref="AL106">_xlfn.XLOOKUP(1,('2013 E Maize Soil VWC'!$C$2:$C$4000=$AA106)*('2013 E Maize Soil VWC'!$E$2:$E$4000=$AB106)*('2013 E Maize Soil VWC'!$F$2:$F$4000=AL$5),'2013 E Maize Soil VWC'!$G$2:$G$4000)</f>
        <v>0.29591673446327688</v>
      </c>
      <c r="AM106" s="4" cm="1">
        <f t="array" ref="AM106">_xlfn.XLOOKUP(1,('2013 E Maize Soil VWC'!$C$2:$C$4000=$AA106)*('2013 E Maize Soil VWC'!$E$2:$E$4000=$AB106)*('2013 E Maize Soil VWC'!$F$2:$F$4000=AM$5),'2013 E Maize Soil VWC'!$G$2:$G$4000)</f>
        <v>0.311577186440678</v>
      </c>
      <c r="AN106" s="4" cm="1">
        <f t="array" ref="AN106">_xlfn.XLOOKUP(1,('2013 E Maize Soil VWC'!$C$2:$C$4000=$AA106)*('2013 E Maize Soil VWC'!$E$2:$E$4000=$AB106)*('2013 E Maize Soil VWC'!$F$2:$F$4000=AN$5),'2013 E Maize Soil VWC'!$G$2:$G$4000)</f>
        <v>0.31404370762711864</v>
      </c>
      <c r="AO106" s="4" cm="1">
        <f t="array" ref="AO106">_xlfn.XLOOKUP(1,('2013 E Maize Soil VWC'!$C$2:$C$4000=$AA106)*('2013 E Maize Soil VWC'!$E$2:$E$4000=$AB106)*('2013 E Maize Soil VWC'!$F$2:$F$4000=AO$5),'2013 E Maize Soil VWC'!$G$2:$G$4000)</f>
        <v>0.30566536581920906</v>
      </c>
      <c r="AP106" s="4" cm="1">
        <f t="array" ref="AP106">_xlfn.XLOOKUP(1,('2013 E Maize Soil VWC'!$C$2:$C$4000=$AA106)*('2013 E Maize Soil VWC'!$E$2:$E$4000=$AB106)*('2013 E Maize Soil VWC'!$F$2:$F$4000=AP$5),'2013 E Maize Soil VWC'!$G$2:$G$4000)</f>
        <v>0.30298351341807911</v>
      </c>
      <c r="AQ106" s="4" cm="1">
        <f t="array" ref="AQ106">_xlfn.XLOOKUP(1,('2013 E Maize Soil VWC'!$C$2:$C$4000=$AA106)*('2013 E Maize Soil VWC'!$E$2:$E$4000=$AB106)*('2013 E Maize Soil VWC'!$F$2:$F$4000=AQ$5),'2013 E Maize Soil VWC'!$G$2:$G$4000)</f>
        <v>0.3324055875706215</v>
      </c>
      <c r="AR106" s="4" cm="1">
        <f t="array" ref="AR106">_xlfn.XLOOKUP(1,('2013 E Maize Soil VWC'!$C$2:$C$4000=$AA106)*('2013 E Maize Soil VWC'!$E$2:$E$4000=$AB106)*('2013 E Maize Soil VWC'!$F$2:$F$4000=AR$5),'2013 E Maize Soil VWC'!$G$2:$G$4000)</f>
        <v>0.34017708686440679</v>
      </c>
      <c r="AS106" s="4" cm="1">
        <f t="array" ref="AS106">_xlfn.XLOOKUP(1,('2013 E Maize Soil VWC'!$C$2:$C$4000=$AA106)*('2013 E Maize Soil VWC'!$E$2:$E$4000=$AB106)*('2013 E Maize Soil VWC'!$F$2:$F$4000=AS$5),'2013 E Maize Soil VWC'!$G$2:$G$4000)</f>
        <v>0.32367488559322033</v>
      </c>
      <c r="AT106" s="4" cm="1">
        <f t="array" ref="AT106">_xlfn.XLOOKUP(1,('2013 E Maize Soil VWC'!$C$2:$C$4000=$AA106)*('2013 E Maize Soil VWC'!$E$2:$E$4000=$AB106)*('2013 E Maize Soil VWC'!$F$2:$F$4000=AT$5),'2013 E Maize Soil VWC'!$G$2:$G$4000)</f>
        <v>0.31335856285310737</v>
      </c>
      <c r="AU106" s="4" cm="1">
        <f t="array" ref="AU106">_xlfn.XLOOKUP(1,('2013 E Maize Soil VWC'!$C$2:$C$4000=$AA106)*('2013 E Maize Soil VWC'!$E$2:$E$4000=$AB106)*('2013 E Maize Soil VWC'!$F$2:$F$4000=AU$5),'2013 E Maize Soil VWC'!$G$2:$G$4000)</f>
        <v>0.30691820197740111</v>
      </c>
      <c r="AV106" s="4" cm="1">
        <f t="array" ref="AV106">_xlfn.XLOOKUP(1,('2013 E Maize Soil VWC'!$C$2:$C$4000=$AA106)*('2013 E Maize Soil VWC'!$E$2:$E$4000=$AB106)*('2013 E Maize Soil VWC'!$F$2:$F$4000=AV$5),'2013 E Maize Soil VWC'!$G$2:$G$4000)</f>
        <v>0.30885618290960454</v>
      </c>
    </row>
    <row r="107" spans="25:64" x14ac:dyDescent="0.25">
      <c r="AA107" s="15">
        <f t="shared" si="15"/>
        <v>41477</v>
      </c>
      <c r="AB107" s="4">
        <f t="shared" si="16"/>
        <v>210</v>
      </c>
      <c r="AC107" s="4" cm="1">
        <f t="array" ref="AC107">_xlfn.XLOOKUP(1,('2013 E Maize Soil VWC'!$C$2:$C$4000=$AA107)*('2013 E Maize Soil VWC'!$E$2:$E$4000=$AB107)*('2013 E Maize Soil VWC'!$F$2:$F$4000=AC$5),'2013 E Maize Soil VWC'!$G$2:$G$4000)</f>
        <v>0.29932288276836161</v>
      </c>
      <c r="AD107" s="4" cm="1">
        <f t="array" ref="AD107">_xlfn.XLOOKUP(1,('2013 E Maize Soil VWC'!$C$2:$C$4000=$AA107)*('2013 E Maize Soil VWC'!$E$2:$E$4000=$AB107)*('2013 E Maize Soil VWC'!$F$2:$F$4000=AD$5),'2013 E Maize Soil VWC'!$G$2:$G$4000)</f>
        <v>0.2975806574858757</v>
      </c>
      <c r="AE107" s="4" cm="1">
        <f t="array" ref="AE107">_xlfn.XLOOKUP(1,('2013 E Maize Soil VWC'!$C$2:$C$4000=$AA107)*('2013 E Maize Soil VWC'!$E$2:$E$4000=$AB107)*('2013 E Maize Soil VWC'!$F$2:$F$4000=AE$5),'2013 E Maize Soil VWC'!$G$2:$G$4000)</f>
        <v>0.28080439830508475</v>
      </c>
      <c r="AF107" s="4" cm="1">
        <f t="array" ref="AF107">_xlfn.XLOOKUP(1,('2013 E Maize Soil VWC'!$C$2:$C$4000=$AA107)*('2013 E Maize Soil VWC'!$E$2:$E$4000=$AB107)*('2013 E Maize Soil VWC'!$F$2:$F$4000=AF$5),'2013 E Maize Soil VWC'!$G$2:$G$4000)</f>
        <v>0.29098369209039548</v>
      </c>
      <c r="AG107" s="4" t="e" cm="1">
        <f t="array" ref="AG107">_xlfn.XLOOKUP(1,('2013 E Maize Soil VWC'!$C$2:$C$4000=$AA107)*('2013 E Maize Soil VWC'!$E$2:$E$4000=$AB107)*('2013 E Maize Soil VWC'!$F$2:$F$4000=AG$5),'2013 E Maize Soil VWC'!$G$2:$G$4000)</f>
        <v>#N/A</v>
      </c>
      <c r="AH107" s="4" t="e" cm="1">
        <f t="array" ref="AH107">_xlfn.XLOOKUP(1,('2013 E Maize Soil VWC'!$C$2:$C$4000=$AA107)*('2013 E Maize Soil VWC'!$E$2:$E$4000=$AB107)*('2013 E Maize Soil VWC'!$F$2:$F$4000=AH$5),'2013 E Maize Soil VWC'!$G$2:$G$4000)</f>
        <v>#N/A</v>
      </c>
      <c r="AI107" s="4" cm="1">
        <f t="array" ref="AI107">_xlfn.XLOOKUP(1,('2013 E Maize Soil VWC'!$C$2:$C$4000=$AA107)*('2013 E Maize Soil VWC'!$E$2:$E$4000=$AB107)*('2013 E Maize Soil VWC'!$F$2:$F$4000=AI$5),'2013 E Maize Soil VWC'!$G$2:$G$4000)</f>
        <v>0.28162657203389835</v>
      </c>
      <c r="AJ107" s="4" cm="1">
        <f t="array" ref="AJ107">_xlfn.XLOOKUP(1,('2013 E Maize Soil VWC'!$C$2:$C$4000=$AA107)*('2013 E Maize Soil VWC'!$E$2:$E$4000=$AB107)*('2013 E Maize Soil VWC'!$F$2:$F$4000=AJ$5),'2013 E Maize Soil VWC'!$G$2:$G$4000)</f>
        <v>0.311577186440678</v>
      </c>
      <c r="AK107" s="4" cm="1">
        <f t="array" ref="AK107">_xlfn.XLOOKUP(1,('2013 E Maize Soil VWC'!$C$2:$C$4000=$AA107)*('2013 E Maize Soil VWC'!$E$2:$E$4000=$AB107)*('2013 E Maize Soil VWC'!$F$2:$F$4000=AK$5),'2013 E Maize Soil VWC'!$G$2:$G$4000)</f>
        <v>0.29728702401129942</v>
      </c>
      <c r="AL107" s="4" cm="1">
        <f t="array" ref="AL107">_xlfn.XLOOKUP(1,('2013 E Maize Soil VWC'!$C$2:$C$4000=$AA107)*('2013 E Maize Soil VWC'!$E$2:$E$4000=$AB107)*('2013 E Maize Soil VWC'!$F$2:$F$4000=AL$5),'2013 E Maize Soil VWC'!$G$2:$G$4000)</f>
        <v>0.26526139971751411</v>
      </c>
      <c r="AM107" s="4" cm="1">
        <f t="array" ref="AM107">_xlfn.XLOOKUP(1,('2013 E Maize Soil VWC'!$C$2:$C$4000=$AA107)*('2013 E Maize Soil VWC'!$E$2:$E$4000=$AB107)*('2013 E Maize Soil VWC'!$F$2:$F$4000=AM$5),'2013 E Maize Soil VWC'!$G$2:$G$4000)</f>
        <v>0.30664414406779666</v>
      </c>
      <c r="AN107" s="4" cm="1">
        <f t="array" ref="AN107">_xlfn.XLOOKUP(1,('2013 E Maize Soil VWC'!$C$2:$C$4000=$AA107)*('2013 E Maize Soil VWC'!$E$2:$E$4000=$AB107)*('2013 E Maize Soil VWC'!$F$2:$F$4000=AN$5),'2013 E Maize Soil VWC'!$G$2:$G$4000)</f>
        <v>0.31241893573446328</v>
      </c>
      <c r="AO107" s="4" cm="1">
        <f t="array" ref="AO107">_xlfn.XLOOKUP(1,('2013 E Maize Soil VWC'!$C$2:$C$4000=$AA107)*('2013 E Maize Soil VWC'!$E$2:$E$4000=$AB107)*('2013 E Maize Soil VWC'!$F$2:$F$4000=AO$5),'2013 E Maize Soil VWC'!$G$2:$G$4000)</f>
        <v>0.30560663912429381</v>
      </c>
      <c r="AP107" s="4" cm="1">
        <f t="array" ref="AP107">_xlfn.XLOOKUP(1,('2013 E Maize Soil VWC'!$C$2:$C$4000=$AA107)*('2013 E Maize Soil VWC'!$E$2:$E$4000=$AB107)*('2013 E Maize Soil VWC'!$F$2:$F$4000=AP$5),'2013 E Maize Soil VWC'!$G$2:$G$4000)</f>
        <v>0.27671310522598874</v>
      </c>
      <c r="AQ107" s="4" t="e" cm="1">
        <f t="array" ref="AQ107">_xlfn.XLOOKUP(1,('2013 E Maize Soil VWC'!$C$2:$C$4000=$AA107)*('2013 E Maize Soil VWC'!$E$2:$E$4000=$AB107)*('2013 E Maize Soil VWC'!$F$2:$F$4000=AQ$5),'2013 E Maize Soil VWC'!$G$2:$G$4000)</f>
        <v>#N/A</v>
      </c>
      <c r="AR107" s="4" t="e" cm="1">
        <f t="array" ref="AR107">_xlfn.XLOOKUP(1,('2013 E Maize Soil VWC'!$C$2:$C$4000=$AA107)*('2013 E Maize Soil VWC'!$E$2:$E$4000=$AB107)*('2013 E Maize Soil VWC'!$F$2:$F$4000=AR$5),'2013 E Maize Soil VWC'!$G$2:$G$4000)</f>
        <v>#N/A</v>
      </c>
      <c r="AS107" s="4" cm="1">
        <f t="array" ref="AS107">_xlfn.XLOOKUP(1,('2013 E Maize Soil VWC'!$C$2:$C$4000=$AA107)*('2013 E Maize Soil VWC'!$E$2:$E$4000=$AB107)*('2013 E Maize Soil VWC'!$F$2:$F$4000=AS$5),'2013 E Maize Soil VWC'!$G$2:$G$4000)</f>
        <v>0.30366865819209038</v>
      </c>
      <c r="AT107" s="4" cm="1">
        <f t="array" ref="AT107">_xlfn.XLOOKUP(1,('2013 E Maize Soil VWC'!$C$2:$C$4000=$AA107)*('2013 E Maize Soil VWC'!$E$2:$E$4000=$AB107)*('2013 E Maize Soil VWC'!$F$2:$F$4000=AT$5),'2013 E Maize Soil VWC'!$G$2:$G$4000)</f>
        <v>0.30631135946327681</v>
      </c>
      <c r="AU107" s="4" cm="1">
        <f t="array" ref="AU107">_xlfn.XLOOKUP(1,('2013 E Maize Soil VWC'!$C$2:$C$4000=$AA107)*('2013 E Maize Soil VWC'!$E$2:$E$4000=$AB107)*('2013 E Maize Soil VWC'!$F$2:$F$4000=AU$5),'2013 E Maize Soil VWC'!$G$2:$G$4000)</f>
        <v>0.30036038771186441</v>
      </c>
      <c r="AV107" s="4" cm="1">
        <f t="array" ref="AV107">_xlfn.XLOOKUP(1,('2013 E Maize Soil VWC'!$C$2:$C$4000=$AA107)*('2013 E Maize Soil VWC'!$E$2:$E$4000=$AB107)*('2013 E Maize Soil VWC'!$F$2:$F$4000=AV$5),'2013 E Maize Soil VWC'!$G$2:$G$4000)</f>
        <v>0.30061487005649717</v>
      </c>
    </row>
    <row r="108" spans="25:64" x14ac:dyDescent="0.25">
      <c r="AA108" s="15">
        <f t="shared" si="15"/>
        <v>41477</v>
      </c>
      <c r="AB108" s="4">
        <f t="shared" si="16"/>
        <v>230</v>
      </c>
      <c r="AC108" s="4" cm="1">
        <f t="array" ref="AC108">_xlfn.XLOOKUP(1,('2013 E Maize Soil VWC'!$C$2:$C$4000=$AA108)*('2013 E Maize Soil VWC'!$E$2:$E$4000=$AB108)*('2013 E Maize Soil VWC'!$F$2:$F$4000=AC$5),'2013 E Maize Soil VWC'!$G$2:$G$4000)</f>
        <v>0.29994930084745763</v>
      </c>
      <c r="AD108" s="4" cm="1">
        <f t="array" ref="AD108">_xlfn.XLOOKUP(1,('2013 E Maize Soil VWC'!$C$2:$C$4000=$AA108)*('2013 E Maize Soil VWC'!$E$2:$E$4000=$AB108)*('2013 E Maize Soil VWC'!$F$2:$F$4000=AD$5),'2013 E Maize Soil VWC'!$G$2:$G$4000)</f>
        <v>0.30243539759887006</v>
      </c>
      <c r="AE108" s="4" cm="1">
        <f t="array" ref="AE108">_xlfn.XLOOKUP(1,('2013 E Maize Soil VWC'!$C$2:$C$4000=$AA108)*('2013 E Maize Soil VWC'!$E$2:$E$4000=$AB108)*('2013 E Maize Soil VWC'!$F$2:$F$4000=AE$5),'2013 E Maize Soil VWC'!$G$2:$G$4000)</f>
        <v>0.29298039971751416</v>
      </c>
      <c r="AF108" s="4" cm="1">
        <f t="array" ref="AF108">_xlfn.XLOOKUP(1,('2013 E Maize Soil VWC'!$C$2:$C$4000=$AA108)*('2013 E Maize Soil VWC'!$E$2:$E$4000=$AB108)*('2013 E Maize Soil VWC'!$F$2:$F$4000=AF$5),'2013 E Maize Soil VWC'!$G$2:$G$4000)</f>
        <v>0.28608980084745761</v>
      </c>
      <c r="AG108" s="4" t="e" cm="1">
        <f t="array" ref="AG108">_xlfn.XLOOKUP(1,('2013 E Maize Soil VWC'!$C$2:$C$4000=$AA108)*('2013 E Maize Soil VWC'!$E$2:$E$4000=$AB108)*('2013 E Maize Soil VWC'!$F$2:$F$4000=AG$5),'2013 E Maize Soil VWC'!$G$2:$G$4000)</f>
        <v>#N/A</v>
      </c>
      <c r="AH108" s="4" t="e" cm="1">
        <f t="array" ref="AH108">_xlfn.XLOOKUP(1,('2013 E Maize Soil VWC'!$C$2:$C$4000=$AA108)*('2013 E Maize Soil VWC'!$E$2:$E$4000=$AB108)*('2013 E Maize Soil VWC'!$F$2:$F$4000=AH$5),'2013 E Maize Soil VWC'!$G$2:$G$4000)</f>
        <v>#N/A</v>
      </c>
      <c r="AI108" s="4" cm="1">
        <f t="array" ref="AI108">_xlfn.XLOOKUP(1,('2013 E Maize Soil VWC'!$C$2:$C$4000=$AA108)*('2013 E Maize Soil VWC'!$E$2:$E$4000=$AB108)*('2013 E Maize Soil VWC'!$F$2:$F$4000=AI$5),'2013 E Maize Soil VWC'!$G$2:$G$4000)</f>
        <v>0.28456290677966101</v>
      </c>
      <c r="AJ108" s="4" cm="1">
        <f t="array" ref="AJ108">_xlfn.XLOOKUP(1,('2013 E Maize Soil VWC'!$C$2:$C$4000=$AA108)*('2013 E Maize Soil VWC'!$E$2:$E$4000=$AB108)*('2013 E Maize Soil VWC'!$F$2:$F$4000=AJ$5),'2013 E Maize Soil VWC'!$G$2:$G$4000)</f>
        <v>0.31367177189265538</v>
      </c>
      <c r="AK108" s="4" cm="1">
        <f t="array" ref="AK108">_xlfn.XLOOKUP(1,('2013 E Maize Soil VWC'!$C$2:$C$4000=$AA108)*('2013 E Maize Soil VWC'!$E$2:$E$4000=$AB108)*('2013 E Maize Soil VWC'!$F$2:$F$4000=AK$5),'2013 E Maize Soil VWC'!$G$2:$G$4000)</f>
        <v>0.30723141101694917</v>
      </c>
      <c r="AL108" s="4" cm="1">
        <f t="array" ref="AL108">_xlfn.XLOOKUP(1,('2013 E Maize Soil VWC'!$C$2:$C$4000=$AA108)*('2013 E Maize Soil VWC'!$E$2:$E$4000=$AB108)*('2013 E Maize Soil VWC'!$F$2:$F$4000=AL$5),'2013 E Maize Soil VWC'!$G$2:$G$4000)</f>
        <v>0.26633805579096048</v>
      </c>
      <c r="AM108" s="4" cm="1">
        <f t="array" ref="AM108">_xlfn.XLOOKUP(1,('2013 E Maize Soil VWC'!$C$2:$C$4000=$AA108)*('2013 E Maize Soil VWC'!$E$2:$E$4000=$AB108)*('2013 E Maize Soil VWC'!$F$2:$F$4000=AM$5),'2013 E Maize Soil VWC'!$G$2:$G$4000)</f>
        <v>0.29822665112994351</v>
      </c>
      <c r="AN108" s="4" cm="1">
        <f t="array" ref="AN108">_xlfn.XLOOKUP(1,('2013 E Maize Soil VWC'!$C$2:$C$4000=$AA108)*('2013 E Maize Soil VWC'!$E$2:$E$4000=$AB108)*('2013 E Maize Soil VWC'!$F$2:$F$4000=AN$5),'2013 E Maize Soil VWC'!$G$2:$G$4000)</f>
        <v>0.30498022104519773</v>
      </c>
      <c r="AO108" s="4" cm="1">
        <f t="array" ref="AO108">_xlfn.XLOOKUP(1,('2013 E Maize Soil VWC'!$C$2:$C$4000=$AA108)*('2013 E Maize Soil VWC'!$E$2:$E$4000=$AB108)*('2013 E Maize Soil VWC'!$F$2:$F$4000=AO$5),'2013 E Maize Soil VWC'!$G$2:$G$4000)</f>
        <v>0.29707169279661017</v>
      </c>
      <c r="AP108" s="4" cm="1">
        <f t="array" ref="AP108">_xlfn.XLOOKUP(1,('2013 E Maize Soil VWC'!$C$2:$C$4000=$AA108)*('2013 E Maize Soil VWC'!$E$2:$E$4000=$AB108)*('2013 E Maize Soil VWC'!$F$2:$F$4000=AP$5),'2013 E Maize Soil VWC'!$G$2:$G$4000)</f>
        <v>0.29016151836158194</v>
      </c>
      <c r="AQ108" s="4" t="e" cm="1">
        <f t="array" ref="AQ108">_xlfn.XLOOKUP(1,('2013 E Maize Soil VWC'!$C$2:$C$4000=$AA108)*('2013 E Maize Soil VWC'!$E$2:$E$4000=$AB108)*('2013 E Maize Soil VWC'!$F$2:$F$4000=AQ$5),'2013 E Maize Soil VWC'!$G$2:$G$4000)</f>
        <v>#N/A</v>
      </c>
      <c r="AR108" s="4" t="e" cm="1">
        <f t="array" ref="AR108">_xlfn.XLOOKUP(1,('2013 E Maize Soil VWC'!$C$2:$C$4000=$AA108)*('2013 E Maize Soil VWC'!$E$2:$E$4000=$AB108)*('2013 E Maize Soil VWC'!$F$2:$F$4000=AR$5),'2013 E Maize Soil VWC'!$G$2:$G$4000)</f>
        <v>#N/A</v>
      </c>
      <c r="AS108" s="4" cm="1">
        <f t="array" ref="AS108">_xlfn.XLOOKUP(1,('2013 E Maize Soil VWC'!$C$2:$C$4000=$AA108)*('2013 E Maize Soil VWC'!$E$2:$E$4000=$AB108)*('2013 E Maize Soil VWC'!$F$2:$F$4000=AS$5),'2013 E Maize Soil VWC'!$G$2:$G$4000)</f>
        <v>0.30374696045197741</v>
      </c>
      <c r="AT108" s="4" cm="1">
        <f t="array" ref="AT108">_xlfn.XLOOKUP(1,('2013 E Maize Soil VWC'!$C$2:$C$4000=$AA108)*('2013 E Maize Soil VWC'!$E$2:$E$4000=$AB108)*('2013 E Maize Soil VWC'!$F$2:$F$4000=AT$5),'2013 E Maize Soil VWC'!$G$2:$G$4000)</f>
        <v>0.30247454872881357</v>
      </c>
      <c r="AU108" s="4" cm="1">
        <f t="array" ref="AU108">_xlfn.XLOOKUP(1,('2013 E Maize Soil VWC'!$C$2:$C$4000=$AA108)*('2013 E Maize Soil VWC'!$E$2:$E$4000=$AB108)*('2013 E Maize Soil VWC'!$F$2:$F$4000=AU$5),'2013 E Maize Soil VWC'!$G$2:$G$4000)</f>
        <v>0.2928825218926554</v>
      </c>
      <c r="AV108" s="4" cm="1">
        <f t="array" ref="AV108">_xlfn.XLOOKUP(1,('2013 E Maize Soil VWC'!$C$2:$C$4000=$AA108)*('2013 E Maize Soil VWC'!$E$2:$E$4000=$AB108)*('2013 E Maize Soil VWC'!$F$2:$F$4000=AV$5),'2013 E Maize Soil VWC'!$G$2:$G$4000)</f>
        <v>0.30133916596045202</v>
      </c>
    </row>
    <row r="109" spans="25:64" x14ac:dyDescent="0.25">
      <c r="AA109" s="15"/>
    </row>
    <row r="110" spans="25:64" x14ac:dyDescent="0.25">
      <c r="Y110" s="4">
        <v>2013</v>
      </c>
      <c r="Z110" s="4">
        <v>210</v>
      </c>
      <c r="AA110" s="15">
        <f>DATE(Y110,1,Z110)</f>
        <v>41484</v>
      </c>
      <c r="AB110" s="4">
        <v>10</v>
      </c>
      <c r="AC110" s="4" cm="1">
        <f t="array" ref="AC110">_xlfn.XLOOKUP(1,('2013 E Maize Soil VWC'!$C$2:$C$4000=$AA110)*('2013 E Maize Soil VWC'!$E$2:$E$4000=$AB110)*('2013 E Maize Soil VWC'!$F$2:$F$4000=AC$5),'2013 E Maize Soil VWC'!$G$2:$G$4000)</f>
        <v>0.19531190738498788</v>
      </c>
      <c r="AD110" s="4" cm="1">
        <f t="array" ref="AD110">_xlfn.XLOOKUP(1,('2013 E Maize Soil VWC'!$C$2:$C$4000=$AA110)*('2013 E Maize Soil VWC'!$E$2:$E$4000=$AB110)*('2013 E Maize Soil VWC'!$F$2:$F$4000=AD$5),'2013 E Maize Soil VWC'!$G$2:$G$4000)</f>
        <v>0.21626178087167069</v>
      </c>
      <c r="AE110" s="4" cm="1">
        <f t="array" ref="AE110">_xlfn.XLOOKUP(1,('2013 E Maize Soil VWC'!$C$2:$C$4000=$AA110)*('2013 E Maize Soil VWC'!$E$2:$E$4000=$AB110)*('2013 E Maize Soil VWC'!$F$2:$F$4000=AE$5),'2013 E Maize Soil VWC'!$G$2:$G$4000)</f>
        <v>0.23036339921307503</v>
      </c>
      <c r="AF110" s="4" cm="1">
        <f t="array" ref="AF110">_xlfn.XLOOKUP(1,('2013 E Maize Soil VWC'!$C$2:$C$4000=$AA110)*('2013 E Maize Soil VWC'!$E$2:$E$4000=$AB110)*('2013 E Maize Soil VWC'!$F$2:$F$4000=AF$5),'2013 E Maize Soil VWC'!$G$2:$G$4000)</f>
        <v>0.21568305508474578</v>
      </c>
      <c r="AG110" s="4" cm="1">
        <f t="array" ref="AG110">_xlfn.XLOOKUP(1,('2013 E Maize Soil VWC'!$C$2:$C$4000=$AA110)*('2013 E Maize Soil VWC'!$E$2:$E$4000=$AB110)*('2013 E Maize Soil VWC'!$F$2:$F$4000=AG$5),'2013 E Maize Soil VWC'!$G$2:$G$4000)</f>
        <v>0.21446773093220339</v>
      </c>
      <c r="AH110" s="4" cm="1">
        <f t="array" ref="AH110">_xlfn.XLOOKUP(1,('2013 E Maize Soil VWC'!$C$2:$C$4000=$AA110)*('2013 E Maize Soil VWC'!$E$2:$E$4000=$AB110)*('2013 E Maize Soil VWC'!$F$2:$F$4000=AH$5),'2013 E Maize Soil VWC'!$G$2:$G$4000)</f>
        <v>0.20744585805084742</v>
      </c>
      <c r="AI110" s="4" cm="1">
        <f t="array" ref="AI110">_xlfn.XLOOKUP(1,('2013 E Maize Soil VWC'!$C$2:$C$4000=$AA110)*('2013 E Maize Soil VWC'!$E$2:$E$4000=$AB110)*('2013 E Maize Soil VWC'!$F$2:$F$4000=AI$5),'2013 E Maize Soil VWC'!$G$2:$G$4000)</f>
        <v>0.23231177602905567</v>
      </c>
      <c r="AJ110" s="4" cm="1">
        <f t="array" ref="AJ110">_xlfn.XLOOKUP(1,('2013 E Maize Soil VWC'!$C$2:$C$4000=$AA110)*('2013 E Maize Soil VWC'!$E$2:$E$4000=$AB110)*('2013 E Maize Soil VWC'!$F$2:$F$4000=AJ$5),'2013 E Maize Soil VWC'!$G$2:$G$4000)</f>
        <v>0.23885137742130752</v>
      </c>
      <c r="AK110" s="4" cm="1">
        <f t="array" ref="AK110">_xlfn.XLOOKUP(1,('2013 E Maize Soil VWC'!$C$2:$C$4000=$AA110)*('2013 E Maize Soil VWC'!$E$2:$E$4000=$AB110)*('2013 E Maize Soil VWC'!$F$2:$F$4000=AK$5),'2013 E Maize Soil VWC'!$G$2:$G$4000)</f>
        <v>0.22428677845036316</v>
      </c>
      <c r="AL110" s="4" cm="1">
        <f t="array" ref="AL110">_xlfn.XLOOKUP(1,('2013 E Maize Soil VWC'!$C$2:$C$4000=$AA110)*('2013 E Maize Soil VWC'!$E$2:$E$4000=$AB110)*('2013 E Maize Soil VWC'!$F$2:$F$4000=AL$5),'2013 E Maize Soil VWC'!$G$2:$G$4000)</f>
        <v>0.21842235714285713</v>
      </c>
      <c r="AM110" s="4" cm="1">
        <f t="array" ref="AM110">_xlfn.XLOOKUP(1,('2013 E Maize Soil VWC'!$C$2:$C$4000=$AA110)*('2013 E Maize Soil VWC'!$E$2:$E$4000=$AB110)*('2013 E Maize Soil VWC'!$F$2:$F$4000=AM$5),'2013 E Maize Soil VWC'!$G$2:$G$4000)</f>
        <v>0.18564718674334141</v>
      </c>
      <c r="AN110" s="4" cm="1">
        <f t="array" ref="AN110">_xlfn.XLOOKUP(1,('2013 E Maize Soil VWC'!$C$2:$C$4000=$AA110)*('2013 E Maize Soil VWC'!$E$2:$E$4000=$AB110)*('2013 E Maize Soil VWC'!$F$2:$F$4000=AN$5),'2013 E Maize Soil VWC'!$G$2:$G$4000)</f>
        <v>0.15626720762711865</v>
      </c>
      <c r="AO110" s="4" cm="1">
        <f t="array" ref="AO110">_xlfn.XLOOKUP(1,('2013 E Maize Soil VWC'!$C$2:$C$4000=$AA110)*('2013 E Maize Soil VWC'!$E$2:$E$4000=$AB110)*('2013 E Maize Soil VWC'!$F$2:$F$4000=AO$5),'2013 E Maize Soil VWC'!$G$2:$G$4000)</f>
        <v>0.17023378995157384</v>
      </c>
      <c r="AP110" s="4" cm="1">
        <f t="array" ref="AP110">_xlfn.XLOOKUP(1,('2013 E Maize Soil VWC'!$C$2:$C$4000=$AA110)*('2013 E Maize Soil VWC'!$E$2:$E$4000=$AB110)*('2013 E Maize Soil VWC'!$F$2:$F$4000=AP$5),'2013 E Maize Soil VWC'!$G$2:$G$4000)</f>
        <v>0.18385313680387411</v>
      </c>
      <c r="AQ110" s="4" cm="1">
        <f t="array" ref="AQ110">_xlfn.XLOOKUP(1,('2013 E Maize Soil VWC'!$C$2:$C$4000=$AA110)*('2013 E Maize Soil VWC'!$E$2:$E$4000=$AB110)*('2013 E Maize Soil VWC'!$F$2:$F$4000=AQ$5),'2013 E Maize Soil VWC'!$G$2:$G$4000)</f>
        <v>0.1995558964891041</v>
      </c>
      <c r="AR110" s="4" cm="1">
        <f t="array" ref="AR110">_xlfn.XLOOKUP(1,('2013 E Maize Soil VWC'!$C$2:$C$4000=$AA110)*('2013 E Maize Soil VWC'!$E$2:$E$4000=$AB110)*('2013 E Maize Soil VWC'!$F$2:$F$4000=AR$5),'2013 E Maize Soil VWC'!$G$2:$G$4000)</f>
        <v>0.19687446700968525</v>
      </c>
      <c r="AS110" s="4" cm="1">
        <f t="array" ref="AS110">_xlfn.XLOOKUP(1,('2013 E Maize Soil VWC'!$C$2:$C$4000=$AA110)*('2013 E Maize Soil VWC'!$E$2:$E$4000=$AB110)*('2013 E Maize Soil VWC'!$F$2:$F$4000=AS$5),'2013 E Maize Soil VWC'!$G$2:$G$4000)</f>
        <v>0.21186346489104113</v>
      </c>
      <c r="AT110" s="4" cm="1">
        <f t="array" ref="AT110">_xlfn.XLOOKUP(1,('2013 E Maize Soil VWC'!$C$2:$C$4000=$AA110)*('2013 E Maize Soil VWC'!$E$2:$E$4000=$AB110)*('2013 E Maize Soil VWC'!$F$2:$F$4000=AT$5),'2013 E Maize Soil VWC'!$G$2:$G$4000)</f>
        <v>0.19392296549636806</v>
      </c>
      <c r="AU110" s="4" cm="1">
        <f t="array" ref="AU110">_xlfn.XLOOKUP(1,('2013 E Maize Soil VWC'!$C$2:$C$4000=$AA110)*('2013 E Maize Soil VWC'!$E$2:$E$4000=$AB110)*('2013 E Maize Soil VWC'!$F$2:$F$4000=AU$5),'2013 E Maize Soil VWC'!$G$2:$G$4000)</f>
        <v>0.17326245490314768</v>
      </c>
      <c r="AV110" s="4" cm="1">
        <f t="array" ref="AV110">_xlfn.XLOOKUP(1,('2013 E Maize Soil VWC'!$C$2:$C$4000=$AA110)*('2013 E Maize Soil VWC'!$E$2:$E$4000=$AB110)*('2013 E Maize Soil VWC'!$F$2:$F$4000=AV$5),'2013 E Maize Soil VWC'!$G$2:$G$4000)</f>
        <v>0.1728766377118644</v>
      </c>
      <c r="AW110" s="22">
        <f>Z110</f>
        <v>210</v>
      </c>
      <c r="AX110" s="20">
        <f>AA110</f>
        <v>41484</v>
      </c>
      <c r="AY110" s="4">
        <f>1400*AVERAGE(AG110:AH116)+100*AVERAGE(AG117:AH117)</f>
        <v>441.97994689265533</v>
      </c>
      <c r="AZ110" s="4">
        <f>1400*AVERAGE(AC110:AF116,AI110:AL116)+100*AVERAGE(AC117:AF117,AI117:AL117)</f>
        <v>462.97862539094024</v>
      </c>
      <c r="BA110" s="4">
        <f>1400*AVERAGE(AQ110:AR116)+100*AVERAGE(AQ117:AR117)</f>
        <v>418.3402748032687</v>
      </c>
      <c r="BB110" s="4">
        <f>1400*AVERAGE(AM110:AP116,AS110:AV116)+100*AVERAGE(AM117:AP117,AS117:AV117)</f>
        <v>446.60800122326464</v>
      </c>
      <c r="BC110" s="4">
        <f>AVERAGE(AC110:AD121)*2400</f>
        <v>724.72467419289751</v>
      </c>
      <c r="BD110" s="4">
        <f>AVERAGE(AE110:AF121)*2400</f>
        <v>717.32110058514945</v>
      </c>
      <c r="BE110" s="4">
        <f>AVERAGE(AG110:AH119)*2000</f>
        <v>610.19119364406777</v>
      </c>
      <c r="BF110" s="4">
        <f>AVERAGE(AI110:AJ121)*2400</f>
        <v>739.96746605125088</v>
      </c>
      <c r="BG110" s="4">
        <f>AVERAGE(AK110:AL121)*2400</f>
        <v>730.17645727401123</v>
      </c>
      <c r="BH110" s="4">
        <f>AVERAGE(AM110:AN121)*2400</f>
        <v>723.79716521388229</v>
      </c>
      <c r="BI110" s="4">
        <f>AVERAGE(AO110:AP121)*2400</f>
        <v>716.01785898910407</v>
      </c>
      <c r="BJ110" s="4">
        <f>AVERAGE(AQ110:AR119)*2000</f>
        <v>582.5003583837771</v>
      </c>
      <c r="BK110" s="4">
        <f>AVERAGE(AS110:AT121)*2400</f>
        <v>739.95838576472943</v>
      </c>
      <c r="BL110" s="4">
        <f>AVERAGE(AU110:AV121)*2400</f>
        <v>722.48532974172713</v>
      </c>
    </row>
    <row r="111" spans="25:64" x14ac:dyDescent="0.25">
      <c r="AA111" s="15">
        <f t="shared" ref="AA111:AA121" si="17">AA110</f>
        <v>41484</v>
      </c>
      <c r="AB111" s="4">
        <f t="shared" ref="AB111:AB121" si="18">AB110+20</f>
        <v>30</v>
      </c>
      <c r="AC111" s="4" cm="1">
        <f t="array" ref="AC111">_xlfn.XLOOKUP(1,('2013 E Maize Soil VWC'!$C$2:$C$4000=$AA111)*('2013 E Maize Soil VWC'!$E$2:$E$4000=$AB111)*('2013 E Maize Soil VWC'!$F$2:$F$4000=AC$5),'2013 E Maize Soil VWC'!$G$2:$G$4000)</f>
        <v>0.29249962570621468</v>
      </c>
      <c r="AD111" s="4" cm="1">
        <f t="array" ref="AD111">_xlfn.XLOOKUP(1,('2013 E Maize Soil VWC'!$C$2:$C$4000=$AA111)*('2013 E Maize Soil VWC'!$E$2:$E$4000=$AB111)*('2013 E Maize Soil VWC'!$F$2:$F$4000=AD$5),'2013 E Maize Soil VWC'!$G$2:$G$4000)</f>
        <v>0.27978764265536721</v>
      </c>
      <c r="AE111" s="4" cm="1">
        <f t="array" ref="AE111">_xlfn.XLOOKUP(1,('2013 E Maize Soil VWC'!$C$2:$C$4000=$AA111)*('2013 E Maize Soil VWC'!$E$2:$E$4000=$AB111)*('2013 E Maize Soil VWC'!$F$2:$F$4000=AE$5),'2013 E Maize Soil VWC'!$G$2:$G$4000)</f>
        <v>0.31115307909604517</v>
      </c>
      <c r="AF111" s="4" cm="1">
        <f t="array" ref="AF111">_xlfn.XLOOKUP(1,('2013 E Maize Soil VWC'!$C$2:$C$4000=$AA111)*('2013 E Maize Soil VWC'!$E$2:$E$4000=$AB111)*('2013 E Maize Soil VWC'!$F$2:$F$4000=AF$5),'2013 E Maize Soil VWC'!$G$2:$G$4000)</f>
        <v>0.2881701822033898</v>
      </c>
      <c r="AG111" s="4" cm="1">
        <f t="array" ref="AG111">_xlfn.XLOOKUP(1,('2013 E Maize Soil VWC'!$C$2:$C$4000=$AA111)*('2013 E Maize Soil VWC'!$E$2:$E$4000=$AB111)*('2013 E Maize Soil VWC'!$F$2:$F$4000=AG$5),'2013 E Maize Soil VWC'!$G$2:$G$4000)</f>
        <v>0.29966163064971751</v>
      </c>
      <c r="AH111" s="4" cm="1">
        <f t="array" ref="AH111">_xlfn.XLOOKUP(1,('2013 E Maize Soil VWC'!$C$2:$C$4000=$AA111)*('2013 E Maize Soil VWC'!$E$2:$E$4000=$AB111)*('2013 E Maize Soil VWC'!$F$2:$F$4000=AH$5),'2013 E Maize Soil VWC'!$G$2:$G$4000)</f>
        <v>0.29012764336158192</v>
      </c>
      <c r="AI111" s="4" cm="1">
        <f t="array" ref="AI111">_xlfn.XLOOKUP(1,('2013 E Maize Soil VWC'!$C$2:$C$4000=$AA111)*('2013 E Maize Soil VWC'!$E$2:$E$4000=$AB111)*('2013 E Maize Soil VWC'!$F$2:$F$4000=AI$5),'2013 E Maize Soil VWC'!$G$2:$G$4000)</f>
        <v>0.29477949223163835</v>
      </c>
      <c r="AJ111" s="4" cm="1">
        <f t="array" ref="AJ111">_xlfn.XLOOKUP(1,('2013 E Maize Soil VWC'!$C$2:$C$4000=$AA111)*('2013 E Maize Soil VWC'!$E$2:$E$4000=$AB111)*('2013 E Maize Soil VWC'!$F$2:$F$4000=AJ$5),'2013 E Maize Soil VWC'!$G$2:$G$4000)</f>
        <v>0.31205120833333333</v>
      </c>
      <c r="AK111" s="4" cm="1">
        <f t="array" ref="AK111">_xlfn.XLOOKUP(1,('2013 E Maize Soil VWC'!$C$2:$C$4000=$AA111)*('2013 E Maize Soil VWC'!$E$2:$E$4000=$AB111)*('2013 E Maize Soil VWC'!$F$2:$F$4000=AK$5),'2013 E Maize Soil VWC'!$G$2:$G$4000)</f>
        <v>0.31877566313559319</v>
      </c>
      <c r="AL111" s="4" cm="1">
        <f t="array" ref="AL111">_xlfn.XLOOKUP(1,('2013 E Maize Soil VWC'!$C$2:$C$4000=$AA111)*('2013 E Maize Soil VWC'!$E$2:$E$4000=$AB111)*('2013 E Maize Soil VWC'!$F$2:$F$4000=AL$5),'2013 E Maize Soil VWC'!$G$2:$G$4000)</f>
        <v>0.30691575141242938</v>
      </c>
      <c r="AM111" s="4" cm="1">
        <f t="array" ref="AM111">_xlfn.XLOOKUP(1,('2013 E Maize Soil VWC'!$C$2:$C$4000=$AA111)*('2013 E Maize Soil VWC'!$E$2:$E$4000=$AB111)*('2013 E Maize Soil VWC'!$F$2:$F$4000=AM$5),'2013 E Maize Soil VWC'!$G$2:$G$4000)</f>
        <v>0.27882042655367228</v>
      </c>
      <c r="AN111" s="4" cm="1">
        <f t="array" ref="AN111">_xlfn.XLOOKUP(1,('2013 E Maize Soil VWC'!$C$2:$C$4000=$AA111)*('2013 E Maize Soil VWC'!$E$2:$E$4000=$AB111)*('2013 E Maize Soil VWC'!$F$2:$F$4000=AN$5),'2013 E Maize Soil VWC'!$G$2:$G$4000)</f>
        <v>0.25302799717514118</v>
      </c>
      <c r="AO111" s="4" cm="1">
        <f t="array" ref="AO111">_xlfn.XLOOKUP(1,('2013 E Maize Soil VWC'!$C$2:$C$4000=$AA111)*('2013 E Maize Soil VWC'!$E$2:$E$4000=$AB111)*('2013 E Maize Soil VWC'!$F$2:$F$4000=AO$5),'2013 E Maize Soil VWC'!$G$2:$G$4000)</f>
        <v>0.28441646257062142</v>
      </c>
      <c r="AP111" s="4" cm="1">
        <f t="array" ref="AP111">_xlfn.XLOOKUP(1,('2013 E Maize Soil VWC'!$C$2:$C$4000=$AA111)*('2013 E Maize Soil VWC'!$E$2:$E$4000=$AB111)*('2013 E Maize Soil VWC'!$F$2:$F$4000=AP$5),'2013 E Maize Soil VWC'!$G$2:$G$4000)</f>
        <v>0.27812955790960453</v>
      </c>
      <c r="AQ111" s="4" cm="1">
        <f t="array" ref="AQ111">_xlfn.XLOOKUP(1,('2013 E Maize Soil VWC'!$C$2:$C$4000=$AA111)*('2013 E Maize Soil VWC'!$E$2:$E$4000=$AB111)*('2013 E Maize Soil VWC'!$F$2:$F$4000=AQ$5),'2013 E Maize Soil VWC'!$G$2:$G$4000)</f>
        <v>0.29072639618644064</v>
      </c>
      <c r="AR111" s="4" cm="1">
        <f t="array" ref="AR111">_xlfn.XLOOKUP(1,('2013 E Maize Soil VWC'!$C$2:$C$4000=$AA111)*('2013 E Maize Soil VWC'!$E$2:$E$4000=$AB111)*('2013 E Maize Soil VWC'!$F$2:$F$4000=AR$5),'2013 E Maize Soil VWC'!$G$2:$G$4000)</f>
        <v>0.29438799999999998</v>
      </c>
      <c r="AS111" s="4" cm="1">
        <f t="array" ref="AS111">_xlfn.XLOOKUP(1,('2013 E Maize Soil VWC'!$C$2:$C$4000=$AA111)*('2013 E Maize Soil VWC'!$E$2:$E$4000=$AB111)*('2013 E Maize Soil VWC'!$F$2:$F$4000=AS$5),'2013 E Maize Soil VWC'!$G$2:$G$4000)</f>
        <v>0.298026574858757</v>
      </c>
      <c r="AT111" s="4" cm="1">
        <f t="array" ref="AT111">_xlfn.XLOOKUP(1,('2013 E Maize Soil VWC'!$C$2:$C$4000=$AA111)*('2013 E Maize Soil VWC'!$E$2:$E$4000=$AB111)*('2013 E Maize Soil VWC'!$F$2:$F$4000=AT$5),'2013 E Maize Soil VWC'!$G$2:$G$4000)</f>
        <v>0.30470497175141242</v>
      </c>
      <c r="AU111" s="4" cm="1">
        <f t="array" ref="AU111">_xlfn.XLOOKUP(1,('2013 E Maize Soil VWC'!$C$2:$C$4000=$AA111)*('2013 E Maize Soil VWC'!$E$2:$E$4000=$AB111)*('2013 E Maize Soil VWC'!$F$2:$F$4000=AU$5),'2013 E Maize Soil VWC'!$G$2:$G$4000)</f>
        <v>0.27223414548022601</v>
      </c>
      <c r="AV111" s="4" cm="1">
        <f t="array" ref="AV111">_xlfn.XLOOKUP(1,('2013 E Maize Soil VWC'!$C$2:$C$4000=$AA111)*('2013 E Maize Soil VWC'!$E$2:$E$4000=$AB111)*('2013 E Maize Soil VWC'!$F$2:$F$4000=AV$5),'2013 E Maize Soil VWC'!$G$2:$G$4000)</f>
        <v>0.28211356709039542</v>
      </c>
    </row>
    <row r="112" spans="25:64" x14ac:dyDescent="0.25">
      <c r="AA112" s="15">
        <f t="shared" si="17"/>
        <v>41484</v>
      </c>
      <c r="AB112" s="4">
        <f t="shared" si="18"/>
        <v>50</v>
      </c>
      <c r="AC112" s="4" cm="1">
        <f t="array" ref="AC112">_xlfn.XLOOKUP(1,('2013 E Maize Soil VWC'!$C$2:$C$4000=$AA112)*('2013 E Maize Soil VWC'!$E$2:$E$4000=$AB112)*('2013 E Maize Soil VWC'!$F$2:$F$4000=AC$5),'2013 E Maize Soil VWC'!$G$2:$G$4000)</f>
        <v>0.31610430437853104</v>
      </c>
      <c r="AD112" s="4" cm="1">
        <f t="array" ref="AD112">_xlfn.XLOOKUP(1,('2013 E Maize Soil VWC'!$C$2:$C$4000=$AA112)*('2013 E Maize Soil VWC'!$E$2:$E$4000=$AB112)*('2013 E Maize Soil VWC'!$F$2:$F$4000=AD$5),'2013 E Maize Soil VWC'!$G$2:$G$4000)</f>
        <v>0.3181538813559322</v>
      </c>
      <c r="AE112" s="4" cm="1">
        <f t="array" ref="AE112">_xlfn.XLOOKUP(1,('2013 E Maize Soil VWC'!$C$2:$C$4000=$AA112)*('2013 E Maize Soil VWC'!$E$2:$E$4000=$AB112)*('2013 E Maize Soil VWC'!$F$2:$F$4000=AE$5),'2013 E Maize Soil VWC'!$G$2:$G$4000)</f>
        <v>0.32835570833333333</v>
      </c>
      <c r="AF112" s="4" cm="1">
        <f t="array" ref="AF112">_xlfn.XLOOKUP(1,('2013 E Maize Soil VWC'!$C$2:$C$4000=$AA112)*('2013 E Maize Soil VWC'!$E$2:$E$4000=$AB112)*('2013 E Maize Soil VWC'!$F$2:$F$4000=AF$5),'2013 E Maize Soil VWC'!$G$2:$G$4000)</f>
        <v>0.31534434887005647</v>
      </c>
      <c r="AG112" s="4" cm="1">
        <f t="array" ref="AG112">_xlfn.XLOOKUP(1,('2013 E Maize Soil VWC'!$C$2:$C$4000=$AA112)*('2013 E Maize Soil VWC'!$E$2:$E$4000=$AB112)*('2013 E Maize Soil VWC'!$F$2:$F$4000=AG$5),'2013 E Maize Soil VWC'!$G$2:$G$4000)</f>
        <v>0.31083067372881351</v>
      </c>
      <c r="AH112" s="4" cm="1">
        <f t="array" ref="AH112">_xlfn.XLOOKUP(1,('2013 E Maize Soil VWC'!$C$2:$C$4000=$AA112)*('2013 E Maize Soil VWC'!$E$2:$E$4000=$AB112)*('2013 E Maize Soil VWC'!$F$2:$F$4000=AH$5),'2013 E Maize Soil VWC'!$G$2:$G$4000)</f>
        <v>0.30581036158192088</v>
      </c>
      <c r="AI112" s="4" cm="1">
        <f t="array" ref="AI112">_xlfn.XLOOKUP(1,('2013 E Maize Soil VWC'!$C$2:$C$4000=$AA112)*('2013 E Maize Soil VWC'!$E$2:$E$4000=$AB112)*('2013 E Maize Soil VWC'!$F$2:$F$4000=AI$5),'2013 E Maize Soil VWC'!$G$2:$G$4000)</f>
        <v>0.32450987288135591</v>
      </c>
      <c r="AJ112" s="4" cm="1">
        <f t="array" ref="AJ112">_xlfn.XLOOKUP(1,('2013 E Maize Soil VWC'!$C$2:$C$4000=$AA112)*('2013 E Maize Soil VWC'!$E$2:$E$4000=$AB112)*('2013 E Maize Soil VWC'!$F$2:$F$4000=AJ$5),'2013 E Maize Soil VWC'!$G$2:$G$4000)</f>
        <v>0.31925927118644065</v>
      </c>
      <c r="AK112" s="4" cm="1">
        <f t="array" ref="AK112">_xlfn.XLOOKUP(1,('2013 E Maize Soil VWC'!$C$2:$C$4000=$AA112)*('2013 E Maize Soil VWC'!$E$2:$E$4000=$AB112)*('2013 E Maize Soil VWC'!$F$2:$F$4000=AK$5),'2013 E Maize Soil VWC'!$G$2:$G$4000)</f>
        <v>0.31909806850282479</v>
      </c>
      <c r="AL112" s="4" cm="1">
        <f t="array" ref="AL112">_xlfn.XLOOKUP(1,('2013 E Maize Soil VWC'!$C$2:$C$4000=$AA112)*('2013 E Maize Soil VWC'!$E$2:$E$4000=$AB112)*('2013 E Maize Soil VWC'!$F$2:$F$4000=AL$5),'2013 E Maize Soil VWC'!$G$2:$G$4000)</f>
        <v>0.33275423870056497</v>
      </c>
      <c r="AM112" s="4" cm="1">
        <f t="array" ref="AM112">_xlfn.XLOOKUP(1,('2013 E Maize Soil VWC'!$C$2:$C$4000=$AA112)*('2013 E Maize Soil VWC'!$E$2:$E$4000=$AB112)*('2013 E Maize Soil VWC'!$F$2:$F$4000=AM$5),'2013 E Maize Soil VWC'!$G$2:$G$4000)</f>
        <v>0.31110702118644068</v>
      </c>
      <c r="AN112" s="4" cm="1">
        <f t="array" ref="AN112">_xlfn.XLOOKUP(1,('2013 E Maize Soil VWC'!$C$2:$C$4000=$AA112)*('2013 E Maize Soil VWC'!$E$2:$E$4000=$AB112)*('2013 E Maize Soil VWC'!$F$2:$F$4000=AN$5),'2013 E Maize Soil VWC'!$G$2:$G$4000)</f>
        <v>0.30659334604519772</v>
      </c>
      <c r="AO112" s="4" cm="1">
        <f t="array" ref="AO112">_xlfn.XLOOKUP(1,('2013 E Maize Soil VWC'!$C$2:$C$4000=$AA112)*('2013 E Maize Soil VWC'!$E$2:$E$4000=$AB112)*('2013 E Maize Soil VWC'!$F$2:$F$4000=AO$5),'2013 E Maize Soil VWC'!$G$2:$G$4000)</f>
        <v>0.30567218785310729</v>
      </c>
      <c r="AP112" s="4" cm="1">
        <f t="array" ref="AP112">_xlfn.XLOOKUP(1,('2013 E Maize Soil VWC'!$C$2:$C$4000=$AA112)*('2013 E Maize Soil VWC'!$E$2:$E$4000=$AB112)*('2013 E Maize Soil VWC'!$F$2:$F$4000=AP$5),'2013 E Maize Soil VWC'!$G$2:$G$4000)</f>
        <v>0.3196277344632768</v>
      </c>
      <c r="AQ112" s="4" cm="1">
        <f t="array" ref="AQ112">_xlfn.XLOOKUP(1,('2013 E Maize Soil VWC'!$C$2:$C$4000=$AA112)*('2013 E Maize Soil VWC'!$E$2:$E$4000=$AB112)*('2013 E Maize Soil VWC'!$F$2:$F$4000=AQ$5),'2013 E Maize Soil VWC'!$G$2:$G$4000)</f>
        <v>0.28404799929378527</v>
      </c>
      <c r="AR112" s="4" cm="1">
        <f t="array" ref="AR112">_xlfn.XLOOKUP(1,('2013 E Maize Soil VWC'!$C$2:$C$4000=$AA112)*('2013 E Maize Soil VWC'!$E$2:$E$4000=$AB112)*('2013 E Maize Soil VWC'!$F$2:$F$4000=AR$5),'2013 E Maize Soil VWC'!$G$2:$G$4000)</f>
        <v>0.29431891313559322</v>
      </c>
      <c r="AS112" s="4" cm="1">
        <f t="array" ref="AS112">_xlfn.XLOOKUP(1,('2013 E Maize Soil VWC'!$C$2:$C$4000=$AA112)*('2013 E Maize Soil VWC'!$E$2:$E$4000=$AB112)*('2013 E Maize Soil VWC'!$F$2:$F$4000=AS$5),'2013 E Maize Soil VWC'!$G$2:$G$4000)</f>
        <v>0.32764181073446325</v>
      </c>
      <c r="AT112" s="4" cm="1">
        <f t="array" ref="AT112">_xlfn.XLOOKUP(1,('2013 E Maize Soil VWC'!$C$2:$C$4000=$AA112)*('2013 E Maize Soil VWC'!$E$2:$E$4000=$AB112)*('2013 E Maize Soil VWC'!$F$2:$F$4000=AT$5),'2013 E Maize Soil VWC'!$G$2:$G$4000)</f>
        <v>0.32345054096045195</v>
      </c>
      <c r="AU112" s="4" cm="1">
        <f t="array" ref="AU112">_xlfn.XLOOKUP(1,('2013 E Maize Soil VWC'!$C$2:$C$4000=$AA112)*('2013 E Maize Soil VWC'!$E$2:$E$4000=$AB112)*('2013 E Maize Soil VWC'!$F$2:$F$4000=AU$5),'2013 E Maize Soil VWC'!$G$2:$G$4000)</f>
        <v>0.32123976129943504</v>
      </c>
      <c r="AV112" s="4" cm="1">
        <f t="array" ref="AV112">_xlfn.XLOOKUP(1,('2013 E Maize Soil VWC'!$C$2:$C$4000=$AA112)*('2013 E Maize Soil VWC'!$E$2:$E$4000=$AB112)*('2013 E Maize Soil VWC'!$F$2:$F$4000=AV$5),'2013 E Maize Soil VWC'!$G$2:$G$4000)</f>
        <v>0.32600675494350284</v>
      </c>
    </row>
    <row r="113" spans="25:64" x14ac:dyDescent="0.25">
      <c r="AA113" s="15">
        <f t="shared" si="17"/>
        <v>41484</v>
      </c>
      <c r="AB113" s="4">
        <f t="shared" si="18"/>
        <v>70</v>
      </c>
      <c r="AC113" s="4" cm="1">
        <f t="array" ref="AC113">_xlfn.XLOOKUP(1,('2013 E Maize Soil VWC'!$C$2:$C$4000=$AA113)*('2013 E Maize Soil VWC'!$E$2:$E$4000=$AB113)*('2013 E Maize Soil VWC'!$F$2:$F$4000=AC$5),'2013 E Maize Soil VWC'!$G$2:$G$4000)</f>
        <v>0.33286938347457623</v>
      </c>
      <c r="AD113" s="4" cm="1">
        <f t="array" ref="AD113">_xlfn.XLOOKUP(1,('2013 E Maize Soil VWC'!$C$2:$C$4000=$AA113)*('2013 E Maize Soil VWC'!$E$2:$E$4000=$AB113)*('2013 E Maize Soil VWC'!$F$2:$F$4000=AD$5),'2013 E Maize Soil VWC'!$G$2:$G$4000)</f>
        <v>0.32957624293785309</v>
      </c>
      <c r="AE113" s="4" cm="1">
        <f t="array" ref="AE113">_xlfn.XLOOKUP(1,('2013 E Maize Soil VWC'!$C$2:$C$4000=$AA113)*('2013 E Maize Soil VWC'!$E$2:$E$4000=$AB113)*('2013 E Maize Soil VWC'!$F$2:$F$4000=AE$5),'2013 E Maize Soil VWC'!$G$2:$G$4000)</f>
        <v>0.32176942725988694</v>
      </c>
      <c r="AF113" s="4" cm="1">
        <f t="array" ref="AF113">_xlfn.XLOOKUP(1,('2013 E Maize Soil VWC'!$C$2:$C$4000=$AA113)*('2013 E Maize Soil VWC'!$E$2:$E$4000=$AB113)*('2013 E Maize Soil VWC'!$F$2:$F$4000=AF$5),'2013 E Maize Soil VWC'!$G$2:$G$4000)</f>
        <v>0.31849931567796608</v>
      </c>
      <c r="AG113" s="4" cm="1">
        <f t="array" ref="AG113">_xlfn.XLOOKUP(1,('2013 E Maize Soil VWC'!$C$2:$C$4000=$AA113)*('2013 E Maize Soil VWC'!$E$2:$E$4000=$AB113)*('2013 E Maize Soil VWC'!$F$2:$F$4000=AG$5),'2013 E Maize Soil VWC'!$G$2:$G$4000)</f>
        <v>0.30795205437853107</v>
      </c>
      <c r="AH113" s="4" cm="1">
        <f t="array" ref="AH113">_xlfn.XLOOKUP(1,('2013 E Maize Soil VWC'!$C$2:$C$4000=$AA113)*('2013 E Maize Soil VWC'!$E$2:$E$4000=$AB113)*('2013 E Maize Soil VWC'!$F$2:$F$4000=AH$5),'2013 E Maize Soil VWC'!$G$2:$G$4000)</f>
        <v>0.29215419138418081</v>
      </c>
      <c r="AI113" s="4" cm="1">
        <f t="array" ref="AI113">_xlfn.XLOOKUP(1,('2013 E Maize Soil VWC'!$C$2:$C$4000=$AA113)*('2013 E Maize Soil VWC'!$E$2:$E$4000=$AB113)*('2013 E Maize Soil VWC'!$F$2:$F$4000=AI$5),'2013 E Maize Soil VWC'!$G$2:$G$4000)</f>
        <v>0.32971441666666668</v>
      </c>
      <c r="AJ113" s="4" cm="1">
        <f t="array" ref="AJ113">_xlfn.XLOOKUP(1,('2013 E Maize Soil VWC'!$C$2:$C$4000=$AA113)*('2013 E Maize Soil VWC'!$E$2:$E$4000=$AB113)*('2013 E Maize Soil VWC'!$F$2:$F$4000=AJ$5),'2013 E Maize Soil VWC'!$G$2:$G$4000)</f>
        <v>0.32602978389830506</v>
      </c>
      <c r="AK113" s="4" cm="1">
        <f t="array" ref="AK113">_xlfn.XLOOKUP(1,('2013 E Maize Soil VWC'!$C$2:$C$4000=$AA113)*('2013 E Maize Soil VWC'!$E$2:$E$4000=$AB113)*('2013 E Maize Soil VWC'!$F$2:$F$4000=AK$5),'2013 E Maize Soil VWC'!$G$2:$G$4000)</f>
        <v>0.31260390324858756</v>
      </c>
      <c r="AL113" s="4" cm="1">
        <f t="array" ref="AL113">_xlfn.XLOOKUP(1,('2013 E Maize Soil VWC'!$C$2:$C$4000=$AA113)*('2013 E Maize Soil VWC'!$E$2:$E$4000=$AB113)*('2013 E Maize Soil VWC'!$F$2:$F$4000=AL$5),'2013 E Maize Soil VWC'!$G$2:$G$4000)</f>
        <v>0.33201731214689262</v>
      </c>
      <c r="AM113" s="4" cm="1">
        <f t="array" ref="AM113">_xlfn.XLOOKUP(1,('2013 E Maize Soil VWC'!$C$2:$C$4000=$AA113)*('2013 E Maize Soil VWC'!$E$2:$E$4000=$AB113)*('2013 E Maize Soil VWC'!$F$2:$F$4000=AM$5),'2013 E Maize Soil VWC'!$G$2:$G$4000)</f>
        <v>0.32427958333333334</v>
      </c>
      <c r="AN113" s="4" cm="1">
        <f t="array" ref="AN113">_xlfn.XLOOKUP(1,('2013 E Maize Soil VWC'!$C$2:$C$4000=$AA113)*('2013 E Maize Soil VWC'!$E$2:$E$4000=$AB113)*('2013 E Maize Soil VWC'!$F$2:$F$4000=AN$5),'2013 E Maize Soil VWC'!$G$2:$G$4000)</f>
        <v>0.32133187711864403</v>
      </c>
      <c r="AO113" s="4" cm="1">
        <f t="array" ref="AO113">_xlfn.XLOOKUP(1,('2013 E Maize Soil VWC'!$C$2:$C$4000=$AA113)*('2013 E Maize Soil VWC'!$E$2:$E$4000=$AB113)*('2013 E Maize Soil VWC'!$F$2:$F$4000=AO$5),'2013 E Maize Soil VWC'!$G$2:$G$4000)</f>
        <v>0.31564372528248585</v>
      </c>
      <c r="AP113" s="4" cm="1">
        <f t="array" ref="AP113">_xlfn.XLOOKUP(1,('2013 E Maize Soil VWC'!$C$2:$C$4000=$AA113)*('2013 E Maize Soil VWC'!$E$2:$E$4000=$AB113)*('2013 E Maize Soil VWC'!$F$2:$F$4000=AP$5),'2013 E Maize Soil VWC'!$G$2:$G$4000)</f>
        <v>0.3210325007062147</v>
      </c>
      <c r="AQ113" s="4" cm="1">
        <f t="array" ref="AQ113">_xlfn.XLOOKUP(1,('2013 E Maize Soil VWC'!$C$2:$C$4000=$AA113)*('2013 E Maize Soil VWC'!$E$2:$E$4000=$AB113)*('2013 E Maize Soil VWC'!$F$2:$F$4000=AQ$5),'2013 E Maize Soil VWC'!$G$2:$G$4000)</f>
        <v>0.27119784251412427</v>
      </c>
      <c r="AR113" s="4" cm="1">
        <f t="array" ref="AR113">_xlfn.XLOOKUP(1,('2013 E Maize Soil VWC'!$C$2:$C$4000=$AA113)*('2013 E Maize Soil VWC'!$E$2:$E$4000=$AB113)*('2013 E Maize Soil VWC'!$F$2:$F$4000=AR$5),'2013 E Maize Soil VWC'!$G$2:$G$4000)</f>
        <v>0.27315530367231639</v>
      </c>
      <c r="AS113" s="4" cm="1">
        <f t="array" ref="AS113">_xlfn.XLOOKUP(1,('2013 E Maize Soil VWC'!$C$2:$C$4000=$AA113)*('2013 E Maize Soil VWC'!$E$2:$E$4000=$AB113)*('2013 E Maize Soil VWC'!$F$2:$F$4000=AS$5),'2013 E Maize Soil VWC'!$G$2:$G$4000)</f>
        <v>0.31142942655367228</v>
      </c>
      <c r="AT113" s="4" cm="1">
        <f t="array" ref="AT113">_xlfn.XLOOKUP(1,('2013 E Maize Soil VWC'!$C$2:$C$4000=$AA113)*('2013 E Maize Soil VWC'!$E$2:$E$4000=$AB113)*('2013 E Maize Soil VWC'!$F$2:$F$4000=AT$5),'2013 E Maize Soil VWC'!$G$2:$G$4000)</f>
        <v>0.32929989548022598</v>
      </c>
      <c r="AU113" s="4" cm="1">
        <f t="array" ref="AU113">_xlfn.XLOOKUP(1,('2013 E Maize Soil VWC'!$C$2:$C$4000=$AA113)*('2013 E Maize Soil VWC'!$E$2:$E$4000=$AB113)*('2013 E Maize Soil VWC'!$F$2:$F$4000=AU$5),'2013 E Maize Soil VWC'!$G$2:$G$4000)</f>
        <v>0.31050826836158191</v>
      </c>
      <c r="AV113" s="4" cm="1">
        <f t="array" ref="AV113">_xlfn.XLOOKUP(1,('2013 E Maize Soil VWC'!$C$2:$C$4000=$AA113)*('2013 E Maize Soil VWC'!$E$2:$E$4000=$AB113)*('2013 E Maize Soil VWC'!$F$2:$F$4000=AV$5),'2013 E Maize Soil VWC'!$G$2:$G$4000)</f>
        <v>0.32377294632768361</v>
      </c>
    </row>
    <row r="114" spans="25:64" x14ac:dyDescent="0.25">
      <c r="AA114" s="15">
        <f t="shared" si="17"/>
        <v>41484</v>
      </c>
      <c r="AB114" s="4">
        <f t="shared" si="18"/>
        <v>90</v>
      </c>
      <c r="AC114" s="4" cm="1">
        <f t="array" ref="AC114">_xlfn.XLOOKUP(1,('2013 E Maize Soil VWC'!$C$2:$C$4000=$AA114)*('2013 E Maize Soil VWC'!$E$2:$E$4000=$AB114)*('2013 E Maize Soil VWC'!$F$2:$F$4000=AC$5),'2013 E Maize Soil VWC'!$G$2:$G$4000)</f>
        <v>0.33802786935028245</v>
      </c>
      <c r="AD114" s="4" cm="1">
        <f t="array" ref="AD114">_xlfn.XLOOKUP(1,('2013 E Maize Soil VWC'!$C$2:$C$4000=$AA114)*('2013 E Maize Soil VWC'!$E$2:$E$4000=$AB114)*('2013 E Maize Soil VWC'!$F$2:$F$4000=AD$5),'2013 E Maize Soil VWC'!$G$2:$G$4000)</f>
        <v>0.3359322344632768</v>
      </c>
      <c r="AE114" s="4" cm="1">
        <f t="array" ref="AE114">_xlfn.XLOOKUP(1,('2013 E Maize Soil VWC'!$C$2:$C$4000=$AA114)*('2013 E Maize Soil VWC'!$E$2:$E$4000=$AB114)*('2013 E Maize Soil VWC'!$F$2:$F$4000=AE$5),'2013 E Maize Soil VWC'!$G$2:$G$4000)</f>
        <v>0.3272272895480226</v>
      </c>
      <c r="AF114" s="4" cm="1">
        <f t="array" ref="AF114">_xlfn.XLOOKUP(1,('2013 E Maize Soil VWC'!$C$2:$C$4000=$AA114)*('2013 E Maize Soil VWC'!$E$2:$E$4000=$AB114)*('2013 E Maize Soil VWC'!$F$2:$F$4000=AF$5),'2013 E Maize Soil VWC'!$G$2:$G$4000)</f>
        <v>0.32879325847457624</v>
      </c>
      <c r="AG114" s="4" cm="1">
        <f t="array" ref="AG114">_xlfn.XLOOKUP(1,('2013 E Maize Soil VWC'!$C$2:$C$4000=$AA114)*('2013 E Maize Soil VWC'!$E$2:$E$4000=$AB114)*('2013 E Maize Soil VWC'!$F$2:$F$4000=AG$5),'2013 E Maize Soil VWC'!$G$2:$G$4000)</f>
        <v>0.30138880225988701</v>
      </c>
      <c r="AH114" s="4" cm="1">
        <f t="array" ref="AH114">_xlfn.XLOOKUP(1,('2013 E Maize Soil VWC'!$C$2:$C$4000=$AA114)*('2013 E Maize Soil VWC'!$E$2:$E$4000=$AB114)*('2013 E Maize Soil VWC'!$F$2:$F$4000=AH$5),'2013 E Maize Soil VWC'!$G$2:$G$4000)</f>
        <v>0.28823926906779657</v>
      </c>
      <c r="AI114" s="4" cm="1">
        <f t="array" ref="AI114">_xlfn.XLOOKUP(1,('2013 E Maize Soil VWC'!$C$2:$C$4000=$AA114)*('2013 E Maize Soil VWC'!$E$2:$E$4000=$AB114)*('2013 E Maize Soil VWC'!$F$2:$F$4000=AI$5),'2013 E Maize Soil VWC'!$G$2:$G$4000)</f>
        <v>0.33332996257062147</v>
      </c>
      <c r="AJ114" s="4" cm="1">
        <f t="array" ref="AJ114">_xlfn.XLOOKUP(1,('2013 E Maize Soil VWC'!$C$2:$C$4000=$AA114)*('2013 E Maize Soil VWC'!$E$2:$E$4000=$AB114)*('2013 E Maize Soil VWC'!$F$2:$F$4000=AJ$5),'2013 E Maize Soil VWC'!$G$2:$G$4000)</f>
        <v>0.33556377118644065</v>
      </c>
      <c r="AK114" s="4" cm="1">
        <f t="array" ref="AK114">_xlfn.XLOOKUP(1,('2013 E Maize Soil VWC'!$C$2:$C$4000=$AA114)*('2013 E Maize Soil VWC'!$E$2:$E$4000=$AB114)*('2013 E Maize Soil VWC'!$F$2:$F$4000=AK$5),'2013 E Maize Soil VWC'!$G$2:$G$4000)</f>
        <v>0.32540800211864401</v>
      </c>
      <c r="AL114" s="4" cm="1">
        <f t="array" ref="AL114">_xlfn.XLOOKUP(1,('2013 E Maize Soil VWC'!$C$2:$C$4000=$AA114)*('2013 E Maize Soil VWC'!$E$2:$E$4000=$AB114)*('2013 E Maize Soil VWC'!$F$2:$F$4000=AL$5),'2013 E Maize Soil VWC'!$G$2:$G$4000)</f>
        <v>0.3321554858757062</v>
      </c>
      <c r="AM114" s="4" cm="1">
        <f t="array" ref="AM114">_xlfn.XLOOKUP(1,('2013 E Maize Soil VWC'!$C$2:$C$4000=$AA114)*('2013 E Maize Soil VWC'!$E$2:$E$4000=$AB114)*('2013 E Maize Soil VWC'!$F$2:$F$4000=AM$5),'2013 E Maize Soil VWC'!$G$2:$G$4000)</f>
        <v>0.32916172175141239</v>
      </c>
      <c r="AN114" s="4" cm="1">
        <f t="array" ref="AN114">_xlfn.XLOOKUP(1,('2013 E Maize Soil VWC'!$C$2:$C$4000=$AA114)*('2013 E Maize Soil VWC'!$E$2:$E$4000=$AB114)*('2013 E Maize Soil VWC'!$F$2:$F$4000=AN$5),'2013 E Maize Soil VWC'!$G$2:$G$4000)</f>
        <v>0.32748060805084744</v>
      </c>
      <c r="AO114" s="4" cm="1">
        <f t="array" ref="AO114">_xlfn.XLOOKUP(1,('2013 E Maize Soil VWC'!$C$2:$C$4000=$AA114)*('2013 E Maize Soil VWC'!$E$2:$E$4000=$AB114)*('2013 E Maize Soil VWC'!$F$2:$F$4000=AO$5),'2013 E Maize Soil VWC'!$G$2:$G$4000)</f>
        <v>0.33012893785310732</v>
      </c>
      <c r="AP114" s="4" cm="1">
        <f t="array" ref="AP114">_xlfn.XLOOKUP(1,('2013 E Maize Soil VWC'!$C$2:$C$4000=$AA114)*('2013 E Maize Soil VWC'!$E$2:$E$4000=$AB114)*('2013 E Maize Soil VWC'!$F$2:$F$4000=AP$5),'2013 E Maize Soil VWC'!$G$2:$G$4000)</f>
        <v>0.3203646610169491</v>
      </c>
      <c r="AQ114" s="4" cm="1">
        <f t="array" ref="AQ114">_xlfn.XLOOKUP(1,('2013 E Maize Soil VWC'!$C$2:$C$4000=$AA114)*('2013 E Maize Soil VWC'!$E$2:$E$4000=$AB114)*('2013 E Maize Soil VWC'!$F$2:$F$4000=AQ$5),'2013 E Maize Soil VWC'!$G$2:$G$4000)</f>
        <v>0.27013851059322036</v>
      </c>
      <c r="AR114" s="4" cm="1">
        <f t="array" ref="AR114">_xlfn.XLOOKUP(1,('2013 E Maize Soil VWC'!$C$2:$C$4000=$AA114)*('2013 E Maize Soil VWC'!$E$2:$E$4000=$AB114)*('2013 E Maize Soil VWC'!$F$2:$F$4000=AR$5),'2013 E Maize Soil VWC'!$G$2:$G$4000)</f>
        <v>0.27548122810734466</v>
      </c>
      <c r="AS114" s="4" cm="1">
        <f t="array" ref="AS114">_xlfn.XLOOKUP(1,('2013 E Maize Soil VWC'!$C$2:$C$4000=$AA114)*('2013 E Maize Soil VWC'!$E$2:$E$4000=$AB114)*('2013 E Maize Soil VWC'!$F$2:$F$4000=AS$5),'2013 E Maize Soil VWC'!$G$2:$G$4000)</f>
        <v>0.32421049646892652</v>
      </c>
      <c r="AT114" s="4" cm="1">
        <f t="array" ref="AT114">_xlfn.XLOOKUP(1,('2013 E Maize Soil VWC'!$C$2:$C$4000=$AA114)*('2013 E Maize Soil VWC'!$E$2:$E$4000=$AB114)*('2013 E Maize Soil VWC'!$F$2:$F$4000=AT$5),'2013 E Maize Soil VWC'!$G$2:$G$4000)</f>
        <v>0.33052043008474574</v>
      </c>
      <c r="AU114" s="4" cm="1">
        <f t="array" ref="AU114">_xlfn.XLOOKUP(1,('2013 E Maize Soil VWC'!$C$2:$C$4000=$AA114)*('2013 E Maize Soil VWC'!$E$2:$E$4000=$AB114)*('2013 E Maize Soil VWC'!$F$2:$F$4000=AU$5),'2013 E Maize Soil VWC'!$G$2:$G$4000)</f>
        <v>0.32071009533898304</v>
      </c>
      <c r="AV114" s="4" cm="1">
        <f t="array" ref="AV114">_xlfn.XLOOKUP(1,('2013 E Maize Soil VWC'!$C$2:$C$4000=$AA114)*('2013 E Maize Soil VWC'!$E$2:$E$4000=$AB114)*('2013 E Maize Soil VWC'!$F$2:$F$4000=AV$5),'2013 E Maize Soil VWC'!$G$2:$G$4000)</f>
        <v>0.32646733403954803</v>
      </c>
    </row>
    <row r="115" spans="25:64" x14ac:dyDescent="0.25">
      <c r="AA115" s="15">
        <f t="shared" si="17"/>
        <v>41484</v>
      </c>
      <c r="AB115" s="4">
        <f t="shared" si="18"/>
        <v>110</v>
      </c>
      <c r="AC115" s="4" cm="1">
        <f t="array" ref="AC115">_xlfn.XLOOKUP(1,('2013 E Maize Soil VWC'!$C$2:$C$4000=$AA115)*('2013 E Maize Soil VWC'!$E$2:$E$4000=$AB115)*('2013 E Maize Soil VWC'!$F$2:$F$4000=AC$5),'2013 E Maize Soil VWC'!$G$2:$G$4000)</f>
        <v>0.34523593220338983</v>
      </c>
      <c r="AD115" s="4" cm="1">
        <f t="array" ref="AD115">_xlfn.XLOOKUP(1,('2013 E Maize Soil VWC'!$C$2:$C$4000=$AA115)*('2013 E Maize Soil VWC'!$E$2:$E$4000=$AB115)*('2013 E Maize Soil VWC'!$F$2:$F$4000=AD$5),'2013 E Maize Soil VWC'!$G$2:$G$4000)</f>
        <v>0.33779757980225988</v>
      </c>
      <c r="AE115" s="4" cm="1">
        <f t="array" ref="AE115">_xlfn.XLOOKUP(1,('2013 E Maize Soil VWC'!$C$2:$C$4000=$AA115)*('2013 E Maize Soil VWC'!$E$2:$E$4000=$AB115)*('2013 E Maize Soil VWC'!$F$2:$F$4000=AE$5),'2013 E Maize Soil VWC'!$G$2:$G$4000)</f>
        <v>0.3243947281073446</v>
      </c>
      <c r="AF115" s="4" cm="1">
        <f t="array" ref="AF115">_xlfn.XLOOKUP(1,('2013 E Maize Soil VWC'!$C$2:$C$4000=$AA115)*('2013 E Maize Soil VWC'!$E$2:$E$4000=$AB115)*('2013 E Maize Soil VWC'!$F$2:$F$4000=AF$5),'2013 E Maize Soil VWC'!$G$2:$G$4000)</f>
        <v>0.33851147740112991</v>
      </c>
      <c r="AG115" s="4" cm="1">
        <f t="array" ref="AG115">_xlfn.XLOOKUP(1,('2013 E Maize Soil VWC'!$C$2:$C$4000=$AA115)*('2013 E Maize Soil VWC'!$E$2:$E$4000=$AB115)*('2013 E Maize Soil VWC'!$F$2:$F$4000=AG$5),'2013 E Maize Soil VWC'!$G$2:$G$4000)</f>
        <v>0.32153913771186438</v>
      </c>
      <c r="AH115" s="4" cm="1">
        <f t="array" ref="AH115">_xlfn.XLOOKUP(1,('2013 E Maize Soil VWC'!$C$2:$C$4000=$AA115)*('2013 E Maize Soil VWC'!$E$2:$E$4000=$AB115)*('2013 E Maize Soil VWC'!$F$2:$F$4000=AH$5),'2013 E Maize Soil VWC'!$G$2:$G$4000)</f>
        <v>0.31246572951977403</v>
      </c>
      <c r="AI115" s="4" cm="1">
        <f t="array" ref="AI115">_xlfn.XLOOKUP(1,('2013 E Maize Soil VWC'!$C$2:$C$4000=$AA115)*('2013 E Maize Soil VWC'!$E$2:$E$4000=$AB115)*('2013 E Maize Soil VWC'!$F$2:$F$4000=AI$5),'2013 E Maize Soil VWC'!$G$2:$G$4000)</f>
        <v>0.33920234604519772</v>
      </c>
      <c r="AJ115" s="4" cm="1">
        <f t="array" ref="AJ115">_xlfn.XLOOKUP(1,('2013 E Maize Soil VWC'!$C$2:$C$4000=$AA115)*('2013 E Maize Soil VWC'!$E$2:$E$4000=$AB115)*('2013 E Maize Soil VWC'!$F$2:$F$4000=AJ$5),'2013 E Maize Soil VWC'!$G$2:$G$4000)</f>
        <v>0.34320938418079094</v>
      </c>
      <c r="AK115" s="4" cm="1">
        <f t="array" ref="AK115">_xlfn.XLOOKUP(1,('2013 E Maize Soil VWC'!$C$2:$C$4000=$AA115)*('2013 E Maize Soil VWC'!$E$2:$E$4000=$AB115)*('2013 E Maize Soil VWC'!$F$2:$F$4000=AK$5),'2013 E Maize Soil VWC'!$G$2:$G$4000)</f>
        <v>0.33563285805084747</v>
      </c>
      <c r="AL115" s="4" cm="1">
        <f t="array" ref="AL115">_xlfn.XLOOKUP(1,('2013 E Maize Soil VWC'!$C$2:$C$4000=$AA115)*('2013 E Maize Soil VWC'!$E$2:$E$4000=$AB115)*('2013 E Maize Soil VWC'!$F$2:$F$4000=AL$5),'2013 E Maize Soil VWC'!$G$2:$G$4000)</f>
        <v>0.3353565105932203</v>
      </c>
      <c r="AM115" s="4" cm="1">
        <f t="array" ref="AM115">_xlfn.XLOOKUP(1,('2013 E Maize Soil VWC'!$C$2:$C$4000=$AA115)*('2013 E Maize Soil VWC'!$E$2:$E$4000=$AB115)*('2013 E Maize Soil VWC'!$F$2:$F$4000=AM$5),'2013 E Maize Soil VWC'!$G$2:$G$4000)</f>
        <v>0.32939201129943502</v>
      </c>
      <c r="AN115" s="4" cm="1">
        <f t="array" ref="AN115">_xlfn.XLOOKUP(1,('2013 E Maize Soil VWC'!$C$2:$C$4000=$AA115)*('2013 E Maize Soil VWC'!$E$2:$E$4000=$AB115)*('2013 E Maize Soil VWC'!$F$2:$F$4000=AN$5),'2013 E Maize Soil VWC'!$G$2:$G$4000)</f>
        <v>0.34005441737288133</v>
      </c>
      <c r="AO115" s="4" cm="1">
        <f t="array" ref="AO115">_xlfn.XLOOKUP(1,('2013 E Maize Soil VWC'!$C$2:$C$4000=$AA115)*('2013 E Maize Soil VWC'!$E$2:$E$4000=$AB115)*('2013 E Maize Soil VWC'!$F$2:$F$4000=AO$5),'2013 E Maize Soil VWC'!$G$2:$G$4000)</f>
        <v>0.3430021235875706</v>
      </c>
      <c r="AP115" s="4" cm="1">
        <f t="array" ref="AP115">_xlfn.XLOOKUP(1,('2013 E Maize Soil VWC'!$C$2:$C$4000=$AA115)*('2013 E Maize Soil VWC'!$E$2:$E$4000=$AB115)*('2013 E Maize Soil VWC'!$F$2:$F$4000=AP$5),'2013 E Maize Soil VWC'!$G$2:$G$4000)</f>
        <v>0.32179245621468927</v>
      </c>
      <c r="AQ115" s="4" cm="1">
        <f t="array" ref="AQ115">_xlfn.XLOOKUP(1,('2013 E Maize Soil VWC'!$C$2:$C$4000=$AA115)*('2013 E Maize Soil VWC'!$E$2:$E$4000=$AB115)*('2013 E Maize Soil VWC'!$F$2:$F$4000=AQ$5),'2013 E Maize Soil VWC'!$G$2:$G$4000)</f>
        <v>0.30184938135593214</v>
      </c>
      <c r="AR115" s="4" cm="1">
        <f t="array" ref="AR115">_xlfn.XLOOKUP(1,('2013 E Maize Soil VWC'!$C$2:$C$4000=$AA115)*('2013 E Maize Soil VWC'!$E$2:$E$4000=$AB115)*('2013 E Maize Soil VWC'!$F$2:$F$4000=AR$5),'2013 E Maize Soil VWC'!$G$2:$G$4000)</f>
        <v>0.30988648658192086</v>
      </c>
      <c r="AS115" s="4" cm="1">
        <f t="array" ref="AS115">_xlfn.XLOOKUP(1,('2013 E Maize Soil VWC'!$C$2:$C$4000=$AA115)*('2013 E Maize Soil VWC'!$E$2:$E$4000=$AB115)*('2013 E Maize Soil VWC'!$F$2:$F$4000=AS$5),'2013 E Maize Soil VWC'!$G$2:$G$4000)</f>
        <v>0.33920234604519772</v>
      </c>
      <c r="AT115" s="4" cm="1">
        <f t="array" ref="AT115">_xlfn.XLOOKUP(1,('2013 E Maize Soil VWC'!$C$2:$C$4000=$AA115)*('2013 E Maize Soil VWC'!$E$2:$E$4000=$AB115)*('2013 E Maize Soil VWC'!$F$2:$F$4000=AT$5),'2013 E Maize Soil VWC'!$G$2:$G$4000)</f>
        <v>0.34019259110169492</v>
      </c>
      <c r="AU115" s="4" cm="1">
        <f t="array" ref="AU115">_xlfn.XLOOKUP(1,('2013 E Maize Soil VWC'!$C$2:$C$4000=$AA115)*('2013 E Maize Soil VWC'!$E$2:$E$4000=$AB115)*('2013 E Maize Soil VWC'!$F$2:$F$4000=AU$5),'2013 E Maize Soil VWC'!$G$2:$G$4000)</f>
        <v>0.3331457309322034</v>
      </c>
      <c r="AV115" s="4" cm="1">
        <f t="array" ref="AV115">_xlfn.XLOOKUP(1,('2013 E Maize Soil VWC'!$C$2:$C$4000=$AA115)*('2013 E Maize Soil VWC'!$E$2:$E$4000=$AB115)*('2013 E Maize Soil VWC'!$F$2:$F$4000=AV$5),'2013 E Maize Soil VWC'!$G$2:$G$4000)</f>
        <v>0.33390568644067797</v>
      </c>
    </row>
    <row r="116" spans="25:64" x14ac:dyDescent="0.25">
      <c r="AA116" s="15">
        <f t="shared" si="17"/>
        <v>41484</v>
      </c>
      <c r="AB116" s="4">
        <f t="shared" si="18"/>
        <v>130</v>
      </c>
      <c r="AC116" s="4" cm="1">
        <f t="array" ref="AC116">_xlfn.XLOOKUP(1,('2013 E Maize Soil VWC'!$C$2:$C$4000=$AA116)*('2013 E Maize Soil VWC'!$E$2:$E$4000=$AB116)*('2013 E Maize Soil VWC'!$F$2:$F$4000=AC$5),'2013 E Maize Soil VWC'!$G$2:$G$4000)</f>
        <v>0.31836990748587574</v>
      </c>
      <c r="AD116" s="4" cm="1">
        <f t="array" ref="AD116">_xlfn.XLOOKUP(1,('2013 E Maize Soil VWC'!$C$2:$C$4000=$AA116)*('2013 E Maize Soil VWC'!$E$2:$E$4000=$AB116)*('2013 E Maize Soil VWC'!$F$2:$F$4000=AD$5),'2013 E Maize Soil VWC'!$G$2:$G$4000)</f>
        <v>0.30742716666666664</v>
      </c>
      <c r="AE116" s="4" cm="1">
        <f t="array" ref="AE116">_xlfn.XLOOKUP(1,('2013 E Maize Soil VWC'!$C$2:$C$4000=$AA116)*('2013 E Maize Soil VWC'!$E$2:$E$4000=$AB116)*('2013 E Maize Soil VWC'!$F$2:$F$4000=AE$5),'2013 E Maize Soil VWC'!$G$2:$G$4000)</f>
        <v>0.30570451694915257</v>
      </c>
      <c r="AF116" s="4" cm="1">
        <f t="array" ref="AF116">_xlfn.XLOOKUP(1,('2013 E Maize Soil VWC'!$C$2:$C$4000=$AA116)*('2013 E Maize Soil VWC'!$E$2:$E$4000=$AB116)*('2013 E Maize Soil VWC'!$F$2:$F$4000=AF$5),'2013 E Maize Soil VWC'!$G$2:$G$4000)</f>
        <v>0.31118567514124296</v>
      </c>
      <c r="AG116" s="4" cm="1">
        <f t="array" ref="AG116">_xlfn.XLOOKUP(1,('2013 E Maize Soil VWC'!$C$2:$C$4000=$AA116)*('2013 E Maize Soil VWC'!$E$2:$E$4000=$AB116)*('2013 E Maize Soil VWC'!$F$2:$F$4000=AG$5),'2013 E Maize Soil VWC'!$G$2:$G$4000)</f>
        <v>0.31296705155367233</v>
      </c>
      <c r="AH116" s="4" cm="1">
        <f t="array" ref="AH116">_xlfn.XLOOKUP(1,('2013 E Maize Soil VWC'!$C$2:$C$4000=$AA116)*('2013 E Maize Soil VWC'!$E$2:$E$4000=$AB116)*('2013 E Maize Soil VWC'!$F$2:$F$4000=AH$5),'2013 E Maize Soil VWC'!$G$2:$G$4000)</f>
        <v>0.30108468361581919</v>
      </c>
      <c r="AI116" s="4" cm="1">
        <f t="array" ref="AI116">_xlfn.XLOOKUP(1,('2013 E Maize Soil VWC'!$C$2:$C$4000=$AA116)*('2013 E Maize Soil VWC'!$E$2:$E$4000=$AB116)*('2013 E Maize Soil VWC'!$F$2:$F$4000=AI$5),'2013 E Maize Soil VWC'!$G$2:$G$4000)</f>
        <v>0.30948260098870056</v>
      </c>
      <c r="AJ116" s="4" cm="1">
        <f t="array" ref="AJ116">_xlfn.XLOOKUP(1,('2013 E Maize Soil VWC'!$C$2:$C$4000=$AA116)*('2013 E Maize Soil VWC'!$E$2:$E$4000=$AB116)*('2013 E Maize Soil VWC'!$F$2:$F$4000=AJ$5),'2013 E Maize Soil VWC'!$G$2:$G$4000)</f>
        <v>0.34219337005649714</v>
      </c>
      <c r="AK116" s="4" cm="1">
        <f t="array" ref="AK116">_xlfn.XLOOKUP(1,('2013 E Maize Soil VWC'!$C$2:$C$4000=$AA116)*('2013 E Maize Soil VWC'!$E$2:$E$4000=$AB116)*('2013 E Maize Soil VWC'!$F$2:$F$4000=AK$5),'2013 E Maize Soil VWC'!$G$2:$G$4000)</f>
        <v>0.30300308898305084</v>
      </c>
      <c r="AL116" s="4" cm="1">
        <f t="array" ref="AL116">_xlfn.XLOOKUP(1,('2013 E Maize Soil VWC'!$C$2:$C$4000=$AA116)*('2013 E Maize Soil VWC'!$E$2:$E$4000=$AB116)*('2013 E Maize Soil VWC'!$F$2:$F$4000=AL$5),'2013 E Maize Soil VWC'!$G$2:$G$4000)</f>
        <v>0.3091106652542373</v>
      </c>
      <c r="AM116" s="4" cm="1">
        <f t="array" ref="AM116">_xlfn.XLOOKUP(1,('2013 E Maize Soil VWC'!$C$2:$C$4000=$AA116)*('2013 E Maize Soil VWC'!$E$2:$E$4000=$AB116)*('2013 E Maize Soil VWC'!$F$2:$F$4000=AM$5),'2013 E Maize Soil VWC'!$G$2:$G$4000)</f>
        <v>0.30909108968926557</v>
      </c>
      <c r="AN116" s="4" cm="1">
        <f t="array" ref="AN116">_xlfn.XLOOKUP(1,('2013 E Maize Soil VWC'!$C$2:$C$4000=$AA116)*('2013 E Maize Soil VWC'!$E$2:$E$4000=$AB116)*('2013 E Maize Soil VWC'!$F$2:$F$4000=AN$5),'2013 E Maize Soil VWC'!$G$2:$G$4000)</f>
        <v>0.29564267655367232</v>
      </c>
      <c r="AO116" s="4" cm="1">
        <f t="array" ref="AO116">_xlfn.XLOOKUP(1,('2013 E Maize Soil VWC'!$C$2:$C$4000=$AA116)*('2013 E Maize Soil VWC'!$E$2:$E$4000=$AB116)*('2013 E Maize Soil VWC'!$F$2:$F$4000=AO$5),'2013 E Maize Soil VWC'!$G$2:$G$4000)</f>
        <v>0.32692442937853106</v>
      </c>
      <c r="AP116" s="4" cm="1">
        <f t="array" ref="AP116">_xlfn.XLOOKUP(1,('2013 E Maize Soil VWC'!$C$2:$C$4000=$AA116)*('2013 E Maize Soil VWC'!$E$2:$E$4000=$AB116)*('2013 E Maize Soil VWC'!$F$2:$F$4000=AP$5),'2013 E Maize Soil VWC'!$G$2:$G$4000)</f>
        <v>0.31290832485875708</v>
      </c>
      <c r="AQ116" s="4" cm="1">
        <f t="array" ref="AQ116">_xlfn.XLOOKUP(1,('2013 E Maize Soil VWC'!$C$2:$C$4000=$AA116)*('2013 E Maize Soil VWC'!$E$2:$E$4000=$AB116)*('2013 E Maize Soil VWC'!$F$2:$F$4000=AQ$5),'2013 E Maize Soil VWC'!$G$2:$G$4000)</f>
        <v>0.29579928107344633</v>
      </c>
      <c r="AR116" s="4" cm="1">
        <f t="array" ref="AR116">_xlfn.XLOOKUP(1,('2013 E Maize Soil VWC'!$C$2:$C$4000=$AA116)*('2013 E Maize Soil VWC'!$E$2:$E$4000=$AB116)*('2013 E Maize Soil VWC'!$F$2:$F$4000=AR$5),'2013 E Maize Soil VWC'!$G$2:$G$4000)</f>
        <v>0.29213865042372883</v>
      </c>
      <c r="AS116" s="4" cm="1">
        <f t="array" ref="AS116">_xlfn.XLOOKUP(1,('2013 E Maize Soil VWC'!$C$2:$C$4000=$AA116)*('2013 E Maize Soil VWC'!$E$2:$E$4000=$AB116)*('2013 E Maize Soil VWC'!$F$2:$F$4000=AS$5),'2013 E Maize Soil VWC'!$G$2:$G$4000)</f>
        <v>0.30932599646892656</v>
      </c>
      <c r="AT116" s="4" cm="1">
        <f t="array" ref="AT116">_xlfn.XLOOKUP(1,('2013 E Maize Soil VWC'!$C$2:$C$4000=$AA116)*('2013 E Maize Soil VWC'!$E$2:$E$4000=$AB116)*('2013 E Maize Soil VWC'!$F$2:$F$4000=AT$5),'2013 E Maize Soil VWC'!$G$2:$G$4000)</f>
        <v>0.3093847231638418</v>
      </c>
      <c r="AU116" s="4" cm="1">
        <f t="array" ref="AU116">_xlfn.XLOOKUP(1,('2013 E Maize Soil VWC'!$C$2:$C$4000=$AA116)*('2013 E Maize Soil VWC'!$E$2:$E$4000=$AB116)*('2013 E Maize Soil VWC'!$F$2:$F$4000=AU$5),'2013 E Maize Soil VWC'!$G$2:$G$4000)</f>
        <v>0.30764249788135595</v>
      </c>
      <c r="AV116" s="4" cm="1">
        <f t="array" ref="AV116">_xlfn.XLOOKUP(1,('2013 E Maize Soil VWC'!$C$2:$C$4000=$AA116)*('2013 E Maize Soil VWC'!$E$2:$E$4000=$AB116)*('2013 E Maize Soil VWC'!$F$2:$F$4000=AV$5),'2013 E Maize Soil VWC'!$G$2:$G$4000)</f>
        <v>0.29763938418079094</v>
      </c>
    </row>
    <row r="117" spans="25:64" x14ac:dyDescent="0.25">
      <c r="AA117" s="15">
        <f t="shared" si="17"/>
        <v>41484</v>
      </c>
      <c r="AB117" s="4">
        <f t="shared" si="18"/>
        <v>150</v>
      </c>
      <c r="AC117" s="4" cm="1">
        <f t="array" ref="AC117">_xlfn.XLOOKUP(1,('2013 E Maize Soil VWC'!$C$2:$C$4000=$AA117)*('2013 E Maize Soil VWC'!$E$2:$E$4000=$AB117)*('2013 E Maize Soil VWC'!$F$2:$F$4000=AC$5),'2013 E Maize Soil VWC'!$G$2:$G$4000)</f>
        <v>0.33612494491525424</v>
      </c>
      <c r="AD117" s="4" cm="1">
        <f t="array" ref="AD117">_xlfn.XLOOKUP(1,('2013 E Maize Soil VWC'!$C$2:$C$4000=$AA117)*('2013 E Maize Soil VWC'!$E$2:$E$4000=$AB117)*('2013 E Maize Soil VWC'!$F$2:$F$4000=AD$5),'2013 E Maize Soil VWC'!$G$2:$G$4000)</f>
        <v>0.32915604378531077</v>
      </c>
      <c r="AE117" s="4" cm="1">
        <f t="array" ref="AE117">_xlfn.XLOOKUP(1,('2013 E Maize Soil VWC'!$C$2:$C$4000=$AA117)*('2013 E Maize Soil VWC'!$E$2:$E$4000=$AB117)*('2013 E Maize Soil VWC'!$F$2:$F$4000=AE$5),'2013 E Maize Soil VWC'!$G$2:$G$4000)</f>
        <v>0.30821018926553673</v>
      </c>
      <c r="AF117" s="4" cm="1">
        <f t="array" ref="AF117">_xlfn.XLOOKUP(1,('2013 E Maize Soil VWC'!$C$2:$C$4000=$AA117)*('2013 E Maize Soil VWC'!$E$2:$E$4000=$AB117)*('2013 E Maize Soil VWC'!$F$2:$F$4000=AF$5),'2013 E Maize Soil VWC'!$G$2:$G$4000)</f>
        <v>0.2968759371468927</v>
      </c>
      <c r="AG117" s="4" cm="1">
        <f t="array" ref="AG117">_xlfn.XLOOKUP(1,('2013 E Maize Soil VWC'!$C$2:$C$4000=$AA117)*('2013 E Maize Soil VWC'!$E$2:$E$4000=$AB117)*('2013 E Maize Soil VWC'!$F$2:$F$4000=AG$5),'2013 E Maize Soil VWC'!$G$2:$G$4000)</f>
        <v>0.36135784816384181</v>
      </c>
      <c r="AH117" s="4" cm="1">
        <f t="array" ref="AH117">_xlfn.XLOOKUP(1,('2013 E Maize Soil VWC'!$C$2:$C$4000=$AA117)*('2013 E Maize Soil VWC'!$E$2:$E$4000=$AB117)*('2013 E Maize Soil VWC'!$F$2:$F$4000=AH$5),'2013 E Maize Soil VWC'!$G$2:$G$4000)</f>
        <v>0.34597145409604524</v>
      </c>
      <c r="AI117" s="4" cm="1">
        <f t="array" ref="AI117">_xlfn.XLOOKUP(1,('2013 E Maize Soil VWC'!$C$2:$C$4000=$AA117)*('2013 E Maize Soil VWC'!$E$2:$E$4000=$AB117)*('2013 E Maize Soil VWC'!$F$2:$F$4000=AI$5),'2013 E Maize Soil VWC'!$G$2:$G$4000)</f>
        <v>0.3233225254237288</v>
      </c>
      <c r="AJ117" s="4" cm="1">
        <f t="array" ref="AJ117">_xlfn.XLOOKUP(1,('2013 E Maize Soil VWC'!$C$2:$C$4000=$AA117)*('2013 E Maize Soil VWC'!$E$2:$E$4000=$AB117)*('2013 E Maize Soil VWC'!$F$2:$F$4000=AJ$5),'2013 E Maize Soil VWC'!$G$2:$G$4000)</f>
        <v>0.33753438559322035</v>
      </c>
      <c r="AK117" s="4" cm="1">
        <f t="array" ref="AK117">_xlfn.XLOOKUP(1,('2013 E Maize Soil VWC'!$C$2:$C$4000=$AA117)*('2013 E Maize Soil VWC'!$E$2:$E$4000=$AB117)*('2013 E Maize Soil VWC'!$F$2:$F$4000=AK$5),'2013 E Maize Soil VWC'!$G$2:$G$4000)</f>
        <v>0.32980203742937853</v>
      </c>
      <c r="AL117" s="4" cm="1">
        <f t="array" ref="AL117">_xlfn.XLOOKUP(1,('2013 E Maize Soil VWC'!$C$2:$C$4000=$AA117)*('2013 E Maize Soil VWC'!$E$2:$E$4000=$AB117)*('2013 E Maize Soil VWC'!$F$2:$F$4000=AL$5),'2013 E Maize Soil VWC'!$G$2:$G$4000)</f>
        <v>0.34818349293785311</v>
      </c>
      <c r="AM117" s="4" cm="1">
        <f t="array" ref="AM117">_xlfn.XLOOKUP(1,('2013 E Maize Soil VWC'!$C$2:$C$4000=$AA117)*('2013 E Maize Soil VWC'!$E$2:$E$4000=$AB117)*('2013 E Maize Soil VWC'!$F$2:$F$4000=AM$5),'2013 E Maize Soil VWC'!$G$2:$G$4000)</f>
        <v>0.33555725353107346</v>
      </c>
      <c r="AN117" s="4" cm="1">
        <f t="array" ref="AN117">_xlfn.XLOOKUP(1,('2013 E Maize Soil VWC'!$C$2:$C$4000=$AA117)*('2013 E Maize Soil VWC'!$E$2:$E$4000=$AB117)*('2013 E Maize Soil VWC'!$F$2:$F$4000=AN$5),'2013 E Maize Soil VWC'!$G$2:$G$4000)</f>
        <v>0.33338436581920905</v>
      </c>
      <c r="AO117" s="4" cm="1">
        <f t="array" ref="AO117">_xlfn.XLOOKUP(1,('2013 E Maize Soil VWC'!$C$2:$C$4000=$AA117)*('2013 E Maize Soil VWC'!$E$2:$E$4000=$AB117)*('2013 E Maize Soil VWC'!$F$2:$F$4000=AO$5),'2013 E Maize Soil VWC'!$G$2:$G$4000)</f>
        <v>0.31488545692090397</v>
      </c>
      <c r="AP117" s="4" cm="1">
        <f t="array" ref="AP117">_xlfn.XLOOKUP(1,('2013 E Maize Soil VWC'!$C$2:$C$4000=$AA117)*('2013 E Maize Soil VWC'!$E$2:$E$4000=$AB117)*('2013 E Maize Soil VWC'!$F$2:$F$4000=AP$5),'2013 E Maize Soil VWC'!$G$2:$G$4000)</f>
        <v>0.30261157768361585</v>
      </c>
      <c r="AQ117" s="4" cm="1">
        <f t="array" ref="AQ117">_xlfn.XLOOKUP(1,('2013 E Maize Soil VWC'!$C$2:$C$4000=$AA117)*('2013 E Maize Soil VWC'!$E$2:$E$4000=$AB117)*('2013 E Maize Soil VWC'!$F$2:$F$4000=AQ$5),'2013 E Maize Soil VWC'!$G$2:$G$4000)</f>
        <v>0.33782801906779664</v>
      </c>
      <c r="AR117" s="4" cm="1">
        <f t="array" ref="AR117">_xlfn.XLOOKUP(1,('2013 E Maize Soil VWC'!$C$2:$C$4000=$AA117)*('2013 E Maize Soil VWC'!$E$2:$E$4000=$AB117)*('2013 E Maize Soil VWC'!$F$2:$F$4000=AR$5),'2013 E Maize Soil VWC'!$G$2:$G$4000)</f>
        <v>0.32986076412429377</v>
      </c>
      <c r="AS117" s="4" cm="1">
        <f t="array" ref="AS117">_xlfn.XLOOKUP(1,('2013 E Maize Soil VWC'!$C$2:$C$4000=$AA117)*('2013 E Maize Soil VWC'!$E$2:$E$4000=$AB117)*('2013 E Maize Soil VWC'!$F$2:$F$4000=AS$5),'2013 E Maize Soil VWC'!$G$2:$G$4000)</f>
        <v>0.31987722598870061</v>
      </c>
      <c r="AT117" s="4" cm="1">
        <f t="array" ref="AT117">_xlfn.XLOOKUP(1,('2013 E Maize Soil VWC'!$C$2:$C$4000=$AA117)*('2013 E Maize Soil VWC'!$E$2:$E$4000=$AB117)*('2013 E Maize Soil VWC'!$F$2:$F$4000=AT$5),'2013 E Maize Soil VWC'!$G$2:$G$4000)</f>
        <v>0.33219025635593219</v>
      </c>
      <c r="AU117" s="4" cm="1">
        <f t="array" ref="AU117">_xlfn.XLOOKUP(1,('2013 E Maize Soil VWC'!$C$2:$C$4000=$AA117)*('2013 E Maize Soil VWC'!$E$2:$E$4000=$AB117)*('2013 E Maize Soil VWC'!$F$2:$F$4000=AU$5),'2013 E Maize Soil VWC'!$G$2:$G$4000)</f>
        <v>0.33150511158192092</v>
      </c>
      <c r="AV117" s="4" cm="1">
        <f t="array" ref="AV117">_xlfn.XLOOKUP(1,('2013 E Maize Soil VWC'!$C$2:$C$4000=$AA117)*('2013 E Maize Soil VWC'!$E$2:$E$4000=$AB117)*('2013 E Maize Soil VWC'!$F$2:$F$4000=AV$5),'2013 E Maize Soil VWC'!$G$2:$G$4000)</f>
        <v>0.34597145409604524</v>
      </c>
    </row>
    <row r="118" spans="25:64" x14ac:dyDescent="0.25">
      <c r="AA118" s="15">
        <f t="shared" si="17"/>
        <v>41484</v>
      </c>
      <c r="AB118" s="4">
        <f t="shared" si="18"/>
        <v>170</v>
      </c>
      <c r="AC118" s="4" cm="1">
        <f t="array" ref="AC118">_xlfn.XLOOKUP(1,('2013 E Maize Soil VWC'!$C$2:$C$4000=$AA118)*('2013 E Maize Soil VWC'!$E$2:$E$4000=$AB118)*('2013 E Maize Soil VWC'!$F$2:$F$4000=AC$5),'2013 E Maize Soil VWC'!$G$2:$G$4000)</f>
        <v>0.27362016596045202</v>
      </c>
      <c r="AD118" s="4" cm="1">
        <f t="array" ref="AD118">_xlfn.XLOOKUP(1,('2013 E Maize Soil VWC'!$C$2:$C$4000=$AA118)*('2013 E Maize Soil VWC'!$E$2:$E$4000=$AB118)*('2013 E Maize Soil VWC'!$F$2:$F$4000=AD$5),'2013 E Maize Soil VWC'!$G$2:$G$4000)</f>
        <v>0.27348313700564975</v>
      </c>
      <c r="AE118" s="4" cm="1">
        <f t="array" ref="AE118">_xlfn.XLOOKUP(1,('2013 E Maize Soil VWC'!$C$2:$C$4000=$AA118)*('2013 E Maize Soil VWC'!$E$2:$E$4000=$AB118)*('2013 E Maize Soil VWC'!$F$2:$F$4000=AE$5),'2013 E Maize Soil VWC'!$G$2:$G$4000)</f>
        <v>0.28883037994350286</v>
      </c>
      <c r="AF118" s="4" cm="1">
        <f t="array" ref="AF118">_xlfn.XLOOKUP(1,('2013 E Maize Soil VWC'!$C$2:$C$4000=$AA118)*('2013 E Maize Soil VWC'!$E$2:$E$4000=$AB118)*('2013 E Maize Soil VWC'!$F$2:$F$4000=AF$5),'2013 E Maize Soil VWC'!$G$2:$G$4000)</f>
        <v>0.29182544138418076</v>
      </c>
      <c r="AG118" s="4" cm="1">
        <f t="array" ref="AG118">_xlfn.XLOOKUP(1,('2013 E Maize Soil VWC'!$C$2:$C$4000=$AA118)*('2013 E Maize Soil VWC'!$E$2:$E$4000=$AB118)*('2013 E Maize Soil VWC'!$F$2:$F$4000=AG$5),'2013 E Maize Soil VWC'!$G$2:$G$4000)</f>
        <v>0.32479069279661016</v>
      </c>
      <c r="AH118" s="4" cm="1">
        <f t="array" ref="AH118">_xlfn.XLOOKUP(1,('2013 E Maize Soil VWC'!$C$2:$C$4000=$AA118)*('2013 E Maize Soil VWC'!$E$2:$E$4000=$AB118)*('2013 E Maize Soil VWC'!$F$2:$F$4000=AH$5),'2013 E Maize Soil VWC'!$G$2:$G$4000)</f>
        <v>0.33064378672316386</v>
      </c>
      <c r="AI118" s="4" cm="1">
        <f t="array" ref="AI118">_xlfn.XLOOKUP(1,('2013 E Maize Soil VWC'!$C$2:$C$4000=$AA118)*('2013 E Maize Soil VWC'!$E$2:$E$4000=$AB118)*('2013 E Maize Soil VWC'!$F$2:$F$4000=AI$5),'2013 E Maize Soil VWC'!$G$2:$G$4000)</f>
        <v>0.29644527471751414</v>
      </c>
      <c r="AJ118" s="4" cm="1">
        <f t="array" ref="AJ118">_xlfn.XLOOKUP(1,('2013 E Maize Soil VWC'!$C$2:$C$4000=$AA118)*('2013 E Maize Soil VWC'!$E$2:$E$4000=$AB118)*('2013 E Maize Soil VWC'!$F$2:$F$4000=AJ$5),'2013 E Maize Soil VWC'!$G$2:$G$4000)</f>
        <v>0.30754462005649719</v>
      </c>
      <c r="AK118" s="4" cm="1">
        <f t="array" ref="AK118">_xlfn.XLOOKUP(1,('2013 E Maize Soil VWC'!$C$2:$C$4000=$AA118)*('2013 E Maize Soil VWC'!$E$2:$E$4000=$AB118)*('2013 E Maize Soil VWC'!$F$2:$F$4000=AK$5),'2013 E Maize Soil VWC'!$G$2:$G$4000)</f>
        <v>0.29934245833333334</v>
      </c>
      <c r="AL118" s="4" cm="1">
        <f t="array" ref="AL118">_xlfn.XLOOKUP(1,('2013 E Maize Soil VWC'!$C$2:$C$4000=$AA118)*('2013 E Maize Soil VWC'!$E$2:$E$4000=$AB118)*('2013 E Maize Soil VWC'!$F$2:$F$4000=AL$5),'2013 E Maize Soil VWC'!$G$2:$G$4000)</f>
        <v>0.30654626624293785</v>
      </c>
      <c r="AM118" s="4" cm="1">
        <f t="array" ref="AM118">_xlfn.XLOOKUP(1,('2013 E Maize Soil VWC'!$C$2:$C$4000=$AA118)*('2013 E Maize Soil VWC'!$E$2:$E$4000=$AB118)*('2013 E Maize Soil VWC'!$F$2:$F$4000=AM$5),'2013 E Maize Soil VWC'!$G$2:$G$4000)</f>
        <v>0.33005651977401129</v>
      </c>
      <c r="AN118" s="4" cm="1">
        <f t="array" ref="AN118">_xlfn.XLOOKUP(1,('2013 E Maize Soil VWC'!$C$2:$C$4000=$AA118)*('2013 E Maize Soil VWC'!$E$2:$E$4000=$AB118)*('2013 E Maize Soil VWC'!$F$2:$F$4000=AN$5),'2013 E Maize Soil VWC'!$G$2:$G$4000)</f>
        <v>0.33592918926553672</v>
      </c>
      <c r="AO118" s="4" cm="1">
        <f t="array" ref="AO118">_xlfn.XLOOKUP(1,('2013 E Maize Soil VWC'!$C$2:$C$4000=$AA118)*('2013 E Maize Soil VWC'!$E$2:$E$4000=$AB118)*('2013 E Maize Soil VWC'!$F$2:$F$4000=AO$5),'2013 E Maize Soil VWC'!$G$2:$G$4000)</f>
        <v>0.31320195833333336</v>
      </c>
      <c r="AP118" s="4" cm="1">
        <f t="array" ref="AP118">_xlfn.XLOOKUP(1,('2013 E Maize Soil VWC'!$C$2:$C$4000=$AA118)*('2013 E Maize Soil VWC'!$E$2:$E$4000=$AB118)*('2013 E Maize Soil VWC'!$F$2:$F$4000=AP$5),'2013 E Maize Soil VWC'!$G$2:$G$4000)</f>
        <v>0.3195052902542373</v>
      </c>
      <c r="AQ118" s="4" cm="1">
        <f t="array" ref="AQ118">_xlfn.XLOOKUP(1,('2013 E Maize Soil VWC'!$C$2:$C$4000=$AA118)*('2013 E Maize Soil VWC'!$E$2:$E$4000=$AB118)*('2013 E Maize Soil VWC'!$F$2:$F$4000=AQ$5),'2013 E Maize Soil VWC'!$G$2:$G$4000)</f>
        <v>0.32937137500000002</v>
      </c>
      <c r="AR118" s="4" cm="1">
        <f t="array" ref="AR118">_xlfn.XLOOKUP(1,('2013 E Maize Soil VWC'!$C$2:$C$4000=$AA118)*('2013 E Maize Soil VWC'!$E$2:$E$4000=$AB118)*('2013 E Maize Soil VWC'!$F$2:$F$4000=AR$5),'2013 E Maize Soil VWC'!$G$2:$G$4000)</f>
        <v>0.31948571468926551</v>
      </c>
      <c r="AS118" s="4" cm="1">
        <f t="array" ref="AS118">_xlfn.XLOOKUP(1,('2013 E Maize Soil VWC'!$C$2:$C$4000=$AA118)*('2013 E Maize Soil VWC'!$E$2:$E$4000=$AB118)*('2013 E Maize Soil VWC'!$F$2:$F$4000=AS$5),'2013 E Maize Soil VWC'!$G$2:$G$4000)</f>
        <v>0.31958359251412433</v>
      </c>
      <c r="AT118" s="4" cm="1">
        <f t="array" ref="AT118">_xlfn.XLOOKUP(1,('2013 E Maize Soil VWC'!$C$2:$C$4000=$AA118)*('2013 E Maize Soil VWC'!$E$2:$E$4000=$AB118)*('2013 E Maize Soil VWC'!$F$2:$F$4000=AT$5),'2013 E Maize Soil VWC'!$G$2:$G$4000)</f>
        <v>0.33152468714689265</v>
      </c>
      <c r="AU118" s="4" cm="1">
        <f t="array" ref="AU118">_xlfn.XLOOKUP(1,('2013 E Maize Soil VWC'!$C$2:$C$4000=$AA118)*('2013 E Maize Soil VWC'!$E$2:$E$4000=$AB118)*('2013 E Maize Soil VWC'!$F$2:$F$4000=AU$5),'2013 E Maize Soil VWC'!$G$2:$G$4000)</f>
        <v>0.31298662711864406</v>
      </c>
      <c r="AV118" s="4" cm="1">
        <f t="array" ref="AV118">_xlfn.XLOOKUP(1,('2013 E Maize Soil VWC'!$C$2:$C$4000=$AA118)*('2013 E Maize Soil VWC'!$E$2:$E$4000=$AB118)*('2013 E Maize Soil VWC'!$F$2:$F$4000=AV$5),'2013 E Maize Soil VWC'!$G$2:$G$4000)</f>
        <v>0.32451663488700566</v>
      </c>
    </row>
    <row r="119" spans="25:64" x14ac:dyDescent="0.25">
      <c r="AA119" s="15">
        <f t="shared" si="17"/>
        <v>41484</v>
      </c>
      <c r="AB119" s="4">
        <f t="shared" si="18"/>
        <v>190</v>
      </c>
      <c r="AC119" s="4" cm="1">
        <f t="array" ref="AC119">_xlfn.XLOOKUP(1,('2013 E Maize Soil VWC'!$C$2:$C$4000=$AA119)*('2013 E Maize Soil VWC'!$E$2:$E$4000=$AB119)*('2013 E Maize Soil VWC'!$F$2:$F$4000=AC$5),'2013 E Maize Soil VWC'!$G$2:$G$4000)</f>
        <v>0.28327091949152544</v>
      </c>
      <c r="AD119" s="4" cm="1">
        <f t="array" ref="AD119">_xlfn.XLOOKUP(1,('2013 E Maize Soil VWC'!$C$2:$C$4000=$AA119)*('2013 E Maize Soil VWC'!$E$2:$E$4000=$AB119)*('2013 E Maize Soil VWC'!$F$2:$F$4000=AD$5),'2013 E Maize Soil VWC'!$G$2:$G$4000)</f>
        <v>0.28845844420903954</v>
      </c>
      <c r="AE119" s="4" cm="1">
        <f t="array" ref="AE119">_xlfn.XLOOKUP(1,('2013 E Maize Soil VWC'!$C$2:$C$4000=$AA119)*('2013 E Maize Soil VWC'!$E$2:$E$4000=$AB119)*('2013 E Maize Soil VWC'!$F$2:$F$4000=AE$5),'2013 E Maize Soil VWC'!$G$2:$G$4000)</f>
        <v>0.29229525494350284</v>
      </c>
      <c r="AF119" s="4" cm="1">
        <f t="array" ref="AF119">_xlfn.XLOOKUP(1,('2013 E Maize Soil VWC'!$C$2:$C$4000=$AA119)*('2013 E Maize Soil VWC'!$E$2:$E$4000=$AB119)*('2013 E Maize Soil VWC'!$F$2:$F$4000=AF$5),'2013 E Maize Soil VWC'!$G$2:$G$4000)</f>
        <v>0.2960537634180791</v>
      </c>
      <c r="AG119" s="4" cm="1">
        <f t="array" ref="AG119">_xlfn.XLOOKUP(1,('2013 E Maize Soil VWC'!$C$2:$C$4000=$AA119)*('2013 E Maize Soil VWC'!$E$2:$E$4000=$AB119)*('2013 E Maize Soil VWC'!$F$2:$F$4000=AG$5),'2013 E Maize Soil VWC'!$G$2:$G$4000)</f>
        <v>0.33242516313559323</v>
      </c>
      <c r="AH119" s="4" cm="1">
        <f t="array" ref="AH119">_xlfn.XLOOKUP(1,('2013 E Maize Soil VWC'!$C$2:$C$4000=$AA119)*('2013 E Maize Soil VWC'!$E$2:$E$4000=$AB119)*('2013 E Maize Soil VWC'!$F$2:$F$4000=AH$5),'2013 E Maize Soil VWC'!$G$2:$G$4000)</f>
        <v>0.34058817372881361</v>
      </c>
      <c r="AI119" s="4" cm="1">
        <f t="array" ref="AI119">_xlfn.XLOOKUP(1,('2013 E Maize Soil VWC'!$C$2:$C$4000=$AA119)*('2013 E Maize Soil VWC'!$E$2:$E$4000=$AB119)*('2013 E Maize Soil VWC'!$F$2:$F$4000=AI$5),'2013 E Maize Soil VWC'!$G$2:$G$4000)</f>
        <v>0.28266407697740115</v>
      </c>
      <c r="AJ119" s="4" cm="1">
        <f t="array" ref="AJ119">_xlfn.XLOOKUP(1,('2013 E Maize Soil VWC'!$C$2:$C$4000=$AA119)*('2013 E Maize Soil VWC'!$E$2:$E$4000=$AB119)*('2013 E Maize Soil VWC'!$F$2:$F$4000=AJ$5),'2013 E Maize Soil VWC'!$G$2:$G$4000)</f>
        <v>0.29656272810734469</v>
      </c>
      <c r="AK119" s="4" cm="1">
        <f t="array" ref="AK119">_xlfn.XLOOKUP(1,('2013 E Maize Soil VWC'!$C$2:$C$4000=$AA119)*('2013 E Maize Soil VWC'!$E$2:$E$4000=$AB119)*('2013 E Maize Soil VWC'!$F$2:$F$4000=AK$5),'2013 E Maize Soil VWC'!$G$2:$G$4000)</f>
        <v>0.2899266115819209</v>
      </c>
      <c r="AL119" s="4" cm="1">
        <f t="array" ref="AL119">_xlfn.XLOOKUP(1,('2013 E Maize Soil VWC'!$C$2:$C$4000=$AA119)*('2013 E Maize Soil VWC'!$E$2:$E$4000=$AB119)*('2013 E Maize Soil VWC'!$F$2:$F$4000=AL$5),'2013 E Maize Soil VWC'!$G$2:$G$4000)</f>
        <v>0.29386130014124295</v>
      </c>
      <c r="AM119" s="4" cm="1">
        <f t="array" ref="AM119">_xlfn.XLOOKUP(1,('2013 E Maize Soil VWC'!$C$2:$C$4000=$AA119)*('2013 E Maize Soil VWC'!$E$2:$E$4000=$AB119)*('2013 E Maize Soil VWC'!$F$2:$F$4000=AM$5),'2013 E Maize Soil VWC'!$G$2:$G$4000)</f>
        <v>0.3097175077683616</v>
      </c>
      <c r="AN119" s="4" cm="1">
        <f t="array" ref="AN119">_xlfn.XLOOKUP(1,('2013 E Maize Soil VWC'!$C$2:$C$4000=$AA119)*('2013 E Maize Soil VWC'!$E$2:$E$4000=$AB119)*('2013 E Maize Soil VWC'!$F$2:$F$4000=AN$5),'2013 E Maize Soil VWC'!$G$2:$G$4000)</f>
        <v>0.31181209322033898</v>
      </c>
      <c r="AO119" s="4" cm="1">
        <f t="array" ref="AO119">_xlfn.XLOOKUP(1,('2013 E Maize Soil VWC'!$C$2:$C$4000=$AA119)*('2013 E Maize Soil VWC'!$E$2:$E$4000=$AB119)*('2013 E Maize Soil VWC'!$F$2:$F$4000=AO$5),'2013 E Maize Soil VWC'!$G$2:$G$4000)</f>
        <v>0.30417762288135591</v>
      </c>
      <c r="AP119" s="4" cm="1">
        <f t="array" ref="AP119">_xlfn.XLOOKUP(1,('2013 E Maize Soil VWC'!$C$2:$C$4000=$AA119)*('2013 E Maize Soil VWC'!$E$2:$E$4000=$AB119)*('2013 E Maize Soil VWC'!$F$2:$F$4000=AP$5),'2013 E Maize Soil VWC'!$G$2:$G$4000)</f>
        <v>0.30102595692090395</v>
      </c>
      <c r="AQ119" s="4" cm="1">
        <f t="array" ref="AQ119">_xlfn.XLOOKUP(1,('2013 E Maize Soil VWC'!$C$2:$C$4000=$AA119)*('2013 E Maize Soil VWC'!$E$2:$E$4000=$AB119)*('2013 E Maize Soil VWC'!$F$2:$F$4000=AQ$5),'2013 E Maize Soil VWC'!$G$2:$G$4000)</f>
        <v>0.3307025134180791</v>
      </c>
      <c r="AR119" s="4" cm="1">
        <f t="array" ref="AR119">_xlfn.XLOOKUP(1,('2013 E Maize Soil VWC'!$C$2:$C$4000=$AA119)*('2013 E Maize Soil VWC'!$E$2:$E$4000=$AB119)*('2013 E Maize Soil VWC'!$F$2:$F$4000=AR$5),'2013 E Maize Soil VWC'!$G$2:$G$4000)</f>
        <v>0.32819684110169495</v>
      </c>
      <c r="AS119" s="4" cm="1">
        <f t="array" ref="AS119">_xlfn.XLOOKUP(1,('2013 E Maize Soil VWC'!$C$2:$C$4000=$AA119)*('2013 E Maize Soil VWC'!$E$2:$E$4000=$AB119)*('2013 E Maize Soil VWC'!$F$2:$F$4000=AS$5),'2013 E Maize Soil VWC'!$G$2:$G$4000)</f>
        <v>0.31770433827683614</v>
      </c>
      <c r="AT119" s="4" cm="1">
        <f t="array" ref="AT119">_xlfn.XLOOKUP(1,('2013 E Maize Soil VWC'!$C$2:$C$4000=$AA119)*('2013 E Maize Soil VWC'!$E$2:$E$4000=$AB119)*('2013 E Maize Soil VWC'!$F$2:$F$4000=AT$5),'2013 E Maize Soil VWC'!$G$2:$G$4000)</f>
        <v>0.31140100635593221</v>
      </c>
      <c r="AU119" s="4" cm="1">
        <f t="array" ref="AU119">_xlfn.XLOOKUP(1,('2013 E Maize Soil VWC'!$C$2:$C$4000=$AA119)*('2013 E Maize Soil VWC'!$E$2:$E$4000=$AB119)*('2013 E Maize Soil VWC'!$F$2:$F$4000=AU$5),'2013 E Maize Soil VWC'!$G$2:$G$4000)</f>
        <v>0.30288563559322035</v>
      </c>
      <c r="AV119" s="4" cm="1">
        <f t="array" ref="AV119">_xlfn.XLOOKUP(1,('2013 E Maize Soil VWC'!$C$2:$C$4000=$AA119)*('2013 E Maize Soil VWC'!$E$2:$E$4000=$AB119)*('2013 E Maize Soil VWC'!$F$2:$F$4000=AV$5),'2013 E Maize Soil VWC'!$G$2:$G$4000)</f>
        <v>0.30732928884180793</v>
      </c>
    </row>
    <row r="120" spans="25:64" x14ac:dyDescent="0.25">
      <c r="AA120" s="15">
        <f t="shared" si="17"/>
        <v>41484</v>
      </c>
      <c r="AB120" s="4">
        <f t="shared" si="18"/>
        <v>210</v>
      </c>
      <c r="AC120" s="4" cm="1">
        <f t="array" ref="AC120">_xlfn.XLOOKUP(1,('2013 E Maize Soil VWC'!$C$2:$C$4000=$AA120)*('2013 E Maize Soil VWC'!$E$2:$E$4000=$AB120)*('2013 E Maize Soil VWC'!$F$2:$F$4000=AC$5),'2013 E Maize Soil VWC'!$G$2:$G$4000)</f>
        <v>0.30145661935028251</v>
      </c>
      <c r="AD120" s="4" cm="1">
        <f t="array" ref="AD120">_xlfn.XLOOKUP(1,('2013 E Maize Soil VWC'!$C$2:$C$4000=$AA120)*('2013 E Maize Soil VWC'!$E$2:$E$4000=$AB120)*('2013 E Maize Soil VWC'!$F$2:$F$4000=AD$5),'2013 E Maize Soil VWC'!$G$2:$G$4000)</f>
        <v>0.30216133968926556</v>
      </c>
      <c r="AE120" s="4" cm="1">
        <f t="array" ref="AE120">_xlfn.XLOOKUP(1,('2013 E Maize Soil VWC'!$C$2:$C$4000=$AA120)*('2013 E Maize Soil VWC'!$E$2:$E$4000=$AB120)*('2013 E Maize Soil VWC'!$F$2:$F$4000=AE$5),'2013 E Maize Soil VWC'!$G$2:$G$4000)</f>
        <v>0.27426615960451978</v>
      </c>
      <c r="AF120" s="4" cm="1">
        <f t="array" ref="AF120">_xlfn.XLOOKUP(1,('2013 E Maize Soil VWC'!$C$2:$C$4000=$AA120)*('2013 E Maize Soil VWC'!$E$2:$E$4000=$AB120)*('2013 E Maize Soil VWC'!$F$2:$F$4000=AF$5),'2013 E Maize Soil VWC'!$G$2:$G$4000)</f>
        <v>0.29270634180790961</v>
      </c>
      <c r="AG120" s="4" t="e" cm="1">
        <f t="array" ref="AG120">_xlfn.XLOOKUP(1,('2013 E Maize Soil VWC'!$C$2:$C$4000=$AA120)*('2013 E Maize Soil VWC'!$E$2:$E$4000=$AB120)*('2013 E Maize Soil VWC'!$F$2:$F$4000=AG$5),'2013 E Maize Soil VWC'!$G$2:$G$4000)</f>
        <v>#N/A</v>
      </c>
      <c r="AH120" s="4" t="e" cm="1">
        <f t="array" ref="AH120">_xlfn.XLOOKUP(1,('2013 E Maize Soil VWC'!$C$2:$C$4000=$AA120)*('2013 E Maize Soil VWC'!$E$2:$E$4000=$AB120)*('2013 E Maize Soil VWC'!$F$2:$F$4000=AH$5),'2013 E Maize Soil VWC'!$G$2:$G$4000)</f>
        <v>#N/A</v>
      </c>
      <c r="AI120" s="4" cm="1">
        <f t="array" ref="AI120">_xlfn.XLOOKUP(1,('2013 E Maize Soil VWC'!$C$2:$C$4000=$AA120)*('2013 E Maize Soil VWC'!$E$2:$E$4000=$AB120)*('2013 E Maize Soil VWC'!$F$2:$F$4000=AI$5),'2013 E Maize Soil VWC'!$G$2:$G$4000)</f>
        <v>0.2782791504237288</v>
      </c>
      <c r="AJ120" s="4" cm="1">
        <f t="array" ref="AJ120">_xlfn.XLOOKUP(1,('2013 E Maize Soil VWC'!$C$2:$C$4000=$AA120)*('2013 E Maize Soil VWC'!$E$2:$E$4000=$AB120)*('2013 E Maize Soil VWC'!$F$2:$F$4000=AJ$5),'2013 E Maize Soil VWC'!$G$2:$G$4000)</f>
        <v>0.30411889618644067</v>
      </c>
      <c r="AK120" s="4" cm="1">
        <f t="array" ref="AK120">_xlfn.XLOOKUP(1,('2013 E Maize Soil VWC'!$C$2:$C$4000=$AA120)*('2013 E Maize Soil VWC'!$E$2:$E$4000=$AB120)*('2013 E Maize Soil VWC'!$F$2:$F$4000=AK$5),'2013 E Maize Soil VWC'!$G$2:$G$4000)</f>
        <v>0.29527074081920907</v>
      </c>
      <c r="AL120" s="4" cm="1">
        <f t="array" ref="AL120">_xlfn.XLOOKUP(1,('2013 E Maize Soil VWC'!$C$2:$C$4000=$AA120)*('2013 E Maize Soil VWC'!$E$2:$E$4000=$AB120)*('2013 E Maize Soil VWC'!$F$2:$F$4000=AL$5),'2013 E Maize Soil VWC'!$G$2:$G$4000)</f>
        <v>0.26845221680790959</v>
      </c>
      <c r="AM120" s="4" cm="1">
        <f t="array" ref="AM120">_xlfn.XLOOKUP(1,('2013 E Maize Soil VWC'!$C$2:$C$4000=$AA120)*('2013 E Maize Soil VWC'!$E$2:$E$4000=$AB120)*('2013 E Maize Soil VWC'!$F$2:$F$4000=AM$5),'2013 E Maize Soil VWC'!$G$2:$G$4000)</f>
        <v>0.30546961016949153</v>
      </c>
      <c r="AN120" s="4" cm="1">
        <f t="array" ref="AN120">_xlfn.XLOOKUP(1,('2013 E Maize Soil VWC'!$C$2:$C$4000=$AA120)*('2013 E Maize Soil VWC'!$E$2:$E$4000=$AB120)*('2013 E Maize Soil VWC'!$F$2:$F$4000=AN$5),'2013 E Maize Soil VWC'!$G$2:$G$4000)</f>
        <v>0.30948260098870056</v>
      </c>
      <c r="AO120" s="4" cm="1">
        <f t="array" ref="AO120">_xlfn.XLOOKUP(1,('2013 E Maize Soil VWC'!$C$2:$C$4000=$AA120)*('2013 E Maize Soil VWC'!$E$2:$E$4000=$AB120)*('2013 E Maize Soil VWC'!$F$2:$F$4000=AO$5),'2013 E Maize Soil VWC'!$G$2:$G$4000)</f>
        <v>0.30586112146892658</v>
      </c>
      <c r="AP120" s="4" cm="1">
        <f t="array" ref="AP120">_xlfn.XLOOKUP(1,('2013 E Maize Soil VWC'!$C$2:$C$4000=$AA120)*('2013 E Maize Soil VWC'!$E$2:$E$4000=$AB120)*('2013 E Maize Soil VWC'!$F$2:$F$4000=AP$5),'2013 E Maize Soil VWC'!$G$2:$G$4000)</f>
        <v>0.2747946998587571</v>
      </c>
      <c r="AQ120" s="4" t="e" cm="1">
        <f t="array" ref="AQ120">_xlfn.XLOOKUP(1,('2013 E Maize Soil VWC'!$C$2:$C$4000=$AA120)*('2013 E Maize Soil VWC'!$E$2:$E$4000=$AB120)*('2013 E Maize Soil VWC'!$F$2:$F$4000=AQ$5),'2013 E Maize Soil VWC'!$G$2:$G$4000)</f>
        <v>#N/A</v>
      </c>
      <c r="AR120" s="4" t="e" cm="1">
        <f t="array" ref="AR120">_xlfn.XLOOKUP(1,('2013 E Maize Soil VWC'!$C$2:$C$4000=$AA120)*('2013 E Maize Soil VWC'!$E$2:$E$4000=$AB120)*('2013 E Maize Soil VWC'!$F$2:$F$4000=AR$5),'2013 E Maize Soil VWC'!$G$2:$G$4000)</f>
        <v>#N/A</v>
      </c>
      <c r="AS120" s="4" cm="1">
        <f t="array" ref="AS120">_xlfn.XLOOKUP(1,('2013 E Maize Soil VWC'!$C$2:$C$4000=$AA120)*('2013 E Maize Soil VWC'!$E$2:$E$4000=$AB120)*('2013 E Maize Soil VWC'!$F$2:$F$4000=AS$5),'2013 E Maize Soil VWC'!$G$2:$G$4000)</f>
        <v>0.30533258121468926</v>
      </c>
      <c r="AT120" s="4" cm="1">
        <f t="array" ref="AT120">_xlfn.XLOOKUP(1,('2013 E Maize Soil VWC'!$C$2:$C$4000=$AA120)*('2013 E Maize Soil VWC'!$E$2:$E$4000=$AB120)*('2013 E Maize Soil VWC'!$F$2:$F$4000=AT$5),'2013 E Maize Soil VWC'!$G$2:$G$4000)</f>
        <v>0.30809273587570618</v>
      </c>
      <c r="AU120" s="4" cm="1">
        <f t="array" ref="AU120">_xlfn.XLOOKUP(1,('2013 E Maize Soil VWC'!$C$2:$C$4000=$AA120)*('2013 E Maize Soil VWC'!$E$2:$E$4000=$AB120)*('2013 E Maize Soil VWC'!$F$2:$F$4000=AU$5),'2013 E Maize Soil VWC'!$G$2:$G$4000)</f>
        <v>0.30008632980225991</v>
      </c>
      <c r="AV120" s="4" cm="1">
        <f t="array" ref="AV120">_xlfn.XLOOKUP(1,('2013 E Maize Soil VWC'!$C$2:$C$4000=$AA120)*('2013 E Maize Soil VWC'!$E$2:$E$4000=$AB120)*('2013 E Maize Soil VWC'!$F$2:$F$4000=AV$5),'2013 E Maize Soil VWC'!$G$2:$G$4000)</f>
        <v>0.30200473516949156</v>
      </c>
    </row>
    <row r="121" spans="25:64" x14ac:dyDescent="0.25">
      <c r="AA121" s="15">
        <f t="shared" si="17"/>
        <v>41484</v>
      </c>
      <c r="AB121" s="4">
        <f t="shared" si="18"/>
        <v>230</v>
      </c>
      <c r="AC121" s="4" cm="1">
        <f t="array" ref="AC121">_xlfn.XLOOKUP(1,('2013 E Maize Soil VWC'!$C$2:$C$4000=$AA121)*('2013 E Maize Soil VWC'!$E$2:$E$4000=$AB121)*('2013 E Maize Soil VWC'!$F$2:$F$4000=AC$5),'2013 E Maize Soil VWC'!$G$2:$G$4000)</f>
        <v>0.29844198234463276</v>
      </c>
      <c r="AD121" s="4" cm="1">
        <f t="array" ref="AD121">_xlfn.XLOOKUP(1,('2013 E Maize Soil VWC'!$C$2:$C$4000=$AA121)*('2013 E Maize Soil VWC'!$E$2:$E$4000=$AB121)*('2013 E Maize Soil VWC'!$F$2:$F$4000=AD$5),'2013 E Maize Soil VWC'!$G$2:$G$4000)</f>
        <v>0.29771768644067798</v>
      </c>
      <c r="AE121" s="4" cm="1">
        <f t="array" ref="AE121">_xlfn.XLOOKUP(1,('2013 E Maize Soil VWC'!$C$2:$C$4000=$AA121)*('2013 E Maize Soil VWC'!$E$2:$E$4000=$AB121)*('2013 E Maize Soil VWC'!$F$2:$F$4000=AE$5),'2013 E Maize Soil VWC'!$G$2:$G$4000)</f>
        <v>0.28544380720338985</v>
      </c>
      <c r="AF121" s="4" cm="1">
        <f t="array" ref="AF121">_xlfn.XLOOKUP(1,('2013 E Maize Soil VWC'!$C$2:$C$4000=$AA121)*('2013 E Maize Soil VWC'!$E$2:$E$4000=$AB121)*('2013 E Maize Soil VWC'!$F$2:$F$4000=AF$5),'2013 E Maize Soil VWC'!$G$2:$G$4000)</f>
        <v>0.28154826977401132</v>
      </c>
      <c r="AG121" s="4" t="e" cm="1">
        <f t="array" ref="AG121">_xlfn.XLOOKUP(1,('2013 E Maize Soil VWC'!$C$2:$C$4000=$AA121)*('2013 E Maize Soil VWC'!$E$2:$E$4000=$AB121)*('2013 E Maize Soil VWC'!$F$2:$F$4000=AG$5),'2013 E Maize Soil VWC'!$G$2:$G$4000)</f>
        <v>#N/A</v>
      </c>
      <c r="AH121" s="4" t="e" cm="1">
        <f t="array" ref="AH121">_xlfn.XLOOKUP(1,('2013 E Maize Soil VWC'!$C$2:$C$4000=$AA121)*('2013 E Maize Soil VWC'!$E$2:$E$4000=$AB121)*('2013 E Maize Soil VWC'!$F$2:$F$4000=AH$5),'2013 E Maize Soil VWC'!$G$2:$G$4000)</f>
        <v>#N/A</v>
      </c>
      <c r="AI121" s="4" cm="1">
        <f t="array" ref="AI121">_xlfn.XLOOKUP(1,('2013 E Maize Soil VWC'!$C$2:$C$4000=$AA121)*('2013 E Maize Soil VWC'!$E$2:$E$4000=$AB121)*('2013 E Maize Soil VWC'!$F$2:$F$4000=AI$5),'2013 E Maize Soil VWC'!$G$2:$G$4000)</f>
        <v>0.27990392231638417</v>
      </c>
      <c r="AJ121" s="4" cm="1">
        <f t="array" ref="AJ121">_xlfn.XLOOKUP(1,('2013 E Maize Soil VWC'!$C$2:$C$4000=$AA121)*('2013 E Maize Soil VWC'!$E$2:$E$4000=$AB121)*('2013 E Maize Soil VWC'!$F$2:$F$4000=AJ$5),'2013 E Maize Soil VWC'!$G$2:$G$4000)</f>
        <v>0.31281044703389832</v>
      </c>
      <c r="AK121" s="4" cm="1">
        <f t="array" ref="AK121">_xlfn.XLOOKUP(1,('2013 E Maize Soil VWC'!$C$2:$C$4000=$AA121)*('2013 E Maize Soil VWC'!$E$2:$E$4000=$AB121)*('2013 E Maize Soil VWC'!$F$2:$F$4000=AK$5),'2013 E Maize Soil VWC'!$G$2:$G$4000)</f>
        <v>0.3060568771186441</v>
      </c>
      <c r="AL121" s="4" cm="1">
        <f t="array" ref="AL121">_xlfn.XLOOKUP(1,('2013 E Maize Soil VWC'!$C$2:$C$4000=$AA121)*('2013 E Maize Soil VWC'!$E$2:$E$4000=$AB121)*('2013 E Maize Soil VWC'!$F$2:$F$4000=AL$5),'2013 E Maize Soil VWC'!$G$2:$G$4000)</f>
        <v>0.25878188771186439</v>
      </c>
      <c r="AM121" s="4" cm="1">
        <f t="array" ref="AM121">_xlfn.XLOOKUP(1,('2013 E Maize Soil VWC'!$C$2:$C$4000=$AA121)*('2013 E Maize Soil VWC'!$E$2:$E$4000=$AB121)*('2013 E Maize Soil VWC'!$F$2:$F$4000=AM$5),'2013 E Maize Soil VWC'!$G$2:$G$4000)</f>
        <v>0.29812877330508475</v>
      </c>
      <c r="AN121" s="4" cm="1">
        <f t="array" ref="AN121">_xlfn.XLOOKUP(1,('2013 E Maize Soil VWC'!$C$2:$C$4000=$AA121)*('2013 E Maize Soil VWC'!$E$2:$E$4000=$AB121)*('2013 E Maize Soil VWC'!$F$2:$F$4000=AN$5),'2013 E Maize Soil VWC'!$G$2:$G$4000)</f>
        <v>0.3005365677966102</v>
      </c>
      <c r="AO121" s="4" cm="1">
        <f t="array" ref="AO121">_xlfn.XLOOKUP(1,('2013 E Maize Soil VWC'!$C$2:$C$4000=$AA121)*('2013 E Maize Soil VWC'!$E$2:$E$4000=$AB121)*('2013 E Maize Soil VWC'!$F$2:$F$4000=AO$5),'2013 E Maize Soil VWC'!$G$2:$G$4000)</f>
        <v>0.29679763488700567</v>
      </c>
      <c r="AP121" s="4" cm="1">
        <f t="array" ref="AP121">_xlfn.XLOOKUP(1,('2013 E Maize Soil VWC'!$C$2:$C$4000=$AA121)*('2013 E Maize Soil VWC'!$E$2:$E$4000=$AB121)*('2013 E Maize Soil VWC'!$F$2:$F$4000=AP$5),'2013 E Maize Soil VWC'!$G$2:$G$4000)</f>
        <v>0.2935872422316384</v>
      </c>
      <c r="AQ121" s="4" t="e" cm="1">
        <f t="array" ref="AQ121">_xlfn.XLOOKUP(1,('2013 E Maize Soil VWC'!$C$2:$C$4000=$AA121)*('2013 E Maize Soil VWC'!$E$2:$E$4000=$AB121)*('2013 E Maize Soil VWC'!$F$2:$F$4000=AQ$5),'2013 E Maize Soil VWC'!$G$2:$G$4000)</f>
        <v>#N/A</v>
      </c>
      <c r="AR121" s="4" t="e" cm="1">
        <f t="array" ref="AR121">_xlfn.XLOOKUP(1,('2013 E Maize Soil VWC'!$C$2:$C$4000=$AA121)*('2013 E Maize Soil VWC'!$E$2:$E$4000=$AB121)*('2013 E Maize Soil VWC'!$F$2:$F$4000=AR$5),'2013 E Maize Soil VWC'!$G$2:$G$4000)</f>
        <v>#N/A</v>
      </c>
      <c r="AS121" s="4" cm="1">
        <f t="array" ref="AS121">_xlfn.XLOOKUP(1,('2013 E Maize Soil VWC'!$C$2:$C$4000=$AA121)*('2013 E Maize Soil VWC'!$E$2:$E$4000=$AB121)*('2013 E Maize Soil VWC'!$F$2:$F$4000=AS$5),'2013 E Maize Soil VWC'!$G$2:$G$4000)</f>
        <v>0.29904882485875706</v>
      </c>
      <c r="AT121" s="4" cm="1">
        <f t="array" ref="AT121">_xlfn.XLOOKUP(1,('2013 E Maize Soil VWC'!$C$2:$C$4000=$AA121)*('2013 E Maize Soil VWC'!$E$2:$E$4000=$AB121)*('2013 E Maize Soil VWC'!$F$2:$F$4000=AT$5),'2013 E Maize Soil VWC'!$G$2:$G$4000)</f>
        <v>0.30165237500000003</v>
      </c>
      <c r="AU121" s="4" cm="1">
        <f t="array" ref="AU121">_xlfn.XLOOKUP(1,('2013 E Maize Soil VWC'!$C$2:$C$4000=$AA121)*('2013 E Maize Soil VWC'!$E$2:$E$4000=$AB121)*('2013 E Maize Soil VWC'!$F$2:$F$4000=AU$5),'2013 E Maize Soil VWC'!$G$2:$G$4000)</f>
        <v>0.29249101059322036</v>
      </c>
      <c r="AV121" s="4" cm="1">
        <f t="array" ref="AV121">_xlfn.XLOOKUP(1,('2013 E Maize Soil VWC'!$C$2:$C$4000=$AA121)*('2013 E Maize Soil VWC'!$E$2:$E$4000=$AB121)*('2013 E Maize Soil VWC'!$F$2:$F$4000=AV$5),'2013 E Maize Soil VWC'!$G$2:$G$4000)</f>
        <v>0.30355120480225994</v>
      </c>
    </row>
    <row r="122" spans="25:64" x14ac:dyDescent="0.25">
      <c r="AA122" s="15"/>
    </row>
    <row r="123" spans="25:64" x14ac:dyDescent="0.25">
      <c r="Y123" s="4">
        <v>2013</v>
      </c>
      <c r="Z123" s="4">
        <v>218</v>
      </c>
      <c r="AA123" s="15">
        <f>DATE(Y123,1,Z123)</f>
        <v>41492</v>
      </c>
      <c r="AB123" s="4">
        <v>10</v>
      </c>
      <c r="AC123" s="4" cm="1">
        <f t="array" ref="AC123">_xlfn.XLOOKUP(1,('2013 E Maize Soil VWC'!$C$2:$C$4000=$AA123)*('2013 E Maize Soil VWC'!$E$2:$E$4000=$AB123)*('2013 E Maize Soil VWC'!$F$2:$F$4000=AC$5),'2013 E Maize Soil VWC'!$G$2:$G$4000)</f>
        <v>0.19812837288135593</v>
      </c>
      <c r="AD123" s="4" cm="1">
        <f t="array" ref="AD123">_xlfn.XLOOKUP(1,('2013 E Maize Soil VWC'!$C$2:$C$4000=$AA123)*('2013 E Maize Soil VWC'!$E$2:$E$4000=$AB123)*('2013 E Maize Soil VWC'!$F$2:$F$4000=AD$5),'2013 E Maize Soil VWC'!$G$2:$G$4000)</f>
        <v>0.22100733232445519</v>
      </c>
      <c r="AE123" s="4" cm="1">
        <f t="array" ref="AE123">_xlfn.XLOOKUP(1,('2013 E Maize Soil VWC'!$C$2:$C$4000=$AA123)*('2013 E Maize Soil VWC'!$E$2:$E$4000=$AB123)*('2013 E Maize Soil VWC'!$F$2:$F$4000=AE$5),'2013 E Maize Soil VWC'!$G$2:$G$4000)</f>
        <v>0.22575288377723968</v>
      </c>
      <c r="AF123" s="4" cm="1">
        <f t="array" ref="AF123">_xlfn.XLOOKUP(1,('2013 E Maize Soil VWC'!$C$2:$C$4000=$AA123)*('2013 E Maize Soil VWC'!$E$2:$E$4000=$AB123)*('2013 E Maize Soil VWC'!$F$2:$F$4000=AF$5),'2013 E Maize Soil VWC'!$G$2:$G$4000)</f>
        <v>0.2097607611985472</v>
      </c>
      <c r="AG123" s="4" cm="1">
        <f t="array" ref="AG123">_xlfn.XLOOKUP(1,('2013 E Maize Soil VWC'!$C$2:$C$4000=$AA123)*('2013 E Maize Soil VWC'!$E$2:$E$4000=$AB123)*('2013 E Maize Soil VWC'!$F$2:$F$4000=AG$5),'2013 E Maize Soil VWC'!$G$2:$G$4000)</f>
        <v>0.21109183050847458</v>
      </c>
      <c r="AH123" s="4" cm="1">
        <f t="array" ref="AH123">_xlfn.XLOOKUP(1,('2013 E Maize Soil VWC'!$C$2:$C$4000=$AA123)*('2013 E Maize Soil VWC'!$E$2:$E$4000=$AB123)*('2013 E Maize Soil VWC'!$F$2:$F$4000=AH$5),'2013 E Maize Soil VWC'!$G$2:$G$4000)</f>
        <v>0.20165860018159804</v>
      </c>
      <c r="AI123" s="4" cm="1">
        <f t="array" ref="AI123">_xlfn.XLOOKUP(1,('2013 E Maize Soil VWC'!$C$2:$C$4000=$AA123)*('2013 E Maize Soil VWC'!$E$2:$E$4000=$AB123)*('2013 E Maize Soil VWC'!$F$2:$F$4000=AI$5),'2013 E Maize Soil VWC'!$G$2:$G$4000)</f>
        <v>0.24064542736077482</v>
      </c>
      <c r="AJ123" s="4" cm="1">
        <f t="array" ref="AJ123">_xlfn.XLOOKUP(1,('2013 E Maize Soil VWC'!$C$2:$C$4000=$AA123)*('2013 E Maize Soil VWC'!$E$2:$E$4000=$AB123)*('2013 E Maize Soil VWC'!$F$2:$F$4000=AJ$5),'2013 E Maize Soil VWC'!$G$2:$G$4000)</f>
        <v>0.23937223062953994</v>
      </c>
      <c r="AK123" s="4" cm="1">
        <f t="array" ref="AK123">_xlfn.XLOOKUP(1,('2013 E Maize Soil VWC'!$C$2:$C$4000=$AA123)*('2013 E Maize Soil VWC'!$E$2:$E$4000=$AB123)*('2013 E Maize Soil VWC'!$F$2:$F$4000=AK$5),'2013 E Maize Soil VWC'!$G$2:$G$4000)</f>
        <v>0.22488479509685227</v>
      </c>
      <c r="AL123" s="4" cm="1">
        <f t="array" ref="AL123">_xlfn.XLOOKUP(1,('2013 E Maize Soil VWC'!$C$2:$C$4000=$AA123)*('2013 E Maize Soil VWC'!$E$2:$E$4000=$AB123)*('2013 E Maize Soil VWC'!$F$2:$F$4000=AL$5),'2013 E Maize Soil VWC'!$G$2:$G$4000)</f>
        <v>0.20796671125907989</v>
      </c>
      <c r="AM123" s="4" cm="1">
        <f t="array" ref="AM123">_xlfn.XLOOKUP(1,('2013 E Maize Soil VWC'!$C$2:$C$4000=$AA123)*('2013 E Maize Soil VWC'!$E$2:$E$4000=$AB123)*('2013 E Maize Soil VWC'!$F$2:$F$4000=AM$5),'2013 E Maize Soil VWC'!$G$2:$G$4000)</f>
        <v>0.19124153601694915</v>
      </c>
      <c r="AN123" s="4" cm="1">
        <f t="array" ref="AN123">_xlfn.XLOOKUP(1,('2013 E Maize Soil VWC'!$C$2:$C$4000=$AA123)*('2013 E Maize Soil VWC'!$E$2:$E$4000=$AB123)*('2013 E Maize Soil VWC'!$F$2:$F$4000=AN$5),'2013 E Maize Soil VWC'!$G$2:$G$4000)</f>
        <v>0.17600175696125908</v>
      </c>
      <c r="AO123" s="4" cm="1">
        <f t="array" ref="AO123">_xlfn.XLOOKUP(1,('2013 E Maize Soil VWC'!$C$2:$C$4000=$AA123)*('2013 E Maize Soil VWC'!$E$2:$E$4000=$AB123)*('2013 E Maize Soil VWC'!$F$2:$F$4000=AO$5),'2013 E Maize Soil VWC'!$G$2:$G$4000)</f>
        <v>0.17823949667070216</v>
      </c>
      <c r="AP123" s="4" cm="1">
        <f t="array" ref="AP123">_xlfn.XLOOKUP(1,('2013 E Maize Soil VWC'!$C$2:$C$4000=$AA123)*('2013 E Maize Soil VWC'!$E$2:$E$4000=$AB123)*('2013 E Maize Soil VWC'!$F$2:$F$4000=AP$5),'2013 E Maize Soil VWC'!$G$2:$G$4000)</f>
        <v>0.18925457748184021</v>
      </c>
      <c r="AQ123" s="4" cm="1">
        <f t="array" ref="AQ123">_xlfn.XLOOKUP(1,('2013 E Maize Soil VWC'!$C$2:$C$4000=$AA123)*('2013 E Maize Soil VWC'!$E$2:$E$4000=$AB123)*('2013 E Maize Soil VWC'!$F$2:$F$4000=AQ$5),'2013 E Maize Soil VWC'!$G$2:$G$4000)</f>
        <v>0.20680925968523001</v>
      </c>
      <c r="AR123" s="4" cm="1">
        <f t="array" ref="AR123">_xlfn.XLOOKUP(1,('2013 E Maize Soil VWC'!$C$2:$C$4000=$AA123)*('2013 E Maize Soil VWC'!$E$2:$E$4000=$AB123)*('2013 E Maize Soil VWC'!$F$2:$F$4000=AR$5),'2013 E Maize Soil VWC'!$G$2:$G$4000)</f>
        <v>0.19432807354721549</v>
      </c>
      <c r="AS123" s="4" cm="1">
        <f t="array" ref="AS123">_xlfn.XLOOKUP(1,('2013 E Maize Soil VWC'!$C$2:$C$4000=$AA123)*('2013 E Maize Soil VWC'!$E$2:$E$4000=$AB123)*('2013 E Maize Soil VWC'!$F$2:$F$4000=AS$5),'2013 E Maize Soil VWC'!$G$2:$G$4000)</f>
        <v>0.21053239558111381</v>
      </c>
      <c r="AT123" s="4" cm="1">
        <f t="array" ref="AT123">_xlfn.XLOOKUP(1,('2013 E Maize Soil VWC'!$C$2:$C$4000=$AA123)*('2013 E Maize Soil VWC'!$E$2:$E$4000=$AB123)*('2013 E Maize Soil VWC'!$F$2:$F$4000=AT$5),'2013 E Maize Soil VWC'!$G$2:$G$4000)</f>
        <v>0.19303558595641646</v>
      </c>
      <c r="AU123" s="4" cm="1">
        <f t="array" ref="AU123">_xlfn.XLOOKUP(1,('2013 E Maize Soil VWC'!$C$2:$C$4000=$AA123)*('2013 E Maize Soil VWC'!$E$2:$E$4000=$AB123)*('2013 E Maize Soil VWC'!$F$2:$F$4000=AU$5),'2013 E Maize Soil VWC'!$G$2:$G$4000)</f>
        <v>0.18522278783292978</v>
      </c>
      <c r="AV123" s="4" cm="1">
        <f t="array" ref="AV123">_xlfn.XLOOKUP(1,('2013 E Maize Soil VWC'!$C$2:$C$4000=$AA123)*('2013 E Maize Soil VWC'!$E$2:$E$4000=$AB123)*('2013 E Maize Soil VWC'!$F$2:$F$4000=AV$5),'2013 E Maize Soil VWC'!$G$2:$G$4000)</f>
        <v>0.17033024424939469</v>
      </c>
      <c r="AW123" s="22">
        <f>Z123</f>
        <v>218</v>
      </c>
      <c r="AX123" s="20">
        <f>AA123</f>
        <v>41492</v>
      </c>
      <c r="AY123" s="4">
        <f>1400*AVERAGE(AG123:AH129)+100*AVERAGE(AG130:AH130)</f>
        <v>437.10029073849876</v>
      </c>
      <c r="AZ123" s="4">
        <f>1400*AVERAGE(AC123:AF129,AI123:AL129)+100*AVERAGE(AC130:AF130,AI130:AL130)</f>
        <v>457.46315780493342</v>
      </c>
      <c r="BA123" s="4">
        <f>1400*AVERAGE(AQ123:AR129)+100*AVERAGE(AQ130:AR130)</f>
        <v>419.73272322437441</v>
      </c>
      <c r="BB123" s="4">
        <f>1400*AVERAGE(AM123:AP129,AS123:AV129)+100*AVERAGE(AM130:AP130,AS130:AV130)</f>
        <v>446.92443830584148</v>
      </c>
      <c r="BC123" s="4">
        <f>AVERAGE(AC123:AD134)*2400</f>
        <v>723.85069693301034</v>
      </c>
      <c r="BD123" s="4">
        <f>AVERAGE(AE123:AF134)*2400</f>
        <v>706.33722311339773</v>
      </c>
      <c r="BE123" s="4">
        <f>AVERAGE(AG123:AH132)*2000</f>
        <v>603.24044271589992</v>
      </c>
      <c r="BF123" s="4">
        <f>AVERAGE(AI123:AJ134)*2400</f>
        <v>731.67619482445514</v>
      </c>
      <c r="BG123" s="4">
        <f>AVERAGE(AK123:AL134)*2400</f>
        <v>718.2067663841807</v>
      </c>
      <c r="BH123" s="4">
        <f>AVERAGE(AM123:AN134)*2400</f>
        <v>726.17445606335752</v>
      </c>
      <c r="BI123" s="4">
        <f>AVERAGE(AO123:AP134)*2400</f>
        <v>714.29174470338978</v>
      </c>
      <c r="BJ123" s="4">
        <f>AVERAGE(AQ123:AR132)*2000</f>
        <v>582.37667929782083</v>
      </c>
      <c r="BK123" s="4">
        <f>AVERAGE(AS123:AT134)*2400</f>
        <v>737.0736954701373</v>
      </c>
      <c r="BL123" s="4">
        <f>AVERAGE(AU123:AV134)*2400</f>
        <v>720.58662976190476</v>
      </c>
    </row>
    <row r="124" spans="25:64" x14ac:dyDescent="0.25">
      <c r="AA124" s="15">
        <f t="shared" ref="AA124:AA134" si="19">AA123</f>
        <v>41492</v>
      </c>
      <c r="AB124" s="4">
        <f t="shared" ref="AB124:AB134" si="20">AB123+20</f>
        <v>30</v>
      </c>
      <c r="AC124" s="4" cm="1">
        <f t="array" ref="AC124">_xlfn.XLOOKUP(1,('2013 E Maize Soil VWC'!$C$2:$C$4000=$AA124)*('2013 E Maize Soil VWC'!$E$2:$E$4000=$AB124)*('2013 E Maize Soil VWC'!$F$2:$F$4000=AC$5),'2013 E Maize Soil VWC'!$G$2:$G$4000)</f>
        <v>0.30189543926553675</v>
      </c>
      <c r="AD124" s="4" cm="1">
        <f t="array" ref="AD124">_xlfn.XLOOKUP(1,('2013 E Maize Soil VWC'!$C$2:$C$4000=$AA124)*('2013 E Maize Soil VWC'!$E$2:$E$4000=$AB124)*('2013 E Maize Soil VWC'!$F$2:$F$4000=AD$5),'2013 E Maize Soil VWC'!$G$2:$G$4000)</f>
        <v>0.29788840112994353</v>
      </c>
      <c r="AE124" s="4" cm="1">
        <f t="array" ref="AE124">_xlfn.XLOOKUP(1,('2013 E Maize Soil VWC'!$C$2:$C$4000=$AA124)*('2013 E Maize Soil VWC'!$E$2:$E$4000=$AB124)*('2013 E Maize Soil VWC'!$F$2:$F$4000=AE$5),'2013 E Maize Soil VWC'!$G$2:$G$4000)</f>
        <v>0.31138336864406779</v>
      </c>
      <c r="AF124" s="4" cm="1">
        <f t="array" ref="AF124">_xlfn.XLOOKUP(1,('2013 E Maize Soil VWC'!$C$2:$C$4000=$AA124)*('2013 E Maize Soil VWC'!$E$2:$E$4000=$AB124)*('2013 E Maize Soil VWC'!$F$2:$F$4000=AF$5),'2013 E Maize Soil VWC'!$G$2:$G$4000)</f>
        <v>0.27981067161016948</v>
      </c>
      <c r="AG124" s="4" cm="1">
        <f t="array" ref="AG124">_xlfn.XLOOKUP(1,('2013 E Maize Soil VWC'!$C$2:$C$4000=$AA124)*('2013 E Maize Soil VWC'!$E$2:$E$4000=$AB124)*('2013 E Maize Soil VWC'!$F$2:$F$4000=AG$5),'2013 E Maize Soil VWC'!$G$2:$G$4000)</f>
        <v>0.29666786652542371</v>
      </c>
      <c r="AH124" s="4" cm="1">
        <f t="array" ref="AH124">_xlfn.XLOOKUP(1,('2013 E Maize Soil VWC'!$C$2:$C$4000=$AA124)*('2013 E Maize Soil VWC'!$E$2:$E$4000=$AB124)*('2013 E Maize Soil VWC'!$F$2:$F$4000=AH$5),'2013 E Maize Soil VWC'!$G$2:$G$4000)</f>
        <v>0.29199298870056495</v>
      </c>
      <c r="AI124" s="4" cm="1">
        <f t="array" ref="AI124">_xlfn.XLOOKUP(1,('2013 E Maize Soil VWC'!$C$2:$C$4000=$AA124)*('2013 E Maize Soil VWC'!$E$2:$E$4000=$AB124)*('2013 E Maize Soil VWC'!$F$2:$F$4000=AI$5),'2013 E Maize Soil VWC'!$G$2:$G$4000)</f>
        <v>0.3038989583333333</v>
      </c>
      <c r="AJ124" s="4" cm="1">
        <f t="array" ref="AJ124">_xlfn.XLOOKUP(1,('2013 E Maize Soil VWC'!$C$2:$C$4000=$AA124)*('2013 E Maize Soil VWC'!$E$2:$E$4000=$AB124)*('2013 E Maize Soil VWC'!$F$2:$F$4000=AJ$5),'2013 E Maize Soil VWC'!$G$2:$G$4000)</f>
        <v>0.32043374788135587</v>
      </c>
      <c r="AK124" s="4" cm="1">
        <f t="array" ref="AK124">_xlfn.XLOOKUP(1,('2013 E Maize Soil VWC'!$C$2:$C$4000=$AA124)*('2013 E Maize Soil VWC'!$E$2:$E$4000=$AB124)*('2013 E Maize Soil VWC'!$F$2:$F$4000=AK$5),'2013 E Maize Soil VWC'!$G$2:$G$4000)</f>
        <v>0.31221241101694919</v>
      </c>
      <c r="AL124" s="4" cm="1">
        <f t="array" ref="AL124">_xlfn.XLOOKUP(1,('2013 E Maize Soil VWC'!$C$2:$C$4000=$AA124)*('2013 E Maize Soil VWC'!$E$2:$E$4000=$AB124)*('2013 E Maize Soil VWC'!$F$2:$F$4000=AL$5),'2013 E Maize Soil VWC'!$G$2:$G$4000)</f>
        <v>0.3120742372881356</v>
      </c>
      <c r="AM124" s="4" cm="1">
        <f t="array" ref="AM124">_xlfn.XLOOKUP(1,('2013 E Maize Soil VWC'!$C$2:$C$4000=$AA124)*('2013 E Maize Soil VWC'!$E$2:$E$4000=$AB124)*('2013 E Maize Soil VWC'!$F$2:$F$4000=AM$5),'2013 E Maize Soil VWC'!$G$2:$G$4000)</f>
        <v>0.28335713064971751</v>
      </c>
      <c r="AN124" s="4" cm="1">
        <f t="array" ref="AN124">_xlfn.XLOOKUP(1,('2013 E Maize Soil VWC'!$C$2:$C$4000=$AA124)*('2013 E Maize Soil VWC'!$E$2:$E$4000=$AB124)*('2013 E Maize Soil VWC'!$F$2:$F$4000=AN$5),'2013 E Maize Soil VWC'!$G$2:$G$4000)</f>
        <v>0.26919432344632765</v>
      </c>
      <c r="AO124" s="4" cm="1">
        <f t="array" ref="AO124">_xlfn.XLOOKUP(1,('2013 E Maize Soil VWC'!$C$2:$C$4000=$AA124)*('2013 E Maize Soil VWC'!$E$2:$E$4000=$AB124)*('2013 E Maize Soil VWC'!$F$2:$F$4000=AO$5),'2013 E Maize Soil VWC'!$G$2:$G$4000)</f>
        <v>0.28807806638418076</v>
      </c>
      <c r="AP124" s="4" cm="1">
        <f t="array" ref="AP124">_xlfn.XLOOKUP(1,('2013 E Maize Soil VWC'!$C$2:$C$4000=$AA124)*('2013 E Maize Soil VWC'!$E$2:$E$4000=$AB124)*('2013 E Maize Soil VWC'!$F$2:$F$4000=AP$5),'2013 E Maize Soil VWC'!$G$2:$G$4000)</f>
        <v>0.28950586158192088</v>
      </c>
      <c r="AQ124" s="4" cm="1">
        <f t="array" ref="AQ124">_xlfn.XLOOKUP(1,('2013 E Maize Soil VWC'!$C$2:$C$4000=$AA124)*('2013 E Maize Soil VWC'!$E$2:$E$4000=$AB124)*('2013 E Maize Soil VWC'!$F$2:$F$4000=AQ$5),'2013 E Maize Soil VWC'!$G$2:$G$4000)</f>
        <v>0.29342078389830506</v>
      </c>
      <c r="AR124" s="4" cm="1">
        <f t="array" ref="AR124">_xlfn.XLOOKUP(1,('2013 E Maize Soil VWC'!$C$2:$C$4000=$AA124)*('2013 E Maize Soil VWC'!$E$2:$E$4000=$AB124)*('2013 E Maize Soil VWC'!$F$2:$F$4000=AR$5),'2013 E Maize Soil VWC'!$G$2:$G$4000)</f>
        <v>0.28545276553672316</v>
      </c>
      <c r="AS124" s="4" cm="1">
        <f t="array" ref="AS124">_xlfn.XLOOKUP(1,('2013 E Maize Soil VWC'!$C$2:$C$4000=$AA124)*('2013 E Maize Soil VWC'!$E$2:$E$4000=$AB124)*('2013 E Maize Soil VWC'!$F$2:$F$4000=AS$5),'2013 E Maize Soil VWC'!$G$2:$G$4000)</f>
        <v>0.31343294562146889</v>
      </c>
      <c r="AT124" s="4" cm="1">
        <f t="array" ref="AT124">_xlfn.XLOOKUP(1,('2013 E Maize Soil VWC'!$C$2:$C$4000=$AA124)*('2013 E Maize Soil VWC'!$E$2:$E$4000=$AB124)*('2013 E Maize Soil VWC'!$F$2:$F$4000=AT$5),'2013 E Maize Soil VWC'!$G$2:$G$4000)</f>
        <v>0.31495285663841804</v>
      </c>
      <c r="AU124" s="4" cm="1">
        <f t="array" ref="AU124">_xlfn.XLOOKUP(1,('2013 E Maize Soil VWC'!$C$2:$C$4000=$AA124)*('2013 E Maize Soil VWC'!$E$2:$E$4000=$AB124)*('2013 E Maize Soil VWC'!$F$2:$F$4000=AU$5),'2013 E Maize Soil VWC'!$G$2:$G$4000)</f>
        <v>0.28199842231638417</v>
      </c>
      <c r="AV124" s="4" cm="1">
        <f t="array" ref="AV124">_xlfn.XLOOKUP(1,('2013 E Maize Soil VWC'!$C$2:$C$4000=$AA124)*('2013 E Maize Soil VWC'!$E$2:$E$4000=$AB124)*('2013 E Maize Soil VWC'!$F$2:$F$4000=AV$5),'2013 E Maize Soil VWC'!$G$2:$G$4000)</f>
        <v>0.29355895762711864</v>
      </c>
    </row>
    <row r="125" spans="25:64" x14ac:dyDescent="0.25">
      <c r="AA125" s="15">
        <f t="shared" si="19"/>
        <v>41492</v>
      </c>
      <c r="AB125" s="4">
        <f t="shared" si="20"/>
        <v>50</v>
      </c>
      <c r="AC125" s="4" cm="1">
        <f t="array" ref="AC125">_xlfn.XLOOKUP(1,('2013 E Maize Soil VWC'!$C$2:$C$4000=$AA125)*('2013 E Maize Soil VWC'!$E$2:$E$4000=$AB125)*('2013 E Maize Soil VWC'!$F$2:$F$4000=AC$5),'2013 E Maize Soil VWC'!$G$2:$G$4000)</f>
        <v>0.32186154307909604</v>
      </c>
      <c r="AD125" s="4" cm="1">
        <f t="array" ref="AD125">_xlfn.XLOOKUP(1,('2013 E Maize Soil VWC'!$C$2:$C$4000=$AA125)*('2013 E Maize Soil VWC'!$E$2:$E$4000=$AB125)*('2013 E Maize Soil VWC'!$F$2:$F$4000=AD$5),'2013 E Maize Soil VWC'!$G$2:$G$4000)</f>
        <v>0.32319722245762711</v>
      </c>
      <c r="AE125" s="4" cm="1">
        <f t="array" ref="AE125">_xlfn.XLOOKUP(1,('2013 E Maize Soil VWC'!$C$2:$C$4000=$AA125)*('2013 E Maize Soil VWC'!$E$2:$E$4000=$AB125)*('2013 E Maize Soil VWC'!$F$2:$F$4000=AE$5),'2013 E Maize Soil VWC'!$G$2:$G$4000)</f>
        <v>0.32271361440677965</v>
      </c>
      <c r="AF125" s="4" cm="1">
        <f t="array" ref="AF125">_xlfn.XLOOKUP(1,('2013 E Maize Soil VWC'!$C$2:$C$4000=$AA125)*('2013 E Maize Soil VWC'!$E$2:$E$4000=$AB125)*('2013 E Maize Soil VWC'!$F$2:$F$4000=AF$5),'2013 E Maize Soil VWC'!$G$2:$G$4000)</f>
        <v>0.30857383615819212</v>
      </c>
      <c r="AG125" s="4" cm="1">
        <f t="array" ref="AG125">_xlfn.XLOOKUP(1,('2013 E Maize Soil VWC'!$C$2:$C$4000=$AA125)*('2013 E Maize Soil VWC'!$E$2:$E$4000=$AB125)*('2013 E Maize Soil VWC'!$F$2:$F$4000=AG$5),'2013 E Maize Soil VWC'!$G$2:$G$4000)</f>
        <v>0.29597699788135595</v>
      </c>
      <c r="AH125" s="4" cm="1">
        <f t="array" ref="AH125">_xlfn.XLOOKUP(1,('2013 E Maize Soil VWC'!$C$2:$C$4000=$AA125)*('2013 E Maize Soil VWC'!$E$2:$E$4000=$AB125)*('2013 E Maize Soil VWC'!$F$2:$F$4000=AH$5),'2013 E Maize Soil VWC'!$G$2:$G$4000)</f>
        <v>0.31352506144067793</v>
      </c>
      <c r="AI125" s="4" cm="1">
        <f t="array" ref="AI125">_xlfn.XLOOKUP(1,('2013 E Maize Soil VWC'!$C$2:$C$4000=$AA125)*('2013 E Maize Soil VWC'!$E$2:$E$4000=$AB125)*('2013 E Maize Soil VWC'!$F$2:$F$4000=AI$5),'2013 E Maize Soil VWC'!$G$2:$G$4000)</f>
        <v>0.32043374788135587</v>
      </c>
      <c r="AJ125" s="4" cm="1">
        <f t="array" ref="AJ125">_xlfn.XLOOKUP(1,('2013 E Maize Soil VWC'!$C$2:$C$4000=$AA125)*('2013 E Maize Soil VWC'!$E$2:$E$4000=$AB125)*('2013 E Maize Soil VWC'!$F$2:$F$4000=AJ$5),'2013 E Maize Soil VWC'!$G$2:$G$4000)</f>
        <v>0.31919018432203389</v>
      </c>
      <c r="AK125" s="4" cm="1">
        <f t="array" ref="AK125">_xlfn.XLOOKUP(1,('2013 E Maize Soil VWC'!$C$2:$C$4000=$AA125)*('2013 E Maize Soil VWC'!$E$2:$E$4000=$AB125)*('2013 E Maize Soil VWC'!$F$2:$F$4000=AK$5),'2013 E Maize Soil VWC'!$G$2:$G$4000)</f>
        <v>0.31016283403954803</v>
      </c>
      <c r="AL125" s="4" cm="1">
        <f t="array" ref="AL125">_xlfn.XLOOKUP(1,('2013 E Maize Soil VWC'!$C$2:$C$4000=$AA125)*('2013 E Maize Soil VWC'!$E$2:$E$4000=$AB125)*('2013 E Maize Soil VWC'!$F$2:$F$4000=AL$5),'2013 E Maize Soil VWC'!$G$2:$G$4000)</f>
        <v>0.32446381497175136</v>
      </c>
      <c r="AM125" s="4" cm="1">
        <f t="array" ref="AM125">_xlfn.XLOOKUP(1,('2013 E Maize Soil VWC'!$C$2:$C$4000=$AA125)*('2013 E Maize Soil VWC'!$E$2:$E$4000=$AB125)*('2013 E Maize Soil VWC'!$F$2:$F$4000=AM$5),'2013 E Maize Soil VWC'!$G$2:$G$4000)</f>
        <v>0.31235058474576266</v>
      </c>
      <c r="AN125" s="4" cm="1">
        <f t="array" ref="AN125">_xlfn.XLOOKUP(1,('2013 E Maize Soil VWC'!$C$2:$C$4000=$AA125)*('2013 E Maize Soil VWC'!$E$2:$E$4000=$AB125)*('2013 E Maize Soil VWC'!$F$2:$F$4000=AN$5),'2013 E Maize Soil VWC'!$G$2:$G$4000)</f>
        <v>0.30894229943502821</v>
      </c>
      <c r="AO125" s="4" cm="1">
        <f t="array" ref="AO125">_xlfn.XLOOKUP(1,('2013 E Maize Soil VWC'!$C$2:$C$4000=$AA125)*('2013 E Maize Soil VWC'!$E$2:$E$4000=$AB125)*('2013 E Maize Soil VWC'!$F$2:$F$4000=AO$5),'2013 E Maize Soil VWC'!$G$2:$G$4000)</f>
        <v>0.30627094067796606</v>
      </c>
      <c r="AP125" s="4" cm="1">
        <f t="array" ref="AP125">_xlfn.XLOOKUP(1,('2013 E Maize Soil VWC'!$C$2:$C$4000=$AA125)*('2013 E Maize Soil VWC'!$E$2:$E$4000=$AB125)*('2013 E Maize Soil VWC'!$F$2:$F$4000=AP$5),'2013 E Maize Soil VWC'!$G$2:$G$4000)</f>
        <v>0.31539040677966101</v>
      </c>
      <c r="AQ125" s="4" cm="1">
        <f t="array" ref="AQ125">_xlfn.XLOOKUP(1,('2013 E Maize Soil VWC'!$C$2:$C$4000=$AA125)*('2013 E Maize Soil VWC'!$E$2:$E$4000=$AB125)*('2013 E Maize Soil VWC'!$F$2:$F$4000=AQ$5),'2013 E Maize Soil VWC'!$G$2:$G$4000)</f>
        <v>0.29038096186440676</v>
      </c>
      <c r="AR125" s="4" cm="1">
        <f t="array" ref="AR125">_xlfn.XLOOKUP(1,('2013 E Maize Soil VWC'!$C$2:$C$4000=$AA125)*('2013 E Maize Soil VWC'!$E$2:$E$4000=$AB125)*('2013 E Maize Soil VWC'!$F$2:$F$4000=AR$5),'2013 E Maize Soil VWC'!$G$2:$G$4000)</f>
        <v>0.26854951271186439</v>
      </c>
      <c r="AS125" s="4" cm="1">
        <f t="array" ref="AS125">_xlfn.XLOOKUP(1,('2013 E Maize Soil VWC'!$C$2:$C$4000=$AA125)*('2013 E Maize Soil VWC'!$E$2:$E$4000=$AB125)*('2013 E Maize Soil VWC'!$F$2:$F$4000=AS$5),'2013 E Maize Soil VWC'!$G$2:$G$4000)</f>
        <v>0.33065860381355933</v>
      </c>
      <c r="AT125" s="4" cm="1">
        <f t="array" ref="AT125">_xlfn.XLOOKUP(1,('2013 E Maize Soil VWC'!$C$2:$C$4000=$AA125)*('2013 E Maize Soil VWC'!$E$2:$E$4000=$AB125)*('2013 E Maize Soil VWC'!$F$2:$F$4000=AT$5),'2013 E Maize Soil VWC'!$G$2:$G$4000)</f>
        <v>0.31727878107344631</v>
      </c>
      <c r="AU125" s="4" cm="1">
        <f t="array" ref="AU125">_xlfn.XLOOKUP(1,('2013 E Maize Soil VWC'!$C$2:$C$4000=$AA125)*('2013 E Maize Soil VWC'!$E$2:$E$4000=$AB125)*('2013 E Maize Soil VWC'!$F$2:$F$4000=AU$5),'2013 E Maize Soil VWC'!$G$2:$G$4000)</f>
        <v>0.32080221115819207</v>
      </c>
      <c r="AV125" s="4" cm="1">
        <f t="array" ref="AV125">_xlfn.XLOOKUP(1,('2013 E Maize Soil VWC'!$C$2:$C$4000=$AA125)*('2013 E Maize Soil VWC'!$E$2:$E$4000=$AB125)*('2013 E Maize Soil VWC'!$F$2:$F$4000=AV$5),'2013 E Maize Soil VWC'!$G$2:$G$4000)</f>
        <v>0.3283787372881356</v>
      </c>
    </row>
    <row r="126" spans="25:64" x14ac:dyDescent="0.25">
      <c r="AA126" s="15">
        <f t="shared" si="19"/>
        <v>41492</v>
      </c>
      <c r="AB126" s="4">
        <f t="shared" si="20"/>
        <v>70</v>
      </c>
      <c r="AC126" s="4" cm="1">
        <f t="array" ref="AC126">_xlfn.XLOOKUP(1,('2013 E Maize Soil VWC'!$C$2:$C$4000=$AA126)*('2013 E Maize Soil VWC'!$E$2:$E$4000=$AB126)*('2013 E Maize Soil VWC'!$F$2:$F$4000=AC$5),'2013 E Maize Soil VWC'!$G$2:$G$4000)</f>
        <v>0.33332996257062147</v>
      </c>
      <c r="AD126" s="4" cm="1">
        <f t="array" ref="AD126">_xlfn.XLOOKUP(1,('2013 E Maize Soil VWC'!$C$2:$C$4000=$AA126)*('2013 E Maize Soil VWC'!$E$2:$E$4000=$AB126)*('2013 E Maize Soil VWC'!$F$2:$F$4000=AD$5),'2013 E Maize Soil VWC'!$G$2:$G$4000)</f>
        <v>0.32688185522598867</v>
      </c>
      <c r="AE126" s="4" cm="1">
        <f t="array" ref="AE126">_xlfn.XLOOKUP(1,('2013 E Maize Soil VWC'!$C$2:$C$4000=$AA126)*('2013 E Maize Soil VWC'!$E$2:$E$4000=$AB126)*('2013 E Maize Soil VWC'!$F$2:$F$4000=AE$5),'2013 E Maize Soil VWC'!$G$2:$G$4000)</f>
        <v>0.30974831285310733</v>
      </c>
      <c r="AF126" s="4" cm="1">
        <f t="array" ref="AF126">_xlfn.XLOOKUP(1,('2013 E Maize Soil VWC'!$C$2:$C$4000=$AA126)*('2013 E Maize Soil VWC'!$E$2:$E$4000=$AB126)*('2013 E Maize Soil VWC'!$F$2:$F$4000=AF$5),'2013 E Maize Soil VWC'!$G$2:$G$4000)</f>
        <v>0.30737633050847457</v>
      </c>
      <c r="AG126" s="4" cm="1">
        <f t="array" ref="AG126">_xlfn.XLOOKUP(1,('2013 E Maize Soil VWC'!$C$2:$C$4000=$AA126)*('2013 E Maize Soil VWC'!$E$2:$E$4000=$AB126)*('2013 E Maize Soil VWC'!$F$2:$F$4000=AG$5),'2013 E Maize Soil VWC'!$G$2:$G$4000)</f>
        <v>0.29556247669491525</v>
      </c>
      <c r="AH126" s="4" cm="1">
        <f t="array" ref="AH126">_xlfn.XLOOKUP(1,('2013 E Maize Soil VWC'!$C$2:$C$4000=$AA126)*('2013 E Maize Soil VWC'!$E$2:$E$4000=$AB126)*('2013 E Maize Soil VWC'!$F$2:$F$4000=AH$5),'2013 E Maize Soil VWC'!$G$2:$G$4000)</f>
        <v>0.29604608474576272</v>
      </c>
      <c r="AI126" s="4" cm="1">
        <f t="array" ref="AI126">_xlfn.XLOOKUP(1,('2013 E Maize Soil VWC'!$C$2:$C$4000=$AA126)*('2013 E Maize Soil VWC'!$E$2:$E$4000=$AB126)*('2013 E Maize Soil VWC'!$F$2:$F$4000=AI$5),'2013 E Maize Soil VWC'!$G$2:$G$4000)</f>
        <v>0.31364020621468924</v>
      </c>
      <c r="AJ126" s="4" cm="1">
        <f t="array" ref="AJ126">_xlfn.XLOOKUP(1,('2013 E Maize Soil VWC'!$C$2:$C$4000=$AA126)*('2013 E Maize Soil VWC'!$E$2:$E$4000=$AB126)*('2013 E Maize Soil VWC'!$F$2:$F$4000=AJ$5),'2013 E Maize Soil VWC'!$G$2:$G$4000)</f>
        <v>0.31649579661016947</v>
      </c>
      <c r="AK126" s="4" cm="1">
        <f t="array" ref="AK126">_xlfn.XLOOKUP(1,('2013 E Maize Soil VWC'!$C$2:$C$4000=$AA126)*('2013 E Maize Soil VWC'!$E$2:$E$4000=$AB126)*('2013 E Maize Soil VWC'!$F$2:$F$4000=AK$5),'2013 E Maize Soil VWC'!$G$2:$G$4000)</f>
        <v>0.29652969279661018</v>
      </c>
      <c r="AL126" s="4" cm="1">
        <f t="array" ref="AL126">_xlfn.XLOOKUP(1,('2013 E Maize Soil VWC'!$C$2:$C$4000=$AA126)*('2013 E Maize Soil VWC'!$E$2:$E$4000=$AB126)*('2013 E Maize Soil VWC'!$F$2:$F$4000=AL$5),'2013 E Maize Soil VWC'!$G$2:$G$4000)</f>
        <v>0.32372688841807912</v>
      </c>
      <c r="AM126" s="4" cm="1">
        <f t="array" ref="AM126">_xlfn.XLOOKUP(1,('2013 E Maize Soil VWC'!$C$2:$C$4000=$AA126)*('2013 E Maize Soil VWC'!$E$2:$E$4000=$AB126)*('2013 E Maize Soil VWC'!$F$2:$F$4000=AM$5),'2013 E Maize Soil VWC'!$G$2:$G$4000)</f>
        <v>0.31826902612994346</v>
      </c>
      <c r="AN126" s="4" cm="1">
        <f t="array" ref="AN126">_xlfn.XLOOKUP(1,('2013 E Maize Soil VWC'!$C$2:$C$4000=$AA126)*('2013 E Maize Soil VWC'!$E$2:$E$4000=$AB126)*('2013 E Maize Soil VWC'!$F$2:$F$4000=AN$5),'2013 E Maize Soil VWC'!$G$2:$G$4000)</f>
        <v>0.31262693220338983</v>
      </c>
      <c r="AO126" s="4" cm="1">
        <f t="array" ref="AO126">_xlfn.XLOOKUP(1,('2013 E Maize Soil VWC'!$C$2:$C$4000=$AA126)*('2013 E Maize Soil VWC'!$E$2:$E$4000=$AB126)*('2013 E Maize Soil VWC'!$F$2:$F$4000=AO$5),'2013 E Maize Soil VWC'!$G$2:$G$4000)</f>
        <v>0.30926470480225987</v>
      </c>
      <c r="AP126" s="4" cm="1">
        <f t="array" ref="AP126">_xlfn.XLOOKUP(1,('2013 E Maize Soil VWC'!$C$2:$C$4000=$AA126)*('2013 E Maize Soil VWC'!$E$2:$E$4000=$AB126)*('2013 E Maize Soil VWC'!$F$2:$F$4000=AP$5),'2013 E Maize Soil VWC'!$G$2:$G$4000)</f>
        <v>0.3139626115819209</v>
      </c>
      <c r="AQ126" s="4" cm="1">
        <f t="array" ref="AQ126">_xlfn.XLOOKUP(1,('2013 E Maize Soil VWC'!$C$2:$C$4000=$AA126)*('2013 E Maize Soil VWC'!$E$2:$E$4000=$AB126)*('2013 E Maize Soil VWC'!$F$2:$F$4000=AQ$5),'2013 E Maize Soil VWC'!$G$2:$G$4000)</f>
        <v>0.2664078199152542</v>
      </c>
      <c r="AR126" s="4" cm="1">
        <f t="array" ref="AR126">_xlfn.XLOOKUP(1,('2013 E Maize Soil VWC'!$C$2:$C$4000=$AA126)*('2013 E Maize Soil VWC'!$E$2:$E$4000=$AB126)*('2013 E Maize Soil VWC'!$F$2:$F$4000=AR$5),'2013 E Maize Soil VWC'!$G$2:$G$4000)</f>
        <v>0.26560180649717513</v>
      </c>
      <c r="AS126" s="4" cm="1">
        <f t="array" ref="AS126">_xlfn.XLOOKUP(1,('2013 E Maize Soil VWC'!$C$2:$C$4000=$AA126)*('2013 E Maize Soil VWC'!$E$2:$E$4000=$AB126)*('2013 E Maize Soil VWC'!$F$2:$F$4000=AS$5),'2013 E Maize Soil VWC'!$G$2:$G$4000)</f>
        <v>0.31099187641242937</v>
      </c>
      <c r="AT126" s="4" cm="1">
        <f t="array" ref="AT126">_xlfn.XLOOKUP(1,('2013 E Maize Soil VWC'!$C$2:$C$4000=$AA126)*('2013 E Maize Soil VWC'!$E$2:$E$4000=$AB126)*('2013 E Maize Soil VWC'!$F$2:$F$4000=AT$5),'2013 E Maize Soil VWC'!$G$2:$G$4000)</f>
        <v>0.32029557415254239</v>
      </c>
      <c r="AU126" s="4" cm="1">
        <f t="array" ref="AU126">_xlfn.XLOOKUP(1,('2013 E Maize Soil VWC'!$C$2:$C$4000=$AA126)*('2013 E Maize Soil VWC'!$E$2:$E$4000=$AB126)*('2013 E Maize Soil VWC'!$F$2:$F$4000=AU$5),'2013 E Maize Soil VWC'!$G$2:$G$4000)</f>
        <v>0.3044746822033898</v>
      </c>
      <c r="AV126" s="4" cm="1">
        <f t="array" ref="AV126">_xlfn.XLOOKUP(1,('2013 E Maize Soil VWC'!$C$2:$C$4000=$AA126)*('2013 E Maize Soil VWC'!$E$2:$E$4000=$AB126)*('2013 E Maize Soil VWC'!$F$2:$F$4000=AV$5),'2013 E Maize Soil VWC'!$G$2:$G$4000)</f>
        <v>0.3268588262711864</v>
      </c>
    </row>
    <row r="127" spans="25:64" x14ac:dyDescent="0.25">
      <c r="AA127" s="15">
        <f t="shared" si="19"/>
        <v>41492</v>
      </c>
      <c r="AB127" s="4">
        <f t="shared" si="20"/>
        <v>90</v>
      </c>
      <c r="AC127" s="4" cm="1">
        <f t="array" ref="AC127">_xlfn.XLOOKUP(1,('2013 E Maize Soil VWC'!$C$2:$C$4000=$AA127)*('2013 E Maize Soil VWC'!$E$2:$E$4000=$AB127)*('2013 E Maize Soil VWC'!$F$2:$F$4000=AC$5),'2013 E Maize Soil VWC'!$G$2:$G$4000)</f>
        <v>0.33777455084745761</v>
      </c>
      <c r="AD127" s="4" cm="1">
        <f t="array" ref="AD127">_xlfn.XLOOKUP(1,('2013 E Maize Soil VWC'!$C$2:$C$4000=$AA127)*('2013 E Maize Soil VWC'!$E$2:$E$4000=$AB127)*('2013 E Maize Soil VWC'!$F$2:$F$4000=AD$5),'2013 E Maize Soil VWC'!$G$2:$G$4000)</f>
        <v>0.33010590889830504</v>
      </c>
      <c r="AE127" s="4" cm="1">
        <f t="array" ref="AE127">_xlfn.XLOOKUP(1,('2013 E Maize Soil VWC'!$C$2:$C$4000=$AA127)*('2013 E Maize Soil VWC'!$E$2:$E$4000=$AB127)*('2013 E Maize Soil VWC'!$F$2:$F$4000=AE$5),'2013 E Maize Soil VWC'!$G$2:$G$4000)</f>
        <v>0.31186697669491525</v>
      </c>
      <c r="AF127" s="4" cm="1">
        <f t="array" ref="AF127">_xlfn.XLOOKUP(1,('2013 E Maize Soil VWC'!$C$2:$C$4000=$AA127)*('2013 E Maize Soil VWC'!$E$2:$E$4000=$AB127)*('2013 E Maize Soil VWC'!$F$2:$F$4000=AF$5),'2013 E Maize Soil VWC'!$G$2:$G$4000)</f>
        <v>0.32658247881355934</v>
      </c>
      <c r="AG127" s="4" cm="1">
        <f t="array" ref="AG127">_xlfn.XLOOKUP(1,('2013 E Maize Soil VWC'!$C$2:$C$4000=$AA127)*('2013 E Maize Soil VWC'!$E$2:$E$4000=$AB127)*('2013 E Maize Soil VWC'!$F$2:$F$4000=AG$5),'2013 E Maize Soil VWC'!$G$2:$G$4000)</f>
        <v>0.29494069491525421</v>
      </c>
      <c r="AH127" s="4" cm="1">
        <f t="array" ref="AH127">_xlfn.XLOOKUP(1,('2013 E Maize Soil VWC'!$C$2:$C$4000=$AA127)*('2013 E Maize Soil VWC'!$E$2:$E$4000=$AB127)*('2013 E Maize Soil VWC'!$F$2:$F$4000=AH$5),'2013 E Maize Soil VWC'!$G$2:$G$4000)</f>
        <v>0.28936768785310729</v>
      </c>
      <c r="AI127" s="4" cm="1">
        <f t="array" ref="AI127">_xlfn.XLOOKUP(1,('2013 E Maize Soil VWC'!$C$2:$C$4000=$AA127)*('2013 E Maize Soil VWC'!$E$2:$E$4000=$AB127)*('2013 E Maize Soil VWC'!$F$2:$F$4000=AI$5),'2013 E Maize Soil VWC'!$G$2:$G$4000)</f>
        <v>0.30979437076271188</v>
      </c>
      <c r="AJ127" s="4" cm="1">
        <f t="array" ref="AJ127">_xlfn.XLOOKUP(1,('2013 E Maize Soil VWC'!$C$2:$C$4000=$AA127)*('2013 E Maize Soil VWC'!$E$2:$E$4000=$AB127)*('2013 E Maize Soil VWC'!$F$2:$F$4000=AJ$5),'2013 E Maize Soil VWC'!$G$2:$G$4000)</f>
        <v>0.32043374788135587</v>
      </c>
      <c r="AK127" s="4" cm="1">
        <f t="array" ref="AK127">_xlfn.XLOOKUP(1,('2013 E Maize Soil VWC'!$C$2:$C$4000=$AA127)*('2013 E Maize Soil VWC'!$E$2:$E$4000=$AB127)*('2013 E Maize Soil VWC'!$F$2:$F$4000=AK$5),'2013 E Maize Soil VWC'!$G$2:$G$4000)</f>
        <v>0.31041615254237287</v>
      </c>
      <c r="AL127" s="4" cm="1">
        <f t="array" ref="AL127">_xlfn.XLOOKUP(1,('2013 E Maize Soil VWC'!$C$2:$C$4000=$AA127)*('2013 E Maize Soil VWC'!$E$2:$E$4000=$AB127)*('2013 E Maize Soil VWC'!$F$2:$F$4000=AL$5),'2013 E Maize Soil VWC'!$G$2:$G$4000)</f>
        <v>0.32658247881355934</v>
      </c>
      <c r="AM127" s="4" cm="1">
        <f t="array" ref="AM127">_xlfn.XLOOKUP(1,('2013 E Maize Soil VWC'!$C$2:$C$4000=$AA127)*('2013 E Maize Soil VWC'!$E$2:$E$4000=$AB127)*('2013 E Maize Soil VWC'!$F$2:$F$4000=AM$5),'2013 E Maize Soil VWC'!$G$2:$G$4000)</f>
        <v>0.33457352612994345</v>
      </c>
      <c r="AN127" s="4" cm="1">
        <f t="array" ref="AN127">_xlfn.XLOOKUP(1,('2013 E Maize Soil VWC'!$C$2:$C$4000=$AA127)*('2013 E Maize Soil VWC'!$E$2:$E$4000=$AB127)*('2013 E Maize Soil VWC'!$F$2:$F$4000=AN$5),'2013 E Maize Soil VWC'!$G$2:$G$4000)</f>
        <v>0.32499348093220337</v>
      </c>
      <c r="AO127" s="4" cm="1">
        <f t="array" ref="AO127">_xlfn.XLOOKUP(1,('2013 E Maize Soil VWC'!$C$2:$C$4000=$AA127)*('2013 E Maize Soil VWC'!$E$2:$E$4000=$AB127)*('2013 E Maize Soil VWC'!$F$2:$F$4000=AO$5),'2013 E Maize Soil VWC'!$G$2:$G$4000)</f>
        <v>0.31898292372881354</v>
      </c>
      <c r="AP127" s="4" cm="1">
        <f t="array" ref="AP127">_xlfn.XLOOKUP(1,('2013 E Maize Soil VWC'!$C$2:$C$4000=$AA127)*('2013 E Maize Soil VWC'!$E$2:$E$4000=$AB127)*('2013 E Maize Soil VWC'!$F$2:$F$4000=AP$5),'2013 E Maize Soil VWC'!$G$2:$G$4000)</f>
        <v>0.31129125282485876</v>
      </c>
      <c r="AQ127" s="4" cm="1">
        <f t="array" ref="AQ127">_xlfn.XLOOKUP(1,('2013 E Maize Soil VWC'!$C$2:$C$4000=$AA127)*('2013 E Maize Soil VWC'!$E$2:$E$4000=$AB127)*('2013 E Maize Soil VWC'!$F$2:$F$4000=AQ$5),'2013 E Maize Soil VWC'!$G$2:$G$4000)</f>
        <v>0.26219352118644063</v>
      </c>
      <c r="AR127" s="4" cm="1">
        <f t="array" ref="AR127">_xlfn.XLOOKUP(1,('2013 E Maize Soil VWC'!$C$2:$C$4000=$AA127)*('2013 E Maize Soil VWC'!$E$2:$E$4000=$AB127)*('2013 E Maize Soil VWC'!$F$2:$F$4000=AR$5),'2013 E Maize Soil VWC'!$G$2:$G$4000)</f>
        <v>0.30645517231638414</v>
      </c>
      <c r="AS127" s="4" cm="1">
        <f t="array" ref="AS127">_xlfn.XLOOKUP(1,('2013 E Maize Soil VWC'!$C$2:$C$4000=$AA127)*('2013 E Maize Soil VWC'!$E$2:$E$4000=$AB127)*('2013 E Maize Soil VWC'!$F$2:$F$4000=AS$5),'2013 E Maize Soil VWC'!$G$2:$G$4000)</f>
        <v>0.31907503954802258</v>
      </c>
      <c r="AT127" s="4" cm="1">
        <f t="array" ref="AT127">_xlfn.XLOOKUP(1,('2013 E Maize Soil VWC'!$C$2:$C$4000=$AA127)*('2013 E Maize Soil VWC'!$E$2:$E$4000=$AB127)*('2013 E Maize Soil VWC'!$F$2:$F$4000=AT$5),'2013 E Maize Soil VWC'!$G$2:$G$4000)</f>
        <v>0.33035922740112988</v>
      </c>
      <c r="AU127" s="4" cm="1">
        <f t="array" ref="AU127">_xlfn.XLOOKUP(1,('2013 E Maize Soil VWC'!$C$2:$C$4000=$AA127)*('2013 E Maize Soil VWC'!$E$2:$E$4000=$AB127)*('2013 E Maize Soil VWC'!$F$2:$F$4000=AU$5),'2013 E Maize Soil VWC'!$G$2:$G$4000)</f>
        <v>0.30942590748587567</v>
      </c>
      <c r="AV127" s="4" cm="1">
        <f t="array" ref="AV127">_xlfn.XLOOKUP(1,('2013 E Maize Soil VWC'!$C$2:$C$4000=$AA127)*('2013 E Maize Soil VWC'!$E$2:$E$4000=$AB127)*('2013 E Maize Soil VWC'!$F$2:$F$4000=AV$5),'2013 E Maize Soil VWC'!$G$2:$G$4000)</f>
        <v>0.32798724505649718</v>
      </c>
    </row>
    <row r="128" spans="25:64" x14ac:dyDescent="0.25">
      <c r="AA128" s="15">
        <f t="shared" si="19"/>
        <v>41492</v>
      </c>
      <c r="AB128" s="4">
        <f t="shared" si="20"/>
        <v>110</v>
      </c>
      <c r="AC128" s="4" cm="1">
        <f t="array" ref="AC128">_xlfn.XLOOKUP(1,('2013 E Maize Soil VWC'!$C$2:$C$4000=$AA128)*('2013 E Maize Soil VWC'!$E$2:$E$4000=$AB128)*('2013 E Maize Soil VWC'!$F$2:$F$4000=AC$5),'2013 E Maize Soil VWC'!$G$2:$G$4000)</f>
        <v>0.33968595409604518</v>
      </c>
      <c r="AD128" s="4" cm="1">
        <f t="array" ref="AD128">_xlfn.XLOOKUP(1,('2013 E Maize Soil VWC'!$C$2:$C$4000=$AA128)*('2013 E Maize Soil VWC'!$E$2:$E$4000=$AB128)*('2013 E Maize Soil VWC'!$F$2:$F$4000=AD$5),'2013 E Maize Soil VWC'!$G$2:$G$4000)</f>
        <v>0.33597829237288135</v>
      </c>
      <c r="AE128" s="4" cm="1">
        <f t="array" ref="AE128">_xlfn.XLOOKUP(1,('2013 E Maize Soil VWC'!$C$2:$C$4000=$AA128)*('2013 E Maize Soil VWC'!$E$2:$E$4000=$AB128)*('2013 E Maize Soil VWC'!$F$2:$F$4000=AE$5),'2013 E Maize Soil VWC'!$G$2:$G$4000)</f>
        <v>0.3216082245762712</v>
      </c>
      <c r="AF128" s="4" cm="1">
        <f t="array" ref="AF128">_xlfn.XLOOKUP(1,('2013 E Maize Soil VWC'!$C$2:$C$4000=$AA128)*('2013 E Maize Soil VWC'!$E$2:$E$4000=$AB128)*('2013 E Maize Soil VWC'!$F$2:$F$4000=AF$5),'2013 E Maize Soil VWC'!$G$2:$G$4000)</f>
        <v>0.33729094279661015</v>
      </c>
      <c r="AG128" s="4" cm="1">
        <f t="array" ref="AG128">_xlfn.XLOOKUP(1,('2013 E Maize Soil VWC'!$C$2:$C$4000=$AA128)*('2013 E Maize Soil VWC'!$E$2:$E$4000=$AB128)*('2013 E Maize Soil VWC'!$F$2:$F$4000=AG$5),'2013 E Maize Soil VWC'!$G$2:$G$4000)</f>
        <v>0.31686425988700562</v>
      </c>
      <c r="AH128" s="4" cm="1">
        <f t="array" ref="AH128">_xlfn.XLOOKUP(1,('2013 E Maize Soil VWC'!$C$2:$C$4000=$AA128)*('2013 E Maize Soil VWC'!$E$2:$E$4000=$AB128)*('2013 E Maize Soil VWC'!$F$2:$F$4000=AH$5),'2013 E Maize Soil VWC'!$G$2:$G$4000)</f>
        <v>0.31133731073446325</v>
      </c>
      <c r="AI128" s="4" cm="1">
        <f t="array" ref="AI128">_xlfn.XLOOKUP(1,('2013 E Maize Soil VWC'!$C$2:$C$4000=$AA128)*('2013 E Maize Soil VWC'!$E$2:$E$4000=$AB128)*('2013 E Maize Soil VWC'!$F$2:$F$4000=AI$5),'2013 E Maize Soil VWC'!$G$2:$G$4000)</f>
        <v>0.33247789124293781</v>
      </c>
      <c r="AJ128" s="4" cm="1">
        <f t="array" ref="AJ128">_xlfn.XLOOKUP(1,('2013 E Maize Soil VWC'!$C$2:$C$4000=$AA128)*('2013 E Maize Soil VWC'!$E$2:$E$4000=$AB128)*('2013 E Maize Soil VWC'!$F$2:$F$4000=AJ$5),'2013 E Maize Soil VWC'!$G$2:$G$4000)</f>
        <v>0.33860359322033895</v>
      </c>
      <c r="AK128" s="4" cm="1">
        <f t="array" ref="AK128">_xlfn.XLOOKUP(1,('2013 E Maize Soil VWC'!$C$2:$C$4000=$AA128)*('2013 E Maize Soil VWC'!$E$2:$E$4000=$AB128)*('2013 E Maize Soil VWC'!$F$2:$F$4000=AK$5),'2013 E Maize Soil VWC'!$G$2:$G$4000)</f>
        <v>0.32531588629943503</v>
      </c>
      <c r="AL128" s="4" cm="1">
        <f t="array" ref="AL128">_xlfn.XLOOKUP(1,('2013 E Maize Soil VWC'!$C$2:$C$4000=$AA128)*('2013 E Maize Soil VWC'!$E$2:$E$4000=$AB128)*('2013 E Maize Soil VWC'!$F$2:$F$4000=AL$5),'2013 E Maize Soil VWC'!$G$2:$G$4000)</f>
        <v>0.33077374858757058</v>
      </c>
      <c r="AM128" s="4" cm="1">
        <f t="array" ref="AM128">_xlfn.XLOOKUP(1,('2013 E Maize Soil VWC'!$C$2:$C$4000=$AA128)*('2013 E Maize Soil VWC'!$E$2:$E$4000=$AB128)*('2013 E Maize Soil VWC'!$F$2:$F$4000=AM$5),'2013 E Maize Soil VWC'!$G$2:$G$4000)</f>
        <v>0.32582252330508477</v>
      </c>
      <c r="AN128" s="4" cm="1">
        <f t="array" ref="AN128">_xlfn.XLOOKUP(1,('2013 E Maize Soil VWC'!$C$2:$C$4000=$AA128)*('2013 E Maize Soil VWC'!$E$2:$E$4000=$AB128)*('2013 E Maize Soil VWC'!$F$2:$F$4000=AN$5),'2013 E Maize Soil VWC'!$G$2:$G$4000)</f>
        <v>0.33745214548022595</v>
      </c>
      <c r="AO128" s="4" cm="1">
        <f t="array" ref="AO128">_xlfn.XLOOKUP(1,('2013 E Maize Soil VWC'!$C$2:$C$4000=$AA128)*('2013 E Maize Soil VWC'!$E$2:$E$4000=$AB128)*('2013 E Maize Soil VWC'!$F$2:$F$4000=AO$5),'2013 E Maize Soil VWC'!$G$2:$G$4000)</f>
        <v>0.34231125494350284</v>
      </c>
      <c r="AP128" s="4" cm="1">
        <f t="array" ref="AP128">_xlfn.XLOOKUP(1,('2013 E Maize Soil VWC'!$C$2:$C$4000=$AA128)*('2013 E Maize Soil VWC'!$E$2:$E$4000=$AB128)*('2013 E Maize Soil VWC'!$F$2:$F$4000=AP$5),'2013 E Maize Soil VWC'!$G$2:$G$4000)</f>
        <v>0.32704305790960453</v>
      </c>
      <c r="AQ128" s="4" cm="1">
        <f t="array" ref="AQ128">_xlfn.XLOOKUP(1,('2013 E Maize Soil VWC'!$C$2:$C$4000=$AA128)*('2013 E Maize Soil VWC'!$E$2:$E$4000=$AB128)*('2013 E Maize Soil VWC'!$F$2:$F$4000=AQ$5),'2013 E Maize Soil VWC'!$G$2:$G$4000)</f>
        <v>0.29540127401129945</v>
      </c>
      <c r="AR128" s="4" cm="1">
        <f t="array" ref="AR128">_xlfn.XLOOKUP(1,('2013 E Maize Soil VWC'!$C$2:$C$4000=$AA128)*('2013 E Maize Soil VWC'!$E$2:$E$4000=$AB128)*('2013 E Maize Soil VWC'!$F$2:$F$4000=AR$5),'2013 E Maize Soil VWC'!$G$2:$G$4000)</f>
        <v>0.30148091807909599</v>
      </c>
      <c r="AS128" s="4" cm="1">
        <f t="array" ref="AS128">_xlfn.XLOOKUP(1,('2013 E Maize Soil VWC'!$C$2:$C$4000=$AA128)*('2013 E Maize Soil VWC'!$E$2:$E$4000=$AB128)*('2013 E Maize Soil VWC'!$F$2:$F$4000=AS$5),'2013 E Maize Soil VWC'!$G$2:$G$4000)</f>
        <v>0.3331457309322034</v>
      </c>
      <c r="AT128" s="4" cm="1">
        <f t="array" ref="AT128">_xlfn.XLOOKUP(1,('2013 E Maize Soil VWC'!$C$2:$C$4000=$AA128)*('2013 E Maize Soil VWC'!$E$2:$E$4000=$AB128)*('2013 E Maize Soil VWC'!$F$2:$F$4000=AT$5),'2013 E Maize Soil VWC'!$G$2:$G$4000)</f>
        <v>0.33701459533898304</v>
      </c>
      <c r="AU128" s="4" cm="1">
        <f t="array" ref="AU128">_xlfn.XLOOKUP(1,('2013 E Maize Soil VWC'!$C$2:$C$4000=$AA128)*('2013 E Maize Soil VWC'!$E$2:$E$4000=$AB128)*('2013 E Maize Soil VWC'!$F$2:$F$4000=AU$5),'2013 E Maize Soil VWC'!$G$2:$G$4000)</f>
        <v>0.33353722316384182</v>
      </c>
      <c r="AV128" s="4" cm="1">
        <f t="array" ref="AV128">_xlfn.XLOOKUP(1,('2013 E Maize Soil VWC'!$C$2:$C$4000=$AA128)*('2013 E Maize Soil VWC'!$E$2:$E$4000=$AB128)*('2013 E Maize Soil VWC'!$F$2:$F$4000=AV$5),'2013 E Maize Soil VWC'!$G$2:$G$4000)</f>
        <v>0.32819450564971747</v>
      </c>
    </row>
    <row r="129" spans="25:64" x14ac:dyDescent="0.25">
      <c r="AA129" s="15">
        <f t="shared" si="19"/>
        <v>41492</v>
      </c>
      <c r="AB129" s="4">
        <f t="shared" si="20"/>
        <v>130</v>
      </c>
      <c r="AC129" s="4" cm="1">
        <f t="array" ref="AC129">_xlfn.XLOOKUP(1,('2013 E Maize Soil VWC'!$C$2:$C$4000=$AA129)*('2013 E Maize Soil VWC'!$E$2:$E$4000=$AB129)*('2013 E Maize Soil VWC'!$F$2:$F$4000=AC$5),'2013 E Maize Soil VWC'!$G$2:$G$4000)</f>
        <v>0.31443521892655368</v>
      </c>
      <c r="AD129" s="4" cm="1">
        <f t="array" ref="AD129">_xlfn.XLOOKUP(1,('2013 E Maize Soil VWC'!$C$2:$C$4000=$AA129)*('2013 E Maize Soil VWC'!$E$2:$E$4000=$AB129)*('2013 E Maize Soil VWC'!$F$2:$F$4000=AD$5),'2013 E Maize Soil VWC'!$G$2:$G$4000)</f>
        <v>0.30599815042372885</v>
      </c>
      <c r="AE129" s="4" cm="1">
        <f t="array" ref="AE129">_xlfn.XLOOKUP(1,('2013 E Maize Soil VWC'!$C$2:$C$4000=$AA129)*('2013 E Maize Soil VWC'!$E$2:$E$4000=$AB129)*('2013 E Maize Soil VWC'!$F$2:$F$4000=AE$5),'2013 E Maize Soil VWC'!$G$2:$G$4000)</f>
        <v>0.301730677259887</v>
      </c>
      <c r="AF129" s="4" cm="1">
        <f t="array" ref="AF129">_xlfn.XLOOKUP(1,('2013 E Maize Soil VWC'!$C$2:$C$4000=$AA129)*('2013 E Maize Soil VWC'!$E$2:$E$4000=$AB129)*('2013 E Maize Soil VWC'!$F$2:$F$4000=AF$5),'2013 E Maize Soil VWC'!$G$2:$G$4000)</f>
        <v>0.30936514759887007</v>
      </c>
      <c r="AG129" s="4" cm="1">
        <f t="array" ref="AG129">_xlfn.XLOOKUP(1,('2013 E Maize Soil VWC'!$C$2:$C$4000=$AA129)*('2013 E Maize Soil VWC'!$E$2:$E$4000=$AB129)*('2013 E Maize Soil VWC'!$F$2:$F$4000=AG$5),'2013 E Maize Soil VWC'!$G$2:$G$4000)</f>
        <v>0.31357389406779662</v>
      </c>
      <c r="AH129" s="4" cm="1">
        <f t="array" ref="AH129">_xlfn.XLOOKUP(1,('2013 E Maize Soil VWC'!$C$2:$C$4000=$AA129)*('2013 E Maize Soil VWC'!$E$2:$E$4000=$AB129)*('2013 E Maize Soil VWC'!$F$2:$F$4000=AH$5),'2013 E Maize Soil VWC'!$G$2:$G$4000)</f>
        <v>0.29664103036723166</v>
      </c>
      <c r="AI129" s="4" cm="1">
        <f t="array" ref="AI129">_xlfn.XLOOKUP(1,('2013 E Maize Soil VWC'!$C$2:$C$4000=$AA129)*('2013 E Maize Soil VWC'!$E$2:$E$4000=$AB129)*('2013 E Maize Soil VWC'!$F$2:$F$4000=AI$5),'2013 E Maize Soil VWC'!$G$2:$G$4000)</f>
        <v>0.30654626624293785</v>
      </c>
      <c r="AJ129" s="4" cm="1">
        <f t="array" ref="AJ129">_xlfn.XLOOKUP(1,('2013 E Maize Soil VWC'!$C$2:$C$4000=$AA129)*('2013 E Maize Soil VWC'!$E$2:$E$4000=$AB129)*('2013 E Maize Soil VWC'!$F$2:$F$4000=AJ$5),'2013 E Maize Soil VWC'!$G$2:$G$4000)</f>
        <v>0.34049029590395485</v>
      </c>
      <c r="AK129" s="4" cm="1">
        <f t="array" ref="AK129">_xlfn.XLOOKUP(1,('2013 E Maize Soil VWC'!$C$2:$C$4000=$AA129)*('2013 E Maize Soil VWC'!$E$2:$E$4000=$AB129)*('2013 E Maize Soil VWC'!$F$2:$F$4000=AK$5),'2013 E Maize Soil VWC'!$G$2:$G$4000)</f>
        <v>0.29540776977401129</v>
      </c>
      <c r="AL129" s="4" cm="1">
        <f t="array" ref="AL129">_xlfn.XLOOKUP(1,('2013 E Maize Soil VWC'!$C$2:$C$4000=$AA129)*('2013 E Maize Soil VWC'!$E$2:$E$4000=$AB129)*('2013 E Maize Soil VWC'!$F$2:$F$4000=AL$5),'2013 E Maize Soil VWC'!$G$2:$G$4000)</f>
        <v>0.31149888418079097</v>
      </c>
      <c r="AM129" s="4" cm="1">
        <f t="array" ref="AM129">_xlfn.XLOOKUP(1,('2013 E Maize Soil VWC'!$C$2:$C$4000=$AA129)*('2013 E Maize Soil VWC'!$E$2:$E$4000=$AB129)*('2013 E Maize Soil VWC'!$F$2:$F$4000=AM$5),'2013 E Maize Soil VWC'!$G$2:$G$4000)</f>
        <v>0.30801443361581921</v>
      </c>
      <c r="AN129" s="4" cm="1">
        <f t="array" ref="AN129">_xlfn.XLOOKUP(1,('2013 E Maize Soil VWC'!$C$2:$C$4000=$AA129)*('2013 E Maize Soil VWC'!$E$2:$E$4000=$AB129)*('2013 E Maize Soil VWC'!$F$2:$F$4000=AN$5),'2013 E Maize Soil VWC'!$G$2:$G$4000)</f>
        <v>0.29192331920903958</v>
      </c>
      <c r="AO129" s="4" cm="1">
        <f t="array" ref="AO129">_xlfn.XLOOKUP(1,('2013 E Maize Soil VWC'!$C$2:$C$4000=$AA129)*('2013 E Maize Soil VWC'!$E$2:$E$4000=$AB129)*('2013 E Maize Soil VWC'!$F$2:$F$4000=AO$5),'2013 E Maize Soil VWC'!$G$2:$G$4000)</f>
        <v>0.32686570268361587</v>
      </c>
      <c r="AP129" s="4" cm="1">
        <f t="array" ref="AP129">_xlfn.XLOOKUP(1,('2013 E Maize Soil VWC'!$C$2:$C$4000=$AA129)*('2013 E Maize Soil VWC'!$E$2:$E$4000=$AB129)*('2013 E Maize Soil VWC'!$F$2:$F$4000=AP$5),'2013 E Maize Soil VWC'!$G$2:$G$4000)</f>
        <v>0.312281906779661</v>
      </c>
      <c r="AQ129" s="4" cm="1">
        <f t="array" ref="AQ129">_xlfn.XLOOKUP(1,('2013 E Maize Soil VWC'!$C$2:$C$4000=$AA129)*('2013 E Maize Soil VWC'!$E$2:$E$4000=$AB129)*('2013 E Maize Soil VWC'!$F$2:$F$4000=AQ$5),'2013 E Maize Soil VWC'!$G$2:$G$4000)</f>
        <v>0.30084977683615821</v>
      </c>
      <c r="AR129" s="4" cm="1">
        <f t="array" ref="AR129">_xlfn.XLOOKUP(1,('2013 E Maize Soil VWC'!$C$2:$C$4000=$AA129)*('2013 E Maize Soil VWC'!$E$2:$E$4000=$AB129)*('2013 E Maize Soil VWC'!$F$2:$F$4000=AR$5),'2013 E Maize Soil VWC'!$G$2:$G$4000)</f>
        <v>0.32786405649717515</v>
      </c>
      <c r="AS129" s="4" cm="1">
        <f t="array" ref="AS129">_xlfn.XLOOKUP(1,('2013 E Maize Soil VWC'!$C$2:$C$4000=$AA129)*('2013 E Maize Soil VWC'!$E$2:$E$4000=$AB129)*('2013 E Maize Soil VWC'!$F$2:$F$4000=AS$5),'2013 E Maize Soil VWC'!$G$2:$G$4000)</f>
        <v>0.31281044703389832</v>
      </c>
      <c r="AT129" s="4" cm="1">
        <f t="array" ref="AT129">_xlfn.XLOOKUP(1,('2013 E Maize Soil VWC'!$C$2:$C$4000=$AA129)*('2013 E Maize Soil VWC'!$E$2:$E$4000=$AB129)*('2013 E Maize Soil VWC'!$F$2:$F$4000=AT$5),'2013 E Maize Soil VWC'!$G$2:$G$4000)</f>
        <v>0.30803400918079099</v>
      </c>
      <c r="AU129" s="4" cm="1">
        <f t="array" ref="AU129">_xlfn.XLOOKUP(1,('2013 E Maize Soil VWC'!$C$2:$C$4000=$AA129)*('2013 E Maize Soil VWC'!$E$2:$E$4000=$AB129)*('2013 E Maize Soil VWC'!$F$2:$F$4000=AU$5),'2013 E Maize Soil VWC'!$G$2:$G$4000)</f>
        <v>0.30024293432203392</v>
      </c>
      <c r="AV129" s="4" cm="1">
        <f t="array" ref="AV129">_xlfn.XLOOKUP(1,('2013 E Maize Soil VWC'!$C$2:$C$4000=$AA129)*('2013 E Maize Soil VWC'!$E$2:$E$4000=$AB129)*('2013 E Maize Soil VWC'!$F$2:$F$4000=AV$5),'2013 E Maize Soil VWC'!$G$2:$G$4000)</f>
        <v>0.29583843220338985</v>
      </c>
    </row>
    <row r="130" spans="25:64" x14ac:dyDescent="0.25">
      <c r="AA130" s="15">
        <f t="shared" si="19"/>
        <v>41492</v>
      </c>
      <c r="AB130" s="4">
        <f t="shared" si="20"/>
        <v>150</v>
      </c>
      <c r="AC130" s="4" cm="1">
        <f t="array" ref="AC130">_xlfn.XLOOKUP(1,('2013 E Maize Soil VWC'!$C$2:$C$4000=$AA130)*('2013 E Maize Soil VWC'!$E$2:$E$4000=$AB130)*('2013 E Maize Soil VWC'!$F$2:$F$4000=AC$5),'2013 E Maize Soil VWC'!$G$2:$G$4000)</f>
        <v>0.33189662288135596</v>
      </c>
      <c r="AD130" s="4" cm="1">
        <f t="array" ref="AD130">_xlfn.XLOOKUP(1,('2013 E Maize Soil VWC'!$C$2:$C$4000=$AA130)*('2013 E Maize Soil VWC'!$E$2:$E$4000=$AB130)*('2013 E Maize Soil VWC'!$F$2:$F$4000=AD$5),'2013 E Maize Soil VWC'!$G$2:$G$4000)</f>
        <v>0.32882325918079097</v>
      </c>
      <c r="AE130" s="4" cm="1">
        <f t="array" ref="AE130">_xlfn.XLOOKUP(1,('2013 E Maize Soil VWC'!$C$2:$C$4000=$AA130)*('2013 E Maize Soil VWC'!$E$2:$E$4000=$AB130)*('2013 E Maize Soil VWC'!$F$2:$F$4000=AE$5),'2013 E Maize Soil VWC'!$G$2:$G$4000)</f>
        <v>0.30212218855932205</v>
      </c>
      <c r="AF130" s="4" cm="1">
        <f t="array" ref="AF130">_xlfn.XLOOKUP(1,('2013 E Maize Soil VWC'!$C$2:$C$4000=$AA130)*('2013 E Maize Soil VWC'!$E$2:$E$4000=$AB130)*('2013 E Maize Soil VWC'!$F$2:$F$4000=AF$5),'2013 E Maize Soil VWC'!$G$2:$G$4000)</f>
        <v>0.29294124858757059</v>
      </c>
      <c r="AG130" s="4" cm="1">
        <f t="array" ref="AG130">_xlfn.XLOOKUP(1,('2013 E Maize Soil VWC'!$C$2:$C$4000=$AA130)*('2013 E Maize Soil VWC'!$E$2:$E$4000=$AB130)*('2013 E Maize Soil VWC'!$F$2:$F$4000=AG$5),'2013 E Maize Soil VWC'!$G$2:$G$4000)</f>
        <v>0.35172667019774012</v>
      </c>
      <c r="AH130" s="4" cm="1">
        <f t="array" ref="AH130">_xlfn.XLOOKUP(1,('2013 E Maize Soil VWC'!$C$2:$C$4000=$AA130)*('2013 E Maize Soil VWC'!$E$2:$E$4000=$AB130)*('2013 E Maize Soil VWC'!$F$2:$F$4000=AH$5),'2013 E Maize Soil VWC'!$G$2:$G$4000)</f>
        <v>0.3397855755649718</v>
      </c>
      <c r="AI130" s="4" cm="1">
        <f t="array" ref="AI130">_xlfn.XLOOKUP(1,('2013 E Maize Soil VWC'!$C$2:$C$4000=$AA130)*('2013 E Maize Soil VWC'!$E$2:$E$4000=$AB130)*('2013 E Maize Soil VWC'!$F$2:$F$4000=AI$5),'2013 E Maize Soil VWC'!$G$2:$G$4000)</f>
        <v>0.32338125211864405</v>
      </c>
      <c r="AJ130" s="4" cm="1">
        <f t="array" ref="AJ130">_xlfn.XLOOKUP(1,('2013 E Maize Soil VWC'!$C$2:$C$4000=$AA130)*('2013 E Maize Soil VWC'!$E$2:$E$4000=$AB130)*('2013 E Maize Soil VWC'!$F$2:$F$4000=AJ$5),'2013 E Maize Soil VWC'!$G$2:$G$4000)</f>
        <v>0.3391200063559322</v>
      </c>
      <c r="AK130" s="4" cm="1">
        <f t="array" ref="AK130">_xlfn.XLOOKUP(1,('2013 E Maize Soil VWC'!$C$2:$C$4000=$AA130)*('2013 E Maize Soil VWC'!$E$2:$E$4000=$AB130)*('2013 E Maize Soil VWC'!$F$2:$F$4000=AK$5),'2013 E Maize Soil VWC'!$G$2:$G$4000)</f>
        <v>0.32653291807909607</v>
      </c>
      <c r="AL130" s="4" cm="1">
        <f t="array" ref="AL130">_xlfn.XLOOKUP(1,('2013 E Maize Soil VWC'!$C$2:$C$4000=$AA130)*('2013 E Maize Soil VWC'!$E$2:$E$4000=$AB130)*('2013 E Maize Soil VWC'!$F$2:$F$4000=AL$5),'2013 E Maize Soil VWC'!$G$2:$G$4000)</f>
        <v>0.33982472669491531</v>
      </c>
      <c r="AM130" s="4" cm="1">
        <f t="array" ref="AM130">_xlfn.XLOOKUP(1,('2013 E Maize Soil VWC'!$C$2:$C$4000=$AA130)*('2013 E Maize Soil VWC'!$E$2:$E$4000=$AB130)*('2013 E Maize Soil VWC'!$F$2:$F$4000=AM$5),'2013 E Maize Soil VWC'!$G$2:$G$4000)</f>
        <v>0.33244473870056496</v>
      </c>
      <c r="AN130" s="4" cm="1">
        <f t="array" ref="AN130">_xlfn.XLOOKUP(1,('2013 E Maize Soil VWC'!$C$2:$C$4000=$AA130)*('2013 E Maize Soil VWC'!$E$2:$E$4000=$AB130)*('2013 E Maize Soil VWC'!$F$2:$F$4000=AN$5),'2013 E Maize Soil VWC'!$G$2:$G$4000)</f>
        <v>0.33473507980225992</v>
      </c>
      <c r="AO130" s="4" cm="1">
        <f t="array" ref="AO130">_xlfn.XLOOKUP(1,('2013 E Maize Soil VWC'!$C$2:$C$4000=$AA130)*('2013 E Maize Soil VWC'!$E$2:$E$4000=$AB130)*('2013 E Maize Soil VWC'!$F$2:$F$4000=AO$5),'2013 E Maize Soil VWC'!$G$2:$G$4000)</f>
        <v>0.31513993926553674</v>
      </c>
      <c r="AP130" s="4" cm="1">
        <f t="array" ref="AP130">_xlfn.XLOOKUP(1,('2013 E Maize Soil VWC'!$C$2:$C$4000=$AA130)*('2013 E Maize Soil VWC'!$E$2:$E$4000=$AB130)*('2013 E Maize Soil VWC'!$F$2:$F$4000=AP$5),'2013 E Maize Soil VWC'!$G$2:$G$4000)</f>
        <v>0.30225921751412432</v>
      </c>
      <c r="AQ130" s="4" cm="1">
        <f t="array" ref="AQ130">_xlfn.XLOOKUP(1,('2013 E Maize Soil VWC'!$C$2:$C$4000=$AA130)*('2013 E Maize Soil VWC'!$E$2:$E$4000=$AB130)*('2013 E Maize Soil VWC'!$F$2:$F$4000=AQ$5),'2013 E Maize Soil VWC'!$G$2:$G$4000)</f>
        <v>0.33594876483050851</v>
      </c>
      <c r="AR130" s="4" cm="1">
        <f t="array" ref="AR130">_xlfn.XLOOKUP(1,('2013 E Maize Soil VWC'!$C$2:$C$4000=$AA130)*('2013 E Maize Soil VWC'!$E$2:$E$4000=$AB130)*('2013 E Maize Soil VWC'!$F$2:$F$4000=AR$5),'2013 E Maize Soil VWC'!$G$2:$G$4000)</f>
        <v>0.32831429449152544</v>
      </c>
      <c r="AS130" s="4" cm="1">
        <f t="array" ref="AS130">_xlfn.XLOOKUP(1,('2013 E Maize Soil VWC'!$C$2:$C$4000=$AA130)*('2013 E Maize Soil VWC'!$E$2:$E$4000=$AB130)*('2013 E Maize Soil VWC'!$F$2:$F$4000=AS$5),'2013 E Maize Soil VWC'!$G$2:$G$4000)</f>
        <v>0.31308450494350282</v>
      </c>
      <c r="AT130" s="4" cm="1">
        <f t="array" ref="AT130">_xlfn.XLOOKUP(1,('2013 E Maize Soil VWC'!$C$2:$C$4000=$AA130)*('2013 E Maize Soil VWC'!$E$2:$E$4000=$AB130)*('2013 E Maize Soil VWC'!$F$2:$F$4000=AT$5),'2013 E Maize Soil VWC'!$G$2:$G$4000)</f>
        <v>0.3244187570621469</v>
      </c>
      <c r="AU130" s="4" cm="1">
        <f t="array" ref="AU130">_xlfn.XLOOKUP(1,('2013 E Maize Soil VWC'!$C$2:$C$4000=$AA130)*('2013 E Maize Soil VWC'!$E$2:$E$4000=$AB130)*('2013 E Maize Soil VWC'!$F$2:$F$4000=AU$5),'2013 E Maize Soil VWC'!$G$2:$G$4000)</f>
        <v>0.32896028813559325</v>
      </c>
      <c r="AV130" s="4" cm="1">
        <f t="array" ref="AV130">_xlfn.XLOOKUP(1,('2013 E Maize Soil VWC'!$C$2:$C$4000=$AA130)*('2013 E Maize Soil VWC'!$E$2:$E$4000=$AB130)*('2013 E Maize Soil VWC'!$F$2:$F$4000=AV$5),'2013 E Maize Soil VWC'!$G$2:$G$4000)</f>
        <v>0.3389634018361582</v>
      </c>
    </row>
    <row r="131" spans="25:64" x14ac:dyDescent="0.25">
      <c r="AA131" s="15">
        <f t="shared" si="19"/>
        <v>41492</v>
      </c>
      <c r="AB131" s="4">
        <f t="shared" si="20"/>
        <v>170</v>
      </c>
      <c r="AC131" s="4" cm="1">
        <f t="array" ref="AC131">_xlfn.XLOOKUP(1,('2013 E Maize Soil VWC'!$C$2:$C$4000=$AA131)*('2013 E Maize Soil VWC'!$E$2:$E$4000=$AB131)*('2013 E Maize Soil VWC'!$F$2:$F$4000=AC$5),'2013 E Maize Soil VWC'!$G$2:$G$4000)</f>
        <v>0.26995953531073447</v>
      </c>
      <c r="AD131" s="4" cm="1">
        <f t="array" ref="AD131">_xlfn.XLOOKUP(1,('2013 E Maize Soil VWC'!$C$2:$C$4000=$AA131)*('2013 E Maize Soil VWC'!$E$2:$E$4000=$AB131)*('2013 E Maize Soil VWC'!$F$2:$F$4000=AD$5),'2013 E Maize Soil VWC'!$G$2:$G$4000)</f>
        <v>0.26661211370056498</v>
      </c>
      <c r="AE131" s="4" cm="1">
        <f t="array" ref="AE131">_xlfn.XLOOKUP(1,('2013 E Maize Soil VWC'!$C$2:$C$4000=$AA131)*('2013 E Maize Soil VWC'!$E$2:$E$4000=$AB131)*('2013 E Maize Soil VWC'!$F$2:$F$4000=AE$5),'2013 E Maize Soil VWC'!$G$2:$G$4000)</f>
        <v>0.28430842443502824</v>
      </c>
      <c r="AF131" s="4" cm="1">
        <f t="array" ref="AF131">_xlfn.XLOOKUP(1,('2013 E Maize Soil VWC'!$C$2:$C$4000=$AA131)*('2013 E Maize Soil VWC'!$E$2:$E$4000=$AB131)*('2013 E Maize Soil VWC'!$F$2:$F$4000=AF$5),'2013 E Maize Soil VWC'!$G$2:$G$4000)</f>
        <v>0.28836056638418078</v>
      </c>
      <c r="AG131" s="4" cm="1">
        <f t="array" ref="AG131">_xlfn.XLOOKUP(1,('2013 E Maize Soil VWC'!$C$2:$C$4000=$AA131)*('2013 E Maize Soil VWC'!$E$2:$E$4000=$AB131)*('2013 E Maize Soil VWC'!$F$2:$F$4000=AG$5),'2013 E Maize Soil VWC'!$G$2:$G$4000)</f>
        <v>0.32050364406779663</v>
      </c>
      <c r="AH131" s="4" cm="1">
        <f t="array" ref="AH131">_xlfn.XLOOKUP(1,('2013 E Maize Soil VWC'!$C$2:$C$4000=$AA131)*('2013 E Maize Soil VWC'!$E$2:$E$4000=$AB131)*('2013 E Maize Soil VWC'!$F$2:$F$4000=AH$5),'2013 E Maize Soil VWC'!$G$2:$G$4000)</f>
        <v>0.32621970903954806</v>
      </c>
      <c r="AI131" s="4" cm="1">
        <f t="array" ref="AI131">_xlfn.XLOOKUP(1,('2013 E Maize Soil VWC'!$C$2:$C$4000=$AA131)*('2013 E Maize Soil VWC'!$E$2:$E$4000=$AB131)*('2013 E Maize Soil VWC'!$F$2:$F$4000=AI$5),'2013 E Maize Soil VWC'!$G$2:$G$4000)</f>
        <v>0.2928825218926554</v>
      </c>
      <c r="AJ131" s="4" cm="1">
        <f t="array" ref="AJ131">_xlfn.XLOOKUP(1,('2013 E Maize Soil VWC'!$C$2:$C$4000=$AA131)*('2013 E Maize Soil VWC'!$E$2:$E$4000=$AB131)*('2013 E Maize Soil VWC'!$F$2:$F$4000=AJ$5),'2013 E Maize Soil VWC'!$G$2:$G$4000)</f>
        <v>0.30826891596045203</v>
      </c>
      <c r="AK131" s="4" cm="1">
        <f t="array" ref="AK131">_xlfn.XLOOKUP(1,('2013 E Maize Soil VWC'!$C$2:$C$4000=$AA131)*('2013 E Maize Soil VWC'!$E$2:$E$4000=$AB131)*('2013 E Maize Soil VWC'!$F$2:$F$4000=AK$5),'2013 E Maize Soil VWC'!$G$2:$G$4000)</f>
        <v>0.29781556426553674</v>
      </c>
      <c r="AL131" s="4" cm="1">
        <f t="array" ref="AL131">_xlfn.XLOOKUP(1,('2013 E Maize Soil VWC'!$C$2:$C$4000=$AA131)*('2013 E Maize Soil VWC'!$E$2:$E$4000=$AB131)*('2013 E Maize Soil VWC'!$F$2:$F$4000=AL$5),'2013 E Maize Soil VWC'!$G$2:$G$4000)</f>
        <v>0.30713353319209041</v>
      </c>
      <c r="AM131" s="4" cm="1">
        <f t="array" ref="AM131">_xlfn.XLOOKUP(1,('2013 E Maize Soil VWC'!$C$2:$C$4000=$AA131)*('2013 E Maize Soil VWC'!$E$2:$E$4000=$AB131)*('2013 E Maize Soil VWC'!$F$2:$F$4000=AM$5),'2013 E Maize Soil VWC'!$G$2:$G$4000)</f>
        <v>0.32265695621468926</v>
      </c>
      <c r="AN131" s="4" cm="1">
        <f t="array" ref="AN131">_xlfn.XLOOKUP(1,('2013 E Maize Soil VWC'!$C$2:$C$4000=$AA131)*('2013 E Maize Soil VWC'!$E$2:$E$4000=$AB131)*('2013 E Maize Soil VWC'!$F$2:$F$4000=AN$5),'2013 E Maize Soil VWC'!$G$2:$G$4000)</f>
        <v>0.33577258474576271</v>
      </c>
      <c r="AO131" s="4" cm="1">
        <f t="array" ref="AO131">_xlfn.XLOOKUP(1,('2013 E Maize Soil VWC'!$C$2:$C$4000=$AA131)*('2013 E Maize Soil VWC'!$E$2:$E$4000=$AB131)*('2013 E Maize Soil VWC'!$F$2:$F$4000=AO$5),'2013 E Maize Soil VWC'!$G$2:$G$4000)</f>
        <v>0.30864085169491529</v>
      </c>
      <c r="AP131" s="4" cm="1">
        <f t="array" ref="AP131">_xlfn.XLOOKUP(1,('2013 E Maize Soil VWC'!$C$2:$C$4000=$AA131)*('2013 E Maize Soil VWC'!$E$2:$E$4000=$AB131)*('2013 E Maize Soil VWC'!$F$2:$F$4000=AP$5),'2013 E Maize Soil VWC'!$G$2:$G$4000)</f>
        <v>0.32181520692090398</v>
      </c>
      <c r="AQ131" s="4" cm="1">
        <f t="array" ref="AQ131">_xlfn.XLOOKUP(1,('2013 E Maize Soil VWC'!$C$2:$C$4000=$AA131)*('2013 E Maize Soil VWC'!$E$2:$E$4000=$AB131)*('2013 E Maize Soil VWC'!$F$2:$F$4000=AQ$5),'2013 E Maize Soil VWC'!$G$2:$G$4000)</f>
        <v>0.32874495692090394</v>
      </c>
      <c r="AR131" s="4" cm="1">
        <f t="array" ref="AR131">_xlfn.XLOOKUP(1,('2013 E Maize Soil VWC'!$C$2:$C$4000=$AA131)*('2013 E Maize Soil VWC'!$E$2:$E$4000=$AB131)*('2013 E Maize Soil VWC'!$F$2:$F$4000=AR$5),'2013 E Maize Soil VWC'!$G$2:$G$4000)</f>
        <v>0.31494418361581922</v>
      </c>
      <c r="AS131" s="4" cm="1">
        <f t="array" ref="AS131">_xlfn.XLOOKUP(1,('2013 E Maize Soil VWC'!$C$2:$C$4000=$AA131)*('2013 E Maize Soil VWC'!$E$2:$E$4000=$AB131)*('2013 E Maize Soil VWC'!$F$2:$F$4000=AS$5),'2013 E Maize Soil VWC'!$G$2:$G$4000)</f>
        <v>0.31488545692090397</v>
      </c>
      <c r="AT131" s="4" cm="1">
        <f t="array" ref="AT131">_xlfn.XLOOKUP(1,('2013 E Maize Soil VWC'!$C$2:$C$4000=$AA131)*('2013 E Maize Soil VWC'!$E$2:$E$4000=$AB131)*('2013 E Maize Soil VWC'!$F$2:$F$4000=AT$5),'2013 E Maize Soil VWC'!$G$2:$G$4000)</f>
        <v>0.32565201765536722</v>
      </c>
      <c r="AU131" s="4" cm="1">
        <f t="array" ref="AU131">_xlfn.XLOOKUP(1,('2013 E Maize Soil VWC'!$C$2:$C$4000=$AA131)*('2013 E Maize Soil VWC'!$E$2:$E$4000=$AB131)*('2013 E Maize Soil VWC'!$F$2:$F$4000=AU$5),'2013 E Maize Soil VWC'!$G$2:$G$4000)</f>
        <v>0.31455267231638417</v>
      </c>
      <c r="AV131" s="4" cm="1">
        <f t="array" ref="AV131">_xlfn.XLOOKUP(1,('2013 E Maize Soil VWC'!$C$2:$C$4000=$AA131)*('2013 E Maize Soil VWC'!$E$2:$E$4000=$AB131)*('2013 E Maize Soil VWC'!$F$2:$F$4000=AV$5),'2013 E Maize Soil VWC'!$G$2:$G$4000)</f>
        <v>0.31604041525423726</v>
      </c>
    </row>
    <row r="132" spans="25:64" x14ac:dyDescent="0.25">
      <c r="AA132" s="15">
        <f t="shared" si="19"/>
        <v>41492</v>
      </c>
      <c r="AB132" s="4">
        <f t="shared" si="20"/>
        <v>190</v>
      </c>
      <c r="AC132" s="4" cm="1">
        <f t="array" ref="AC132">_xlfn.XLOOKUP(1,('2013 E Maize Soil VWC'!$C$2:$C$4000=$AA132)*('2013 E Maize Soil VWC'!$E$2:$E$4000=$AB132)*('2013 E Maize Soil VWC'!$F$2:$F$4000=AC$5),'2013 E Maize Soil VWC'!$G$2:$G$4000)</f>
        <v>0.28317304166666668</v>
      </c>
      <c r="AD132" s="4" cm="1">
        <f t="array" ref="AD132">_xlfn.XLOOKUP(1,('2013 E Maize Soil VWC'!$C$2:$C$4000=$AA132)*('2013 E Maize Soil VWC'!$E$2:$E$4000=$AB132)*('2013 E Maize Soil VWC'!$F$2:$F$4000=AD$5),'2013 E Maize Soil VWC'!$G$2:$G$4000)</f>
        <v>0.28501314477401135</v>
      </c>
      <c r="AE132" s="4" cm="1">
        <f t="array" ref="AE132">_xlfn.XLOOKUP(1,('2013 E Maize Soil VWC'!$C$2:$C$4000=$AA132)*('2013 E Maize Soil VWC'!$E$2:$E$4000=$AB132)*('2013 E Maize Soil VWC'!$F$2:$F$4000=AE$5),'2013 E Maize Soil VWC'!$G$2:$G$4000)</f>
        <v>0.29217780155367234</v>
      </c>
      <c r="AF132" s="4" cm="1">
        <f t="array" ref="AF132">_xlfn.XLOOKUP(1,('2013 E Maize Soil VWC'!$C$2:$C$4000=$AA132)*('2013 E Maize Soil VWC'!$E$2:$E$4000=$AB132)*('2013 E Maize Soil VWC'!$F$2:$F$4000=AF$5),'2013 E Maize Soil VWC'!$G$2:$G$4000)</f>
        <v>0.29366554449152543</v>
      </c>
      <c r="AG132" s="4" cm="1">
        <f t="array" ref="AG132">_xlfn.XLOOKUP(1,('2013 E Maize Soil VWC'!$C$2:$C$4000=$AA132)*('2013 E Maize Soil VWC'!$E$2:$E$4000=$AB132)*('2013 E Maize Soil VWC'!$F$2:$F$4000=AG$5),'2013 E Maize Soil VWC'!$G$2:$G$4000)</f>
        <v>0.32878410805084751</v>
      </c>
      <c r="AH132" s="4" cm="1">
        <f t="array" ref="AH132">_xlfn.XLOOKUP(1,('2013 E Maize Soil VWC'!$C$2:$C$4000=$AA132)*('2013 E Maize Soil VWC'!$E$2:$E$4000=$AB132)*('2013 E Maize Soil VWC'!$F$2:$F$4000=AH$5),'2013 E Maize Soil VWC'!$G$2:$G$4000)</f>
        <v>0.34013793573446333</v>
      </c>
      <c r="AI132" s="4" cm="1">
        <f t="array" ref="AI132">_xlfn.XLOOKUP(1,('2013 E Maize Soil VWC'!$C$2:$C$4000=$AA132)*('2013 E Maize Soil VWC'!$E$2:$E$4000=$AB132)*('2013 E Maize Soil VWC'!$F$2:$F$4000=AI$5),'2013 E Maize Soil VWC'!$G$2:$G$4000)</f>
        <v>0.27606711158192093</v>
      </c>
      <c r="AJ132" s="4" cm="1">
        <f t="array" ref="AJ132">_xlfn.XLOOKUP(1,('2013 E Maize Soil VWC'!$C$2:$C$4000=$AA132)*('2013 E Maize Soil VWC'!$E$2:$E$4000=$AB132)*('2013 E Maize Soil VWC'!$F$2:$F$4000=AJ$5),'2013 E Maize Soil VWC'!$G$2:$G$4000)</f>
        <v>0.29356766666666667</v>
      </c>
      <c r="AK132" s="4" cm="1">
        <f t="array" ref="AK132">_xlfn.XLOOKUP(1,('2013 E Maize Soil VWC'!$C$2:$C$4000=$AA132)*('2013 E Maize Soil VWC'!$E$2:$E$4000=$AB132)*('2013 E Maize Soil VWC'!$F$2:$F$4000=AK$5),'2013 E Maize Soil VWC'!$G$2:$G$4000)</f>
        <v>0.28556126059322035</v>
      </c>
      <c r="AL132" s="4" cm="1">
        <f t="array" ref="AL132">_xlfn.XLOOKUP(1,('2013 E Maize Soil VWC'!$C$2:$C$4000=$AA132)*('2013 E Maize Soil VWC'!$E$2:$E$4000=$AB132)*('2013 E Maize Soil VWC'!$F$2:$F$4000=AL$5),'2013 E Maize Soil VWC'!$G$2:$G$4000)</f>
        <v>0.29505540960451976</v>
      </c>
      <c r="AM132" s="4" cm="1">
        <f t="array" ref="AM132">_xlfn.XLOOKUP(1,('2013 E Maize Soil VWC'!$C$2:$C$4000=$AA132)*('2013 E Maize Soil VWC'!$E$2:$E$4000=$AB132)*('2013 E Maize Soil VWC'!$F$2:$F$4000=AM$5),'2013 E Maize Soil VWC'!$G$2:$G$4000)</f>
        <v>0.30891490960451978</v>
      </c>
      <c r="AN132" s="4" cm="1">
        <f t="array" ref="AN132">_xlfn.XLOOKUP(1,('2013 E Maize Soil VWC'!$C$2:$C$4000=$AA132)*('2013 E Maize Soil VWC'!$E$2:$E$4000=$AB132)*('2013 E Maize Soil VWC'!$F$2:$F$4000=AN$5),'2013 E Maize Soil VWC'!$G$2:$G$4000)</f>
        <v>0.31651022881355934</v>
      </c>
      <c r="AO132" s="4" cm="1">
        <f t="array" ref="AO132">_xlfn.XLOOKUP(1,('2013 E Maize Soil VWC'!$C$2:$C$4000=$AA132)*('2013 E Maize Soil VWC'!$E$2:$E$4000=$AB132)*('2013 E Maize Soil VWC'!$F$2:$F$4000=AO$5),'2013 E Maize Soil VWC'!$G$2:$G$4000)</f>
        <v>0.30204388629943502</v>
      </c>
      <c r="AP132" s="4" cm="1">
        <f t="array" ref="AP132">_xlfn.XLOOKUP(1,('2013 E Maize Soil VWC'!$C$2:$C$4000=$AA132)*('2013 E Maize Soil VWC'!$E$2:$E$4000=$AB132)*('2013 E Maize Soil VWC'!$F$2:$F$4000=AP$5),'2013 E Maize Soil VWC'!$G$2:$G$4000)</f>
        <v>0.30090850353107346</v>
      </c>
      <c r="AQ132" s="4" cm="1">
        <f t="array" ref="AQ132">_xlfn.XLOOKUP(1,('2013 E Maize Soil VWC'!$C$2:$C$4000=$AA132)*('2013 E Maize Soil VWC'!$E$2:$E$4000=$AB132)*('2013 E Maize Soil VWC'!$F$2:$F$4000=AQ$5),'2013 E Maize Soil VWC'!$G$2:$G$4000)</f>
        <v>0.32672867372881359</v>
      </c>
      <c r="AR132" s="4" cm="1">
        <f t="array" ref="AR132">_xlfn.XLOOKUP(1,('2013 E Maize Soil VWC'!$C$2:$C$4000=$AA132)*('2013 E Maize Soil VWC'!$E$2:$E$4000=$AB132)*('2013 E Maize Soil VWC'!$F$2:$F$4000=AR$5),'2013 E Maize Soil VWC'!$G$2:$G$4000)</f>
        <v>0.32389021680790958</v>
      </c>
      <c r="AS132" s="4" cm="1">
        <f t="array" ref="AS132">_xlfn.XLOOKUP(1,('2013 E Maize Soil VWC'!$C$2:$C$4000=$AA132)*('2013 E Maize Soil VWC'!$E$2:$E$4000=$AB132)*('2013 E Maize Soil VWC'!$F$2:$F$4000=AS$5),'2013 E Maize Soil VWC'!$G$2:$G$4000)</f>
        <v>0.32197181144067799</v>
      </c>
      <c r="AT132" s="4" cm="1">
        <f t="array" ref="AT132">_xlfn.XLOOKUP(1,('2013 E Maize Soil VWC'!$C$2:$C$4000=$AA132)*('2013 E Maize Soil VWC'!$E$2:$E$4000=$AB132)*('2013 E Maize Soil VWC'!$F$2:$F$4000=AT$5),'2013 E Maize Soil VWC'!$G$2:$G$4000)</f>
        <v>0.3115184597457627</v>
      </c>
      <c r="AU132" s="4" cm="1">
        <f t="array" ref="AU132">_xlfn.XLOOKUP(1,('2013 E Maize Soil VWC'!$C$2:$C$4000=$AA132)*('2013 E Maize Soil VWC'!$E$2:$E$4000=$AB132)*('2013 E Maize Soil VWC'!$F$2:$F$4000=AU$5),'2013 E Maize Soil VWC'!$G$2:$G$4000)</f>
        <v>0.30674202189265537</v>
      </c>
      <c r="AV132" s="4" cm="1">
        <f t="array" ref="AV132">_xlfn.XLOOKUP(1,('2013 E Maize Soil VWC'!$C$2:$C$4000=$AA132)*('2013 E Maize Soil VWC'!$E$2:$E$4000=$AB132)*('2013 E Maize Soil VWC'!$F$2:$F$4000=AV$5),'2013 E Maize Soil VWC'!$G$2:$G$4000)</f>
        <v>0.30519555225988704</v>
      </c>
    </row>
    <row r="133" spans="25:64" x14ac:dyDescent="0.25">
      <c r="AA133" s="15">
        <f t="shared" si="19"/>
        <v>41492</v>
      </c>
      <c r="AB133" s="4">
        <f t="shared" si="20"/>
        <v>210</v>
      </c>
      <c r="AC133" s="4" cm="1">
        <f t="array" ref="AC133">_xlfn.XLOOKUP(1,('2013 E Maize Soil VWC'!$C$2:$C$4000=$AA133)*('2013 E Maize Soil VWC'!$E$2:$E$4000=$AB133)*('2013 E Maize Soil VWC'!$F$2:$F$4000=AC$5),'2013 E Maize Soil VWC'!$G$2:$G$4000)</f>
        <v>0.29965566737288141</v>
      </c>
      <c r="AD133" s="4" cm="1">
        <f t="array" ref="AD133">_xlfn.XLOOKUP(1,('2013 E Maize Soil VWC'!$C$2:$C$4000=$AA133)*('2013 E Maize Soil VWC'!$E$2:$E$4000=$AB133)*('2013 E Maize Soil VWC'!$F$2:$F$4000=AD$5),'2013 E Maize Soil VWC'!$G$2:$G$4000)</f>
        <v>0.29374384675141241</v>
      </c>
      <c r="AE133" s="4" cm="1">
        <f t="array" ref="AE133">_xlfn.XLOOKUP(1,('2013 E Maize Soil VWC'!$C$2:$C$4000=$AA133)*('2013 E Maize Soil VWC'!$E$2:$E$4000=$AB133)*('2013 E Maize Soil VWC'!$F$2:$F$4000=AE$5),'2013 E Maize Soil VWC'!$G$2:$G$4000)</f>
        <v>0.27082086016949153</v>
      </c>
      <c r="AF133" s="4" cm="1">
        <f t="array" ref="AF133">_xlfn.XLOOKUP(1,('2013 E Maize Soil VWC'!$C$2:$C$4000=$AA133)*('2013 E Maize Soil VWC'!$E$2:$E$4000=$AB133)*('2013 E Maize Soil VWC'!$F$2:$F$4000=AF$5),'2013 E Maize Soil VWC'!$G$2:$G$4000)</f>
        <v>0.28814523516949153</v>
      </c>
      <c r="AG133" s="4" t="e" cm="1">
        <f t="array" ref="AG133">_xlfn.XLOOKUP(1,('2013 E Maize Soil VWC'!$C$2:$C$4000=$AA133)*('2013 E Maize Soil VWC'!$E$2:$E$4000=$AB133)*('2013 E Maize Soil VWC'!$F$2:$F$4000=AG$5),'2013 E Maize Soil VWC'!$G$2:$G$4000)</f>
        <v>#N/A</v>
      </c>
      <c r="AH133" s="4" t="e" cm="1">
        <f t="array" ref="AH133">_xlfn.XLOOKUP(1,('2013 E Maize Soil VWC'!$C$2:$C$4000=$AA133)*('2013 E Maize Soil VWC'!$E$2:$E$4000=$AB133)*('2013 E Maize Soil VWC'!$F$2:$F$4000=AH$5),'2013 E Maize Soil VWC'!$G$2:$G$4000)</f>
        <v>#N/A</v>
      </c>
      <c r="AI133" s="4" cm="1">
        <f t="array" ref="AI133">_xlfn.XLOOKUP(1,('2013 E Maize Soil VWC'!$C$2:$C$4000=$AA133)*('2013 E Maize Soil VWC'!$E$2:$E$4000=$AB133)*('2013 E Maize Soil VWC'!$F$2:$F$4000=AI$5),'2013 E Maize Soil VWC'!$G$2:$G$4000)</f>
        <v>0.26958759957627121</v>
      </c>
      <c r="AJ133" s="4" cm="1">
        <f t="array" ref="AJ133">_xlfn.XLOOKUP(1,('2013 E Maize Soil VWC'!$C$2:$C$4000=$AA133)*('2013 E Maize Soil VWC'!$E$2:$E$4000=$AB133)*('2013 E Maize Soil VWC'!$F$2:$F$4000=AJ$5),'2013 E Maize Soil VWC'!$G$2:$G$4000)</f>
        <v>0.30347290254237291</v>
      </c>
      <c r="AK133" s="4" cm="1">
        <f t="array" ref="AK133">_xlfn.XLOOKUP(1,('2013 E Maize Soil VWC'!$C$2:$C$4000=$AA133)*('2013 E Maize Soil VWC'!$E$2:$E$4000=$AB133)*('2013 E Maize Soil VWC'!$F$2:$F$4000=AK$5),'2013 E Maize Soil VWC'!$G$2:$G$4000)</f>
        <v>0.28941764689265537</v>
      </c>
      <c r="AL133" s="4" cm="1">
        <f t="array" ref="AL133">_xlfn.XLOOKUP(1,('2013 E Maize Soil VWC'!$C$2:$C$4000=$AA133)*('2013 E Maize Soil VWC'!$E$2:$E$4000=$AB133)*('2013 E Maize Soil VWC'!$F$2:$F$4000=AL$5),'2013 E Maize Soil VWC'!$G$2:$G$4000)</f>
        <v>0.26514394632768362</v>
      </c>
      <c r="AM133" s="4" cm="1">
        <f t="array" ref="AM133">_xlfn.XLOOKUP(1,('2013 E Maize Soil VWC'!$C$2:$C$4000=$AA133)*('2013 E Maize Soil VWC'!$E$2:$E$4000=$AB133)*('2013 E Maize Soil VWC'!$F$2:$F$4000=AM$5),'2013 E Maize Soil VWC'!$G$2:$G$4000)</f>
        <v>0.30652669067796612</v>
      </c>
      <c r="AN133" s="4" cm="1">
        <f t="array" ref="AN133">_xlfn.XLOOKUP(1,('2013 E Maize Soil VWC'!$C$2:$C$4000=$AA133)*('2013 E Maize Soil VWC'!$E$2:$E$4000=$AB133)*('2013 E Maize Soil VWC'!$F$2:$F$4000=AN$5),'2013 E Maize Soil VWC'!$G$2:$G$4000)</f>
        <v>0.31008944350282486</v>
      </c>
      <c r="AO133" s="4" cm="1">
        <f t="array" ref="AO133">_xlfn.XLOOKUP(1,('2013 E Maize Soil VWC'!$C$2:$C$4000=$AA133)*('2013 E Maize Soil VWC'!$E$2:$E$4000=$AB133)*('2013 E Maize Soil VWC'!$F$2:$F$4000=AO$5),'2013 E Maize Soil VWC'!$G$2:$G$4000)</f>
        <v>0.30396229166666666</v>
      </c>
      <c r="AP133" s="4" cm="1">
        <f t="array" ref="AP133">_xlfn.XLOOKUP(1,('2013 E Maize Soil VWC'!$C$2:$C$4000=$AA133)*('2013 E Maize Soil VWC'!$E$2:$E$4000=$AB133)*('2013 E Maize Soil VWC'!$F$2:$F$4000=AP$5),'2013 E Maize Soil VWC'!$G$2:$G$4000)</f>
        <v>0.27197581850282487</v>
      </c>
      <c r="AQ133" s="4" t="e" cm="1">
        <f t="array" ref="AQ133">_xlfn.XLOOKUP(1,('2013 E Maize Soil VWC'!$C$2:$C$4000=$AA133)*('2013 E Maize Soil VWC'!$E$2:$E$4000=$AB133)*('2013 E Maize Soil VWC'!$F$2:$F$4000=AQ$5),'2013 E Maize Soil VWC'!$G$2:$G$4000)</f>
        <v>#N/A</v>
      </c>
      <c r="AR133" s="4" t="e" cm="1">
        <f t="array" ref="AR133">_xlfn.XLOOKUP(1,('2013 E Maize Soil VWC'!$C$2:$C$4000=$AA133)*('2013 E Maize Soil VWC'!$E$2:$E$4000=$AB133)*('2013 E Maize Soil VWC'!$F$2:$F$4000=AR$5),'2013 E Maize Soil VWC'!$G$2:$G$4000)</f>
        <v>#N/A</v>
      </c>
      <c r="AS133" s="4" cm="1">
        <f t="array" ref="AS133">_xlfn.XLOOKUP(1,('2013 E Maize Soil VWC'!$C$2:$C$4000=$AA133)*('2013 E Maize Soil VWC'!$E$2:$E$4000=$AB133)*('2013 E Maize Soil VWC'!$F$2:$F$4000=AS$5),'2013 E Maize Soil VWC'!$G$2:$G$4000)</f>
        <v>0.30578281920903955</v>
      </c>
      <c r="AT133" s="4" cm="1">
        <f t="array" ref="AT133">_xlfn.XLOOKUP(1,('2013 E Maize Soil VWC'!$C$2:$C$4000=$AA133)*('2013 E Maize Soil VWC'!$E$2:$E$4000=$AB133)*('2013 E Maize Soil VWC'!$F$2:$F$4000=AT$5),'2013 E Maize Soil VWC'!$G$2:$G$4000)</f>
        <v>0.30298351341807911</v>
      </c>
      <c r="AU133" s="4" cm="1">
        <f t="array" ref="AU133">_xlfn.XLOOKUP(1,('2013 E Maize Soil VWC'!$C$2:$C$4000=$AA133)*('2013 E Maize Soil VWC'!$E$2:$E$4000=$AB133)*('2013 E Maize Soil VWC'!$F$2:$F$4000=AU$5),'2013 E Maize Soil VWC'!$G$2:$G$4000)</f>
        <v>0.29576012994350287</v>
      </c>
      <c r="AV133" s="4" cm="1">
        <f t="array" ref="AV133">_xlfn.XLOOKUP(1,('2013 E Maize Soil VWC'!$C$2:$C$4000=$AA133)*('2013 E Maize Soil VWC'!$E$2:$E$4000=$AB133)*('2013 E Maize Soil VWC'!$F$2:$F$4000=AV$5),'2013 E Maize Soil VWC'!$G$2:$G$4000)</f>
        <v>0.3028269088983051</v>
      </c>
    </row>
    <row r="134" spans="25:64" x14ac:dyDescent="0.25">
      <c r="AA134" s="15">
        <f t="shared" si="19"/>
        <v>41492</v>
      </c>
      <c r="AB134" s="4">
        <f t="shared" si="20"/>
        <v>230</v>
      </c>
      <c r="AC134" s="4" cm="1">
        <f t="array" ref="AC134">_xlfn.XLOOKUP(1,('2013 E Maize Soil VWC'!$C$2:$C$4000=$AA134)*('2013 E Maize Soil VWC'!$E$2:$E$4000=$AB134)*('2013 E Maize Soil VWC'!$F$2:$F$4000=AC$5),'2013 E Maize Soil VWC'!$G$2:$G$4000)</f>
        <v>0.29509456073446333</v>
      </c>
      <c r="AD134" s="4" cm="1">
        <f t="array" ref="AD134">_xlfn.XLOOKUP(1,('2013 E Maize Soil VWC'!$C$2:$C$4000=$AA134)*('2013 E Maize Soil VWC'!$E$2:$E$4000=$AB134)*('2013 E Maize Soil VWC'!$F$2:$F$4000=AD$5),'2013 E Maize Soil VWC'!$G$2:$G$4000)</f>
        <v>0.29636697245762711</v>
      </c>
      <c r="AE134" s="4" cm="1">
        <f t="array" ref="AE134">_xlfn.XLOOKUP(1,('2013 E Maize Soil VWC'!$C$2:$C$4000=$AA134)*('2013 E Maize Soil VWC'!$E$2:$E$4000=$AB134)*('2013 E Maize Soil VWC'!$F$2:$F$4000=AE$5),'2013 E Maize Soil VWC'!$G$2:$G$4000)</f>
        <v>0.2841322443502825</v>
      </c>
      <c r="AF134" s="4" cm="1">
        <f t="array" ref="AF134">_xlfn.XLOOKUP(1,('2013 E Maize Soil VWC'!$C$2:$C$4000=$AA134)*('2013 E Maize Soil VWC'!$E$2:$E$4000=$AB134)*('2013 E Maize Soil VWC'!$F$2:$F$4000=AF$5),'2013 E Maize Soil VWC'!$G$2:$G$4000)</f>
        <v>0.28313389053672317</v>
      </c>
      <c r="AG134" s="4" t="e" cm="1">
        <f t="array" ref="AG134">_xlfn.XLOOKUP(1,('2013 E Maize Soil VWC'!$C$2:$C$4000=$AA134)*('2013 E Maize Soil VWC'!$E$2:$E$4000=$AB134)*('2013 E Maize Soil VWC'!$F$2:$F$4000=AG$5),'2013 E Maize Soil VWC'!$G$2:$G$4000)</f>
        <v>#N/A</v>
      </c>
      <c r="AH134" s="4" t="e" cm="1">
        <f t="array" ref="AH134">_xlfn.XLOOKUP(1,('2013 E Maize Soil VWC'!$C$2:$C$4000=$AA134)*('2013 E Maize Soil VWC'!$E$2:$E$4000=$AB134)*('2013 E Maize Soil VWC'!$F$2:$F$4000=AH$5),'2013 E Maize Soil VWC'!$G$2:$G$4000)</f>
        <v>#N/A</v>
      </c>
      <c r="AI134" s="4" cm="1">
        <f t="array" ref="AI134">_xlfn.XLOOKUP(1,('2013 E Maize Soil VWC'!$C$2:$C$4000=$AA134)*('2013 E Maize Soil VWC'!$E$2:$E$4000=$AB134)*('2013 E Maize Soil VWC'!$F$2:$F$4000=AI$5),'2013 E Maize Soil VWC'!$G$2:$G$4000)</f>
        <v>0.27683055861581918</v>
      </c>
      <c r="AJ134" s="4" cm="1">
        <f t="array" ref="AJ134">_xlfn.XLOOKUP(1,('2013 E Maize Soil VWC'!$C$2:$C$4000=$AA134)*('2013 E Maize Soil VWC'!$E$2:$E$4000=$AB134)*('2013 E Maize Soil VWC'!$F$2:$F$4000=AJ$5),'2013 E Maize Soil VWC'!$G$2:$G$4000)</f>
        <v>0.31112694844632771</v>
      </c>
      <c r="AK134" s="4" cm="1">
        <f t="array" ref="AK134">_xlfn.XLOOKUP(1,('2013 E Maize Soil VWC'!$C$2:$C$4000=$AA134)*('2013 E Maize Soil VWC'!$E$2:$E$4000=$AB134)*('2013 E Maize Soil VWC'!$F$2:$F$4000=AK$5),'2013 E Maize Soil VWC'!$G$2:$G$4000)</f>
        <v>0.30568494138418084</v>
      </c>
      <c r="AL134" s="4" cm="1">
        <f t="array" ref="AL134">_xlfn.XLOOKUP(1,('2013 E Maize Soil VWC'!$C$2:$C$4000=$AA134)*('2013 E Maize Soil VWC'!$E$2:$E$4000=$AB134)*('2013 E Maize Soil VWC'!$F$2:$F$4000=AL$5),'2013 E Maize Soil VWC'!$G$2:$G$4000)</f>
        <v>0.25788141172316387</v>
      </c>
      <c r="AM134" s="4" cm="1">
        <f t="array" ref="AM134">_xlfn.XLOOKUP(1,('2013 E Maize Soil VWC'!$C$2:$C$4000=$AA134)*('2013 E Maize Soil VWC'!$E$2:$E$4000=$AB134)*('2013 E Maize Soil VWC'!$F$2:$F$4000=AM$5),'2013 E Maize Soil VWC'!$G$2:$G$4000)</f>
        <v>0.2973065995762712</v>
      </c>
      <c r="AN134" s="4" cm="1">
        <f t="array" ref="AN134">_xlfn.XLOOKUP(1,('2013 E Maize Soil VWC'!$C$2:$C$4000=$AA134)*('2013 E Maize Soil VWC'!$E$2:$E$4000=$AB134)*('2013 E Maize Soil VWC'!$F$2:$F$4000=AN$5),'2013 E Maize Soil VWC'!$G$2:$G$4000)</f>
        <v>0.30202431073446329</v>
      </c>
      <c r="AO134" s="4" cm="1">
        <f t="array" ref="AO134">_xlfn.XLOOKUP(1,('2013 E Maize Soil VWC'!$C$2:$C$4000=$AA134)*('2013 E Maize Soil VWC'!$E$2:$E$4000=$AB134)*('2013 E Maize Soil VWC'!$F$2:$F$4000=AO$5),'2013 E Maize Soil VWC'!$G$2:$G$4000)</f>
        <v>0.29217780155367234</v>
      </c>
      <c r="AP134" s="4" cm="1">
        <f t="array" ref="AP134">_xlfn.XLOOKUP(1,('2013 E Maize Soil VWC'!$C$2:$C$4000=$AA134)*('2013 E Maize Soil VWC'!$E$2:$E$4000=$AB134)*('2013 E Maize Soil VWC'!$F$2:$F$4000=AP$5),'2013 E Maize Soil VWC'!$G$2:$G$4000)</f>
        <v>0.29525116525423734</v>
      </c>
      <c r="AQ134" s="4" t="e" cm="1">
        <f t="array" ref="AQ134">_xlfn.XLOOKUP(1,('2013 E Maize Soil VWC'!$C$2:$C$4000=$AA134)*('2013 E Maize Soil VWC'!$E$2:$E$4000=$AB134)*('2013 E Maize Soil VWC'!$F$2:$F$4000=AQ$5),'2013 E Maize Soil VWC'!$G$2:$G$4000)</f>
        <v>#N/A</v>
      </c>
      <c r="AR134" s="4" t="e" cm="1">
        <f t="array" ref="AR134">_xlfn.XLOOKUP(1,('2013 E Maize Soil VWC'!$C$2:$C$4000=$AA134)*('2013 E Maize Soil VWC'!$E$2:$E$4000=$AB134)*('2013 E Maize Soil VWC'!$F$2:$F$4000=AR$5),'2013 E Maize Soil VWC'!$G$2:$G$4000)</f>
        <v>#N/A</v>
      </c>
      <c r="AS134" s="4" cm="1">
        <f t="array" ref="AS134">_xlfn.XLOOKUP(1,('2013 E Maize Soil VWC'!$C$2:$C$4000=$AA134)*('2013 E Maize Soil VWC'!$E$2:$E$4000=$AB134)*('2013 E Maize Soil VWC'!$F$2:$F$4000=AS$5),'2013 E Maize Soil VWC'!$G$2:$G$4000)</f>
        <v>0.29830495338983049</v>
      </c>
      <c r="AT134" s="4" cm="1">
        <f t="array" ref="AT134">_xlfn.XLOOKUP(1,('2013 E Maize Soil VWC'!$C$2:$C$4000=$AA134)*('2013 E Maize Soil VWC'!$E$2:$E$4000=$AB134)*('2013 E Maize Soil VWC'!$F$2:$F$4000=AT$5),'2013 E Maize Soil VWC'!$G$2:$G$4000)</f>
        <v>0.30051699223163841</v>
      </c>
      <c r="AU134" s="4" cm="1">
        <f t="array" ref="AU134">_xlfn.XLOOKUP(1,('2013 E Maize Soil VWC'!$C$2:$C$4000=$AA134)*('2013 E Maize Soil VWC'!$E$2:$E$4000=$AB134)*('2013 E Maize Soil VWC'!$F$2:$F$4000=AU$5),'2013 E Maize Soil VWC'!$G$2:$G$4000)</f>
        <v>0.28947637358757061</v>
      </c>
      <c r="AV134" s="4" cm="1">
        <f t="array" ref="AV134">_xlfn.XLOOKUP(1,('2013 E Maize Soil VWC'!$C$2:$C$4000=$AA134)*('2013 E Maize Soil VWC'!$E$2:$E$4000=$AB134)*('2013 E Maize Soil VWC'!$F$2:$F$4000=AV$5),'2013 E Maize Soil VWC'!$G$2:$G$4000)</f>
        <v>0.30049741666666668</v>
      </c>
    </row>
    <row r="135" spans="25:64" x14ac:dyDescent="0.25">
      <c r="AA135" s="15"/>
    </row>
    <row r="136" spans="25:64" x14ac:dyDescent="0.25">
      <c r="Y136" s="4">
        <v>2013</v>
      </c>
      <c r="Z136" s="4">
        <v>231</v>
      </c>
      <c r="AA136" s="15">
        <f>DATE(Y136,1,Z136)</f>
        <v>41505</v>
      </c>
      <c r="AB136" s="4">
        <v>10</v>
      </c>
      <c r="AC136" s="4" cm="1">
        <f t="array" ref="AC136">_xlfn.XLOOKUP(1,('2013 E Maize Soil VWC'!$C$2:$C$4000=$AA136)*('2013 E Maize Soil VWC'!$E$2:$E$4000=$AB136)*('2013 E Maize Soil VWC'!$F$2:$F$4000=AC$5),'2013 E Maize Soil VWC'!$G$2:$G$4000)</f>
        <v>0.26464325665859562</v>
      </c>
      <c r="AD136" s="4" cm="1">
        <f t="array" ref="AD136">_xlfn.XLOOKUP(1,('2013 E Maize Soil VWC'!$C$2:$C$4000=$AA136)*('2013 E Maize Soil VWC'!$E$2:$E$4000=$AB136)*('2013 E Maize Soil VWC'!$F$2:$F$4000=AD$5),'2013 E Maize Soil VWC'!$G$2:$G$4000)</f>
        <v>0.29790069854721551</v>
      </c>
      <c r="AE136" s="4" cm="1">
        <f t="array" ref="AE136">_xlfn.XLOOKUP(1,('2013 E Maize Soil VWC'!$C$2:$C$4000=$AA136)*('2013 E Maize Soil VWC'!$E$2:$E$4000=$AB136)*('2013 E Maize Soil VWC'!$F$2:$F$4000=AE$5),'2013 E Maize Soil VWC'!$G$2:$G$4000)</f>
        <v>0.30690952996368037</v>
      </c>
      <c r="AF136" s="4" cm="1">
        <f t="array" ref="AF136">_xlfn.XLOOKUP(1,('2013 E Maize Soil VWC'!$C$2:$C$4000=$AA136)*('2013 E Maize Soil VWC'!$E$2:$E$4000=$AB136)*('2013 E Maize Soil VWC'!$F$2:$F$4000=AF$5),'2013 E Maize Soil VWC'!$G$2:$G$4000)</f>
        <v>0.27272612681598063</v>
      </c>
      <c r="AG136" s="4" cm="1">
        <f t="array" ref="AG136">_xlfn.XLOOKUP(1,('2013 E Maize Soil VWC'!$C$2:$C$4000=$AA136)*('2013 E Maize Soil VWC'!$E$2:$E$4000=$AB136)*('2013 E Maize Soil VWC'!$F$2:$F$4000=AG$5),'2013 E Maize Soil VWC'!$G$2:$G$4000)</f>
        <v>0.27839763952784508</v>
      </c>
      <c r="AH136" s="4" cm="1">
        <f t="array" ref="AH136">_xlfn.XLOOKUP(1,('2013 E Maize Soil VWC'!$C$2:$C$4000=$AA136)*('2013 E Maize Soil VWC'!$E$2:$E$4000=$AB136)*('2013 E Maize Soil VWC'!$F$2:$F$4000=AH$5),'2013 E Maize Soil VWC'!$G$2:$G$4000)</f>
        <v>0.27708586107748184</v>
      </c>
      <c r="AI136" s="4" cm="1">
        <f t="array" ref="AI136">_xlfn.XLOOKUP(1,('2013 E Maize Soil VWC'!$C$2:$C$4000=$AA136)*('2013 E Maize Soil VWC'!$E$2:$E$4000=$AB136)*('2013 E Maize Soil VWC'!$F$2:$F$4000=AI$5),'2013 E Maize Soil VWC'!$G$2:$G$4000)</f>
        <v>0.29948254903147703</v>
      </c>
      <c r="AJ136" s="4" cm="1">
        <f t="array" ref="AJ136">_xlfn.XLOOKUP(1,('2013 E Maize Soil VWC'!$C$2:$C$4000=$AA136)*('2013 E Maize Soil VWC'!$E$2:$E$4000=$AB136)*('2013 E Maize Soil VWC'!$F$2:$F$4000=AJ$5),'2013 E Maize Soil VWC'!$G$2:$G$4000)</f>
        <v>0.31379636682808715</v>
      </c>
      <c r="AK136" s="4" cm="1">
        <f t="array" ref="AK136">_xlfn.XLOOKUP(1,('2013 E Maize Soil VWC'!$C$2:$C$4000=$AA136)*('2013 E Maize Soil VWC'!$E$2:$E$4000=$AB136)*('2013 E Maize Soil VWC'!$F$2:$F$4000=AK$5),'2013 E Maize Soil VWC'!$G$2:$G$4000)</f>
        <v>0.31292827814769975</v>
      </c>
      <c r="AL136" s="4" cm="1">
        <f t="array" ref="AL136">_xlfn.XLOOKUP(1,('2013 E Maize Soil VWC'!$C$2:$C$4000=$AA136)*('2013 E Maize Soil VWC'!$E$2:$E$4000=$AB136)*('2013 E Maize Soil VWC'!$F$2:$F$4000=AL$5),'2013 E Maize Soil VWC'!$G$2:$G$4000)</f>
        <v>0.28846746822033897</v>
      </c>
      <c r="AM136" s="4" cm="1">
        <f t="array" ref="AM136">_xlfn.XLOOKUP(1,('2013 E Maize Soil VWC'!$C$2:$C$4000=$AA136)*('2013 E Maize Soil VWC'!$E$2:$E$4000=$AB136)*('2013 E Maize Soil VWC'!$F$2:$F$4000=AM$5),'2013 E Maize Soil VWC'!$G$2:$G$4000)</f>
        <v>0.2649133286924939</v>
      </c>
      <c r="AN136" s="4" cm="1">
        <f t="array" ref="AN136">_xlfn.XLOOKUP(1,('2013 E Maize Soil VWC'!$C$2:$C$4000=$AA136)*('2013 E Maize Soil VWC'!$E$2:$E$4000=$AB136)*('2013 E Maize Soil VWC'!$F$2:$F$4000=AN$5),'2013 E Maize Soil VWC'!$G$2:$G$4000)</f>
        <v>0.2392179037530266</v>
      </c>
      <c r="AO136" s="4" cm="1">
        <f t="array" ref="AO136">_xlfn.XLOOKUP(1,('2013 E Maize Soil VWC'!$C$2:$C$4000=$AA136)*('2013 E Maize Soil VWC'!$E$2:$E$4000=$AB136)*('2013 E Maize Soil VWC'!$F$2:$F$4000=AO$5),'2013 E Maize Soil VWC'!$G$2:$G$4000)</f>
        <v>0.25461200968523001</v>
      </c>
      <c r="AP136" s="4" cm="1">
        <f t="array" ref="AP136">_xlfn.XLOOKUP(1,('2013 E Maize Soil VWC'!$C$2:$C$4000=$AA136)*('2013 E Maize Soil VWC'!$E$2:$E$4000=$AB136)*('2013 E Maize Soil VWC'!$F$2:$F$4000=AP$5),'2013 E Maize Soil VWC'!$G$2:$G$4000)</f>
        <v>0.26205828147699761</v>
      </c>
      <c r="AQ136" s="4" cm="1">
        <f t="array" ref="AQ136">_xlfn.XLOOKUP(1,('2013 E Maize Soil VWC'!$C$2:$C$4000=$AA136)*('2013 E Maize Soil VWC'!$E$2:$E$4000=$AB136)*('2013 E Maize Soil VWC'!$F$2:$F$4000=AQ$5),'2013 E Maize Soil VWC'!$G$2:$G$4000)</f>
        <v>0.27255250907990314</v>
      </c>
      <c r="AR136" s="4" cm="1">
        <f t="array" ref="AR136">_xlfn.XLOOKUP(1,('2013 E Maize Soil VWC'!$C$2:$C$4000=$AA136)*('2013 E Maize Soil VWC'!$E$2:$E$4000=$AB136)*('2013 E Maize Soil VWC'!$F$2:$F$4000=AR$5),'2013 E Maize Soil VWC'!$G$2:$G$4000)</f>
        <v>0.27174229297820823</v>
      </c>
      <c r="AS136" s="4" cm="1">
        <f t="array" ref="AS136">_xlfn.XLOOKUP(1,('2013 E Maize Soil VWC'!$C$2:$C$4000=$AA136)*('2013 E Maize Soil VWC'!$E$2:$E$4000=$AB136)*('2013 E Maize Soil VWC'!$F$2:$F$4000=AS$5),'2013 E Maize Soil VWC'!$G$2:$G$4000)</f>
        <v>0.29064733535108961</v>
      </c>
      <c r="AT136" s="4" cm="1">
        <f t="array" ref="AT136">_xlfn.XLOOKUP(1,('2013 E Maize Soil VWC'!$C$2:$C$4000=$AA136)*('2013 E Maize Soil VWC'!$E$2:$E$4000=$AB136)*('2013 E Maize Soil VWC'!$F$2:$F$4000=AT$5),'2013 E Maize Soil VWC'!$G$2:$G$4000)</f>
        <v>0.27828189437046003</v>
      </c>
      <c r="AU136" s="4" cm="1">
        <f t="array" ref="AU136">_xlfn.XLOOKUP(1,('2013 E Maize Soil VWC'!$C$2:$C$4000=$AA136)*('2013 E Maize Soil VWC'!$E$2:$E$4000=$AB136)*('2013 E Maize Soil VWC'!$F$2:$F$4000=AU$5),'2013 E Maize Soil VWC'!$G$2:$G$4000)</f>
        <v>0.2483810620460048</v>
      </c>
      <c r="AV136" s="4" cm="1">
        <f t="array" ref="AV136">_xlfn.XLOOKUP(1,('2013 E Maize Soil VWC'!$C$2:$C$4000=$AA136)*('2013 E Maize Soil VWC'!$E$2:$E$4000=$AB136)*('2013 E Maize Soil VWC'!$F$2:$F$4000=AV$5),'2013 E Maize Soil VWC'!$G$2:$G$4000)</f>
        <v>0.21529723789346245</v>
      </c>
      <c r="AW136" s="22">
        <f>Z136</f>
        <v>231</v>
      </c>
      <c r="AX136" s="20">
        <f>AA136</f>
        <v>41505</v>
      </c>
      <c r="AY136" s="4">
        <f>1400*AVERAGE(AG136:AH142)+100*AVERAGE(AG143:AH143)</f>
        <v>480.21012481335754</v>
      </c>
      <c r="AZ136" s="4">
        <f>1400*AVERAGE(AC136:AF142,AI136:AL142)+100*AVERAGE(AC143:AF143,AI143:AL143)</f>
        <v>482.14193553647118</v>
      </c>
      <c r="BA136" s="4">
        <f>1400*AVERAGE(AQ136:AR142)+100*AVERAGE(AQ143:AR143)</f>
        <v>458.69813875100874</v>
      </c>
      <c r="BB136" s="4">
        <f>1400*AVERAGE(AM136:AP142,AS136:AV142)+100*AVERAGE(AM143:AP143,AS143:AV143)</f>
        <v>473.03768557430379</v>
      </c>
      <c r="BC136" s="4">
        <f>AVERAGE(AC136:AD147)*2400</f>
        <v>747.06674756860366</v>
      </c>
      <c r="BD136" s="4">
        <f>AVERAGE(AE136:AF147)*2400</f>
        <v>730.57817083333339</v>
      </c>
      <c r="BE136" s="4">
        <f>AVERAGE(AG136:AH145)*2000</f>
        <v>647.06184857748178</v>
      </c>
      <c r="BF136" s="4">
        <f>AVERAGE(AI136:AJ147)*2400</f>
        <v>750.85049038539137</v>
      </c>
      <c r="BG136" s="4">
        <f>AVERAGE(AK136:AL147)*2400</f>
        <v>744.22998847861174</v>
      </c>
      <c r="BH136" s="4">
        <f>AVERAGE(AM136:AN147)*2400</f>
        <v>751.83112310330898</v>
      </c>
      <c r="BI136" s="4">
        <f>AVERAGE(AO136:AP147)*2400</f>
        <v>741.1273790456014</v>
      </c>
      <c r="BJ136" s="4">
        <f>AVERAGE(AQ136:AR145)*2000</f>
        <v>621.87259263518968</v>
      </c>
      <c r="BK136" s="4">
        <f>AVERAGE(AS136:AT147)*2400</f>
        <v>764.77272360774805</v>
      </c>
      <c r="BL136" s="4">
        <f>AVERAGE(AU136:AV147)*2400</f>
        <v>741.40886255044393</v>
      </c>
    </row>
    <row r="137" spans="25:64" x14ac:dyDescent="0.25">
      <c r="AA137" s="15">
        <f t="shared" ref="AA137:AA147" si="21">AA136</f>
        <v>41505</v>
      </c>
      <c r="AB137" s="4">
        <f t="shared" ref="AB137:AB147" si="22">AB136+20</f>
        <v>30</v>
      </c>
      <c r="AC137" s="4" cm="1">
        <f t="array" ref="AC137">_xlfn.XLOOKUP(1,('2013 E Maize Soil VWC'!$C$2:$C$4000=$AA137)*('2013 E Maize Soil VWC'!$E$2:$E$4000=$AB137)*('2013 E Maize Soil VWC'!$F$2:$F$4000=AC$5),'2013 E Maize Soil VWC'!$G$2:$G$4000)</f>
        <v>0.32437169915254238</v>
      </c>
      <c r="AD137" s="4" cm="1">
        <f t="array" ref="AD137">_xlfn.XLOOKUP(1,('2013 E Maize Soil VWC'!$C$2:$C$4000=$AA137)*('2013 E Maize Soil VWC'!$E$2:$E$4000=$AB137)*('2013 E Maize Soil VWC'!$F$2:$F$4000=AD$5),'2013 E Maize Soil VWC'!$G$2:$G$4000)</f>
        <v>0.32234515112994344</v>
      </c>
      <c r="AE137" s="4" cm="1">
        <f t="array" ref="AE137">_xlfn.XLOOKUP(1,('2013 E Maize Soil VWC'!$C$2:$C$4000=$AA137)*('2013 E Maize Soil VWC'!$E$2:$E$4000=$AB137)*('2013 E Maize Soil VWC'!$F$2:$F$4000=AE$5),'2013 E Maize Soil VWC'!$G$2:$G$4000)</f>
        <v>0.33945566454802262</v>
      </c>
      <c r="AF137" s="4" cm="1">
        <f t="array" ref="AF137">_xlfn.XLOOKUP(1,('2013 E Maize Soil VWC'!$C$2:$C$4000=$AA137)*('2013 E Maize Soil VWC'!$E$2:$E$4000=$AB137)*('2013 E Maize Soil VWC'!$F$2:$F$4000=AF$5),'2013 E Maize Soil VWC'!$G$2:$G$4000)</f>
        <v>0.31628853601694912</v>
      </c>
      <c r="AG137" s="4" cm="1">
        <f t="array" ref="AG137">_xlfn.XLOOKUP(1,('2013 E Maize Soil VWC'!$C$2:$C$4000=$AA137)*('2013 E Maize Soil VWC'!$E$2:$E$4000=$AB137)*('2013 E Maize Soil VWC'!$F$2:$F$4000=AG$5),'2013 E Maize Soil VWC'!$G$2:$G$4000)</f>
        <v>0.33968595409604518</v>
      </c>
      <c r="AH137" s="4" cm="1">
        <f t="array" ref="AH137">_xlfn.XLOOKUP(1,('2013 E Maize Soil VWC'!$C$2:$C$4000=$AA137)*('2013 E Maize Soil VWC'!$E$2:$E$4000=$AB137)*('2013 E Maize Soil VWC'!$F$2:$F$4000=AH$5),'2013 E Maize Soil VWC'!$G$2:$G$4000)</f>
        <v>0.32909263488700563</v>
      </c>
      <c r="AI137" s="4" cm="1">
        <f t="array" ref="AI137">_xlfn.XLOOKUP(1,('2013 E Maize Soil VWC'!$C$2:$C$4000=$AA137)*('2013 E Maize Soil VWC'!$E$2:$E$4000=$AB137)*('2013 E Maize Soil VWC'!$F$2:$F$4000=AI$5),'2013 E Maize Soil VWC'!$G$2:$G$4000)</f>
        <v>0.3202034583333333</v>
      </c>
      <c r="AJ137" s="4" cm="1">
        <f t="array" ref="AJ137">_xlfn.XLOOKUP(1,('2013 E Maize Soil VWC'!$C$2:$C$4000=$AA137)*('2013 E Maize Soil VWC'!$E$2:$E$4000=$AB137)*('2013 E Maize Soil VWC'!$F$2:$F$4000=AJ$5),'2013 E Maize Soil VWC'!$G$2:$G$4000)</f>
        <v>0.34339361581920902</v>
      </c>
      <c r="AK137" s="4" cm="1">
        <f t="array" ref="AK137">_xlfn.XLOOKUP(1,('2013 E Maize Soil VWC'!$C$2:$C$4000=$AA137)*('2013 E Maize Soil VWC'!$E$2:$E$4000=$AB137)*('2013 E Maize Soil VWC'!$F$2:$F$4000=AK$5),'2013 E Maize Soil VWC'!$G$2:$G$4000)</f>
        <v>0.33436626553672316</v>
      </c>
      <c r="AL137" s="4" cm="1">
        <f t="array" ref="AL137">_xlfn.XLOOKUP(1,('2013 E Maize Soil VWC'!$C$2:$C$4000=$AA137)*('2013 E Maize Soil VWC'!$E$2:$E$4000=$AB137)*('2013 E Maize Soil VWC'!$F$2:$F$4000=AL$5),'2013 E Maize Soil VWC'!$G$2:$G$4000)</f>
        <v>0.33139553036723163</v>
      </c>
      <c r="AM137" s="4" cm="1">
        <f t="array" ref="AM137">_xlfn.XLOOKUP(1,('2013 E Maize Soil VWC'!$C$2:$C$4000=$AA137)*('2013 E Maize Soil VWC'!$E$2:$E$4000=$AB137)*('2013 E Maize Soil VWC'!$F$2:$F$4000=AM$5),'2013 E Maize Soil VWC'!$G$2:$G$4000)</f>
        <v>0.31359414830508475</v>
      </c>
      <c r="AN137" s="4" cm="1">
        <f t="array" ref="AN137">_xlfn.XLOOKUP(1,('2013 E Maize Soil VWC'!$C$2:$C$4000=$AA137)*('2013 E Maize Soil VWC'!$E$2:$E$4000=$AB137)*('2013 E Maize Soil VWC'!$F$2:$F$4000=AN$5),'2013 E Maize Soil VWC'!$G$2:$G$4000)</f>
        <v>0.31161365819209036</v>
      </c>
      <c r="AO137" s="4" cm="1">
        <f t="array" ref="AO137">_xlfn.XLOOKUP(1,('2013 E Maize Soil VWC'!$C$2:$C$4000=$AA137)*('2013 E Maize Soil VWC'!$E$2:$E$4000=$AB137)*('2013 E Maize Soil VWC'!$F$2:$F$4000=AO$5),'2013 E Maize Soil VWC'!$G$2:$G$4000)</f>
        <v>0.32204577471751411</v>
      </c>
      <c r="AP137" s="4" cm="1">
        <f t="array" ref="AP137">_xlfn.XLOOKUP(1,('2013 E Maize Soil VWC'!$C$2:$C$4000=$AA137)*('2013 E Maize Soil VWC'!$E$2:$E$4000=$AB137)*('2013 E Maize Soil VWC'!$F$2:$F$4000=AP$5),'2013 E Maize Soil VWC'!$G$2:$G$4000)</f>
        <v>0.31214332415254237</v>
      </c>
      <c r="AQ137" s="4" cm="1">
        <f t="array" ref="AQ137">_xlfn.XLOOKUP(1,('2013 E Maize Soil VWC'!$C$2:$C$4000=$AA137)*('2013 E Maize Soil VWC'!$E$2:$E$4000=$AB137)*('2013 E Maize Soil VWC'!$F$2:$F$4000=AQ$5),'2013 E Maize Soil VWC'!$G$2:$G$4000)</f>
        <v>0.33349116525423728</v>
      </c>
      <c r="AR137" s="4" cm="1">
        <f t="array" ref="AR137">_xlfn.XLOOKUP(1,('2013 E Maize Soil VWC'!$C$2:$C$4000=$AA137)*('2013 E Maize Soil VWC'!$E$2:$E$4000=$AB137)*('2013 E Maize Soil VWC'!$F$2:$F$4000=AR$5),'2013 E Maize Soil VWC'!$G$2:$G$4000)</f>
        <v>0.32860902683615817</v>
      </c>
      <c r="AS137" s="4" cm="1">
        <f t="array" ref="AS137">_xlfn.XLOOKUP(1,('2013 E Maize Soil VWC'!$C$2:$C$4000=$AA137)*('2013 E Maize Soil VWC'!$E$2:$E$4000=$AB137)*('2013 E Maize Soil VWC'!$F$2:$F$4000=AS$5),'2013 E Maize Soil VWC'!$G$2:$G$4000)</f>
        <v>0.33091192231638417</v>
      </c>
      <c r="AT137" s="4" cm="1">
        <f t="array" ref="AT137">_xlfn.XLOOKUP(1,('2013 E Maize Soil VWC'!$C$2:$C$4000=$AA137)*('2013 E Maize Soil VWC'!$E$2:$E$4000=$AB137)*('2013 E Maize Soil VWC'!$F$2:$F$4000=AT$5),'2013 E Maize Soil VWC'!$G$2:$G$4000)</f>
        <v>0.336922479519774</v>
      </c>
      <c r="AU137" s="4" cm="1">
        <f t="array" ref="AU137">_xlfn.XLOOKUP(1,('2013 E Maize Soil VWC'!$C$2:$C$4000=$AA137)*('2013 E Maize Soil VWC'!$E$2:$E$4000=$AB137)*('2013 E Maize Soil VWC'!$F$2:$F$4000=AU$5),'2013 E Maize Soil VWC'!$G$2:$G$4000)</f>
        <v>0.30670849081920903</v>
      </c>
      <c r="AV137" s="4" cm="1">
        <f t="array" ref="AV137">_xlfn.XLOOKUP(1,('2013 E Maize Soil VWC'!$C$2:$C$4000=$AA137)*('2013 E Maize Soil VWC'!$E$2:$E$4000=$AB137)*('2013 E Maize Soil VWC'!$F$2:$F$4000=AV$5),'2013 E Maize Soil VWC'!$G$2:$G$4000)</f>
        <v>0.30714604096045195</v>
      </c>
    </row>
    <row r="138" spans="25:64" x14ac:dyDescent="0.25">
      <c r="AA138" s="15">
        <f t="shared" si="21"/>
        <v>41505</v>
      </c>
      <c r="AB138" s="4">
        <f t="shared" si="22"/>
        <v>50</v>
      </c>
      <c r="AC138" s="4" cm="1">
        <f t="array" ref="AC138">_xlfn.XLOOKUP(1,('2013 E Maize Soil VWC'!$C$2:$C$4000=$AA138)*('2013 E Maize Soil VWC'!$E$2:$E$4000=$AB138)*('2013 E Maize Soil VWC'!$F$2:$F$4000=AC$5),'2013 E Maize Soil VWC'!$G$2:$G$4000)</f>
        <v>0.33745214548022595</v>
      </c>
      <c r="AD138" s="4" cm="1">
        <f t="array" ref="AD138">_xlfn.XLOOKUP(1,('2013 E Maize Soil VWC'!$C$2:$C$4000=$AA138)*('2013 E Maize Soil VWC'!$E$2:$E$4000=$AB138)*('2013 E Maize Soil VWC'!$F$2:$F$4000=AD$5),'2013 E Maize Soil VWC'!$G$2:$G$4000)</f>
        <v>0.3365079583333333</v>
      </c>
      <c r="AE138" s="4" cm="1">
        <f t="array" ref="AE138">_xlfn.XLOOKUP(1,('2013 E Maize Soil VWC'!$C$2:$C$4000=$AA138)*('2013 E Maize Soil VWC'!$E$2:$E$4000=$AB138)*('2013 E Maize Soil VWC'!$F$2:$F$4000=AE$5),'2013 E Maize Soil VWC'!$G$2:$G$4000)</f>
        <v>0.3351953079096045</v>
      </c>
      <c r="AF138" s="4" cm="1">
        <f t="array" ref="AF138">_xlfn.XLOOKUP(1,('2013 E Maize Soil VWC'!$C$2:$C$4000=$AA138)*('2013 E Maize Soil VWC'!$E$2:$E$4000=$AB138)*('2013 E Maize Soil VWC'!$F$2:$F$4000=AF$5),'2013 E Maize Soil VWC'!$G$2:$G$4000)</f>
        <v>0.31502194350282481</v>
      </c>
      <c r="AG138" s="4" cm="1">
        <f t="array" ref="AG138">_xlfn.XLOOKUP(1,('2013 E Maize Soil VWC'!$C$2:$C$4000=$AA138)*('2013 E Maize Soil VWC'!$E$2:$E$4000=$AB138)*('2013 E Maize Soil VWC'!$F$2:$F$4000=AG$5),'2013 E Maize Soil VWC'!$G$2:$G$4000)</f>
        <v>0.33616252401129942</v>
      </c>
      <c r="AH138" s="4" cm="1">
        <f t="array" ref="AH138">_xlfn.XLOOKUP(1,('2013 E Maize Soil VWC'!$C$2:$C$4000=$AA138)*('2013 E Maize Soil VWC'!$E$2:$E$4000=$AB138)*('2013 E Maize Soil VWC'!$F$2:$F$4000=AH$5),'2013 E Maize Soil VWC'!$G$2:$G$4000)</f>
        <v>0.34081437288135591</v>
      </c>
      <c r="AI138" s="4" cm="1">
        <f t="array" ref="AI138">_xlfn.XLOOKUP(1,('2013 E Maize Soil VWC'!$C$2:$C$4000=$AA138)*('2013 E Maize Soil VWC'!$E$2:$E$4000=$AB138)*('2013 E Maize Soil VWC'!$F$2:$F$4000=AI$5),'2013 E Maize Soil VWC'!$G$2:$G$4000)</f>
        <v>0.33033619844632767</v>
      </c>
      <c r="AJ138" s="4" cm="1">
        <f t="array" ref="AJ138">_xlfn.XLOOKUP(1,('2013 E Maize Soil VWC'!$C$2:$C$4000=$AA138)*('2013 E Maize Soil VWC'!$E$2:$E$4000=$AB138)*('2013 E Maize Soil VWC'!$F$2:$F$4000=AJ$5),'2013 E Maize Soil VWC'!$G$2:$G$4000)</f>
        <v>0.33639281355932205</v>
      </c>
      <c r="AK138" s="4" cm="1">
        <f t="array" ref="AK138">_xlfn.XLOOKUP(1,('2013 E Maize Soil VWC'!$C$2:$C$4000=$AA138)*('2013 E Maize Soil VWC'!$E$2:$E$4000=$AB138)*('2013 E Maize Soil VWC'!$F$2:$F$4000=AK$5),'2013 E Maize Soil VWC'!$G$2:$G$4000)</f>
        <v>0.31732483898305081</v>
      </c>
      <c r="AL138" s="4" cm="1">
        <f t="array" ref="AL138">_xlfn.XLOOKUP(1,('2013 E Maize Soil VWC'!$C$2:$C$4000=$AA138)*('2013 E Maize Soil VWC'!$E$2:$E$4000=$AB138)*('2013 E Maize Soil VWC'!$F$2:$F$4000=AL$5),'2013 E Maize Soil VWC'!$G$2:$G$4000)</f>
        <v>0.33752123234463277</v>
      </c>
      <c r="AM138" s="4" cm="1">
        <f t="array" ref="AM138">_xlfn.XLOOKUP(1,('2013 E Maize Soil VWC'!$C$2:$C$4000=$AA138)*('2013 E Maize Soil VWC'!$E$2:$E$4000=$AB138)*('2013 E Maize Soil VWC'!$F$2:$F$4000=AM$5),'2013 E Maize Soil VWC'!$G$2:$G$4000)</f>
        <v>0.3274345501412429</v>
      </c>
      <c r="AN138" s="4" cm="1">
        <f t="array" ref="AN138">_xlfn.XLOOKUP(1,('2013 E Maize Soil VWC'!$C$2:$C$4000=$AA138)*('2013 E Maize Soil VWC'!$E$2:$E$4000=$AB138)*('2013 E Maize Soil VWC'!$F$2:$F$4000=AN$5),'2013 E Maize Soil VWC'!$G$2:$G$4000)</f>
        <v>0.33153370409604516</v>
      </c>
      <c r="AO138" s="4" cm="1">
        <f t="array" ref="AO138">_xlfn.XLOOKUP(1,('2013 E Maize Soil VWC'!$C$2:$C$4000=$AA138)*('2013 E Maize Soil VWC'!$E$2:$E$4000=$AB138)*('2013 E Maize Soil VWC'!$F$2:$F$4000=AO$5),'2013 E Maize Soil VWC'!$G$2:$G$4000)</f>
        <v>0.32303601977401131</v>
      </c>
      <c r="AP138" s="4" cm="1">
        <f t="array" ref="AP138">_xlfn.XLOOKUP(1,('2013 E Maize Soil VWC'!$C$2:$C$4000=$AA138)*('2013 E Maize Soil VWC'!$E$2:$E$4000=$AB138)*('2013 E Maize Soil VWC'!$F$2:$F$4000=AP$5),'2013 E Maize Soil VWC'!$G$2:$G$4000)</f>
        <v>0.33653098728813557</v>
      </c>
      <c r="AQ138" s="4" cm="1">
        <f t="array" ref="AQ138">_xlfn.XLOOKUP(1,('2013 E Maize Soil VWC'!$C$2:$C$4000=$AA138)*('2013 E Maize Soil VWC'!$E$2:$E$4000=$AB138)*('2013 E Maize Soil VWC'!$F$2:$F$4000=AQ$5),'2013 E Maize Soil VWC'!$G$2:$G$4000)</f>
        <v>0.32041071892655365</v>
      </c>
      <c r="AR138" s="4" cm="1">
        <f t="array" ref="AR138">_xlfn.XLOOKUP(1,('2013 E Maize Soil VWC'!$C$2:$C$4000=$AA138)*('2013 E Maize Soil VWC'!$E$2:$E$4000=$AB138)*('2013 E Maize Soil VWC'!$F$2:$F$4000=AR$5),'2013 E Maize Soil VWC'!$G$2:$G$4000)</f>
        <v>0.30461285593220339</v>
      </c>
      <c r="AS138" s="4" cm="1">
        <f t="array" ref="AS138">_xlfn.XLOOKUP(1,('2013 E Maize Soil VWC'!$C$2:$C$4000=$AA138)*('2013 E Maize Soil VWC'!$E$2:$E$4000=$AB138)*('2013 E Maize Soil VWC'!$F$2:$F$4000=AS$5),'2013 E Maize Soil VWC'!$G$2:$G$4000)</f>
        <v>0.34634132203389828</v>
      </c>
      <c r="AT138" s="4" cm="1">
        <f t="array" ref="AT138">_xlfn.XLOOKUP(1,('2013 E Maize Soil VWC'!$C$2:$C$4000=$AA138)*('2013 E Maize Soil VWC'!$E$2:$E$4000=$AB138)*('2013 E Maize Soil VWC'!$F$2:$F$4000=AT$5),'2013 E Maize Soil VWC'!$G$2:$G$4000)</f>
        <v>0.33904114336158192</v>
      </c>
      <c r="AU138" s="4" cm="1">
        <f t="array" ref="AU138">_xlfn.XLOOKUP(1,('2013 E Maize Soil VWC'!$C$2:$C$4000=$AA138)*('2013 E Maize Soil VWC'!$E$2:$E$4000=$AB138)*('2013 E Maize Soil VWC'!$F$2:$F$4000=AU$5),'2013 E Maize Soil VWC'!$G$2:$G$4000)</f>
        <v>0.32959927189265531</v>
      </c>
      <c r="AV138" s="4" cm="1">
        <f t="array" ref="AV138">_xlfn.XLOOKUP(1,('2013 E Maize Soil VWC'!$C$2:$C$4000=$AA138)*('2013 E Maize Soil VWC'!$E$2:$E$4000=$AB138)*('2013 E Maize Soil VWC'!$F$2:$F$4000=AV$5),'2013 E Maize Soil VWC'!$G$2:$G$4000)</f>
        <v>0.34240337076271182</v>
      </c>
    </row>
    <row r="139" spans="25:64" x14ac:dyDescent="0.25">
      <c r="AA139" s="15">
        <f t="shared" si="21"/>
        <v>41505</v>
      </c>
      <c r="AB139" s="4">
        <f t="shared" si="22"/>
        <v>70</v>
      </c>
      <c r="AC139" s="4" cm="1">
        <f t="array" ref="AC139">_xlfn.XLOOKUP(1,('2013 E Maize Soil VWC'!$C$2:$C$4000=$AA139)*('2013 E Maize Soil VWC'!$E$2:$E$4000=$AB139)*('2013 E Maize Soil VWC'!$F$2:$F$4000=AC$5),'2013 E Maize Soil VWC'!$G$2:$G$4000)</f>
        <v>0.34157432838983048</v>
      </c>
      <c r="AD139" s="4" cm="1">
        <f t="array" ref="AD139">_xlfn.XLOOKUP(1,('2013 E Maize Soil VWC'!$C$2:$C$4000=$AA139)*('2013 E Maize Soil VWC'!$E$2:$E$4000=$AB139)*('2013 E Maize Soil VWC'!$F$2:$F$4000=AD$5),'2013 E Maize Soil VWC'!$G$2:$G$4000)</f>
        <v>0.32761878177966103</v>
      </c>
      <c r="AE139" s="4" cm="1">
        <f t="array" ref="AE139">_xlfn.XLOOKUP(1,('2013 E Maize Soil VWC'!$C$2:$C$4000=$AA139)*('2013 E Maize Soil VWC'!$E$2:$E$4000=$AB139)*('2013 E Maize Soil VWC'!$F$2:$F$4000=AE$5),'2013 E Maize Soil VWC'!$G$2:$G$4000)</f>
        <v>0.32388809110169486</v>
      </c>
      <c r="AF139" s="4" cm="1">
        <f t="array" ref="AF139">_xlfn.XLOOKUP(1,('2013 E Maize Soil VWC'!$C$2:$C$4000=$AA139)*('2013 E Maize Soil VWC'!$E$2:$E$4000=$AB139)*('2013 E Maize Soil VWC'!$F$2:$F$4000=AF$5),'2013 E Maize Soil VWC'!$G$2:$G$4000)</f>
        <v>0.31997316878531074</v>
      </c>
      <c r="AG139" s="4" cm="1">
        <f t="array" ref="AG139">_xlfn.XLOOKUP(1,('2013 E Maize Soil VWC'!$C$2:$C$4000=$AA139)*('2013 E Maize Soil VWC'!$E$2:$E$4000=$AB139)*('2013 E Maize Soil VWC'!$F$2:$F$4000=AG$5),'2013 E Maize Soil VWC'!$G$2:$G$4000)</f>
        <v>0.32609887076271182</v>
      </c>
      <c r="AH139" s="4" cm="1">
        <f t="array" ref="AH139">_xlfn.XLOOKUP(1,('2013 E Maize Soil VWC'!$C$2:$C$4000=$AA139)*('2013 E Maize Soil VWC'!$E$2:$E$4000=$AB139)*('2013 E Maize Soil VWC'!$F$2:$F$4000=AH$5),'2013 E Maize Soil VWC'!$G$2:$G$4000)</f>
        <v>0.3255461758474576</v>
      </c>
      <c r="AI139" s="4" cm="1">
        <f t="array" ref="AI139">_xlfn.XLOOKUP(1,('2013 E Maize Soil VWC'!$C$2:$C$4000=$AA139)*('2013 E Maize Soil VWC'!$E$2:$E$4000=$AB139)*('2013 E Maize Soil VWC'!$F$2:$F$4000=AI$5),'2013 E Maize Soil VWC'!$G$2:$G$4000)</f>
        <v>0.3114985134180791</v>
      </c>
      <c r="AJ139" s="4" cm="1">
        <f t="array" ref="AJ139">_xlfn.XLOOKUP(1,('2013 E Maize Soil VWC'!$C$2:$C$4000=$AA139)*('2013 E Maize Soil VWC'!$E$2:$E$4000=$AB139)*('2013 E Maize Soil VWC'!$F$2:$F$4000=AJ$5),'2013 E Maize Soil VWC'!$G$2:$G$4000)</f>
        <v>0.32833267937853106</v>
      </c>
      <c r="AK139" s="4" cm="1">
        <f t="array" ref="AK139">_xlfn.XLOOKUP(1,('2013 E Maize Soil VWC'!$C$2:$C$4000=$AA139)*('2013 E Maize Soil VWC'!$E$2:$E$4000=$AB139)*('2013 E Maize Soil VWC'!$F$2:$F$4000=AK$5),'2013 E Maize Soil VWC'!$G$2:$G$4000)</f>
        <v>0.31087673163841806</v>
      </c>
      <c r="AL139" s="4" cm="1">
        <f t="array" ref="AL139">_xlfn.XLOOKUP(1,('2013 E Maize Soil VWC'!$C$2:$C$4000=$AA139)*('2013 E Maize Soil VWC'!$E$2:$E$4000=$AB139)*('2013 E Maize Soil VWC'!$F$2:$F$4000=AL$5),'2013 E Maize Soil VWC'!$G$2:$G$4000)</f>
        <v>0.33321481779661016</v>
      </c>
      <c r="AM139" s="4" cm="1">
        <f t="array" ref="AM139">_xlfn.XLOOKUP(1,('2013 E Maize Soil VWC'!$C$2:$C$4000=$AA139)*('2013 E Maize Soil VWC'!$E$2:$E$4000=$AB139)*('2013 E Maize Soil VWC'!$F$2:$F$4000=AM$5),'2013 E Maize Soil VWC'!$G$2:$G$4000)</f>
        <v>0.33160279096045198</v>
      </c>
      <c r="AN139" s="4" cm="1">
        <f t="array" ref="AN139">_xlfn.XLOOKUP(1,('2013 E Maize Soil VWC'!$C$2:$C$4000=$AA139)*('2013 E Maize Soil VWC'!$E$2:$E$4000=$AB139)*('2013 E Maize Soil VWC'!$F$2:$F$4000=AN$5),'2013 E Maize Soil VWC'!$G$2:$G$4000)</f>
        <v>0.31753209957627115</v>
      </c>
      <c r="AO139" s="4" cm="1">
        <f t="array" ref="AO139">_xlfn.XLOOKUP(1,('2013 E Maize Soil VWC'!$C$2:$C$4000=$AA139)*('2013 E Maize Soil VWC'!$E$2:$E$4000=$AB139)*('2013 E Maize Soil VWC'!$F$2:$F$4000=AO$5),'2013 E Maize Soil VWC'!$G$2:$G$4000)</f>
        <v>0.31891383686440677</v>
      </c>
      <c r="AP139" s="4" cm="1">
        <f t="array" ref="AP139">_xlfn.XLOOKUP(1,('2013 E Maize Soil VWC'!$C$2:$C$4000=$AA139)*('2013 E Maize Soil VWC'!$E$2:$E$4000=$AB139)*('2013 E Maize Soil VWC'!$F$2:$F$4000=AP$5),'2013 E Maize Soil VWC'!$G$2:$G$4000)</f>
        <v>0.32476319138418075</v>
      </c>
      <c r="AQ139" s="4" cm="1">
        <f t="array" ref="AQ139">_xlfn.XLOOKUP(1,('2013 E Maize Soil VWC'!$C$2:$C$4000=$AA139)*('2013 E Maize Soil VWC'!$E$2:$E$4000=$AB139)*('2013 E Maize Soil VWC'!$F$2:$F$4000=AQ$5),'2013 E Maize Soil VWC'!$G$2:$G$4000)</f>
        <v>0.31048523940677963</v>
      </c>
      <c r="AR139" s="4" cm="1">
        <f t="array" ref="AR139">_xlfn.XLOOKUP(1,('2013 E Maize Soil VWC'!$C$2:$C$4000=$AA139)*('2013 E Maize Soil VWC'!$E$2:$E$4000=$AB139)*('2013 E Maize Soil VWC'!$F$2:$F$4000=AR$5),'2013 E Maize Soil VWC'!$G$2:$G$4000)</f>
        <v>0.30495829025423726</v>
      </c>
      <c r="AS139" s="4" cm="1">
        <f t="array" ref="AS139">_xlfn.XLOOKUP(1,('2013 E Maize Soil VWC'!$C$2:$C$4000=$AA139)*('2013 E Maize Soil VWC'!$E$2:$E$4000=$AB139)*('2013 E Maize Soil VWC'!$F$2:$F$4000=AS$5),'2013 E Maize Soil VWC'!$G$2:$G$4000)</f>
        <v>0.32294390395480227</v>
      </c>
      <c r="AT139" s="4" cm="1">
        <f t="array" ref="AT139">_xlfn.XLOOKUP(1,('2013 E Maize Soil VWC'!$C$2:$C$4000=$AA139)*('2013 E Maize Soil VWC'!$E$2:$E$4000=$AB139)*('2013 E Maize Soil VWC'!$F$2:$F$4000=AT$5),'2013 E Maize Soil VWC'!$G$2:$G$4000)</f>
        <v>0.33616252401129942</v>
      </c>
      <c r="AU139" s="4" cm="1">
        <f t="array" ref="AU139">_xlfn.XLOOKUP(1,('2013 E Maize Soil VWC'!$C$2:$C$4000=$AA139)*('2013 E Maize Soil VWC'!$E$2:$E$4000=$AB139)*('2013 E Maize Soil VWC'!$F$2:$F$4000=AU$5),'2013 E Maize Soil VWC'!$G$2:$G$4000)</f>
        <v>0.32503953884180786</v>
      </c>
      <c r="AV139" s="4" cm="1">
        <f t="array" ref="AV139">_xlfn.XLOOKUP(1,('2013 E Maize Soil VWC'!$C$2:$C$4000=$AA139)*('2013 E Maize Soil VWC'!$E$2:$E$4000=$AB139)*('2013 E Maize Soil VWC'!$F$2:$F$4000=AV$5),'2013 E Maize Soil VWC'!$G$2:$G$4000)</f>
        <v>0.33328390466101693</v>
      </c>
    </row>
    <row r="140" spans="25:64" x14ac:dyDescent="0.25">
      <c r="AA140" s="15">
        <f t="shared" si="21"/>
        <v>41505</v>
      </c>
      <c r="AB140" s="4">
        <f t="shared" si="22"/>
        <v>90</v>
      </c>
      <c r="AC140" s="4" cm="1">
        <f t="array" ref="AC140">_xlfn.XLOOKUP(1,('2013 E Maize Soil VWC'!$C$2:$C$4000=$AA140)*('2013 E Maize Soil VWC'!$E$2:$E$4000=$AB140)*('2013 E Maize Soil VWC'!$F$2:$F$4000=AC$5),'2013 E Maize Soil VWC'!$G$2:$G$4000)</f>
        <v>0.34139009675141241</v>
      </c>
      <c r="AD140" s="4" cm="1">
        <f t="array" ref="AD140">_xlfn.XLOOKUP(1,('2013 E Maize Soil VWC'!$C$2:$C$4000=$AA140)*('2013 E Maize Soil VWC'!$E$2:$E$4000=$AB140)*('2013 E Maize Soil VWC'!$F$2:$F$4000=AD$5),'2013 E Maize Soil VWC'!$G$2:$G$4000)</f>
        <v>0.33385962853107343</v>
      </c>
      <c r="AE140" s="4" cm="1">
        <f t="array" ref="AE140">_xlfn.XLOOKUP(1,('2013 E Maize Soil VWC'!$C$2:$C$4000=$AA140)*('2013 E Maize Soil VWC'!$E$2:$E$4000=$AB140)*('2013 E Maize Soil VWC'!$F$2:$F$4000=AE$5),'2013 E Maize Soil VWC'!$G$2:$G$4000)</f>
        <v>0.32432564124293783</v>
      </c>
      <c r="AF140" s="4" cm="1">
        <f t="array" ref="AF140">_xlfn.XLOOKUP(1,('2013 E Maize Soil VWC'!$C$2:$C$4000=$AA140)*('2013 E Maize Soil VWC'!$E$2:$E$4000=$AB140)*('2013 E Maize Soil VWC'!$F$2:$F$4000=AF$5),'2013 E Maize Soil VWC'!$G$2:$G$4000)</f>
        <v>0.32605281285310733</v>
      </c>
      <c r="AG140" s="4" cm="1">
        <f t="array" ref="AG140">_xlfn.XLOOKUP(1,('2013 E Maize Soil VWC'!$C$2:$C$4000=$AA140)*('2013 E Maize Soil VWC'!$E$2:$E$4000=$AB140)*('2013 E Maize Soil VWC'!$F$2:$F$4000=AG$5),'2013 E Maize Soil VWC'!$G$2:$G$4000)</f>
        <v>0.32064100847457627</v>
      </c>
      <c r="AH140" s="4" cm="1">
        <f t="array" ref="AH140">_xlfn.XLOOKUP(1,('2013 E Maize Soil VWC'!$C$2:$C$4000=$AA140)*('2013 E Maize Soil VWC'!$E$2:$E$4000=$AB140)*('2013 E Maize Soil VWC'!$F$2:$F$4000=AH$5),'2013 E Maize Soil VWC'!$G$2:$G$4000)</f>
        <v>0.31405472740112994</v>
      </c>
      <c r="AI140" s="4" cm="1">
        <f t="array" ref="AI140">_xlfn.XLOOKUP(1,('2013 E Maize Soil VWC'!$C$2:$C$4000=$AA140)*('2013 E Maize Soil VWC'!$E$2:$E$4000=$AB140)*('2013 E Maize Soil VWC'!$F$2:$F$4000=AI$5),'2013 E Maize Soil VWC'!$G$2:$G$4000)</f>
        <v>0.31308751129943502</v>
      </c>
      <c r="AJ140" s="4" cm="1">
        <f t="array" ref="AJ140">_xlfn.XLOOKUP(1,('2013 E Maize Soil VWC'!$C$2:$C$4000=$AA140)*('2013 E Maize Soil VWC'!$E$2:$E$4000=$AB140)*('2013 E Maize Soil VWC'!$F$2:$F$4000=AJ$5),'2013 E Maize Soil VWC'!$G$2:$G$4000)</f>
        <v>0.33245486228813559</v>
      </c>
      <c r="AK140" s="4" cm="1">
        <f t="array" ref="AK140">_xlfn.XLOOKUP(1,('2013 E Maize Soil VWC'!$C$2:$C$4000=$AA140)*('2013 E Maize Soil VWC'!$E$2:$E$4000=$AB140)*('2013 E Maize Soil VWC'!$F$2:$F$4000=AK$5),'2013 E Maize Soil VWC'!$G$2:$G$4000)</f>
        <v>0.31488376977401128</v>
      </c>
      <c r="AL140" s="4" cm="1">
        <f t="array" ref="AL140">_xlfn.XLOOKUP(1,('2013 E Maize Soil VWC'!$C$2:$C$4000=$AA140)*('2013 E Maize Soil VWC'!$E$2:$E$4000=$AB140)*('2013 E Maize Soil VWC'!$F$2:$F$4000=AL$5),'2013 E Maize Soil VWC'!$G$2:$G$4000)</f>
        <v>0.33323784675141238</v>
      </c>
      <c r="AM140" s="4" cm="1">
        <f t="array" ref="AM140">_xlfn.XLOOKUP(1,('2013 E Maize Soil VWC'!$C$2:$C$4000=$AA140)*('2013 E Maize Soil VWC'!$E$2:$E$4000=$AB140)*('2013 E Maize Soil VWC'!$F$2:$F$4000=AM$5),'2013 E Maize Soil VWC'!$G$2:$G$4000)</f>
        <v>0.33054345903954802</v>
      </c>
      <c r="AN140" s="4" cm="1">
        <f t="array" ref="AN140">_xlfn.XLOOKUP(1,('2013 E Maize Soil VWC'!$C$2:$C$4000=$AA140)*('2013 E Maize Soil VWC'!$E$2:$E$4000=$AB140)*('2013 E Maize Soil VWC'!$F$2:$F$4000=AN$5),'2013 E Maize Soil VWC'!$G$2:$G$4000)</f>
        <v>0.33038225635593216</v>
      </c>
      <c r="AO140" s="4" cm="1">
        <f t="array" ref="AO140">_xlfn.XLOOKUP(1,('2013 E Maize Soil VWC'!$C$2:$C$4000=$AA140)*('2013 E Maize Soil VWC'!$E$2:$E$4000=$AB140)*('2013 E Maize Soil VWC'!$F$2:$F$4000=AO$5),'2013 E Maize Soil VWC'!$G$2:$G$4000)</f>
        <v>0.3283787372881356</v>
      </c>
      <c r="AP140" s="4" cm="1">
        <f t="array" ref="AP140">_xlfn.XLOOKUP(1,('2013 E Maize Soil VWC'!$C$2:$C$4000=$AA140)*('2013 E Maize Soil VWC'!$E$2:$E$4000=$AB140)*('2013 E Maize Soil VWC'!$F$2:$F$4000=AP$5),'2013 E Maize Soil VWC'!$G$2:$G$4000)</f>
        <v>0.31939744491525424</v>
      </c>
      <c r="AQ140" s="4" cm="1">
        <f t="array" ref="AQ140">_xlfn.XLOOKUP(1,('2013 E Maize Soil VWC'!$C$2:$C$4000=$AA140)*('2013 E Maize Soil VWC'!$E$2:$E$4000=$AB140)*('2013 E Maize Soil VWC'!$F$2:$F$4000=AQ$5),'2013 E Maize Soil VWC'!$G$2:$G$4000)</f>
        <v>0.29903984887005647</v>
      </c>
      <c r="AR140" s="4" cm="1">
        <f t="array" ref="AR140">_xlfn.XLOOKUP(1,('2013 E Maize Soil VWC'!$C$2:$C$4000=$AA140)*('2013 E Maize Soil VWC'!$E$2:$E$4000=$AB140)*('2013 E Maize Soil VWC'!$F$2:$F$4000=AR$5),'2013 E Maize Soil VWC'!$G$2:$G$4000)</f>
        <v>0.29675998234463274</v>
      </c>
      <c r="AS140" s="4" cm="1">
        <f t="array" ref="AS140">_xlfn.XLOOKUP(1,('2013 E Maize Soil VWC'!$C$2:$C$4000=$AA140)*('2013 E Maize Soil VWC'!$E$2:$E$4000=$AB140)*('2013 E Maize Soil VWC'!$F$2:$F$4000=AS$5),'2013 E Maize Soil VWC'!$G$2:$G$4000)</f>
        <v>0.32107855861581919</v>
      </c>
      <c r="AT140" s="4" cm="1">
        <f t="array" ref="AT140">_xlfn.XLOOKUP(1,('2013 E Maize Soil VWC'!$C$2:$C$4000=$AA140)*('2013 E Maize Soil VWC'!$E$2:$E$4000=$AB140)*('2013 E Maize Soil VWC'!$F$2:$F$4000=AT$5),'2013 E Maize Soil VWC'!$G$2:$G$4000)</f>
        <v>0.33360631002824853</v>
      </c>
      <c r="AU140" s="4" cm="1">
        <f t="array" ref="AU140">_xlfn.XLOOKUP(1,('2013 E Maize Soil VWC'!$C$2:$C$4000=$AA140)*('2013 E Maize Soil VWC'!$E$2:$E$4000=$AB140)*('2013 E Maize Soil VWC'!$F$2:$F$4000=AU$5),'2013 E Maize Soil VWC'!$G$2:$G$4000)</f>
        <v>0.32057192161016945</v>
      </c>
      <c r="AV140" s="4" cm="1">
        <f t="array" ref="AV140">_xlfn.XLOOKUP(1,('2013 E Maize Soil VWC'!$C$2:$C$4000=$AA140)*('2013 E Maize Soil VWC'!$E$2:$E$4000=$AB140)*('2013 E Maize Soil VWC'!$F$2:$F$4000=AV$5),'2013 E Maize Soil VWC'!$G$2:$G$4000)</f>
        <v>0.33236274646892655</v>
      </c>
    </row>
    <row r="141" spans="25:64" x14ac:dyDescent="0.25">
      <c r="AA141" s="15">
        <f t="shared" si="21"/>
        <v>41505</v>
      </c>
      <c r="AB141" s="4">
        <f t="shared" si="22"/>
        <v>110</v>
      </c>
      <c r="AC141" s="4" cm="1">
        <f t="array" ref="AC141">_xlfn.XLOOKUP(1,('2013 E Maize Soil VWC'!$C$2:$C$4000=$AA141)*('2013 E Maize Soil VWC'!$E$2:$E$4000=$AB141)*('2013 E Maize Soil VWC'!$F$2:$F$4000=AC$5),'2013 E Maize Soil VWC'!$G$2:$G$4000)</f>
        <v>0.34189673375706214</v>
      </c>
      <c r="AD141" s="4" cm="1">
        <f t="array" ref="AD141">_xlfn.XLOOKUP(1,('2013 E Maize Soil VWC'!$C$2:$C$4000=$AA141)*('2013 E Maize Soil VWC'!$E$2:$E$4000=$AB141)*('2013 E Maize Soil VWC'!$F$2:$F$4000=AD$5),'2013 E Maize Soil VWC'!$G$2:$G$4000)</f>
        <v>0.33411294703389827</v>
      </c>
      <c r="AE141" s="4" cm="1">
        <f t="array" ref="AE141">_xlfn.XLOOKUP(1,('2013 E Maize Soil VWC'!$C$2:$C$4000=$AA141)*('2013 E Maize Soil VWC'!$E$2:$E$4000=$AB141)*('2013 E Maize Soil VWC'!$F$2:$F$4000=AE$5),'2013 E Maize Soil VWC'!$G$2:$G$4000)</f>
        <v>0.32326630932203387</v>
      </c>
      <c r="AF141" s="4" cm="1">
        <f t="array" ref="AF141">_xlfn.XLOOKUP(1,('2013 E Maize Soil VWC'!$C$2:$C$4000=$AA141)*('2013 E Maize Soil VWC'!$E$2:$E$4000=$AB141)*('2013 E Maize Soil VWC'!$F$2:$F$4000=AF$5),'2013 E Maize Soil VWC'!$G$2:$G$4000)</f>
        <v>0.33775152189265534</v>
      </c>
      <c r="AG141" s="4" cm="1">
        <f t="array" ref="AG141">_xlfn.XLOOKUP(1,('2013 E Maize Soil VWC'!$C$2:$C$4000=$AA141)*('2013 E Maize Soil VWC'!$E$2:$E$4000=$AB141)*('2013 E Maize Soil VWC'!$F$2:$F$4000=AG$5),'2013 E Maize Soil VWC'!$G$2:$G$4000)</f>
        <v>0.32932292443502825</v>
      </c>
      <c r="AH141" s="4" cm="1">
        <f t="array" ref="AH141">_xlfn.XLOOKUP(1,('2013 E Maize Soil VWC'!$C$2:$C$4000=$AA141)*('2013 E Maize Soil VWC'!$E$2:$E$4000=$AB141)*('2013 E Maize Soil VWC'!$F$2:$F$4000=AH$5),'2013 E Maize Soil VWC'!$G$2:$G$4000)</f>
        <v>0.31426198799435023</v>
      </c>
      <c r="AI141" s="4" cm="1">
        <f t="array" ref="AI141">_xlfn.XLOOKUP(1,('2013 E Maize Soil VWC'!$C$2:$C$4000=$AA141)*('2013 E Maize Soil VWC'!$E$2:$E$4000=$AB141)*('2013 E Maize Soil VWC'!$F$2:$F$4000=AI$5),'2013 E Maize Soil VWC'!$G$2:$G$4000)</f>
        <v>0.32697397104519776</v>
      </c>
      <c r="AJ141" s="4" cm="1">
        <f t="array" ref="AJ141">_xlfn.XLOOKUP(1,('2013 E Maize Soil VWC'!$C$2:$C$4000=$AA141)*('2013 E Maize Soil VWC'!$E$2:$E$4000=$AB141)*('2013 E Maize Soil VWC'!$F$2:$F$4000=AJ$5),'2013 E Maize Soil VWC'!$G$2:$G$4000)</f>
        <v>0.34168947316384179</v>
      </c>
      <c r="AK141" s="4" cm="1">
        <f t="array" ref="AK141">_xlfn.XLOOKUP(1,('2013 E Maize Soil VWC'!$C$2:$C$4000=$AA141)*('2013 E Maize Soil VWC'!$E$2:$E$4000=$AB141)*('2013 E Maize Soil VWC'!$F$2:$F$4000=AK$5),'2013 E Maize Soil VWC'!$G$2:$G$4000)</f>
        <v>0.32978350353107344</v>
      </c>
      <c r="AL141" s="4" cm="1">
        <f t="array" ref="AL141">_xlfn.XLOOKUP(1,('2013 E Maize Soil VWC'!$C$2:$C$4000=$AA141)*('2013 E Maize Soil VWC'!$E$2:$E$4000=$AB141)*('2013 E Maize Soil VWC'!$F$2:$F$4000=AL$5),'2013 E Maize Soil VWC'!$G$2:$G$4000)</f>
        <v>0.33471169985875704</v>
      </c>
      <c r="AM141" s="4" cm="1">
        <f t="array" ref="AM141">_xlfn.XLOOKUP(1,('2013 E Maize Soil VWC'!$C$2:$C$4000=$AA141)*('2013 E Maize Soil VWC'!$E$2:$E$4000=$AB141)*('2013 E Maize Soil VWC'!$F$2:$F$4000=AM$5),'2013 E Maize Soil VWC'!$G$2:$G$4000)</f>
        <v>0.3268588262711864</v>
      </c>
      <c r="AN141" s="4" cm="1">
        <f t="array" ref="AN141">_xlfn.XLOOKUP(1,('2013 E Maize Soil VWC'!$C$2:$C$4000=$AA141)*('2013 E Maize Soil VWC'!$E$2:$E$4000=$AB141)*('2013 E Maize Soil VWC'!$F$2:$F$4000=AN$5),'2013 E Maize Soil VWC'!$G$2:$G$4000)</f>
        <v>0.33528742372881354</v>
      </c>
      <c r="AO141" s="4" cm="1">
        <f t="array" ref="AO141">_xlfn.XLOOKUP(1,('2013 E Maize Soil VWC'!$C$2:$C$4000=$AA141)*('2013 E Maize Soil VWC'!$E$2:$E$4000=$AB141)*('2013 E Maize Soil VWC'!$F$2:$F$4000=AO$5),'2013 E Maize Soil VWC'!$G$2:$G$4000)</f>
        <v>0.34231125494350284</v>
      </c>
      <c r="AP141" s="4" cm="1">
        <f t="array" ref="AP141">_xlfn.XLOOKUP(1,('2013 E Maize Soil VWC'!$C$2:$C$4000=$AA141)*('2013 E Maize Soil VWC'!$E$2:$E$4000=$AB141)*('2013 E Maize Soil VWC'!$F$2:$F$4000=AP$5),'2013 E Maize Soil VWC'!$G$2:$G$4000)</f>
        <v>0.32345054096045195</v>
      </c>
      <c r="AQ141" s="4" cm="1">
        <f t="array" ref="AQ141">_xlfn.XLOOKUP(1,('2013 E Maize Soil VWC'!$C$2:$C$4000=$AA141)*('2013 E Maize Soil VWC'!$E$2:$E$4000=$AB141)*('2013 E Maize Soil VWC'!$F$2:$F$4000=AQ$5),'2013 E Maize Soil VWC'!$G$2:$G$4000)</f>
        <v>0.30926470480225987</v>
      </c>
      <c r="AR141" s="4" cm="1">
        <f t="array" ref="AR141">_xlfn.XLOOKUP(1,('2013 E Maize Soil VWC'!$C$2:$C$4000=$AA141)*('2013 E Maize Soil VWC'!$E$2:$E$4000=$AB141)*('2013 E Maize Soil VWC'!$F$2:$F$4000=AR$5),'2013 E Maize Soil VWC'!$G$2:$G$4000)</f>
        <v>0.31099187641242937</v>
      </c>
      <c r="AS141" s="4" cm="1">
        <f t="array" ref="AS141">_xlfn.XLOOKUP(1,('2013 E Maize Soil VWC'!$C$2:$C$4000=$AA141)*('2013 E Maize Soil VWC'!$E$2:$E$4000=$AB141)*('2013 E Maize Soil VWC'!$F$2:$F$4000=AS$5),'2013 E Maize Soil VWC'!$G$2:$G$4000)</f>
        <v>0.33685339265536718</v>
      </c>
      <c r="AT141" s="4" cm="1">
        <f t="array" ref="AT141">_xlfn.XLOOKUP(1,('2013 E Maize Soil VWC'!$C$2:$C$4000=$AA141)*('2013 E Maize Soil VWC'!$E$2:$E$4000=$AB141)*('2013 E Maize Soil VWC'!$F$2:$F$4000=AT$5),'2013 E Maize Soil VWC'!$G$2:$G$4000)</f>
        <v>0.3425876024011299</v>
      </c>
      <c r="AU141" s="4" cm="1">
        <f t="array" ref="AU141">_xlfn.XLOOKUP(1,('2013 E Maize Soil VWC'!$C$2:$C$4000=$AA141)*('2013 E Maize Soil VWC'!$E$2:$E$4000=$AB141)*('2013 E Maize Soil VWC'!$F$2:$F$4000=AU$5),'2013 E Maize Soil VWC'!$G$2:$G$4000)</f>
        <v>0.33422809180790958</v>
      </c>
      <c r="AV141" s="4" cm="1">
        <f t="array" ref="AV141">_xlfn.XLOOKUP(1,('2013 E Maize Soil VWC'!$C$2:$C$4000=$AA141)*('2013 E Maize Soil VWC'!$E$2:$E$4000=$AB141)*('2013 E Maize Soil VWC'!$F$2:$F$4000=AV$5),'2013 E Maize Soil VWC'!$G$2:$G$4000)</f>
        <v>0.3361855529661017</v>
      </c>
    </row>
    <row r="142" spans="25:64" x14ac:dyDescent="0.25">
      <c r="AA142" s="15">
        <f t="shared" si="21"/>
        <v>41505</v>
      </c>
      <c r="AB142" s="4">
        <f t="shared" si="22"/>
        <v>130</v>
      </c>
      <c r="AC142" s="4" cm="1">
        <f t="array" ref="AC142">_xlfn.XLOOKUP(1,('2013 E Maize Soil VWC'!$C$2:$C$4000=$AA142)*('2013 E Maize Soil VWC'!$E$2:$E$4000=$AB142)*('2013 E Maize Soil VWC'!$F$2:$F$4000=AC$5),'2013 E Maize Soil VWC'!$G$2:$G$4000)</f>
        <v>0.31427861440677968</v>
      </c>
      <c r="AD142" s="4" cm="1">
        <f t="array" ref="AD142">_xlfn.XLOOKUP(1,('2013 E Maize Soil VWC'!$C$2:$C$4000=$AA142)*('2013 E Maize Soil VWC'!$E$2:$E$4000=$AB142)*('2013 E Maize Soil VWC'!$F$2:$F$4000=AD$5),'2013 E Maize Soil VWC'!$G$2:$G$4000)</f>
        <v>0.30564579025423727</v>
      </c>
      <c r="AE142" s="4" cm="1">
        <f t="array" ref="AE142">_xlfn.XLOOKUP(1,('2013 E Maize Soil VWC'!$C$2:$C$4000=$AA142)*('2013 E Maize Soil VWC'!$E$2:$E$4000=$AB142)*('2013 E Maize Soil VWC'!$F$2:$F$4000=AE$5),'2013 E Maize Soil VWC'!$G$2:$G$4000)</f>
        <v>0.30116298587570622</v>
      </c>
      <c r="AF142" s="4" cm="1">
        <f t="array" ref="AF142">_xlfn.XLOOKUP(1,('2013 E Maize Soil VWC'!$C$2:$C$4000=$AA142)*('2013 E Maize Soil VWC'!$E$2:$E$4000=$AB142)*('2013 E Maize Soil VWC'!$F$2:$F$4000=AF$5),'2013 E Maize Soil VWC'!$G$2:$G$4000)</f>
        <v>0.30437337853107349</v>
      </c>
      <c r="AG142" s="4" cm="1">
        <f t="array" ref="AG142">_xlfn.XLOOKUP(1,('2013 E Maize Soil VWC'!$C$2:$C$4000=$AA142)*('2013 E Maize Soil VWC'!$E$2:$E$4000=$AB142)*('2013 E Maize Soil VWC'!$F$2:$F$4000=AG$5),'2013 E Maize Soil VWC'!$G$2:$G$4000)</f>
        <v>0.31717579802259888</v>
      </c>
      <c r="AH142" s="4" cm="1">
        <f t="array" ref="AH142">_xlfn.XLOOKUP(1,('2013 E Maize Soil VWC'!$C$2:$C$4000=$AA142)*('2013 E Maize Soil VWC'!$E$2:$E$4000=$AB142)*('2013 E Maize Soil VWC'!$F$2:$F$4000=AH$5),'2013 E Maize Soil VWC'!$G$2:$G$4000)</f>
        <v>0.30251369985875709</v>
      </c>
      <c r="AI142" s="4" cm="1">
        <f t="array" ref="AI142">_xlfn.XLOOKUP(1,('2013 E Maize Soil VWC'!$C$2:$C$4000=$AA142)*('2013 E Maize Soil VWC'!$E$2:$E$4000=$AB142)*('2013 E Maize Soil VWC'!$F$2:$F$4000=AI$5),'2013 E Maize Soil VWC'!$G$2:$G$4000)</f>
        <v>0.30932599646892656</v>
      </c>
      <c r="AJ142" s="4" cm="1">
        <f t="array" ref="AJ142">_xlfn.XLOOKUP(1,('2013 E Maize Soil VWC'!$C$2:$C$4000=$AA142)*('2013 E Maize Soil VWC'!$E$2:$E$4000=$AB142)*('2013 E Maize Soil VWC'!$F$2:$F$4000=AJ$5),'2013 E Maize Soil VWC'!$G$2:$G$4000)</f>
        <v>0.33312988347457628</v>
      </c>
      <c r="AK142" s="4" cm="1">
        <f t="array" ref="AK142">_xlfn.XLOOKUP(1,('2013 E Maize Soil VWC'!$C$2:$C$4000=$AA142)*('2013 E Maize Soil VWC'!$E$2:$E$4000=$AB142)*('2013 E Maize Soil VWC'!$F$2:$F$4000=AK$5),'2013 E Maize Soil VWC'!$G$2:$G$4000)</f>
        <v>0.2991662782485876</v>
      </c>
      <c r="AL142" s="4" cm="1">
        <f t="array" ref="AL142">_xlfn.XLOOKUP(1,('2013 E Maize Soil VWC'!$C$2:$C$4000=$AA142)*('2013 E Maize Soil VWC'!$E$2:$E$4000=$AB142)*('2013 E Maize Soil VWC'!$F$2:$F$4000=AL$5),'2013 E Maize Soil VWC'!$G$2:$G$4000)</f>
        <v>0.31216445338983051</v>
      </c>
      <c r="AM142" s="4" cm="1">
        <f t="array" ref="AM142">_xlfn.XLOOKUP(1,('2013 E Maize Soil VWC'!$C$2:$C$4000=$AA142)*('2013 E Maize Soil VWC'!$E$2:$E$4000=$AB142)*('2013 E Maize Soil VWC'!$F$2:$F$4000=AM$5),'2013 E Maize Soil VWC'!$G$2:$G$4000)</f>
        <v>0.31057883262711866</v>
      </c>
      <c r="AN142" s="4" cm="1">
        <f t="array" ref="AN142">_xlfn.XLOOKUP(1,('2013 E Maize Soil VWC'!$C$2:$C$4000=$AA142)*('2013 E Maize Soil VWC'!$E$2:$E$4000=$AB142)*('2013 E Maize Soil VWC'!$F$2:$F$4000=AN$5),'2013 E Maize Soil VWC'!$G$2:$G$4000)</f>
        <v>0.29209949929378531</v>
      </c>
      <c r="AO142" s="4" cm="1">
        <f t="array" ref="AO142">_xlfn.XLOOKUP(1,('2013 E Maize Soil VWC'!$C$2:$C$4000=$AA142)*('2013 E Maize Soil VWC'!$E$2:$E$4000=$AB142)*('2013 E Maize Soil VWC'!$F$2:$F$4000=AO$5),'2013 E Maize Soil VWC'!$G$2:$G$4000)</f>
        <v>0.32066024858757064</v>
      </c>
      <c r="AP142" s="4" cm="1">
        <f t="array" ref="AP142">_xlfn.XLOOKUP(1,('2013 E Maize Soil VWC'!$C$2:$C$4000=$AA142)*('2013 E Maize Soil VWC'!$E$2:$E$4000=$AB142)*('2013 E Maize Soil VWC'!$F$2:$F$4000=AP$5),'2013 E Maize Soil VWC'!$G$2:$G$4000)</f>
        <v>0.31439606779661017</v>
      </c>
      <c r="AQ142" s="4" cm="1">
        <f t="array" ref="AQ142">_xlfn.XLOOKUP(1,('2013 E Maize Soil VWC'!$C$2:$C$4000=$AA142)*('2013 E Maize Soil VWC'!$E$2:$E$4000=$AB142)*('2013 E Maize Soil VWC'!$F$2:$F$4000=AQ$5),'2013 E Maize Soil VWC'!$G$2:$G$4000)</f>
        <v>0.29576012994350287</v>
      </c>
      <c r="AR142" s="4" cm="1">
        <f t="array" ref="AR142">_xlfn.XLOOKUP(1,('2013 E Maize Soil VWC'!$C$2:$C$4000=$AA142)*('2013 E Maize Soil VWC'!$E$2:$E$4000=$AB142)*('2013 E Maize Soil VWC'!$F$2:$F$4000=AR$5),'2013 E Maize Soil VWC'!$G$2:$G$4000)</f>
        <v>0.29350893997175143</v>
      </c>
      <c r="AS142" s="4" cm="1">
        <f t="array" ref="AS142">_xlfn.XLOOKUP(1,('2013 E Maize Soil VWC'!$C$2:$C$4000=$AA142)*('2013 E Maize Soil VWC'!$E$2:$E$4000=$AB142)*('2013 E Maize Soil VWC'!$F$2:$F$4000=AS$5),'2013 E Maize Soil VWC'!$G$2:$G$4000)</f>
        <v>0.30779910240112995</v>
      </c>
      <c r="AT142" s="4" cm="1">
        <f t="array" ref="AT142">_xlfn.XLOOKUP(1,('2013 E Maize Soil VWC'!$C$2:$C$4000=$AA142)*('2013 E Maize Soil VWC'!$E$2:$E$4000=$AB142)*('2013 E Maize Soil VWC'!$F$2:$F$4000=AT$5),'2013 E Maize Soil VWC'!$G$2:$G$4000)</f>
        <v>0.30795570692090396</v>
      </c>
      <c r="AU142" s="4" cm="1">
        <f t="array" ref="AU142">_xlfn.XLOOKUP(1,('2013 E Maize Soil VWC'!$C$2:$C$4000=$AA142)*('2013 E Maize Soil VWC'!$E$2:$E$4000=$AB142)*('2013 E Maize Soil VWC'!$F$2:$F$4000=AU$5),'2013 E Maize Soil VWC'!$G$2:$G$4000)</f>
        <v>0.30443210522598874</v>
      </c>
      <c r="AV142" s="4" cm="1">
        <f t="array" ref="AV142">_xlfn.XLOOKUP(1,('2013 E Maize Soil VWC'!$C$2:$C$4000=$AA142)*('2013 E Maize Soil VWC'!$E$2:$E$4000=$AB142)*('2013 E Maize Soil VWC'!$F$2:$F$4000=AV$5),'2013 E Maize Soil VWC'!$G$2:$G$4000)</f>
        <v>0.29773726200564976</v>
      </c>
    </row>
    <row r="143" spans="25:64" x14ac:dyDescent="0.25">
      <c r="AA143" s="15">
        <f t="shared" si="21"/>
        <v>41505</v>
      </c>
      <c r="AB143" s="4">
        <f t="shared" si="22"/>
        <v>150</v>
      </c>
      <c r="AC143" s="4" cm="1">
        <f t="array" ref="AC143">_xlfn.XLOOKUP(1,('2013 E Maize Soil VWC'!$C$2:$C$4000=$AA143)*('2013 E Maize Soil VWC'!$E$2:$E$4000=$AB143)*('2013 E Maize Soil VWC'!$F$2:$F$4000=AC$5),'2013 E Maize Soil VWC'!$G$2:$G$4000)</f>
        <v>0.33170086723163839</v>
      </c>
      <c r="AD143" s="4" cm="1">
        <f t="array" ref="AD143">_xlfn.XLOOKUP(1,('2013 E Maize Soil VWC'!$C$2:$C$4000=$AA143)*('2013 E Maize Soil VWC'!$E$2:$E$4000=$AB143)*('2013 E Maize Soil VWC'!$F$2:$F$4000=AD$5),'2013 E Maize Soil VWC'!$G$2:$G$4000)</f>
        <v>0.32269610734463278</v>
      </c>
      <c r="AE143" s="4" cm="1">
        <f t="array" ref="AE143">_xlfn.XLOOKUP(1,('2013 E Maize Soil VWC'!$C$2:$C$4000=$AA143)*('2013 E Maize Soil VWC'!$E$2:$E$4000=$AB143)*('2013 E Maize Soil VWC'!$F$2:$F$4000=AE$5),'2013 E Maize Soil VWC'!$G$2:$G$4000)</f>
        <v>0.30202431073446329</v>
      </c>
      <c r="AF143" s="4" cm="1">
        <f t="array" ref="AF143">_xlfn.XLOOKUP(1,('2013 E Maize Soil VWC'!$C$2:$C$4000=$AA143)*('2013 E Maize Soil VWC'!$E$2:$E$4000=$AB143)*('2013 E Maize Soil VWC'!$F$2:$F$4000=AF$5),'2013 E Maize Soil VWC'!$G$2:$G$4000)</f>
        <v>0.29251058615819209</v>
      </c>
      <c r="AG143" s="4" cm="1">
        <f t="array" ref="AG143">_xlfn.XLOOKUP(1,('2013 E Maize Soil VWC'!$C$2:$C$4000=$AA143)*('2013 E Maize Soil VWC'!$E$2:$E$4000=$AB143)*('2013 E Maize Soil VWC'!$F$2:$F$4000=AG$5),'2013 E Maize Soil VWC'!$G$2:$G$4000)</f>
        <v>0.35597456779661019</v>
      </c>
      <c r="AH143" s="4" cm="1">
        <f t="array" ref="AH143">_xlfn.XLOOKUP(1,('2013 E Maize Soil VWC'!$C$2:$C$4000=$AA143)*('2013 E Maize Soil VWC'!$E$2:$E$4000=$AB143)*('2013 E Maize Soil VWC'!$F$2:$F$4000=AH$5),'2013 E Maize Soil VWC'!$G$2:$G$4000)</f>
        <v>0.34651956991525423</v>
      </c>
      <c r="AI143" s="4" cm="1">
        <f t="array" ref="AI143">_xlfn.XLOOKUP(1,('2013 E Maize Soil VWC'!$C$2:$C$4000=$AA143)*('2013 E Maize Soil VWC'!$E$2:$E$4000=$AB143)*('2013 E Maize Soil VWC'!$F$2:$F$4000=AI$5),'2013 E Maize Soil VWC'!$G$2:$G$4000)</f>
        <v>0.32298974081920906</v>
      </c>
      <c r="AJ143" s="4" cm="1">
        <f t="array" ref="AJ143">_xlfn.XLOOKUP(1,('2013 E Maize Soil VWC'!$C$2:$C$4000=$AA143)*('2013 E Maize Soil VWC'!$E$2:$E$4000=$AB143)*('2013 E Maize Soil VWC'!$F$2:$F$4000=AJ$5),'2013 E Maize Soil VWC'!$G$2:$G$4000)</f>
        <v>0.33305158121468931</v>
      </c>
      <c r="AK143" s="4" cm="1">
        <f t="array" ref="AK143">_xlfn.XLOOKUP(1,('2013 E Maize Soil VWC'!$C$2:$C$4000=$AA143)*('2013 E Maize Soil VWC'!$E$2:$E$4000=$AB143)*('2013 E Maize Soil VWC'!$F$2:$F$4000=AK$5),'2013 E Maize Soil VWC'!$G$2:$G$4000)</f>
        <v>0.32457536158192091</v>
      </c>
      <c r="AL143" s="4" cm="1">
        <f t="array" ref="AL143">_xlfn.XLOOKUP(1,('2013 E Maize Soil VWC'!$C$2:$C$4000=$AA143)*('2013 E Maize Soil VWC'!$E$2:$E$4000=$AB143)*('2013 E Maize Soil VWC'!$F$2:$F$4000=AL$5),'2013 E Maize Soil VWC'!$G$2:$G$4000)</f>
        <v>0.34154737641242938</v>
      </c>
      <c r="AM143" s="4" cm="1">
        <f t="array" ref="AM143">_xlfn.XLOOKUP(1,('2013 E Maize Soil VWC'!$C$2:$C$4000=$AA143)*('2013 E Maize Soil VWC'!$E$2:$E$4000=$AB143)*('2013 E Maize Soil VWC'!$F$2:$F$4000=AM$5),'2013 E Maize Soil VWC'!$G$2:$G$4000)</f>
        <v>0.32923434604519775</v>
      </c>
      <c r="AN143" s="4" cm="1">
        <f t="array" ref="AN143">_xlfn.XLOOKUP(1,('2013 E Maize Soil VWC'!$C$2:$C$4000=$AA143)*('2013 E Maize Soil VWC'!$E$2:$E$4000=$AB143)*('2013 E Maize Soil VWC'!$F$2:$F$4000=AN$5),'2013 E Maize Soil VWC'!$G$2:$G$4000)</f>
        <v>0.3279815098870057</v>
      </c>
      <c r="AO143" s="4" cm="1">
        <f t="array" ref="AO143">_xlfn.XLOOKUP(1,('2013 E Maize Soil VWC'!$C$2:$C$4000=$AA143)*('2013 E Maize Soil VWC'!$E$2:$E$4000=$AB143)*('2013 E Maize Soil VWC'!$F$2:$F$4000=AO$5),'2013 E Maize Soil VWC'!$G$2:$G$4000)</f>
        <v>0.31378922528248587</v>
      </c>
      <c r="AP143" s="4" cm="1">
        <f t="array" ref="AP143">_xlfn.XLOOKUP(1,('2013 E Maize Soil VWC'!$C$2:$C$4000=$AA143)*('2013 E Maize Soil VWC'!$E$2:$E$4000=$AB143)*('2013 E Maize Soil VWC'!$F$2:$F$4000=AP$5),'2013 E Maize Soil VWC'!$G$2:$G$4000)</f>
        <v>0.30141746822033899</v>
      </c>
      <c r="AQ143" s="4" cm="1">
        <f t="array" ref="AQ143">_xlfn.XLOOKUP(1,('2013 E Maize Soil VWC'!$C$2:$C$4000=$AA143)*('2013 E Maize Soil VWC'!$E$2:$E$4000=$AB143)*('2013 E Maize Soil VWC'!$F$2:$F$4000=AQ$5),'2013 E Maize Soil VWC'!$G$2:$G$4000)</f>
        <v>0.34154737641242938</v>
      </c>
      <c r="AR143" s="4" cm="1">
        <f t="array" ref="AR143">_xlfn.XLOOKUP(1,('2013 E Maize Soil VWC'!$C$2:$C$4000=$AA143)*('2013 E Maize Soil VWC'!$E$2:$E$4000=$AB143)*('2013 E Maize Soil VWC'!$F$2:$F$4000=AR$5),'2013 E Maize Soil VWC'!$G$2:$G$4000)</f>
        <v>0.32804023658192094</v>
      </c>
      <c r="AS143" s="4" cm="1">
        <f t="array" ref="AS143">_xlfn.XLOOKUP(1,('2013 E Maize Soil VWC'!$C$2:$C$4000=$AA143)*('2013 E Maize Soil VWC'!$E$2:$E$4000=$AB143)*('2013 E Maize Soil VWC'!$F$2:$F$4000=AS$5),'2013 E Maize Soil VWC'!$G$2:$G$4000)</f>
        <v>0.31508121257062144</v>
      </c>
      <c r="AT143" s="4" cm="1">
        <f t="array" ref="AT143">_xlfn.XLOOKUP(1,('2013 E Maize Soil VWC'!$C$2:$C$4000=$AA143)*('2013 E Maize Soil VWC'!$E$2:$E$4000=$AB143)*('2013 E Maize Soil VWC'!$F$2:$F$4000=AT$5),'2013 E Maize Soil VWC'!$G$2:$G$4000)</f>
        <v>0.32837302118644068</v>
      </c>
      <c r="AU143" s="4" cm="1">
        <f t="array" ref="AU143">_xlfn.XLOOKUP(1,('2013 E Maize Soil VWC'!$C$2:$C$4000=$AA143)*('2013 E Maize Soil VWC'!$E$2:$E$4000=$AB143)*('2013 E Maize Soil VWC'!$F$2:$F$4000=AU$5),'2013 E Maize Soil VWC'!$G$2:$G$4000)</f>
        <v>0.32666994703389834</v>
      </c>
      <c r="AV143" s="4" cm="1">
        <f t="array" ref="AV143">_xlfn.XLOOKUP(1,('2013 E Maize Soil VWC'!$C$2:$C$4000=$AA143)*('2013 E Maize Soil VWC'!$E$2:$E$4000=$AB143)*('2013 E Maize Soil VWC'!$F$2:$F$4000=AV$5),'2013 E Maize Soil VWC'!$G$2:$G$4000)</f>
        <v>0.33966812217514125</v>
      </c>
    </row>
    <row r="144" spans="25:64" x14ac:dyDescent="0.25">
      <c r="AA144" s="15">
        <f t="shared" si="21"/>
        <v>41505</v>
      </c>
      <c r="AB144" s="4">
        <f t="shared" si="22"/>
        <v>170</v>
      </c>
      <c r="AC144" s="4" cm="1">
        <f t="array" ref="AC144">_xlfn.XLOOKUP(1,('2013 E Maize Soil VWC'!$C$2:$C$4000=$AA144)*('2013 E Maize Soil VWC'!$E$2:$E$4000=$AB144)*('2013 E Maize Soil VWC'!$F$2:$F$4000=AC$5),'2013 E Maize Soil VWC'!$G$2:$G$4000)</f>
        <v>0.2727588411016949</v>
      </c>
      <c r="AD144" s="4" cm="1">
        <f t="array" ref="AD144">_xlfn.XLOOKUP(1,('2013 E Maize Soil VWC'!$C$2:$C$4000=$AA144)*('2013 E Maize Soil VWC'!$E$2:$E$4000=$AB144)*('2013 E Maize Soil VWC'!$F$2:$F$4000=AD$5),'2013 E Maize Soil VWC'!$G$2:$G$4000)</f>
        <v>0.26694489830508478</v>
      </c>
      <c r="AE144" s="4" cm="1">
        <f t="array" ref="AE144">_xlfn.XLOOKUP(1,('2013 E Maize Soil VWC'!$C$2:$C$4000=$AA144)*('2013 E Maize Soil VWC'!$E$2:$E$4000=$AB144)*('2013 E Maize Soil VWC'!$F$2:$F$4000=AE$5),'2013 E Maize Soil VWC'!$G$2:$G$4000)</f>
        <v>0.28642258545197741</v>
      </c>
      <c r="AF144" s="4" cm="1">
        <f t="array" ref="AF144">_xlfn.XLOOKUP(1,('2013 E Maize Soil VWC'!$C$2:$C$4000=$AA144)*('2013 E Maize Soil VWC'!$E$2:$E$4000=$AB144)*('2013 E Maize Soil VWC'!$F$2:$F$4000=AF$5),'2013 E Maize Soil VWC'!$G$2:$G$4000)</f>
        <v>0.28644216101694914</v>
      </c>
      <c r="AG144" s="4" cm="1">
        <f t="array" ref="AG144">_xlfn.XLOOKUP(1,('2013 E Maize Soil VWC'!$C$2:$C$4000=$AA144)*('2013 E Maize Soil VWC'!$E$2:$E$4000=$AB144)*('2013 E Maize Soil VWC'!$F$2:$F$4000=AG$5),'2013 E Maize Soil VWC'!$G$2:$G$4000)</f>
        <v>0.3195052902542373</v>
      </c>
      <c r="AH144" s="4" cm="1">
        <f t="array" ref="AH144">_xlfn.XLOOKUP(1,('2013 E Maize Soil VWC'!$C$2:$C$4000=$AA144)*('2013 E Maize Soil VWC'!$E$2:$E$4000=$AB144)*('2013 E Maize Soil VWC'!$F$2:$F$4000=AH$5),'2013 E Maize Soil VWC'!$G$2:$G$4000)</f>
        <v>0.32931264830508478</v>
      </c>
      <c r="AI144" s="4" cm="1">
        <f t="array" ref="AI144">_xlfn.XLOOKUP(1,('2013 E Maize Soil VWC'!$C$2:$C$4000=$AA144)*('2013 E Maize Soil VWC'!$E$2:$E$4000=$AB144)*('2013 E Maize Soil VWC'!$F$2:$F$4000=AI$5),'2013 E Maize Soil VWC'!$G$2:$G$4000)</f>
        <v>0.2923931327683616</v>
      </c>
      <c r="AJ144" s="4" cm="1">
        <f t="array" ref="AJ144">_xlfn.XLOOKUP(1,('2013 E Maize Soil VWC'!$C$2:$C$4000=$AA144)*('2013 E Maize Soil VWC'!$E$2:$E$4000=$AB144)*('2013 E Maize Soil VWC'!$F$2:$F$4000=AJ$5),'2013 E Maize Soil VWC'!$G$2:$G$4000)</f>
        <v>0.30423634957627121</v>
      </c>
      <c r="AK144" s="4" cm="1">
        <f t="array" ref="AK144">_xlfn.XLOOKUP(1,('2013 E Maize Soil VWC'!$C$2:$C$4000=$AA144)*('2013 E Maize Soil VWC'!$E$2:$E$4000=$AB144)*('2013 E Maize Soil VWC'!$F$2:$F$4000=AK$5),'2013 E Maize Soil VWC'!$G$2:$G$4000)</f>
        <v>0.29435068926553676</v>
      </c>
      <c r="AL144" s="4" cm="1">
        <f t="array" ref="AL144">_xlfn.XLOOKUP(1,('2013 E Maize Soil VWC'!$C$2:$C$4000=$AA144)*('2013 E Maize Soil VWC'!$E$2:$E$4000=$AB144)*('2013 E Maize Soil VWC'!$F$2:$F$4000=AL$5),'2013 E Maize Soil VWC'!$G$2:$G$4000)</f>
        <v>0.30666371963276839</v>
      </c>
      <c r="AM144" s="4" cm="1">
        <f t="array" ref="AM144">_xlfn.XLOOKUP(1,('2013 E Maize Soil VWC'!$C$2:$C$4000=$AA144)*('2013 E Maize Soil VWC'!$E$2:$E$4000=$AB144)*('2013 E Maize Soil VWC'!$F$2:$F$4000=AM$5),'2013 E Maize Soil VWC'!$G$2:$G$4000)</f>
        <v>0.3247515416666667</v>
      </c>
      <c r="AN144" s="4" cm="1">
        <f t="array" ref="AN144">_xlfn.XLOOKUP(1,('2013 E Maize Soil VWC'!$C$2:$C$4000=$AA144)*('2013 E Maize Soil VWC'!$E$2:$E$4000=$AB144)*('2013 E Maize Soil VWC'!$F$2:$F$4000=AN$5),'2013 E Maize Soil VWC'!$G$2:$G$4000)</f>
        <v>0.33663390960451978</v>
      </c>
      <c r="AO144" s="4" cm="1">
        <f t="array" ref="AO144">_xlfn.XLOOKUP(1,('2013 E Maize Soil VWC'!$C$2:$C$4000=$AA144)*('2013 E Maize Soil VWC'!$E$2:$E$4000=$AB144)*('2013 E Maize Soil VWC'!$F$2:$F$4000=AO$5),'2013 E Maize Soil VWC'!$G$2:$G$4000)</f>
        <v>0.31005029237288134</v>
      </c>
      <c r="AP144" s="4" cm="1">
        <f t="array" ref="AP144">_xlfn.XLOOKUP(1,('2013 E Maize Soil VWC'!$C$2:$C$4000=$AA144)*('2013 E Maize Soil VWC'!$E$2:$E$4000=$AB144)*('2013 E Maize Soil VWC'!$F$2:$F$4000=AP$5),'2013 E Maize Soil VWC'!$G$2:$G$4000)</f>
        <v>0.31504206144067798</v>
      </c>
      <c r="AQ144" s="4" cm="1">
        <f t="array" ref="AQ144">_xlfn.XLOOKUP(1,('2013 E Maize Soil VWC'!$C$2:$C$4000=$AA144)*('2013 E Maize Soil VWC'!$E$2:$E$4000=$AB144)*('2013 E Maize Soil VWC'!$F$2:$F$4000=AQ$5),'2013 E Maize Soil VWC'!$G$2:$G$4000)</f>
        <v>0.32907774152542374</v>
      </c>
      <c r="AR144" s="4" cm="1">
        <f t="array" ref="AR144">_xlfn.XLOOKUP(1,('2013 E Maize Soil VWC'!$C$2:$C$4000=$AA144)*('2013 E Maize Soil VWC'!$E$2:$E$4000=$AB144)*('2013 E Maize Soil VWC'!$F$2:$F$4000=AR$5),'2013 E Maize Soil VWC'!$G$2:$G$4000)</f>
        <v>0.31533569491525426</v>
      </c>
      <c r="AS144" s="4" cm="1">
        <f t="array" ref="AS144">_xlfn.XLOOKUP(1,('2013 E Maize Soil VWC'!$C$2:$C$4000=$AA144)*('2013 E Maize Soil VWC'!$E$2:$E$4000=$AB144)*('2013 E Maize Soil VWC'!$F$2:$F$4000=AS$5),'2013 E Maize Soil VWC'!$G$2:$G$4000)</f>
        <v>0.31547272387005654</v>
      </c>
      <c r="AT144" s="4" cm="1">
        <f t="array" ref="AT144">_xlfn.XLOOKUP(1,('2013 E Maize Soil VWC'!$C$2:$C$4000=$AA144)*('2013 E Maize Soil VWC'!$E$2:$E$4000=$AB144)*('2013 E Maize Soil VWC'!$F$2:$F$4000=AT$5),'2013 E Maize Soil VWC'!$G$2:$G$4000)</f>
        <v>0.32825556779661019</v>
      </c>
      <c r="AU144" s="4" cm="1">
        <f t="array" ref="AU144">_xlfn.XLOOKUP(1,('2013 E Maize Soil VWC'!$C$2:$C$4000=$AA144)*('2013 E Maize Soil VWC'!$E$2:$E$4000=$AB144)*('2013 E Maize Soil VWC'!$F$2:$F$4000=AU$5),'2013 E Maize Soil VWC'!$G$2:$G$4000)</f>
        <v>0.31210572669491526</v>
      </c>
      <c r="AV144" s="4" cm="1">
        <f t="array" ref="AV144">_xlfn.XLOOKUP(1,('2013 E Maize Soil VWC'!$C$2:$C$4000=$AA144)*('2013 E Maize Soil VWC'!$E$2:$E$4000=$AB144)*('2013 E Maize Soil VWC'!$F$2:$F$4000=AV$5),'2013 E Maize Soil VWC'!$G$2:$G$4000)</f>
        <v>0.31805669844632772</v>
      </c>
    </row>
    <row r="145" spans="25:64" x14ac:dyDescent="0.25">
      <c r="AA145" s="15">
        <f t="shared" si="21"/>
        <v>41505</v>
      </c>
      <c r="AB145" s="4">
        <f t="shared" si="22"/>
        <v>190</v>
      </c>
      <c r="AC145" s="4" cm="1">
        <f t="array" ref="AC145">_xlfn.XLOOKUP(1,('2013 E Maize Soil VWC'!$C$2:$C$4000=$AA145)*('2013 E Maize Soil VWC'!$E$2:$E$4000=$AB145)*('2013 E Maize Soil VWC'!$F$2:$F$4000=AC$5),'2013 E Maize Soil VWC'!$G$2:$G$4000)</f>
        <v>0.27808339477401128</v>
      </c>
      <c r="AD145" s="4" cm="1">
        <f t="array" ref="AD145">_xlfn.XLOOKUP(1,('2013 E Maize Soil VWC'!$C$2:$C$4000=$AA145)*('2013 E Maize Soil VWC'!$E$2:$E$4000=$AB145)*('2013 E Maize Soil VWC'!$F$2:$F$4000=AD$5),'2013 E Maize Soil VWC'!$G$2:$G$4000)</f>
        <v>0.28084354943502826</v>
      </c>
      <c r="AE145" s="4" cm="1">
        <f t="array" ref="AE145">_xlfn.XLOOKUP(1,('2013 E Maize Soil VWC'!$C$2:$C$4000=$AA145)*('2013 E Maize Soil VWC'!$E$2:$E$4000=$AB145)*('2013 E Maize Soil VWC'!$F$2:$F$4000=AE$5),'2013 E Maize Soil VWC'!$G$2:$G$4000)</f>
        <v>0.28485654025423729</v>
      </c>
      <c r="AF145" s="4" cm="1">
        <f t="array" ref="AF145">_xlfn.XLOOKUP(1,('2013 E Maize Soil VWC'!$C$2:$C$4000=$AA145)*('2013 E Maize Soil VWC'!$E$2:$E$4000=$AB145)*('2013 E Maize Soil VWC'!$F$2:$F$4000=AF$5),'2013 E Maize Soil VWC'!$G$2:$G$4000)</f>
        <v>0.28935892019774012</v>
      </c>
      <c r="AG145" s="4" cm="1">
        <f t="array" ref="AG145">_xlfn.XLOOKUP(1,('2013 E Maize Soil VWC'!$C$2:$C$4000=$AA145)*('2013 E Maize Soil VWC'!$E$2:$E$4000=$AB145)*('2013 E Maize Soil VWC'!$F$2:$F$4000=AG$5),'2013 E Maize Soil VWC'!$G$2:$G$4000)</f>
        <v>0.33005651977401129</v>
      </c>
      <c r="AH145" s="4" cm="1">
        <f t="array" ref="AH145">_xlfn.XLOOKUP(1,('2013 E Maize Soil VWC'!$C$2:$C$4000=$AA145)*('2013 E Maize Soil VWC'!$E$2:$E$4000=$AB145)*('2013 E Maize Soil VWC'!$F$2:$F$4000=AH$5),'2013 E Maize Soil VWC'!$G$2:$G$4000)</f>
        <v>0.33839571045197742</v>
      </c>
      <c r="AI145" s="4" cm="1">
        <f t="array" ref="AI145">_xlfn.XLOOKUP(1,('2013 E Maize Soil VWC'!$C$2:$C$4000=$AA145)*('2013 E Maize Soil VWC'!$E$2:$E$4000=$AB145)*('2013 E Maize Soil VWC'!$F$2:$F$4000=AI$5),'2013 E Maize Soil VWC'!$G$2:$G$4000)</f>
        <v>0.27181921398305087</v>
      </c>
      <c r="AJ145" s="4" cm="1">
        <f t="array" ref="AJ145">_xlfn.XLOOKUP(1,('2013 E Maize Soil VWC'!$C$2:$C$4000=$AA145)*('2013 E Maize Soil VWC'!$E$2:$E$4000=$AB145)*('2013 E Maize Soil VWC'!$F$2:$F$4000=AJ$5),'2013 E Maize Soil VWC'!$G$2:$G$4000)</f>
        <v>0.291022843220339</v>
      </c>
      <c r="AK145" s="4" cm="1">
        <f t="array" ref="AK145">_xlfn.XLOOKUP(1,('2013 E Maize Soil VWC'!$C$2:$C$4000=$AA145)*('2013 E Maize Soil VWC'!$E$2:$E$4000=$AB145)*('2013 E Maize Soil VWC'!$F$2:$F$4000=AK$5),'2013 E Maize Soil VWC'!$G$2:$G$4000)</f>
        <v>0.27759400564971753</v>
      </c>
      <c r="AL145" s="4" cm="1">
        <f t="array" ref="AL145">_xlfn.XLOOKUP(1,('2013 E Maize Soil VWC'!$C$2:$C$4000=$AA145)*('2013 E Maize Soil VWC'!$E$2:$E$4000=$AB145)*('2013 E Maize Soil VWC'!$F$2:$F$4000=AL$5),'2013 E Maize Soil VWC'!$G$2:$G$4000)</f>
        <v>0.29174713912429379</v>
      </c>
      <c r="AM145" s="4" cm="1">
        <f t="array" ref="AM145">_xlfn.XLOOKUP(1,('2013 E Maize Soil VWC'!$C$2:$C$4000=$AA145)*('2013 E Maize Soil VWC'!$E$2:$E$4000=$AB145)*('2013 E Maize Soil VWC'!$F$2:$F$4000=AM$5),'2013 E Maize Soil VWC'!$G$2:$G$4000)</f>
        <v>0.3067615974576271</v>
      </c>
      <c r="AN145" s="4" cm="1">
        <f t="array" ref="AN145">_xlfn.XLOOKUP(1,('2013 E Maize Soil VWC'!$C$2:$C$4000=$AA145)*('2013 E Maize Soil VWC'!$E$2:$E$4000=$AB145)*('2013 E Maize Soil VWC'!$F$2:$F$4000=AN$5),'2013 E Maize Soil VWC'!$G$2:$G$4000)</f>
        <v>0.31404370762711864</v>
      </c>
      <c r="AO145" s="4" cm="1">
        <f t="array" ref="AO145">_xlfn.XLOOKUP(1,('2013 E Maize Soil VWC'!$C$2:$C$4000=$AA145)*('2013 E Maize Soil VWC'!$E$2:$E$4000=$AB145)*('2013 E Maize Soil VWC'!$F$2:$F$4000=AO$5),'2013 E Maize Soil VWC'!$G$2:$G$4000)</f>
        <v>0.30404059392655369</v>
      </c>
      <c r="AP145" s="4" cm="1">
        <f t="array" ref="AP145">_xlfn.XLOOKUP(1,('2013 E Maize Soil VWC'!$C$2:$C$4000=$AA145)*('2013 E Maize Soil VWC'!$E$2:$E$4000=$AB145)*('2013 E Maize Soil VWC'!$F$2:$F$4000=AP$5),'2013 E Maize Soil VWC'!$G$2:$G$4000)</f>
        <v>0.29906840042372884</v>
      </c>
      <c r="AQ145" s="4" cm="1">
        <f t="array" ref="AQ145">_xlfn.XLOOKUP(1,('2013 E Maize Soil VWC'!$C$2:$C$4000=$AA145)*('2013 E Maize Soil VWC'!$E$2:$E$4000=$AB145)*('2013 E Maize Soil VWC'!$F$2:$F$4000=AQ$5),'2013 E Maize Soil VWC'!$G$2:$G$4000)</f>
        <v>0.32815768997175143</v>
      </c>
      <c r="AR145" s="4" cm="1">
        <f t="array" ref="AR145">_xlfn.XLOOKUP(1,('2013 E Maize Soil VWC'!$C$2:$C$4000=$AA145)*('2013 E Maize Soil VWC'!$E$2:$E$4000=$AB145)*('2013 E Maize Soil VWC'!$F$2:$F$4000=AR$5),'2013 E Maize Soil VWC'!$G$2:$G$4000)</f>
        <v>0.32437960593220339</v>
      </c>
      <c r="AS145" s="4" cm="1">
        <f t="array" ref="AS145">_xlfn.XLOOKUP(1,('2013 E Maize Soil VWC'!$C$2:$C$4000=$AA145)*('2013 E Maize Soil VWC'!$E$2:$E$4000=$AB145)*('2013 E Maize Soil VWC'!$F$2:$F$4000=AS$5),'2013 E Maize Soil VWC'!$G$2:$G$4000)</f>
        <v>0.31670598446327686</v>
      </c>
      <c r="AT145" s="4" cm="1">
        <f t="array" ref="AT145">_xlfn.XLOOKUP(1,('2013 E Maize Soil VWC'!$C$2:$C$4000=$AA145)*('2013 E Maize Soil VWC'!$E$2:$E$4000=$AB145)*('2013 E Maize Soil VWC'!$F$2:$F$4000=AT$5),'2013 E Maize Soil VWC'!$G$2:$G$4000)</f>
        <v>0.3092281186440678</v>
      </c>
      <c r="AU145" s="4" cm="1">
        <f t="array" ref="AU145">_xlfn.XLOOKUP(1,('2013 E Maize Soil VWC'!$C$2:$C$4000=$AA145)*('2013 E Maize Soil VWC'!$E$2:$E$4000=$AB145)*('2013 E Maize Soil VWC'!$F$2:$F$4000=AU$5),'2013 E Maize Soil VWC'!$G$2:$G$4000)</f>
        <v>0.30188728177966101</v>
      </c>
      <c r="AV145" s="4" cm="1">
        <f t="array" ref="AV145">_xlfn.XLOOKUP(1,('2013 E Maize Soil VWC'!$C$2:$C$4000=$AA145)*('2013 E Maize Soil VWC'!$E$2:$E$4000=$AB145)*('2013 E Maize Soil VWC'!$F$2:$F$4000=AV$5),'2013 E Maize Soil VWC'!$G$2:$G$4000)</f>
        <v>0.30194600847457631</v>
      </c>
    </row>
    <row r="146" spans="25:64" x14ac:dyDescent="0.25">
      <c r="AA146" s="15">
        <f t="shared" si="21"/>
        <v>41505</v>
      </c>
      <c r="AB146" s="4">
        <f t="shared" si="22"/>
        <v>210</v>
      </c>
      <c r="AC146" s="4" cm="1">
        <f t="array" ref="AC146">_xlfn.XLOOKUP(1,('2013 E Maize Soil VWC'!$C$2:$C$4000=$AA146)*('2013 E Maize Soil VWC'!$E$2:$E$4000=$AB146)*('2013 E Maize Soil VWC'!$F$2:$F$4000=AC$5),'2013 E Maize Soil VWC'!$G$2:$G$4000)</f>
        <v>0.29947948728813562</v>
      </c>
      <c r="AD146" s="4" cm="1">
        <f t="array" ref="AD146">_xlfn.XLOOKUP(1,('2013 E Maize Soil VWC'!$C$2:$C$4000=$AA146)*('2013 E Maize Soil VWC'!$E$2:$E$4000=$AB146)*('2013 E Maize Soil VWC'!$F$2:$F$4000=AD$5),'2013 E Maize Soil VWC'!$G$2:$G$4000)</f>
        <v>0.29842240677966103</v>
      </c>
      <c r="AE146" s="4" cm="1">
        <f t="array" ref="AE146">_xlfn.XLOOKUP(1,('2013 E Maize Soil VWC'!$C$2:$C$4000=$AA146)*('2013 E Maize Soil VWC'!$E$2:$E$4000=$AB146)*('2013 E Maize Soil VWC'!$F$2:$F$4000=AE$5),'2013 E Maize Soil VWC'!$G$2:$G$4000)</f>
        <v>0.26892203036723167</v>
      </c>
      <c r="AF146" s="4" cm="1">
        <f t="array" ref="AF146">_xlfn.XLOOKUP(1,('2013 E Maize Soil VWC'!$C$2:$C$4000=$AA146)*('2013 E Maize Soil VWC'!$E$2:$E$4000=$AB146)*('2013 E Maize Soil VWC'!$F$2:$F$4000=AF$5),'2013 E Maize Soil VWC'!$G$2:$G$4000)</f>
        <v>0.28787117725988703</v>
      </c>
      <c r="AG146" s="4" t="e" cm="1">
        <f t="array" ref="AG146">_xlfn.XLOOKUP(1,('2013 E Maize Soil VWC'!$C$2:$C$4000=$AA146)*('2013 E Maize Soil VWC'!$E$2:$E$4000=$AB146)*('2013 E Maize Soil VWC'!$F$2:$F$4000=AG$5),'2013 E Maize Soil VWC'!$G$2:$G$4000)</f>
        <v>#N/A</v>
      </c>
      <c r="AH146" s="4" t="e" cm="1">
        <f t="array" ref="AH146">_xlfn.XLOOKUP(1,('2013 E Maize Soil VWC'!$C$2:$C$4000=$AA146)*('2013 E Maize Soil VWC'!$E$2:$E$4000=$AB146)*('2013 E Maize Soil VWC'!$F$2:$F$4000=AH$5),'2013 E Maize Soil VWC'!$G$2:$G$4000)</f>
        <v>#N/A</v>
      </c>
      <c r="AI146" s="4" cm="1">
        <f t="array" ref="AI146">_xlfn.XLOOKUP(1,('2013 E Maize Soil VWC'!$C$2:$C$4000=$AA146)*('2013 E Maize Soil VWC'!$E$2:$E$4000=$AB146)*('2013 E Maize Soil VWC'!$F$2:$F$4000=AI$5),'2013 E Maize Soil VWC'!$G$2:$G$4000)</f>
        <v>0.26794325211864406</v>
      </c>
      <c r="AJ146" s="4" cm="1">
        <f t="array" ref="AJ146">_xlfn.XLOOKUP(1,('2013 E Maize Soil VWC'!$C$2:$C$4000=$AA146)*('2013 E Maize Soil VWC'!$E$2:$E$4000=$AB146)*('2013 E Maize Soil VWC'!$F$2:$F$4000=AJ$5),'2013 E Maize Soil VWC'!$G$2:$G$4000)</f>
        <v>0.30155449717514127</v>
      </c>
      <c r="AK146" s="4" cm="1">
        <f t="array" ref="AK146">_xlfn.XLOOKUP(1,('2013 E Maize Soil VWC'!$C$2:$C$4000=$AA146)*('2013 E Maize Soil VWC'!$E$2:$E$4000=$AB146)*('2013 E Maize Soil VWC'!$F$2:$F$4000=AK$5),'2013 E Maize Soil VWC'!$G$2:$G$4000)</f>
        <v>0.28624640536723162</v>
      </c>
      <c r="AL146" s="4" cm="1">
        <f t="array" ref="AL146">_xlfn.XLOOKUP(1,('2013 E Maize Soil VWC'!$C$2:$C$4000=$AA146)*('2013 E Maize Soil VWC'!$E$2:$E$4000=$AB146)*('2013 E Maize Soil VWC'!$F$2:$F$4000=AL$5),'2013 E Maize Soil VWC'!$G$2:$G$4000)</f>
        <v>0.26774749646892659</v>
      </c>
      <c r="AM146" s="4" cm="1">
        <f t="array" ref="AM146">_xlfn.XLOOKUP(1,('2013 E Maize Soil VWC'!$C$2:$C$4000=$AA146)*('2013 E Maize Soil VWC'!$E$2:$E$4000=$AB146)*('2013 E Maize Soil VWC'!$F$2:$F$4000=AM$5),'2013 E Maize Soil VWC'!$G$2:$G$4000)</f>
        <v>0.3057240925141243</v>
      </c>
      <c r="AN146" s="4" cm="1">
        <f t="array" ref="AN146">_xlfn.XLOOKUP(1,('2013 E Maize Soil VWC'!$C$2:$C$4000=$AA146)*('2013 E Maize Soil VWC'!$E$2:$E$4000=$AB146)*('2013 E Maize Soil VWC'!$F$2:$F$4000=AN$5),'2013 E Maize Soil VWC'!$G$2:$G$4000)</f>
        <v>0.31116609957627117</v>
      </c>
      <c r="AO146" s="4" cm="1">
        <f t="array" ref="AO146">_xlfn.XLOOKUP(1,('2013 E Maize Soil VWC'!$C$2:$C$4000=$AA146)*('2013 E Maize Soil VWC'!$E$2:$E$4000=$AB146)*('2013 E Maize Soil VWC'!$F$2:$F$4000=AO$5),'2013 E Maize Soil VWC'!$G$2:$G$4000)</f>
        <v>0.30991326341807912</v>
      </c>
      <c r="AP146" s="4" cm="1">
        <f t="array" ref="AP146">_xlfn.XLOOKUP(1,('2013 E Maize Soil VWC'!$C$2:$C$4000=$AA146)*('2013 E Maize Soil VWC'!$E$2:$E$4000=$AB146)*('2013 E Maize Soil VWC'!$F$2:$F$4000=AP$5),'2013 E Maize Soil VWC'!$G$2:$G$4000)</f>
        <v>0.27121237146892657</v>
      </c>
      <c r="AQ146" s="4" t="e" cm="1">
        <f t="array" ref="AQ146">_xlfn.XLOOKUP(1,('2013 E Maize Soil VWC'!$C$2:$C$4000=$AA146)*('2013 E Maize Soil VWC'!$E$2:$E$4000=$AB146)*('2013 E Maize Soil VWC'!$F$2:$F$4000=AQ$5),'2013 E Maize Soil VWC'!$G$2:$G$4000)</f>
        <v>#N/A</v>
      </c>
      <c r="AR146" s="4" t="e" cm="1">
        <f t="array" ref="AR146">_xlfn.XLOOKUP(1,('2013 E Maize Soil VWC'!$C$2:$C$4000=$AA146)*('2013 E Maize Soil VWC'!$E$2:$E$4000=$AB146)*('2013 E Maize Soil VWC'!$F$2:$F$4000=AR$5),'2013 E Maize Soil VWC'!$G$2:$G$4000)</f>
        <v>#N/A</v>
      </c>
      <c r="AS146" s="4" cm="1">
        <f t="array" ref="AS146">_xlfn.XLOOKUP(1,('2013 E Maize Soil VWC'!$C$2:$C$4000=$AA146)*('2013 E Maize Soil VWC'!$E$2:$E$4000=$AB146)*('2013 E Maize Soil VWC'!$F$2:$F$4000=AS$5),'2013 E Maize Soil VWC'!$G$2:$G$4000)</f>
        <v>0.30685947528248592</v>
      </c>
      <c r="AT146" s="4" cm="1">
        <f t="array" ref="AT146">_xlfn.XLOOKUP(1,('2013 E Maize Soil VWC'!$C$2:$C$4000=$AA146)*('2013 E Maize Soil VWC'!$E$2:$E$4000=$AB146)*('2013 E Maize Soil VWC'!$F$2:$F$4000=AT$5),'2013 E Maize Soil VWC'!$G$2:$G$4000)</f>
        <v>0.30030166101694916</v>
      </c>
      <c r="AU146" s="4" cm="1">
        <f t="array" ref="AU146">_xlfn.XLOOKUP(1,('2013 E Maize Soil VWC'!$C$2:$C$4000=$AA146)*('2013 E Maize Soil VWC'!$E$2:$E$4000=$AB146)*('2013 E Maize Soil VWC'!$F$2:$F$4000=AU$5),'2013 E Maize Soil VWC'!$G$2:$G$4000)</f>
        <v>0.2952903163841808</v>
      </c>
      <c r="AV146" s="4" cm="1">
        <f t="array" ref="AV146">_xlfn.XLOOKUP(1,('2013 E Maize Soil VWC'!$C$2:$C$4000=$AA146)*('2013 E Maize Soil VWC'!$E$2:$E$4000=$AB146)*('2013 E Maize Soil VWC'!$F$2:$F$4000=AV$5),'2013 E Maize Soil VWC'!$G$2:$G$4000)</f>
        <v>0.29987099858757066</v>
      </c>
    </row>
    <row r="147" spans="25:64" x14ac:dyDescent="0.25">
      <c r="AA147" s="15">
        <f t="shared" si="21"/>
        <v>41505</v>
      </c>
      <c r="AB147" s="4">
        <f t="shared" si="22"/>
        <v>230</v>
      </c>
      <c r="AC147" s="4" cm="1">
        <f t="array" ref="AC147">_xlfn.XLOOKUP(1,('2013 E Maize Soil VWC'!$C$2:$C$4000=$AA147)*('2013 E Maize Soil VWC'!$E$2:$E$4000=$AB147)*('2013 E Maize Soil VWC'!$F$2:$F$4000=AC$5),'2013 E Maize Soil VWC'!$G$2:$G$4000)</f>
        <v>0.29728702401129942</v>
      </c>
      <c r="AD147" s="4" cm="1">
        <f t="array" ref="AD147">_xlfn.XLOOKUP(1,('2013 E Maize Soil VWC'!$C$2:$C$4000=$AA147)*('2013 E Maize Soil VWC'!$E$2:$E$4000=$AB147)*('2013 E Maize Soil VWC'!$F$2:$F$4000=AD$5),'2013 E Maize Soil VWC'!$G$2:$G$4000)</f>
        <v>0.29885306920903959</v>
      </c>
      <c r="AE147" s="4" cm="1">
        <f t="array" ref="AE147">_xlfn.XLOOKUP(1,('2013 E Maize Soil VWC'!$C$2:$C$4000=$AA147)*('2013 E Maize Soil VWC'!$E$2:$E$4000=$AB147)*('2013 E Maize Soil VWC'!$F$2:$F$4000=AE$5),'2013 E Maize Soil VWC'!$G$2:$G$4000)</f>
        <v>0.27908174858757062</v>
      </c>
      <c r="AF147" s="4" cm="1">
        <f t="array" ref="AF147">_xlfn.XLOOKUP(1,('2013 E Maize Soil VWC'!$C$2:$C$4000=$AA147)*('2013 E Maize Soil VWC'!$E$2:$E$4000=$AB147)*('2013 E Maize Soil VWC'!$F$2:$F$4000=AF$5),'2013 E Maize Soil VWC'!$G$2:$G$4000)</f>
        <v>0.28190062994350285</v>
      </c>
      <c r="AG147" s="4" t="e" cm="1">
        <f t="array" ref="AG147">_xlfn.XLOOKUP(1,('2013 E Maize Soil VWC'!$C$2:$C$4000=$AA147)*('2013 E Maize Soil VWC'!$E$2:$E$4000=$AB147)*('2013 E Maize Soil VWC'!$F$2:$F$4000=AG$5),'2013 E Maize Soil VWC'!$G$2:$G$4000)</f>
        <v>#N/A</v>
      </c>
      <c r="AH147" s="4" t="e" cm="1">
        <f t="array" ref="AH147">_xlfn.XLOOKUP(1,('2013 E Maize Soil VWC'!$C$2:$C$4000=$AA147)*('2013 E Maize Soil VWC'!$E$2:$E$4000=$AB147)*('2013 E Maize Soil VWC'!$F$2:$F$4000=AH$5),'2013 E Maize Soil VWC'!$G$2:$G$4000)</f>
        <v>#N/A</v>
      </c>
      <c r="AI147" s="4" cm="1">
        <f t="array" ref="AI147">_xlfn.XLOOKUP(1,('2013 E Maize Soil VWC'!$C$2:$C$4000=$AA147)*('2013 E Maize Soil VWC'!$E$2:$E$4000=$AB147)*('2013 E Maize Soil VWC'!$F$2:$F$4000=AI$5),'2013 E Maize Soil VWC'!$G$2:$G$4000)</f>
        <v>0.27455979307909606</v>
      </c>
      <c r="AJ147" s="4" cm="1">
        <f t="array" ref="AJ147">_xlfn.XLOOKUP(1,('2013 E Maize Soil VWC'!$C$2:$C$4000=$AA147)*('2013 E Maize Soil VWC'!$E$2:$E$4000=$AB147)*('2013 E Maize Soil VWC'!$F$2:$F$4000=AJ$5),'2013 E Maize Soil VWC'!$G$2:$G$4000)</f>
        <v>0.30883660734463275</v>
      </c>
      <c r="AK147" s="4" cm="1">
        <f t="array" ref="AK147">_xlfn.XLOOKUP(1,('2013 E Maize Soil VWC'!$C$2:$C$4000=$AA147)*('2013 E Maize Soil VWC'!$E$2:$E$4000=$AB147)*('2013 E Maize Soil VWC'!$F$2:$F$4000=AK$5),'2013 E Maize Soil VWC'!$G$2:$G$4000)</f>
        <v>0.30644838841807909</v>
      </c>
      <c r="AL147" s="4" cm="1">
        <f t="array" ref="AL147">_xlfn.XLOOKUP(1,('2013 E Maize Soil VWC'!$C$2:$C$4000=$AA147)*('2013 E Maize Soil VWC'!$E$2:$E$4000=$AB147)*('2013 E Maize Soil VWC'!$F$2:$F$4000=AL$5),'2013 E Maize Soil VWC'!$G$2:$G$4000)</f>
        <v>0.25533658827683614</v>
      </c>
      <c r="AM147" s="4" cm="1">
        <f t="array" ref="AM147">_xlfn.XLOOKUP(1,('2013 E Maize Soil VWC'!$C$2:$C$4000=$AA147)*('2013 E Maize Soil VWC'!$E$2:$E$4000=$AB147)*('2013 E Maize Soil VWC'!$F$2:$F$4000=AM$5),'2013 E Maize Soil VWC'!$G$2:$G$4000)</f>
        <v>0.29989057415254239</v>
      </c>
      <c r="AN147" s="4" cm="1">
        <f t="array" ref="AN147">_xlfn.XLOOKUP(1,('2013 E Maize Soil VWC'!$C$2:$C$4000=$AA147)*('2013 E Maize Soil VWC'!$E$2:$E$4000=$AB147)*('2013 E Maize Soil VWC'!$F$2:$F$4000=AN$5),'2013 E Maize Soil VWC'!$G$2:$G$4000)</f>
        <v>0.29893137146892657</v>
      </c>
      <c r="AO147" s="4" cm="1">
        <f t="array" ref="AO147">_xlfn.XLOOKUP(1,('2013 E Maize Soil VWC'!$C$2:$C$4000=$AA147)*('2013 E Maize Soil VWC'!$E$2:$E$4000=$AB147)*('2013 E Maize Soil VWC'!$F$2:$F$4000=AO$5),'2013 E Maize Soil VWC'!$G$2:$G$4000)</f>
        <v>0.29497710734463278</v>
      </c>
      <c r="AP147" s="4" cm="1">
        <f t="array" ref="AP147">_xlfn.XLOOKUP(1,('2013 E Maize Soil VWC'!$C$2:$C$4000=$AA147)*('2013 E Maize Soil VWC'!$E$2:$E$4000=$AB147)*('2013 E Maize Soil VWC'!$F$2:$F$4000=AP$5),'2013 E Maize Soil VWC'!$G$2:$G$4000)</f>
        <v>0.28906528672316389</v>
      </c>
      <c r="AQ147" s="4" t="e" cm="1">
        <f t="array" ref="AQ147">_xlfn.XLOOKUP(1,('2013 E Maize Soil VWC'!$C$2:$C$4000=$AA147)*('2013 E Maize Soil VWC'!$E$2:$E$4000=$AB147)*('2013 E Maize Soil VWC'!$F$2:$F$4000=AQ$5),'2013 E Maize Soil VWC'!$G$2:$G$4000)</f>
        <v>#N/A</v>
      </c>
      <c r="AR147" s="4" t="e" cm="1">
        <f t="array" ref="AR147">_xlfn.XLOOKUP(1,('2013 E Maize Soil VWC'!$C$2:$C$4000=$AA147)*('2013 E Maize Soil VWC'!$E$2:$E$4000=$AB147)*('2013 E Maize Soil VWC'!$F$2:$F$4000=AR$5),'2013 E Maize Soil VWC'!$G$2:$G$4000)</f>
        <v>#N/A</v>
      </c>
      <c r="AS147" s="4" cm="1">
        <f t="array" ref="AS147">_xlfn.XLOOKUP(1,('2013 E Maize Soil VWC'!$C$2:$C$4000=$AA147)*('2013 E Maize Soil VWC'!$E$2:$E$4000=$AB147)*('2013 E Maize Soil VWC'!$F$2:$F$4000=AS$5),'2013 E Maize Soil VWC'!$G$2:$G$4000)</f>
        <v>0.29932288276836161</v>
      </c>
      <c r="AT147" s="4" cm="1">
        <f t="array" ref="AT147">_xlfn.XLOOKUP(1,('2013 E Maize Soil VWC'!$C$2:$C$4000=$AA147)*('2013 E Maize Soil VWC'!$E$2:$E$4000=$AB147)*('2013 E Maize Soil VWC'!$F$2:$F$4000=AT$5),'2013 E Maize Soil VWC'!$G$2:$G$4000)</f>
        <v>0.29699339053672319</v>
      </c>
      <c r="AU147" s="4" cm="1">
        <f t="array" ref="AU147">_xlfn.XLOOKUP(1,('2013 E Maize Soil VWC'!$C$2:$C$4000=$AA147)*('2013 E Maize Soil VWC'!$E$2:$E$4000=$AB147)*('2013 E Maize Soil VWC'!$F$2:$F$4000=AU$5),'2013 E Maize Soil VWC'!$G$2:$G$4000)</f>
        <v>0.28716645692090398</v>
      </c>
      <c r="AV147" s="4" cm="1">
        <f t="array" ref="AV147">_xlfn.XLOOKUP(1,('2013 E Maize Soil VWC'!$C$2:$C$4000=$AA147)*('2013 E Maize Soil VWC'!$E$2:$E$4000=$AB147)*('2013 E Maize Soil VWC'!$F$2:$F$4000=AV$5),'2013 E Maize Soil VWC'!$G$2:$G$4000)</f>
        <v>0.29805047104519777</v>
      </c>
    </row>
    <row r="148" spans="25:64" x14ac:dyDescent="0.25">
      <c r="AA148" s="15"/>
    </row>
    <row r="149" spans="25:64" x14ac:dyDescent="0.25">
      <c r="Y149" s="4">
        <v>2013</v>
      </c>
      <c r="Z149" s="4">
        <v>246</v>
      </c>
      <c r="AA149" s="15">
        <f>DATE(Y149,1,Z149)</f>
        <v>41520</v>
      </c>
      <c r="AB149" s="4">
        <v>10</v>
      </c>
      <c r="AC149" s="4" cm="1">
        <f t="array" ref="AC149">_xlfn.XLOOKUP(1,('2013 E Maize Soil VWC'!$C$2:$C$4000=$AA149)*('2013 E Maize Soil VWC'!$E$2:$E$4000=$AB149)*('2013 E Maize Soil VWC'!$F$2:$F$4000=AC$5),'2013 E Maize Soil VWC'!$G$2:$G$4000)</f>
        <v>0.23045985351089587</v>
      </c>
      <c r="AD149" s="4" cm="1">
        <f t="array" ref="AD149">_xlfn.XLOOKUP(1,('2013 E Maize Soil VWC'!$C$2:$C$4000=$AA149)*('2013 E Maize Soil VWC'!$E$2:$E$4000=$AB149)*('2013 E Maize Soil VWC'!$F$2:$F$4000=AD$5),'2013 E Maize Soil VWC'!$G$2:$G$4000)</f>
        <v>0.23510895066585957</v>
      </c>
      <c r="AE149" s="4" cm="1">
        <f t="array" ref="AE149">_xlfn.XLOOKUP(1,('2013 E Maize Soil VWC'!$C$2:$C$4000=$AA149)*('2013 E Maize Soil VWC'!$E$2:$E$4000=$AB149)*('2013 E Maize Soil VWC'!$F$2:$F$4000=AE$5),'2013 E Maize Soil VWC'!$G$2:$G$4000)</f>
        <v>0.25194987106537531</v>
      </c>
      <c r="AF149" s="4" cm="1">
        <f t="array" ref="AF149">_xlfn.XLOOKUP(1,('2013 E Maize Soil VWC'!$C$2:$C$4000=$AA149)*('2013 E Maize Soil VWC'!$E$2:$E$4000=$AB149)*('2013 E Maize Soil VWC'!$F$2:$F$4000=AF$5),'2013 E Maize Soil VWC'!$G$2:$G$4000)</f>
        <v>0.21705270611380145</v>
      </c>
      <c r="AG149" s="4" cm="1">
        <f t="array" ref="AG149">_xlfn.XLOOKUP(1,('2013 E Maize Soil VWC'!$C$2:$C$4000=$AA149)*('2013 E Maize Soil VWC'!$E$2:$E$4000=$AB149)*('2013 E Maize Soil VWC'!$F$2:$F$4000=AG$5),'2013 E Maize Soil VWC'!$G$2:$G$4000)</f>
        <v>0.25806507354721547</v>
      </c>
      <c r="AH149" s="4" cm="1">
        <f t="array" ref="AH149">_xlfn.XLOOKUP(1,('2013 E Maize Soil VWC'!$C$2:$C$4000=$AA149)*('2013 E Maize Soil VWC'!$E$2:$E$4000=$AB149)*('2013 E Maize Soil VWC'!$F$2:$F$4000=AH$5),'2013 E Maize Soil VWC'!$G$2:$G$4000)</f>
        <v>0.24432998153753027</v>
      </c>
      <c r="AI149" s="4" cm="1">
        <f t="array" ref="AI149">_xlfn.XLOOKUP(1,('2013 E Maize Soil VWC'!$C$2:$C$4000=$AA149)*('2013 E Maize Soil VWC'!$E$2:$E$4000=$AB149)*('2013 E Maize Soil VWC'!$F$2:$F$4000=AI$5),'2013 E Maize Soil VWC'!$G$2:$G$4000)</f>
        <v>0.24994362167070217</v>
      </c>
      <c r="AJ149" s="4" cm="1">
        <f t="array" ref="AJ149">_xlfn.XLOOKUP(1,('2013 E Maize Soil VWC'!$C$2:$C$4000=$AA149)*('2013 E Maize Soil VWC'!$E$2:$E$4000=$AB149)*('2013 E Maize Soil VWC'!$F$2:$F$4000=AJ$5),'2013 E Maize Soil VWC'!$G$2:$G$4000)</f>
        <v>0.25625173274818397</v>
      </c>
      <c r="AK149" s="4" cm="1">
        <f t="array" ref="AK149">_xlfn.XLOOKUP(1,('2013 E Maize Soil VWC'!$C$2:$C$4000=$AA149)*('2013 E Maize Soil VWC'!$E$2:$E$4000=$AB149)*('2013 E Maize Soil VWC'!$F$2:$F$4000=AK$5),'2013 E Maize Soil VWC'!$G$2:$G$4000)</f>
        <v>0.25999415950363197</v>
      </c>
      <c r="AL149" s="4" cm="1">
        <f t="array" ref="AL149">_xlfn.XLOOKUP(1,('2013 E Maize Soil VWC'!$C$2:$C$4000=$AA149)*('2013 E Maize Soil VWC'!$E$2:$E$4000=$AB149)*('2013 E Maize Soil VWC'!$F$2:$F$4000=AL$5),'2013 E Maize Soil VWC'!$G$2:$G$4000)</f>
        <v>0.23053701694915252</v>
      </c>
      <c r="AM149" s="4" cm="1">
        <f t="array" ref="AM149">_xlfn.XLOOKUP(1,('2013 E Maize Soil VWC'!$C$2:$C$4000=$AA149)*('2013 E Maize Soil VWC'!$E$2:$E$4000=$AB149)*('2013 E Maize Soil VWC'!$F$2:$F$4000=AM$5),'2013 E Maize Soil VWC'!$G$2:$G$4000)</f>
        <v>0.22017782536319613</v>
      </c>
      <c r="AN149" s="4" cm="1">
        <f t="array" ref="AN149">_xlfn.XLOOKUP(1,('2013 E Maize Soil VWC'!$C$2:$C$4000=$AA149)*('2013 E Maize Soil VWC'!$E$2:$E$4000=$AB149)*('2013 E Maize Soil VWC'!$F$2:$F$4000=AN$5),'2013 E Maize Soil VWC'!$G$2:$G$4000)</f>
        <v>0.19392296549636806</v>
      </c>
      <c r="AO149" s="4" cm="1">
        <f t="array" ref="AO149">_xlfn.XLOOKUP(1,('2013 E Maize Soil VWC'!$C$2:$C$4000=$AA149)*('2013 E Maize Soil VWC'!$E$2:$E$4000=$AB149)*('2013 E Maize Soil VWC'!$F$2:$F$4000=AO$5),'2013 E Maize Soil VWC'!$G$2:$G$4000)</f>
        <v>0.22233840163438257</v>
      </c>
      <c r="AP149" s="4" cm="1">
        <f t="array" ref="AP149">_xlfn.XLOOKUP(1,('2013 E Maize Soil VWC'!$C$2:$C$4000=$AA149)*('2013 E Maize Soil VWC'!$E$2:$E$4000=$AB149)*('2013 E Maize Soil VWC'!$F$2:$F$4000=AP$5),'2013 E Maize Soil VWC'!$G$2:$G$4000)</f>
        <v>0.213483897094431</v>
      </c>
      <c r="AQ149" s="4" cm="1">
        <f t="array" ref="AQ149">_xlfn.XLOOKUP(1,('2013 E Maize Soil VWC'!$C$2:$C$4000=$AA149)*('2013 E Maize Soil VWC'!$E$2:$E$4000=$AB149)*('2013 E Maize Soil VWC'!$F$2:$F$4000=AQ$5),'2013 E Maize Soil VWC'!$G$2:$G$4000)</f>
        <v>0.2410505354116223</v>
      </c>
      <c r="AR149" s="4" cm="1">
        <f t="array" ref="AR149">_xlfn.XLOOKUP(1,('2013 E Maize Soil VWC'!$C$2:$C$4000=$AA149)*('2013 E Maize Soil VWC'!$E$2:$E$4000=$AB149)*('2013 E Maize Soil VWC'!$F$2:$F$4000=AR$5),'2013 E Maize Soil VWC'!$G$2:$G$4000)</f>
        <v>0.22322578117433417</v>
      </c>
      <c r="AS149" s="4" cm="1">
        <f t="array" ref="AS149">_xlfn.XLOOKUP(1,('2013 E Maize Soil VWC'!$C$2:$C$4000=$AA149)*('2013 E Maize Soil VWC'!$E$2:$E$4000=$AB149)*('2013 E Maize Soil VWC'!$F$2:$F$4000=AS$5),'2013 E Maize Soil VWC'!$G$2:$G$4000)</f>
        <v>0.23306411955205814</v>
      </c>
      <c r="AT149" s="4" cm="1">
        <f t="array" ref="AT149">_xlfn.XLOOKUP(1,('2013 E Maize Soil VWC'!$C$2:$C$4000=$AA149)*('2013 E Maize Soil VWC'!$E$2:$E$4000=$AB149)*('2013 E Maize Soil VWC'!$F$2:$F$4000=AT$5),'2013 E Maize Soil VWC'!$G$2:$G$4000)</f>
        <v>0.21759285018159807</v>
      </c>
      <c r="AU149" s="4" cm="1">
        <f t="array" ref="AU149">_xlfn.XLOOKUP(1,('2013 E Maize Soil VWC'!$C$2:$C$4000=$AA149)*('2013 E Maize Soil VWC'!$E$2:$E$4000=$AB149)*('2013 E Maize Soil VWC'!$F$2:$F$4000=AU$5),'2013 E Maize Soil VWC'!$G$2:$G$4000)</f>
        <v>0.19849489921307506</v>
      </c>
      <c r="AV149" s="4" cm="1">
        <f t="array" ref="AV149">_xlfn.XLOOKUP(1,('2013 E Maize Soil VWC'!$C$2:$C$4000=$AA149)*('2013 E Maize Soil VWC'!$E$2:$E$4000=$AB149)*('2013 E Maize Soil VWC'!$F$2:$F$4000=AV$5),'2013 E Maize Soil VWC'!$G$2:$G$4000)</f>
        <v>0.18533853299031477</v>
      </c>
      <c r="AW149" s="22">
        <f>Z149</f>
        <v>246</v>
      </c>
      <c r="AX149" s="20">
        <f>AA149</f>
        <v>41520</v>
      </c>
      <c r="AY149" s="4">
        <f>1400*AVERAGE(AG149:AH155)+100*AVERAGE(AG156:AH156)</f>
        <v>439.53012602401122</v>
      </c>
      <c r="AZ149" s="4">
        <f>1400*AVERAGE(AC149:AF155,AI149:AL155)+100*AVERAGE(AC156:AF156,AI156:AL156)</f>
        <v>432.73597193174948</v>
      </c>
      <c r="BA149" s="4">
        <f>1400*AVERAGE(AQ149:AR155)+100*AVERAGE(AQ156:AR156)</f>
        <v>404.66965577582721</v>
      </c>
      <c r="BB149" s="4">
        <f>1400*AVERAGE(AM149:AP155,AS149:AV155)+100*AVERAGE(AM156:AP156,AS156:AV156)</f>
        <v>419.18665073269767</v>
      </c>
      <c r="BC149" s="4">
        <f>AVERAGE(AC149:AD160)*2400</f>
        <v>689.47147173123483</v>
      </c>
      <c r="BD149" s="4">
        <f>AVERAGE(AE149:AF160)*2400</f>
        <v>676.35599931396291</v>
      </c>
      <c r="BE149" s="4">
        <f>AVERAGE(AG149:AH158)*2000</f>
        <v>605.42851977401097</v>
      </c>
      <c r="BF149" s="4">
        <f>AVERAGE(AI149:AJ160)*2400</f>
        <v>704.58555782889414</v>
      </c>
      <c r="BG149" s="4">
        <f>AVERAGE(AK149:AL160)*2400</f>
        <v>690.98953360573034</v>
      </c>
      <c r="BH149" s="4">
        <f>AVERAGE(AM149:AN160)*2400</f>
        <v>693.00076277239714</v>
      </c>
      <c r="BI149" s="4">
        <f>AVERAGE(AO149:AP160)*2400</f>
        <v>679.58730077683629</v>
      </c>
      <c r="BJ149" s="4">
        <f>AVERAGE(AQ149:AR158)*2000</f>
        <v>569.1233728309121</v>
      </c>
      <c r="BK149" s="4">
        <f>AVERAGE(AS149:AT160)*2400</f>
        <v>707.95283849878933</v>
      </c>
      <c r="BL149" s="4">
        <f>AVERAGE(AU149:AV160)*2400</f>
        <v>686.2602256355932</v>
      </c>
    </row>
    <row r="150" spans="25:64" x14ac:dyDescent="0.25">
      <c r="AA150" s="15">
        <f t="shared" ref="AA150:AA160" si="23">AA149</f>
        <v>41520</v>
      </c>
      <c r="AB150" s="4">
        <f t="shared" ref="AB150:AB160" si="24">AB149+20</f>
        <v>30</v>
      </c>
      <c r="AC150" s="4" cm="1">
        <f t="array" ref="AC150">_xlfn.XLOOKUP(1,('2013 E Maize Soil VWC'!$C$2:$C$4000=$AA150)*('2013 E Maize Soil VWC'!$E$2:$E$4000=$AB150)*('2013 E Maize Soil VWC'!$F$2:$F$4000=AC$5),'2013 E Maize Soil VWC'!$G$2:$G$4000)</f>
        <v>0.27456006991525422</v>
      </c>
      <c r="AD150" s="4" cm="1">
        <f t="array" ref="AD150">_xlfn.XLOOKUP(1,('2013 E Maize Soil VWC'!$C$2:$C$4000=$AA150)*('2013 E Maize Soil VWC'!$E$2:$E$4000=$AB150)*('2013 E Maize Soil VWC'!$F$2:$F$4000=AD$5),'2013 E Maize Soil VWC'!$G$2:$G$4000)</f>
        <v>0.26977004731638415</v>
      </c>
      <c r="AE150" s="4" cm="1">
        <f t="array" ref="AE150">_xlfn.XLOOKUP(1,('2013 E Maize Soil VWC'!$C$2:$C$4000=$AA150)*('2013 E Maize Soil VWC'!$E$2:$E$4000=$AB150)*('2013 E Maize Soil VWC'!$F$2:$F$4000=AE$5),'2013 E Maize Soil VWC'!$G$2:$G$4000)</f>
        <v>0.2988095593220339</v>
      </c>
      <c r="AF150" s="4" cm="1">
        <f t="array" ref="AF150">_xlfn.XLOOKUP(1,('2013 E Maize Soil VWC'!$C$2:$C$4000=$AA150)*('2013 E Maize Soil VWC'!$E$2:$E$4000=$AB150)*('2013 E Maize Soil VWC'!$F$2:$F$4000=AF$5),'2013 E Maize Soil VWC'!$G$2:$G$4000)</f>
        <v>0.26979307627118643</v>
      </c>
      <c r="AG150" s="4" cm="1">
        <f t="array" ref="AG150">_xlfn.XLOOKUP(1,('2013 E Maize Soil VWC'!$C$2:$C$4000=$AA150)*('2013 E Maize Soil VWC'!$E$2:$E$4000=$AB150)*('2013 E Maize Soil VWC'!$F$2:$F$4000=AG$5),'2013 E Maize Soil VWC'!$G$2:$G$4000)</f>
        <v>0.30631699858757061</v>
      </c>
      <c r="AH150" s="4" cm="1">
        <f t="array" ref="AH150">_xlfn.XLOOKUP(1,('2013 E Maize Soil VWC'!$C$2:$C$4000=$AA150)*('2013 E Maize Soil VWC'!$E$2:$E$4000=$AB150)*('2013 E Maize Soil VWC'!$F$2:$F$4000=AH$5),'2013 E Maize Soil VWC'!$G$2:$G$4000)</f>
        <v>0.28780171892655365</v>
      </c>
      <c r="AI150" s="4" cm="1">
        <f t="array" ref="AI150">_xlfn.XLOOKUP(1,('2013 E Maize Soil VWC'!$C$2:$C$4000=$AA150)*('2013 E Maize Soil VWC'!$E$2:$E$4000=$AB150)*('2013 E Maize Soil VWC'!$F$2:$F$4000=AI$5),'2013 E Maize Soil VWC'!$G$2:$G$4000)</f>
        <v>0.28510733121468923</v>
      </c>
      <c r="AJ150" s="4" cm="1">
        <f t="array" ref="AJ150">_xlfn.XLOOKUP(1,('2013 E Maize Soil VWC'!$C$2:$C$4000=$AA150)*('2013 E Maize Soil VWC'!$E$2:$E$4000=$AB150)*('2013 E Maize Soil VWC'!$F$2:$F$4000=AJ$5),'2013 E Maize Soil VWC'!$G$2:$G$4000)</f>
        <v>0.29977677542372883</v>
      </c>
      <c r="AK150" s="4" cm="1">
        <f t="array" ref="AK150">_xlfn.XLOOKUP(1,('2013 E Maize Soil VWC'!$C$2:$C$4000=$AA150)*('2013 E Maize Soil VWC'!$E$2:$E$4000=$AB150)*('2013 E Maize Soil VWC'!$F$2:$F$4000=AK$5),'2013 E Maize Soil VWC'!$G$2:$G$4000)</f>
        <v>0.29199298870056495</v>
      </c>
      <c r="AL150" s="4" cm="1">
        <f t="array" ref="AL150">_xlfn.XLOOKUP(1,('2013 E Maize Soil VWC'!$C$2:$C$4000=$AA150)*('2013 E Maize Soil VWC'!$E$2:$E$4000=$AB150)*('2013 E Maize Soil VWC'!$F$2:$F$4000=AL$5),'2013 E Maize Soil VWC'!$G$2:$G$4000)</f>
        <v>0.28987432485875703</v>
      </c>
      <c r="AM150" s="4" cm="1">
        <f t="array" ref="AM150">_xlfn.XLOOKUP(1,('2013 E Maize Soil VWC'!$C$2:$C$4000=$AA150)*('2013 E Maize Soil VWC'!$E$2:$E$4000=$AB150)*('2013 E Maize Soil VWC'!$F$2:$F$4000=AM$5),'2013 E Maize Soil VWC'!$G$2:$G$4000)</f>
        <v>0.27336256426553673</v>
      </c>
      <c r="AN150" s="4" cm="1">
        <f t="array" ref="AN150">_xlfn.XLOOKUP(1,('2013 E Maize Soil VWC'!$C$2:$C$4000=$AA150)*('2013 E Maize Soil VWC'!$E$2:$E$4000=$AB150)*('2013 E Maize Soil VWC'!$F$2:$F$4000=AN$5),'2013 E Maize Soil VWC'!$G$2:$G$4000)</f>
        <v>0.26092692867231637</v>
      </c>
      <c r="AO150" s="4" cm="1">
        <f t="array" ref="AO150">_xlfn.XLOOKUP(1,('2013 E Maize Soil VWC'!$C$2:$C$4000=$AA150)*('2013 E Maize Soil VWC'!$E$2:$E$4000=$AB150)*('2013 E Maize Soil VWC'!$F$2:$F$4000=AO$5),'2013 E Maize Soil VWC'!$G$2:$G$4000)</f>
        <v>0.27154327683615814</v>
      </c>
      <c r="AP150" s="4" cm="1">
        <f t="array" ref="AP150">_xlfn.XLOOKUP(1,('2013 E Maize Soil VWC'!$C$2:$C$4000=$AA150)*('2013 E Maize Soil VWC'!$E$2:$E$4000=$AB150)*('2013 E Maize Soil VWC'!$F$2:$F$4000=AP$5),'2013 E Maize Soil VWC'!$G$2:$G$4000)</f>
        <v>0.26541757485875705</v>
      </c>
      <c r="AQ150" s="4" cm="1">
        <f t="array" ref="AQ150">_xlfn.XLOOKUP(1,('2013 E Maize Soil VWC'!$C$2:$C$4000=$AA150)*('2013 E Maize Soil VWC'!$E$2:$E$4000=$AB150)*('2013 E Maize Soil VWC'!$F$2:$F$4000=AQ$5),'2013 E Maize Soil VWC'!$G$2:$G$4000)</f>
        <v>0.2838177097457627</v>
      </c>
      <c r="AR150" s="4" cm="1">
        <f t="array" ref="AR150">_xlfn.XLOOKUP(1,('2013 E Maize Soil VWC'!$C$2:$C$4000=$AA150)*('2013 E Maize Soil VWC'!$E$2:$E$4000=$AB150)*('2013 E Maize Soil VWC'!$F$2:$F$4000=AR$5),'2013 E Maize Soil VWC'!$G$2:$G$4000)</f>
        <v>0.27460612782485871</v>
      </c>
      <c r="AS150" s="4" cm="1">
        <f t="array" ref="AS150">_xlfn.XLOOKUP(1,('2013 E Maize Soil VWC'!$C$2:$C$4000=$AA150)*('2013 E Maize Soil VWC'!$E$2:$E$4000=$AB150)*('2013 E Maize Soil VWC'!$F$2:$F$4000=AS$5),'2013 E Maize Soil VWC'!$G$2:$G$4000)</f>
        <v>0.29372016031073445</v>
      </c>
      <c r="AT150" s="4" cm="1">
        <f t="array" ref="AT150">_xlfn.XLOOKUP(1,('2013 E Maize Soil VWC'!$C$2:$C$4000=$AA150)*('2013 E Maize Soil VWC'!$E$2:$E$4000=$AB150)*('2013 E Maize Soil VWC'!$F$2:$F$4000=AT$5),'2013 E Maize Soil VWC'!$G$2:$G$4000)</f>
        <v>0.29694421398305082</v>
      </c>
      <c r="AU150" s="4" cm="1">
        <f t="array" ref="AU150">_xlfn.XLOOKUP(1,('2013 E Maize Soil VWC'!$C$2:$C$4000=$AA150)*('2013 E Maize Soil VWC'!$E$2:$E$4000=$AB150)*('2013 E Maize Soil VWC'!$F$2:$F$4000=AU$5),'2013 E Maize Soil VWC'!$G$2:$G$4000)</f>
        <v>0.27495156214689265</v>
      </c>
      <c r="AV150" s="4" cm="1">
        <f t="array" ref="AV150">_xlfn.XLOOKUP(1,('2013 E Maize Soil VWC'!$C$2:$C$4000=$AA150)*('2013 E Maize Soil VWC'!$E$2:$E$4000=$AB150)*('2013 E Maize Soil VWC'!$F$2:$F$4000=AV$5),'2013 E Maize Soil VWC'!$G$2:$G$4000)</f>
        <v>0.28443949152542369</v>
      </c>
    </row>
    <row r="151" spans="25:64" x14ac:dyDescent="0.25">
      <c r="AA151" s="15">
        <f t="shared" si="23"/>
        <v>41520</v>
      </c>
      <c r="AB151" s="4">
        <f t="shared" si="24"/>
        <v>50</v>
      </c>
      <c r="AC151" s="4" cm="1">
        <f t="array" ref="AC151">_xlfn.XLOOKUP(1,('2013 E Maize Soil VWC'!$C$2:$C$4000=$AA151)*('2013 E Maize Soil VWC'!$E$2:$E$4000=$AB151)*('2013 E Maize Soil VWC'!$F$2:$F$4000=AC$5),'2013 E Maize Soil VWC'!$G$2:$G$4000)</f>
        <v>0.284024970338983</v>
      </c>
      <c r="AD151" s="4" cm="1">
        <f t="array" ref="AD151">_xlfn.XLOOKUP(1,('2013 E Maize Soil VWC'!$C$2:$C$4000=$AA151)*('2013 E Maize Soil VWC'!$E$2:$E$4000=$AB151)*('2013 E Maize Soil VWC'!$F$2:$F$4000=AD$5),'2013 E Maize Soil VWC'!$G$2:$G$4000)</f>
        <v>0.29167058333333329</v>
      </c>
      <c r="AE151" s="4" cm="1">
        <f t="array" ref="AE151">_xlfn.XLOOKUP(1,('2013 E Maize Soil VWC'!$C$2:$C$4000=$AA151)*('2013 E Maize Soil VWC'!$E$2:$E$4000=$AB151)*('2013 E Maize Soil VWC'!$F$2:$F$4000=AE$5),'2013 E Maize Soil VWC'!$G$2:$G$4000)</f>
        <v>0.30799811228813562</v>
      </c>
      <c r="AF151" s="4" cm="1">
        <f t="array" ref="AF151">_xlfn.XLOOKUP(1,('2013 E Maize Soil VWC'!$C$2:$C$4000=$AA151)*('2013 E Maize Soil VWC'!$E$2:$E$4000=$AB151)*('2013 E Maize Soil VWC'!$F$2:$F$4000=AF$5),'2013 E Maize Soil VWC'!$G$2:$G$4000)</f>
        <v>0.28793989265536724</v>
      </c>
      <c r="AG151" s="4" cm="1">
        <f t="array" ref="AG151">_xlfn.XLOOKUP(1,('2013 E Maize Soil VWC'!$C$2:$C$4000=$AA151)*('2013 E Maize Soil VWC'!$E$2:$E$4000=$AB151)*('2013 E Maize Soil VWC'!$F$2:$F$4000=AG$5),'2013 E Maize Soil VWC'!$G$2:$G$4000)</f>
        <v>0.30062884675141244</v>
      </c>
      <c r="AH151" s="4" cm="1">
        <f t="array" ref="AH151">_xlfn.XLOOKUP(1,('2013 E Maize Soil VWC'!$C$2:$C$4000=$AA151)*('2013 E Maize Soil VWC'!$E$2:$E$4000=$AB151)*('2013 E Maize Soil VWC'!$F$2:$F$4000=AH$5),'2013 E Maize Soil VWC'!$G$2:$G$4000)</f>
        <v>0.30601762217514122</v>
      </c>
      <c r="AI151" s="4" cm="1">
        <f t="array" ref="AI151">_xlfn.XLOOKUP(1,('2013 E Maize Soil VWC'!$C$2:$C$4000=$AA151)*('2013 E Maize Soil VWC'!$E$2:$E$4000=$AB151)*('2013 E Maize Soil VWC'!$F$2:$F$4000=AI$5),'2013 E Maize Soil VWC'!$G$2:$G$4000)</f>
        <v>0.29321352330508471</v>
      </c>
      <c r="AJ151" s="4" cm="1">
        <f t="array" ref="AJ151">_xlfn.XLOOKUP(1,('2013 E Maize Soil VWC'!$C$2:$C$4000=$AA151)*('2013 E Maize Soil VWC'!$E$2:$E$4000=$AB151)*('2013 E Maize Soil VWC'!$F$2:$F$4000=AJ$5),'2013 E Maize Soil VWC'!$G$2:$G$4000)</f>
        <v>0.2963454611581921</v>
      </c>
      <c r="AK151" s="4" cm="1">
        <f t="array" ref="AK151">_xlfn.XLOOKUP(1,('2013 E Maize Soil VWC'!$C$2:$C$4000=$AA151)*('2013 E Maize Soil VWC'!$E$2:$E$4000=$AB151)*('2013 E Maize Soil VWC'!$F$2:$F$4000=AK$5),'2013 E Maize Soil VWC'!$G$2:$G$4000)</f>
        <v>0.29323655225988698</v>
      </c>
      <c r="AL151" s="4" cm="1">
        <f t="array" ref="AL151">_xlfn.XLOOKUP(1,('2013 E Maize Soil VWC'!$C$2:$C$4000=$AA151)*('2013 E Maize Soil VWC'!$E$2:$E$4000=$AB151)*('2013 E Maize Soil VWC'!$F$2:$F$4000=AL$5),'2013 E Maize Soil VWC'!$G$2:$G$4000)</f>
        <v>0.30516555084745761</v>
      </c>
      <c r="AM151" s="4" cm="1">
        <f t="array" ref="AM151">_xlfn.XLOOKUP(1,('2013 E Maize Soil VWC'!$C$2:$C$4000=$AA151)*('2013 E Maize Soil VWC'!$E$2:$E$4000=$AB151)*('2013 E Maize Soil VWC'!$F$2:$F$4000=AM$5),'2013 E Maize Soil VWC'!$G$2:$G$4000)</f>
        <v>0.28706479237288135</v>
      </c>
      <c r="AN151" s="4" cm="1">
        <f t="array" ref="AN151">_xlfn.XLOOKUP(1,('2013 E Maize Soil VWC'!$C$2:$C$4000=$AA151)*('2013 E Maize Soil VWC'!$E$2:$E$4000=$AB151)*('2013 E Maize Soil VWC'!$F$2:$F$4000=AN$5),'2013 E Maize Soil VWC'!$G$2:$G$4000)</f>
        <v>0.29102577259887003</v>
      </c>
      <c r="AO151" s="4" cm="1">
        <f t="array" ref="AO151">_xlfn.XLOOKUP(1,('2013 E Maize Soil VWC'!$C$2:$C$4000=$AA151)*('2013 E Maize Soil VWC'!$E$2:$E$4000=$AB151)*('2013 E Maize Soil VWC'!$F$2:$F$4000=AO$5),'2013 E Maize Soil VWC'!$G$2:$G$4000)</f>
        <v>0.27759989194915252</v>
      </c>
      <c r="AP151" s="4" cm="1">
        <f t="array" ref="AP151">_xlfn.XLOOKUP(1,('2013 E Maize Soil VWC'!$C$2:$C$4000=$AA151)*('2013 E Maize Soil VWC'!$E$2:$E$4000=$AB151)*('2013 E Maize Soil VWC'!$F$2:$F$4000=AP$5),'2013 E Maize Soil VWC'!$G$2:$G$4000)</f>
        <v>0.28897619562146892</v>
      </c>
      <c r="AQ151" s="4" cm="1">
        <f t="array" ref="AQ151">_xlfn.XLOOKUP(1,('2013 E Maize Soil VWC'!$C$2:$C$4000=$AA151)*('2013 E Maize Soil VWC'!$E$2:$E$4000=$AB151)*('2013 E Maize Soil VWC'!$F$2:$F$4000=AQ$5),'2013 E Maize Soil VWC'!$G$2:$G$4000)</f>
        <v>0.26594724081920901</v>
      </c>
      <c r="AR151" s="4" cm="1">
        <f t="array" ref="AR151">_xlfn.XLOOKUP(1,('2013 E Maize Soil VWC'!$C$2:$C$4000=$AA151)*('2013 E Maize Soil VWC'!$E$2:$E$4000=$AB151)*('2013 E Maize Soil VWC'!$F$2:$F$4000=AR$5),'2013 E Maize Soil VWC'!$G$2:$G$4000)</f>
        <v>0.27603392302259888</v>
      </c>
      <c r="AS151" s="4" cm="1">
        <f t="array" ref="AS151">_xlfn.XLOOKUP(1,('2013 E Maize Soil VWC'!$C$2:$C$4000=$AA151)*('2013 E Maize Soil VWC'!$E$2:$E$4000=$AB151)*('2013 E Maize Soil VWC'!$F$2:$F$4000=AS$5),'2013 E Maize Soil VWC'!$G$2:$G$4000)</f>
        <v>0.30657031709039545</v>
      </c>
      <c r="AT151" s="4" cm="1">
        <f t="array" ref="AT151">_xlfn.XLOOKUP(1,('2013 E Maize Soil VWC'!$C$2:$C$4000=$AA151)*('2013 E Maize Soil VWC'!$E$2:$E$4000=$AB151)*('2013 E Maize Soil VWC'!$F$2:$F$4000=AT$5),'2013 E Maize Soil VWC'!$G$2:$G$4000)</f>
        <v>0.29222327824858757</v>
      </c>
      <c r="AU151" s="4" cm="1">
        <f t="array" ref="AU151">_xlfn.XLOOKUP(1,('2013 E Maize Soil VWC'!$C$2:$C$4000=$AA151)*('2013 E Maize Soil VWC'!$E$2:$E$4000=$AB151)*('2013 E Maize Soil VWC'!$F$2:$F$4000=AU$5),'2013 E Maize Soil VWC'!$G$2:$G$4000)</f>
        <v>0.2963454611581921</v>
      </c>
      <c r="AV151" s="4" cm="1">
        <f t="array" ref="AV151">_xlfn.XLOOKUP(1,('2013 E Maize Soil VWC'!$C$2:$C$4000=$AA151)*('2013 E Maize Soil VWC'!$E$2:$E$4000=$AB151)*('2013 E Maize Soil VWC'!$F$2:$F$4000=AV$5),'2013 E Maize Soil VWC'!$G$2:$G$4000)</f>
        <v>0.30873503884180786</v>
      </c>
    </row>
    <row r="152" spans="25:64" x14ac:dyDescent="0.25">
      <c r="AA152" s="15">
        <f t="shared" si="23"/>
        <v>41520</v>
      </c>
      <c r="AB152" s="4">
        <f t="shared" si="24"/>
        <v>70</v>
      </c>
      <c r="AC152" s="4" cm="1">
        <f t="array" ref="AC152">_xlfn.XLOOKUP(1,('2013 E Maize Soil VWC'!$C$2:$C$4000=$AA152)*('2013 E Maize Soil VWC'!$E$2:$E$4000=$AB152)*('2013 E Maize Soil VWC'!$F$2:$F$4000=AC$5),'2013 E Maize Soil VWC'!$G$2:$G$4000)</f>
        <v>0.29045004872881353</v>
      </c>
      <c r="AD152" s="4" cm="1">
        <f t="array" ref="AD152">_xlfn.XLOOKUP(1,('2013 E Maize Soil VWC'!$C$2:$C$4000=$AA152)*('2013 E Maize Soil VWC'!$E$2:$E$4000=$AB152)*('2013 E Maize Soil VWC'!$F$2:$F$4000=AD$5),'2013 E Maize Soil VWC'!$G$2:$G$4000)</f>
        <v>0.28273534887005652</v>
      </c>
      <c r="AE152" s="4" cm="1">
        <f t="array" ref="AE152">_xlfn.XLOOKUP(1,('2013 E Maize Soil VWC'!$C$2:$C$4000=$AA152)*('2013 E Maize Soil VWC'!$E$2:$E$4000=$AB152)*('2013 E Maize Soil VWC'!$F$2:$F$4000=AE$5),'2013 E Maize Soil VWC'!$G$2:$G$4000)</f>
        <v>0.27601089406779655</v>
      </c>
      <c r="AF152" s="4" cm="1">
        <f t="array" ref="AF152">_xlfn.XLOOKUP(1,('2013 E Maize Soil VWC'!$C$2:$C$4000=$AA152)*('2013 E Maize Soil VWC'!$E$2:$E$4000=$AB152)*('2013 E Maize Soil VWC'!$F$2:$F$4000=AF$5),'2013 E Maize Soil VWC'!$G$2:$G$4000)</f>
        <v>0.27078332132768357</v>
      </c>
      <c r="AG152" s="4" cm="1">
        <f t="array" ref="AG152">_xlfn.XLOOKUP(1,('2013 E Maize Soil VWC'!$C$2:$C$4000=$AA152)*('2013 E Maize Soil VWC'!$E$2:$E$4000=$AB152)*('2013 E Maize Soil VWC'!$F$2:$F$4000=AG$5),'2013 E Maize Soil VWC'!$G$2:$G$4000)</f>
        <v>0.29084154096045195</v>
      </c>
      <c r="AH152" s="4" cm="1">
        <f t="array" ref="AH152">_xlfn.XLOOKUP(1,('2013 E Maize Soil VWC'!$C$2:$C$4000=$AA152)*('2013 E Maize Soil VWC'!$E$2:$E$4000=$AB152)*('2013 E Maize Soil VWC'!$F$2:$F$4000=AH$5),'2013 E Maize Soil VWC'!$G$2:$G$4000)</f>
        <v>0.28782474788135592</v>
      </c>
      <c r="AI152" s="4" cm="1">
        <f t="array" ref="AI152">_xlfn.XLOOKUP(1,('2013 E Maize Soil VWC'!$C$2:$C$4000=$AA152)*('2013 E Maize Soil VWC'!$E$2:$E$4000=$AB152)*('2013 E Maize Soil VWC'!$F$2:$F$4000=AI$5),'2013 E Maize Soil VWC'!$G$2:$G$4000)</f>
        <v>0.28070880084745758</v>
      </c>
      <c r="AJ152" s="4" cm="1">
        <f t="array" ref="AJ152">_xlfn.XLOOKUP(1,('2013 E Maize Soil VWC'!$C$2:$C$4000=$AA152)*('2013 E Maize Soil VWC'!$E$2:$E$4000=$AB152)*('2013 E Maize Soil VWC'!$F$2:$F$4000=AJ$5),'2013 E Maize Soil VWC'!$G$2:$G$4000)</f>
        <v>0.27707022598870057</v>
      </c>
      <c r="AK152" s="4" cm="1">
        <f t="array" ref="AK152">_xlfn.XLOOKUP(1,('2013 E Maize Soil VWC'!$C$2:$C$4000=$AA152)*('2013 E Maize Soil VWC'!$E$2:$E$4000=$AB152)*('2013 E Maize Soil VWC'!$F$2:$F$4000=AK$5),'2013 E Maize Soil VWC'!$G$2:$G$4000)</f>
        <v>0.26569392231638417</v>
      </c>
      <c r="AL152" s="4" cm="1">
        <f t="array" ref="AL152">_xlfn.XLOOKUP(1,('2013 E Maize Soil VWC'!$C$2:$C$4000=$AA152)*('2013 E Maize Soil VWC'!$E$2:$E$4000=$AB152)*('2013 E Maize Soil VWC'!$F$2:$F$4000=AL$5),'2013 E Maize Soil VWC'!$G$2:$G$4000)</f>
        <v>0.29210813347457626</v>
      </c>
      <c r="AM152" s="4" cm="1">
        <f t="array" ref="AM152">_xlfn.XLOOKUP(1,('2013 E Maize Soil VWC'!$C$2:$C$4000=$AA152)*('2013 E Maize Soil VWC'!$E$2:$E$4000=$AB152)*('2013 E Maize Soil VWC'!$F$2:$F$4000=AM$5),'2013 E Maize Soil VWC'!$G$2:$G$4000)</f>
        <v>0.28174510381355927</v>
      </c>
      <c r="AN152" s="4" cm="1">
        <f t="array" ref="AN152">_xlfn.XLOOKUP(1,('2013 E Maize Soil VWC'!$C$2:$C$4000=$AA152)*('2013 E Maize Soil VWC'!$E$2:$E$4000=$AB152)*('2013 E Maize Soil VWC'!$F$2:$F$4000=AN$5),'2013 E Maize Soil VWC'!$G$2:$G$4000)</f>
        <v>0.27497459110169492</v>
      </c>
      <c r="AO152" s="4" cm="1">
        <f t="array" ref="AO152">_xlfn.XLOOKUP(1,('2013 E Maize Soil VWC'!$C$2:$C$4000=$AA152)*('2013 E Maize Soil VWC'!$E$2:$E$4000=$AB152)*('2013 E Maize Soil VWC'!$F$2:$F$4000=AO$5),'2013 E Maize Soil VWC'!$G$2:$G$4000)</f>
        <v>0.26769744138418078</v>
      </c>
      <c r="AP152" s="4" cm="1">
        <f t="array" ref="AP152">_xlfn.XLOOKUP(1,('2013 E Maize Soil VWC'!$C$2:$C$4000=$AA152)*('2013 E Maize Soil VWC'!$E$2:$E$4000=$AB152)*('2013 E Maize Soil VWC'!$F$2:$F$4000=AP$5),'2013 E Maize Soil VWC'!$G$2:$G$4000)</f>
        <v>0.27506670692090396</v>
      </c>
      <c r="AQ152" s="4" cm="1">
        <f t="array" ref="AQ152">_xlfn.XLOOKUP(1,('2013 E Maize Soil VWC'!$C$2:$C$4000=$AA152)*('2013 E Maize Soil VWC'!$E$2:$E$4000=$AB152)*('2013 E Maize Soil VWC'!$F$2:$F$4000=AQ$5),'2013 E Maize Soil VWC'!$G$2:$G$4000)</f>
        <v>0.25634416666666665</v>
      </c>
      <c r="AR152" s="4" cm="1">
        <f t="array" ref="AR152">_xlfn.XLOOKUP(1,('2013 E Maize Soil VWC'!$C$2:$C$4000=$AA152)*('2013 E Maize Soil VWC'!$E$2:$E$4000=$AB152)*('2013 E Maize Soil VWC'!$F$2:$F$4000=AR$5),'2013 E Maize Soil VWC'!$G$2:$G$4000)</f>
        <v>0.26309165042372878</v>
      </c>
      <c r="AS152" s="4" cm="1">
        <f t="array" ref="AS152">_xlfn.XLOOKUP(1,('2013 E Maize Soil VWC'!$C$2:$C$4000=$AA152)*('2013 E Maize Soil VWC'!$E$2:$E$4000=$AB152)*('2013 E Maize Soil VWC'!$F$2:$F$4000=AS$5),'2013 E Maize Soil VWC'!$G$2:$G$4000)</f>
        <v>0.27304015889830507</v>
      </c>
      <c r="AT152" s="4" cm="1">
        <f t="array" ref="AT152">_xlfn.XLOOKUP(1,('2013 E Maize Soil VWC'!$C$2:$C$4000=$AA152)*('2013 E Maize Soil VWC'!$E$2:$E$4000=$AB152)*('2013 E Maize Soil VWC'!$F$2:$F$4000=AT$5),'2013 E Maize Soil VWC'!$G$2:$G$4000)</f>
        <v>0.27260260875706216</v>
      </c>
      <c r="AU152" s="4" cm="1">
        <f t="array" ref="AU152">_xlfn.XLOOKUP(1,('2013 E Maize Soil VWC'!$C$2:$C$4000=$AA152)*('2013 E Maize Soil VWC'!$E$2:$E$4000=$AB152)*('2013 E Maize Soil VWC'!$F$2:$F$4000=AU$5),'2013 E Maize Soil VWC'!$G$2:$G$4000)</f>
        <v>0.26302256355932202</v>
      </c>
      <c r="AV152" s="4" cm="1">
        <f t="array" ref="AV152">_xlfn.XLOOKUP(1,('2013 E Maize Soil VWC'!$C$2:$C$4000=$AA152)*('2013 E Maize Soil VWC'!$E$2:$E$4000=$AB152)*('2013 E Maize Soil VWC'!$F$2:$F$4000=AV$5),'2013 E Maize Soil VWC'!$G$2:$G$4000)</f>
        <v>0.28487704166666666</v>
      </c>
    </row>
    <row r="153" spans="25:64" x14ac:dyDescent="0.25">
      <c r="AA153" s="15">
        <f t="shared" si="23"/>
        <v>41520</v>
      </c>
      <c r="AB153" s="4">
        <f t="shared" si="24"/>
        <v>90</v>
      </c>
      <c r="AC153" s="4" cm="1">
        <f t="array" ref="AC153">_xlfn.XLOOKUP(1,('2013 E Maize Soil VWC'!$C$2:$C$4000=$AA153)*('2013 E Maize Soil VWC'!$E$2:$E$4000=$AB153)*('2013 E Maize Soil VWC'!$F$2:$F$4000=AC$5),'2013 E Maize Soil VWC'!$G$2:$G$4000)</f>
        <v>0.30716906991525422</v>
      </c>
      <c r="AD153" s="4" cm="1">
        <f t="array" ref="AD153">_xlfn.XLOOKUP(1,('2013 E Maize Soil VWC'!$C$2:$C$4000=$AA153)*('2013 E Maize Soil VWC'!$E$2:$E$4000=$AB153)*('2013 E Maize Soil VWC'!$F$2:$F$4000=AD$5),'2013 E Maize Soil VWC'!$G$2:$G$4000)</f>
        <v>0.27614906779661014</v>
      </c>
      <c r="AE153" s="4" cm="1">
        <f t="array" ref="AE153">_xlfn.XLOOKUP(1,('2013 E Maize Soil VWC'!$C$2:$C$4000=$AA153)*('2013 E Maize Soil VWC'!$E$2:$E$4000=$AB153)*('2013 E Maize Soil VWC'!$F$2:$F$4000=AE$5),'2013 E Maize Soil VWC'!$G$2:$G$4000)</f>
        <v>0.27094452401129943</v>
      </c>
      <c r="AF153" s="4" cm="1">
        <f t="array" ref="AF153">_xlfn.XLOOKUP(1,('2013 E Maize Soil VWC'!$C$2:$C$4000=$AA153)*('2013 E Maize Soil VWC'!$E$2:$E$4000=$AB153)*('2013 E Maize Soil VWC'!$F$2:$F$4000=AF$5),'2013 E Maize Soil VWC'!$G$2:$G$4000)</f>
        <v>0.27888951341807905</v>
      </c>
      <c r="AG153" s="4" cm="1">
        <f t="array" ref="AG153">_xlfn.XLOOKUP(1,('2013 E Maize Soil VWC'!$C$2:$C$4000=$AA153)*('2013 E Maize Soil VWC'!$E$2:$E$4000=$AB153)*('2013 E Maize Soil VWC'!$F$2:$F$4000=AG$5),'2013 E Maize Soil VWC'!$G$2:$G$4000)</f>
        <v>0.28211356709039542</v>
      </c>
      <c r="AH153" s="4" cm="1">
        <f t="array" ref="AH153">_xlfn.XLOOKUP(1,('2013 E Maize Soil VWC'!$C$2:$C$4000=$AA153)*('2013 E Maize Soil VWC'!$E$2:$E$4000=$AB153)*('2013 E Maize Soil VWC'!$F$2:$F$4000=AH$5),'2013 E Maize Soil VWC'!$G$2:$G$4000)</f>
        <v>0.26880283121468923</v>
      </c>
      <c r="AI153" s="4" cm="1">
        <f t="array" ref="AI153">_xlfn.XLOOKUP(1,('2013 E Maize Soil VWC'!$C$2:$C$4000=$AA153)*('2013 E Maize Soil VWC'!$E$2:$E$4000=$AB153)*('2013 E Maize Soil VWC'!$F$2:$F$4000=AI$5),'2013 E Maize Soil VWC'!$G$2:$G$4000)</f>
        <v>0.27456006991525422</v>
      </c>
      <c r="AJ153" s="4" cm="1">
        <f t="array" ref="AJ153">_xlfn.XLOOKUP(1,('2013 E Maize Soil VWC'!$C$2:$C$4000=$AA153)*('2013 E Maize Soil VWC'!$E$2:$E$4000=$AB153)*('2013 E Maize Soil VWC'!$F$2:$F$4000=AJ$5),'2013 E Maize Soil VWC'!$G$2:$G$4000)</f>
        <v>0.29259174152542372</v>
      </c>
      <c r="AK153" s="4" cm="1">
        <f t="array" ref="AK153">_xlfn.XLOOKUP(1,('2013 E Maize Soil VWC'!$C$2:$C$4000=$AA153)*('2013 E Maize Soil VWC'!$E$2:$E$4000=$AB153)*('2013 E Maize Soil VWC'!$F$2:$F$4000=AK$5),'2013 E Maize Soil VWC'!$G$2:$G$4000)</f>
        <v>0.27234929025423726</v>
      </c>
      <c r="AL153" s="4" cm="1">
        <f t="array" ref="AL153">_xlfn.XLOOKUP(1,('2013 E Maize Soil VWC'!$C$2:$C$4000=$AA153)*('2013 E Maize Soil VWC'!$E$2:$E$4000=$AB153)*('2013 E Maize Soil VWC'!$F$2:$F$4000=AL$5),'2013 E Maize Soil VWC'!$G$2:$G$4000)</f>
        <v>0.27812955790960453</v>
      </c>
      <c r="AM153" s="4" cm="1">
        <f t="array" ref="AM153">_xlfn.XLOOKUP(1,('2013 E Maize Soil VWC'!$C$2:$C$4000=$AA153)*('2013 E Maize Soil VWC'!$E$2:$E$4000=$AB153)*('2013 E Maize Soil VWC'!$F$2:$F$4000=AM$5),'2013 E Maize Soil VWC'!$G$2:$G$4000)</f>
        <v>0.27598786511299433</v>
      </c>
      <c r="AN153" s="4" cm="1">
        <f t="array" ref="AN153">_xlfn.XLOOKUP(1,('2013 E Maize Soil VWC'!$C$2:$C$4000=$AA153)*('2013 E Maize Soil VWC'!$E$2:$E$4000=$AB153)*('2013 E Maize Soil VWC'!$F$2:$F$4000=AN$5),'2013 E Maize Soil VWC'!$G$2:$G$4000)</f>
        <v>0.27633329943502821</v>
      </c>
      <c r="AO153" s="4" cm="1">
        <f t="array" ref="AO153">_xlfn.XLOOKUP(1,('2013 E Maize Soil VWC'!$C$2:$C$4000=$AA153)*('2013 E Maize Soil VWC'!$E$2:$E$4000=$AB153)*('2013 E Maize Soil VWC'!$F$2:$F$4000=AO$5),'2013 E Maize Soil VWC'!$G$2:$G$4000)</f>
        <v>0.27147418997175143</v>
      </c>
      <c r="AP153" s="4" cm="1">
        <f t="array" ref="AP153">_xlfn.XLOOKUP(1,('2013 E Maize Soil VWC'!$C$2:$C$4000=$AA153)*('2013 E Maize Soil VWC'!$E$2:$E$4000=$AB153)*('2013 E Maize Soil VWC'!$F$2:$F$4000=AP$5),'2013 E Maize Soil VWC'!$G$2:$G$4000)</f>
        <v>0.26108813135593223</v>
      </c>
      <c r="AQ153" s="4" cm="1">
        <f t="array" ref="AQ153">_xlfn.XLOOKUP(1,('2013 E Maize Soil VWC'!$C$2:$C$4000=$AA153)*('2013 E Maize Soil VWC'!$E$2:$E$4000=$AB153)*('2013 E Maize Soil VWC'!$F$2:$F$4000=AQ$5),'2013 E Maize Soil VWC'!$G$2:$G$4000)</f>
        <v>0.2512087097457627</v>
      </c>
      <c r="AR153" s="4" cm="1">
        <f t="array" ref="AR153">_xlfn.XLOOKUP(1,('2013 E Maize Soil VWC'!$C$2:$C$4000=$AA153)*('2013 E Maize Soil VWC'!$E$2:$E$4000=$AB153)*('2013 E Maize Soil VWC'!$F$2:$F$4000=AR$5),'2013 E Maize Soil VWC'!$G$2:$G$4000)</f>
        <v>0.2546630529661017</v>
      </c>
      <c r="AS153" s="4" cm="1">
        <f t="array" ref="AS153">_xlfn.XLOOKUP(1,('2013 E Maize Soil VWC'!$C$2:$C$4000=$AA153)*('2013 E Maize Soil VWC'!$E$2:$E$4000=$AB153)*('2013 E Maize Soil VWC'!$F$2:$F$4000=AS$5),'2013 E Maize Soil VWC'!$G$2:$G$4000)</f>
        <v>0.27154327683615814</v>
      </c>
      <c r="AT153" s="4" cm="1">
        <f t="array" ref="AT153">_xlfn.XLOOKUP(1,('2013 E Maize Soil VWC'!$C$2:$C$4000=$AA153)*('2013 E Maize Soil VWC'!$E$2:$E$4000=$AB153)*('2013 E Maize Soil VWC'!$F$2:$F$4000=AT$5),'2013 E Maize Soil VWC'!$G$2:$G$4000)</f>
        <v>0.2951940134180791</v>
      </c>
      <c r="AU153" s="4" cm="1">
        <f t="array" ref="AU153">_xlfn.XLOOKUP(1,('2013 E Maize Soil VWC'!$C$2:$C$4000=$AA153)*('2013 E Maize Soil VWC'!$E$2:$E$4000=$AB153)*('2013 E Maize Soil VWC'!$F$2:$F$4000=AU$5),'2013 E Maize Soil VWC'!$G$2:$G$4000)</f>
        <v>0.26799681779661017</v>
      </c>
      <c r="AV153" s="4" cm="1">
        <f t="array" ref="AV153">_xlfn.XLOOKUP(1,('2013 E Maize Soil VWC'!$C$2:$C$4000=$AA153)*('2013 E Maize Soil VWC'!$E$2:$E$4000=$AB153)*('2013 E Maize Soil VWC'!$F$2:$F$4000=AV$5),'2013 E Maize Soil VWC'!$G$2:$G$4000)</f>
        <v>0.28165298799435029</v>
      </c>
    </row>
    <row r="154" spans="25:64" x14ac:dyDescent="0.25">
      <c r="AA154" s="15">
        <f t="shared" si="23"/>
        <v>41520</v>
      </c>
      <c r="AB154" s="4">
        <f t="shared" si="24"/>
        <v>110</v>
      </c>
      <c r="AC154" s="4" cm="1">
        <f t="array" ref="AC154">_xlfn.XLOOKUP(1,('2013 E Maize Soil VWC'!$C$2:$C$4000=$AA154)*('2013 E Maize Soil VWC'!$E$2:$E$4000=$AB154)*('2013 E Maize Soil VWC'!$F$2:$F$4000=AC$5),'2013 E Maize Soil VWC'!$G$2:$G$4000)</f>
        <v>0.33385962853107343</v>
      </c>
      <c r="AD154" s="4" cm="1">
        <f t="array" ref="AD154">_xlfn.XLOOKUP(1,('2013 E Maize Soil VWC'!$C$2:$C$4000=$AA154)*('2013 E Maize Soil VWC'!$E$2:$E$4000=$AB154)*('2013 E Maize Soil VWC'!$F$2:$F$4000=AD$5),'2013 E Maize Soil VWC'!$G$2:$G$4000)</f>
        <v>0.31299539548022598</v>
      </c>
      <c r="AE154" s="4" cm="1">
        <f t="array" ref="AE154">_xlfn.XLOOKUP(1,('2013 E Maize Soil VWC'!$C$2:$C$4000=$AA154)*('2013 E Maize Soil VWC'!$E$2:$E$4000=$AB154)*('2013 E Maize Soil VWC'!$F$2:$F$4000=AE$5),'2013 E Maize Soil VWC'!$G$2:$G$4000)</f>
        <v>0.31106096327683613</v>
      </c>
      <c r="AF154" s="4" cm="1">
        <f t="array" ref="AF154">_xlfn.XLOOKUP(1,('2013 E Maize Soil VWC'!$C$2:$C$4000=$AA154)*('2013 E Maize Soil VWC'!$E$2:$E$4000=$AB154)*('2013 E Maize Soil VWC'!$F$2:$F$4000=AF$5),'2013 E Maize Soil VWC'!$G$2:$G$4000)</f>
        <v>0.31886777895480223</v>
      </c>
      <c r="AG154" s="4" cm="1">
        <f t="array" ref="AG154">_xlfn.XLOOKUP(1,('2013 E Maize Soil VWC'!$C$2:$C$4000=$AA154)*('2013 E Maize Soil VWC'!$E$2:$E$4000=$AB154)*('2013 E Maize Soil VWC'!$F$2:$F$4000=AG$5),'2013 E Maize Soil VWC'!$G$2:$G$4000)</f>
        <v>0.30254024999999996</v>
      </c>
      <c r="AH154" s="4" cm="1">
        <f t="array" ref="AH154">_xlfn.XLOOKUP(1,('2013 E Maize Soil VWC'!$C$2:$C$4000=$AA154)*('2013 E Maize Soil VWC'!$E$2:$E$4000=$AB154)*('2013 E Maize Soil VWC'!$F$2:$F$4000=AH$5),'2013 E Maize Soil VWC'!$G$2:$G$4000)</f>
        <v>0.3016881786723164</v>
      </c>
      <c r="AI154" s="4" cm="1">
        <f t="array" ref="AI154">_xlfn.XLOOKUP(1,('2013 E Maize Soil VWC'!$C$2:$C$4000=$AA154)*('2013 E Maize Soil VWC'!$E$2:$E$4000=$AB154)*('2013 E Maize Soil VWC'!$F$2:$F$4000=AI$5),'2013 E Maize Soil VWC'!$G$2:$G$4000)</f>
        <v>0.32052586370056496</v>
      </c>
      <c r="AJ154" s="4" cm="1">
        <f t="array" ref="AJ154">_xlfn.XLOOKUP(1,('2013 E Maize Soil VWC'!$C$2:$C$4000=$AA154)*('2013 E Maize Soil VWC'!$E$2:$E$4000=$AB154)*('2013 E Maize Soil VWC'!$F$2:$F$4000=AJ$5),'2013 E Maize Soil VWC'!$G$2:$G$4000)</f>
        <v>0.32953018502824855</v>
      </c>
      <c r="AK154" s="4" cm="1">
        <f t="array" ref="AK154">_xlfn.XLOOKUP(1,('2013 E Maize Soil VWC'!$C$2:$C$4000=$AA154)*('2013 E Maize Soil VWC'!$E$2:$E$4000=$AB154)*('2013 E Maize Soil VWC'!$F$2:$F$4000=AK$5),'2013 E Maize Soil VWC'!$G$2:$G$4000)</f>
        <v>0.32342751200564968</v>
      </c>
      <c r="AL154" s="4" cm="1">
        <f t="array" ref="AL154">_xlfn.XLOOKUP(1,('2013 E Maize Soil VWC'!$C$2:$C$4000=$AA154)*('2013 E Maize Soil VWC'!$E$2:$E$4000=$AB154)*('2013 E Maize Soil VWC'!$F$2:$F$4000=AL$5),'2013 E Maize Soil VWC'!$G$2:$G$4000)</f>
        <v>0.30583339053672315</v>
      </c>
      <c r="AM154" s="4" cm="1">
        <f t="array" ref="AM154">_xlfn.XLOOKUP(1,('2013 E Maize Soil VWC'!$C$2:$C$4000=$AA154)*('2013 E Maize Soil VWC'!$E$2:$E$4000=$AB154)*('2013 E Maize Soil VWC'!$F$2:$F$4000=AM$5),'2013 E Maize Soil VWC'!$G$2:$G$4000)</f>
        <v>0.29993797810734457</v>
      </c>
      <c r="AN154" s="4" cm="1">
        <f t="array" ref="AN154">_xlfn.XLOOKUP(1,('2013 E Maize Soil VWC'!$C$2:$C$4000=$AA154)*('2013 E Maize Soil VWC'!$E$2:$E$4000=$AB154)*('2013 E Maize Soil VWC'!$F$2:$F$4000=AN$5),'2013 E Maize Soil VWC'!$G$2:$G$4000)</f>
        <v>0.31327174293785309</v>
      </c>
      <c r="AO154" s="4" cm="1">
        <f t="array" ref="AO154">_xlfn.XLOOKUP(1,('2013 E Maize Soil VWC'!$C$2:$C$4000=$AA154)*('2013 E Maize Soil VWC'!$E$2:$E$4000=$AB154)*('2013 E Maize Soil VWC'!$F$2:$F$4000=AO$5),'2013 E Maize Soil VWC'!$G$2:$G$4000)</f>
        <v>0.31186697669491525</v>
      </c>
      <c r="AP154" s="4" cm="1">
        <f t="array" ref="AP154">_xlfn.XLOOKUP(1,('2013 E Maize Soil VWC'!$C$2:$C$4000=$AA154)*('2013 E Maize Soil VWC'!$E$2:$E$4000=$AB154)*('2013 E Maize Soil VWC'!$F$2:$F$4000=AP$5),'2013 E Maize Soil VWC'!$G$2:$G$4000)</f>
        <v>0.29837200918079093</v>
      </c>
      <c r="AQ154" s="4" cm="1">
        <f t="array" ref="AQ154">_xlfn.XLOOKUP(1,('2013 E Maize Soil VWC'!$C$2:$C$4000=$AA154)*('2013 E Maize Soil VWC'!$E$2:$E$4000=$AB154)*('2013 E Maize Soil VWC'!$F$2:$F$4000=AQ$5),'2013 E Maize Soil VWC'!$G$2:$G$4000)</f>
        <v>0.27727748658192086</v>
      </c>
      <c r="AR154" s="4" cm="1">
        <f t="array" ref="AR154">_xlfn.XLOOKUP(1,('2013 E Maize Soil VWC'!$C$2:$C$4000=$AA154)*('2013 E Maize Soil VWC'!$E$2:$E$4000=$AB154)*('2013 E Maize Soil VWC'!$F$2:$F$4000=AR$5),'2013 E Maize Soil VWC'!$G$2:$G$4000)</f>
        <v>0.27626421257062145</v>
      </c>
      <c r="AS154" s="4" cm="1">
        <f t="array" ref="AS154">_xlfn.XLOOKUP(1,('2013 E Maize Soil VWC'!$C$2:$C$4000=$AA154)*('2013 E Maize Soil VWC'!$E$2:$E$4000=$AB154)*('2013 E Maize Soil VWC'!$F$2:$F$4000=AS$5),'2013 E Maize Soil VWC'!$G$2:$G$4000)</f>
        <v>0.31177486087570616</v>
      </c>
      <c r="AT154" s="4" cm="1">
        <f t="array" ref="AT154">_xlfn.XLOOKUP(1,('2013 E Maize Soil VWC'!$C$2:$C$4000=$AA154)*('2013 E Maize Soil VWC'!$E$2:$E$4000=$AB154)*('2013 E Maize Soil VWC'!$F$2:$F$4000=AT$5),'2013 E Maize Soil VWC'!$G$2:$G$4000)</f>
        <v>0.32071009533898304</v>
      </c>
      <c r="AU154" s="4" cm="1">
        <f t="array" ref="AU154">_xlfn.XLOOKUP(1,('2013 E Maize Soil VWC'!$C$2:$C$4000=$AA154)*('2013 E Maize Soil VWC'!$E$2:$E$4000=$AB154)*('2013 E Maize Soil VWC'!$F$2:$F$4000=AU$5),'2013 E Maize Soil VWC'!$G$2:$G$4000)</f>
        <v>0.32064100847457627</v>
      </c>
      <c r="AV154" s="4" cm="1">
        <f t="array" ref="AV154">_xlfn.XLOOKUP(1,('2013 E Maize Soil VWC'!$C$2:$C$4000=$AA154)*('2013 E Maize Soil VWC'!$E$2:$E$4000=$AB154)*('2013 E Maize Soil VWC'!$F$2:$F$4000=AV$5),'2013 E Maize Soil VWC'!$G$2:$G$4000)</f>
        <v>0.29332866807909602</v>
      </c>
    </row>
    <row r="155" spans="25:64" x14ac:dyDescent="0.25">
      <c r="AA155" s="15">
        <f t="shared" si="23"/>
        <v>41520</v>
      </c>
      <c r="AB155" s="4">
        <f t="shared" si="24"/>
        <v>130</v>
      </c>
      <c r="AC155" s="4" cm="1">
        <f t="array" ref="AC155">_xlfn.XLOOKUP(1,('2013 E Maize Soil VWC'!$C$2:$C$4000=$AA155)*('2013 E Maize Soil VWC'!$E$2:$E$4000=$AB155)*('2013 E Maize Soil VWC'!$F$2:$F$4000=AC$5),'2013 E Maize Soil VWC'!$G$2:$G$4000)</f>
        <v>0.30456913418079096</v>
      </c>
      <c r="AD155" s="4" cm="1">
        <f t="array" ref="AD155">_xlfn.XLOOKUP(1,('2013 E Maize Soil VWC'!$C$2:$C$4000=$AA155)*('2013 E Maize Soil VWC'!$E$2:$E$4000=$AB155)*('2013 E Maize Soil VWC'!$F$2:$F$4000=AD$5),'2013 E Maize Soil VWC'!$G$2:$G$4000)</f>
        <v>0.30032123658192095</v>
      </c>
      <c r="AE155" s="4" cm="1">
        <f t="array" ref="AE155">_xlfn.XLOOKUP(1,('2013 E Maize Soil VWC'!$C$2:$C$4000=$AA155)*('2013 E Maize Soil VWC'!$E$2:$E$4000=$AB155)*('2013 E Maize Soil VWC'!$F$2:$F$4000=AE$5),'2013 E Maize Soil VWC'!$G$2:$G$4000)</f>
        <v>0.29624951906779662</v>
      </c>
      <c r="AF155" s="4" cm="1">
        <f t="array" ref="AF155">_xlfn.XLOOKUP(1,('2013 E Maize Soil VWC'!$C$2:$C$4000=$AA155)*('2013 E Maize Soil VWC'!$E$2:$E$4000=$AB155)*('2013 E Maize Soil VWC'!$F$2:$F$4000=AF$5),'2013 E Maize Soil VWC'!$G$2:$G$4000)</f>
        <v>0.29695423940677967</v>
      </c>
      <c r="AG155" s="4" cm="1">
        <f t="array" ref="AG155">_xlfn.XLOOKUP(1,('2013 E Maize Soil VWC'!$C$2:$C$4000=$AA155)*('2013 E Maize Soil VWC'!$E$2:$E$4000=$AB155)*('2013 E Maize Soil VWC'!$F$2:$F$4000=AG$5),'2013 E Maize Soil VWC'!$G$2:$G$4000)</f>
        <v>0.31807627401129945</v>
      </c>
      <c r="AH155" s="4" cm="1">
        <f t="array" ref="AH155">_xlfn.XLOOKUP(1,('2013 E Maize Soil VWC'!$C$2:$C$4000=$AA155)*('2013 E Maize Soil VWC'!$E$2:$E$4000=$AB155)*('2013 E Maize Soil VWC'!$F$2:$F$4000=AH$5),'2013 E Maize Soil VWC'!$G$2:$G$4000)</f>
        <v>0.29703254166666665</v>
      </c>
      <c r="AI155" s="4" cm="1">
        <f t="array" ref="AI155">_xlfn.XLOOKUP(1,('2013 E Maize Soil VWC'!$C$2:$C$4000=$AA155)*('2013 E Maize Soil VWC'!$E$2:$E$4000=$AB155)*('2013 E Maize Soil VWC'!$F$2:$F$4000=AI$5),'2013 E Maize Soil VWC'!$G$2:$G$4000)</f>
        <v>0.30977623446327684</v>
      </c>
      <c r="AJ155" s="4" cm="1">
        <f t="array" ref="AJ155">_xlfn.XLOOKUP(1,('2013 E Maize Soil VWC'!$C$2:$C$4000=$AA155)*('2013 E Maize Soil VWC'!$E$2:$E$4000=$AB155)*('2013 E Maize Soil VWC'!$F$2:$F$4000=AJ$5),'2013 E Maize Soil VWC'!$G$2:$G$4000)</f>
        <v>0.3436028107344633</v>
      </c>
      <c r="AK155" s="4" cm="1">
        <f t="array" ref="AK155">_xlfn.XLOOKUP(1,('2013 E Maize Soil VWC'!$C$2:$C$4000=$AA155)*('2013 E Maize Soil VWC'!$E$2:$E$4000=$AB155)*('2013 E Maize Soil VWC'!$F$2:$F$4000=AK$5),'2013 E Maize Soil VWC'!$G$2:$G$4000)</f>
        <v>0.29462474717514125</v>
      </c>
      <c r="AL155" s="4" cm="1">
        <f t="array" ref="AL155">_xlfn.XLOOKUP(1,('2013 E Maize Soil VWC'!$C$2:$C$4000=$AA155)*('2013 E Maize Soil VWC'!$E$2:$E$4000=$AB155)*('2013 E Maize Soil VWC'!$F$2:$F$4000=AL$5),'2013 E Maize Soil VWC'!$G$2:$G$4000)</f>
        <v>0.30153492161016948</v>
      </c>
      <c r="AM155" s="4" cm="1">
        <f t="array" ref="AM155">_xlfn.XLOOKUP(1,('2013 E Maize Soil VWC'!$C$2:$C$4000=$AA155)*('2013 E Maize Soil VWC'!$E$2:$E$4000=$AB155)*('2013 E Maize Soil VWC'!$F$2:$F$4000=AM$5),'2013 E Maize Soil VWC'!$G$2:$G$4000)</f>
        <v>0.29403748022598869</v>
      </c>
      <c r="AN155" s="4" cm="1">
        <f t="array" ref="AN155">_xlfn.XLOOKUP(1,('2013 E Maize Soil VWC'!$C$2:$C$4000=$AA155)*('2013 E Maize Soil VWC'!$E$2:$E$4000=$AB155)*('2013 E Maize Soil VWC'!$F$2:$F$4000=AN$5),'2013 E Maize Soil VWC'!$G$2:$G$4000)</f>
        <v>0.27814212146892653</v>
      </c>
      <c r="AO155" s="4" cm="1">
        <f t="array" ref="AO155">_xlfn.XLOOKUP(1,('2013 E Maize Soil VWC'!$C$2:$C$4000=$AA155)*('2013 E Maize Soil VWC'!$E$2:$E$4000=$AB155)*('2013 E Maize Soil VWC'!$F$2:$F$4000=AO$5),'2013 E Maize Soil VWC'!$G$2:$G$4000)</f>
        <v>0.31283002259887011</v>
      </c>
      <c r="AP155" s="4" cm="1">
        <f t="array" ref="AP155">_xlfn.XLOOKUP(1,('2013 E Maize Soil VWC'!$C$2:$C$4000=$AA155)*('2013 E Maize Soil VWC'!$E$2:$E$4000=$AB155)*('2013 E Maize Soil VWC'!$F$2:$F$4000=AP$5),'2013 E Maize Soil VWC'!$G$2:$G$4000)</f>
        <v>0.30582197033898306</v>
      </c>
      <c r="AQ155" s="4" cm="1">
        <f t="array" ref="AQ155">_xlfn.XLOOKUP(1,('2013 E Maize Soil VWC'!$C$2:$C$4000=$AA155)*('2013 E Maize Soil VWC'!$E$2:$E$4000=$AB155)*('2013 E Maize Soil VWC'!$F$2:$F$4000=AQ$5),'2013 E Maize Soil VWC'!$G$2:$G$4000)</f>
        <v>0.28969170480225986</v>
      </c>
      <c r="AR155" s="4" cm="1">
        <f t="array" ref="AR155">_xlfn.XLOOKUP(1,('2013 E Maize Soil VWC'!$C$2:$C$4000=$AA155)*('2013 E Maize Soil VWC'!$E$2:$E$4000=$AB155)*('2013 E Maize Soil VWC'!$F$2:$F$4000=AR$5),'2013 E Maize Soil VWC'!$G$2:$G$4000)</f>
        <v>0.28295771045197743</v>
      </c>
      <c r="AS155" s="4" cm="1">
        <f t="array" ref="AS155">_xlfn.XLOOKUP(1,('2013 E Maize Soil VWC'!$C$2:$C$4000=$AA155)*('2013 E Maize Soil VWC'!$E$2:$E$4000=$AB155)*('2013 E Maize Soil VWC'!$F$2:$F$4000=AS$5),'2013 E Maize Soil VWC'!$G$2:$G$4000)</f>
        <v>0.30175025282485873</v>
      </c>
      <c r="AT155" s="4" cm="1">
        <f t="array" ref="AT155">_xlfn.XLOOKUP(1,('2013 E Maize Soil VWC'!$C$2:$C$4000=$AA155)*('2013 E Maize Soil VWC'!$E$2:$E$4000=$AB155)*('2013 E Maize Soil VWC'!$F$2:$F$4000=AT$5),'2013 E Maize Soil VWC'!$G$2:$G$4000)</f>
        <v>0.30484319209039545</v>
      </c>
      <c r="AU155" s="4" cm="1">
        <f t="array" ref="AU155">_xlfn.XLOOKUP(1,('2013 E Maize Soil VWC'!$C$2:$C$4000=$AA155)*('2013 E Maize Soil VWC'!$E$2:$E$4000=$AB155)*('2013 E Maize Soil VWC'!$F$2:$F$4000=AU$5),'2013 E Maize Soil VWC'!$G$2:$G$4000)</f>
        <v>0.29673890819209042</v>
      </c>
      <c r="AV155" s="4" cm="1">
        <f t="array" ref="AV155">_xlfn.XLOOKUP(1,('2013 E Maize Soil VWC'!$C$2:$C$4000=$AA155)*('2013 E Maize Soil VWC'!$E$2:$E$4000=$AB155)*('2013 E Maize Soil VWC'!$F$2:$F$4000=AV$5),'2013 E Maize Soil VWC'!$G$2:$G$4000)</f>
        <v>0.26882415254237291</v>
      </c>
    </row>
    <row r="156" spans="25:64" x14ac:dyDescent="0.25">
      <c r="AA156" s="15">
        <f t="shared" si="23"/>
        <v>41520</v>
      </c>
      <c r="AB156" s="4">
        <f t="shared" si="24"/>
        <v>150</v>
      </c>
      <c r="AC156" s="4" cm="1">
        <f t="array" ref="AC156">_xlfn.XLOOKUP(1,('2013 E Maize Soil VWC'!$C$2:$C$4000=$AA156)*('2013 E Maize Soil VWC'!$E$2:$E$4000=$AB156)*('2013 E Maize Soil VWC'!$F$2:$F$4000=AC$5),'2013 E Maize Soil VWC'!$G$2:$G$4000)</f>
        <v>0.32001425494350283</v>
      </c>
      <c r="AD156" s="4" cm="1">
        <f t="array" ref="AD156">_xlfn.XLOOKUP(1,('2013 E Maize Soil VWC'!$C$2:$C$4000=$AA156)*('2013 E Maize Soil VWC'!$E$2:$E$4000=$AB156)*('2013 E Maize Soil VWC'!$F$2:$F$4000=AD$5),'2013 E Maize Soil VWC'!$G$2:$G$4000)</f>
        <v>0.3144743700564972</v>
      </c>
      <c r="AE156" s="4" cm="1">
        <f t="array" ref="AE156">_xlfn.XLOOKUP(1,('2013 E Maize Soil VWC'!$C$2:$C$4000=$AA156)*('2013 E Maize Soil VWC'!$E$2:$E$4000=$AB156)*('2013 E Maize Soil VWC'!$F$2:$F$4000=AE$5),'2013 E Maize Soil VWC'!$G$2:$G$4000)</f>
        <v>0.29080751200564969</v>
      </c>
      <c r="AF156" s="4" cm="1">
        <f t="array" ref="AF156">_xlfn.XLOOKUP(1,('2013 E Maize Soil VWC'!$C$2:$C$4000=$AA156)*('2013 E Maize Soil VWC'!$E$2:$E$4000=$AB156)*('2013 E Maize Soil VWC'!$F$2:$F$4000=AF$5),'2013 E Maize Soil VWC'!$G$2:$G$4000)</f>
        <v>0.28076524717514129</v>
      </c>
      <c r="AG156" s="4" cm="1">
        <f t="array" ref="AG156">_xlfn.XLOOKUP(1,('2013 E Maize Soil VWC'!$C$2:$C$4000=$AA156)*('2013 E Maize Soil VWC'!$E$2:$E$4000=$AB156)*('2013 E Maize Soil VWC'!$F$2:$F$4000=AG$5),'2013 E Maize Soil VWC'!$G$2:$G$4000)</f>
        <v>0.34438583333333334</v>
      </c>
      <c r="AH156" s="4" cm="1">
        <f t="array" ref="AH156">_xlfn.XLOOKUP(1,('2013 E Maize Soil VWC'!$C$2:$C$4000=$AA156)*('2013 E Maize Soil VWC'!$E$2:$E$4000=$AB156)*('2013 E Maize Soil VWC'!$F$2:$F$4000=AH$5),'2013 E Maize Soil VWC'!$G$2:$G$4000)</f>
        <v>0.34205634110169497</v>
      </c>
      <c r="AI156" s="4" cm="1">
        <f t="array" ref="AI156">_xlfn.XLOOKUP(1,('2013 E Maize Soil VWC'!$C$2:$C$4000=$AA156)*('2013 E Maize Soil VWC'!$E$2:$E$4000=$AB156)*('2013 E Maize Soil VWC'!$F$2:$F$4000=AI$5),'2013 E Maize Soil VWC'!$G$2:$G$4000)</f>
        <v>0.31396540536723161</v>
      </c>
      <c r="AJ156" s="4" cm="1">
        <f t="array" ref="AJ156">_xlfn.XLOOKUP(1,('2013 E Maize Soil VWC'!$C$2:$C$4000=$AA156)*('2013 E Maize Soil VWC'!$E$2:$E$4000=$AB156)*('2013 E Maize Soil VWC'!$F$2:$F$4000=AJ$5),'2013 E Maize Soil VWC'!$G$2:$G$4000)</f>
        <v>0.32894071257062146</v>
      </c>
      <c r="AK156" s="4" cm="1">
        <f t="array" ref="AK156">_xlfn.XLOOKUP(1,('2013 E Maize Soil VWC'!$C$2:$C$4000=$AA156)*('2013 E Maize Soil VWC'!$E$2:$E$4000=$AB156)*('2013 E Maize Soil VWC'!$F$2:$F$4000=AK$5),'2013 E Maize Soil VWC'!$G$2:$G$4000)</f>
        <v>0.32187393361581923</v>
      </c>
      <c r="AL156" s="4" cm="1">
        <f t="array" ref="AL156">_xlfn.XLOOKUP(1,('2013 E Maize Soil VWC'!$C$2:$C$4000=$AA156)*('2013 E Maize Soil VWC'!$E$2:$E$4000=$AB156)*('2013 E Maize Soil VWC'!$F$2:$F$4000=AL$5),'2013 E Maize Soil VWC'!$G$2:$G$4000)</f>
        <v>0.32672867372881359</v>
      </c>
      <c r="AM156" s="4" cm="1">
        <f t="array" ref="AM156">_xlfn.XLOOKUP(1,('2013 E Maize Soil VWC'!$C$2:$C$4000=$AA156)*('2013 E Maize Soil VWC'!$E$2:$E$4000=$AB156)*('2013 E Maize Soil VWC'!$F$2:$F$4000=AM$5),'2013 E Maize Soil VWC'!$G$2:$G$4000)</f>
        <v>0.33111360028248588</v>
      </c>
      <c r="AN156" s="4" cm="1">
        <f t="array" ref="AN156">_xlfn.XLOOKUP(1,('2013 E Maize Soil VWC'!$C$2:$C$4000=$AA156)*('2013 E Maize Soil VWC'!$E$2:$E$4000=$AB156)*('2013 E Maize Soil VWC'!$F$2:$F$4000=AN$5),'2013 E Maize Soil VWC'!$G$2:$G$4000)</f>
        <v>0.3297824618644068</v>
      </c>
      <c r="AO156" s="4" cm="1">
        <f t="array" ref="AO156">_xlfn.XLOOKUP(1,('2013 E Maize Soil VWC'!$C$2:$C$4000=$AA156)*('2013 E Maize Soil VWC'!$E$2:$E$4000=$AB156)*('2013 E Maize Soil VWC'!$F$2:$F$4000=AO$5),'2013 E Maize Soil VWC'!$G$2:$G$4000)</f>
        <v>0.30770122457627119</v>
      </c>
      <c r="AP156" s="4" cm="1">
        <f t="array" ref="AP156">_xlfn.XLOOKUP(1,('2013 E Maize Soil VWC'!$C$2:$C$4000=$AA156)*('2013 E Maize Soil VWC'!$E$2:$E$4000=$AB156)*('2013 E Maize Soil VWC'!$F$2:$F$4000=AP$5),'2013 E Maize Soil VWC'!$G$2:$G$4000)</f>
        <v>0.3008106257062147</v>
      </c>
      <c r="AQ156" s="4" cm="1">
        <f t="array" ref="AQ156">_xlfn.XLOOKUP(1,('2013 E Maize Soil VWC'!$C$2:$C$4000=$AA156)*('2013 E Maize Soil VWC'!$E$2:$E$4000=$AB156)*('2013 E Maize Soil VWC'!$F$2:$F$4000=AQ$5),'2013 E Maize Soil VWC'!$G$2:$G$4000)</f>
        <v>0.33152468714689265</v>
      </c>
      <c r="AR156" s="4" cm="1">
        <f t="array" ref="AR156">_xlfn.XLOOKUP(1,('2013 E Maize Soil VWC'!$C$2:$C$4000=$AA156)*('2013 E Maize Soil VWC'!$E$2:$E$4000=$AB156)*('2013 E Maize Soil VWC'!$F$2:$F$4000=AR$5),'2013 E Maize Soil VWC'!$G$2:$G$4000)</f>
        <v>0.3295084039548023</v>
      </c>
      <c r="AS156" s="4" cm="1">
        <f t="array" ref="AS156">_xlfn.XLOOKUP(1,('2013 E Maize Soil VWC'!$C$2:$C$4000=$AA156)*('2013 E Maize Soil VWC'!$E$2:$E$4000=$AB156)*('2013 E Maize Soil VWC'!$F$2:$F$4000=AS$5),'2013 E Maize Soil VWC'!$G$2:$G$4000)</f>
        <v>0.31494418361581922</v>
      </c>
      <c r="AT156" s="4" cm="1">
        <f t="array" ref="AT156">_xlfn.XLOOKUP(1,('2013 E Maize Soil VWC'!$C$2:$C$4000=$AA156)*('2013 E Maize Soil VWC'!$E$2:$E$4000=$AB156)*('2013 E Maize Soil VWC'!$F$2:$F$4000=AT$5),'2013 E Maize Soil VWC'!$G$2:$G$4000)</f>
        <v>0.32739424293785313</v>
      </c>
      <c r="AU156" s="4" cm="1">
        <f t="array" ref="AU156">_xlfn.XLOOKUP(1,('2013 E Maize Soil VWC'!$C$2:$C$4000=$AA156)*('2013 E Maize Soil VWC'!$E$2:$E$4000=$AB156)*('2013 E Maize Soil VWC'!$F$2:$F$4000=AU$5),'2013 E Maize Soil VWC'!$G$2:$G$4000)</f>
        <v>0.32569116878531079</v>
      </c>
      <c r="AV156" s="4" cm="1">
        <f t="array" ref="AV156">_xlfn.XLOOKUP(1,('2013 E Maize Soil VWC'!$C$2:$C$4000=$AA156)*('2013 E Maize Soil VWC'!$E$2:$E$4000=$AB156)*('2013 E Maize Soil VWC'!$F$2:$F$4000=AV$5),'2013 E Maize Soil VWC'!$G$2:$G$4000)</f>
        <v>0.33459805084745764</v>
      </c>
    </row>
    <row r="157" spans="25:64" x14ac:dyDescent="0.25">
      <c r="AA157" s="15">
        <f t="shared" si="23"/>
        <v>41520</v>
      </c>
      <c r="AB157" s="4">
        <f t="shared" si="24"/>
        <v>170</v>
      </c>
      <c r="AC157" s="4" cm="1">
        <f t="array" ref="AC157">_xlfn.XLOOKUP(1,('2013 E Maize Soil VWC'!$C$2:$C$4000=$AA157)*('2013 E Maize Soil VWC'!$E$2:$E$4000=$AB157)*('2013 E Maize Soil VWC'!$F$2:$F$4000=AC$5),'2013 E Maize Soil VWC'!$G$2:$G$4000)</f>
        <v>0.2624816694915254</v>
      </c>
      <c r="AD157" s="4" cm="1">
        <f t="array" ref="AD157">_xlfn.XLOOKUP(1,('2013 E Maize Soil VWC'!$C$2:$C$4000=$AA157)*('2013 E Maize Soil VWC'!$E$2:$E$4000=$AB157)*('2013 E Maize Soil VWC'!$F$2:$F$4000=AD$5),'2013 E Maize Soil VWC'!$G$2:$G$4000)</f>
        <v>0.25852740536723162</v>
      </c>
      <c r="AE157" s="4" cm="1">
        <f t="array" ref="AE157">_xlfn.XLOOKUP(1,('2013 E Maize Soil VWC'!$C$2:$C$4000=$AA157)*('2013 E Maize Soil VWC'!$E$2:$E$4000=$AB157)*('2013 E Maize Soil VWC'!$F$2:$F$4000=AE$5),'2013 E Maize Soil VWC'!$G$2:$G$4000)</f>
        <v>0.28530677824858758</v>
      </c>
      <c r="AF157" s="4" cm="1">
        <f t="array" ref="AF157">_xlfn.XLOOKUP(1,('2013 E Maize Soil VWC'!$C$2:$C$4000=$AA157)*('2013 E Maize Soil VWC'!$E$2:$E$4000=$AB157)*('2013 E Maize Soil VWC'!$F$2:$F$4000=AF$5),'2013 E Maize Soil VWC'!$G$2:$G$4000)</f>
        <v>0.28591362076271187</v>
      </c>
      <c r="AG157" s="4" cm="1">
        <f t="array" ref="AG157">_xlfn.XLOOKUP(1,('2013 E Maize Soil VWC'!$C$2:$C$4000=$AA157)*('2013 E Maize Soil VWC'!$E$2:$E$4000=$AB157)*('2013 E Maize Soil VWC'!$F$2:$F$4000=AG$5),'2013 E Maize Soil VWC'!$G$2:$G$4000)</f>
        <v>0.32066024858757064</v>
      </c>
      <c r="AH157" s="4" cm="1">
        <f t="array" ref="AH157">_xlfn.XLOOKUP(1,('2013 E Maize Soil VWC'!$C$2:$C$4000=$AA157)*('2013 E Maize Soil VWC'!$E$2:$E$4000=$AB157)*('2013 E Maize Soil VWC'!$F$2:$F$4000=AH$5),'2013 E Maize Soil VWC'!$G$2:$G$4000)</f>
        <v>0.31793924505649718</v>
      </c>
      <c r="AI157" s="4" cm="1">
        <f t="array" ref="AI157">_xlfn.XLOOKUP(1,('2013 E Maize Soil VWC'!$C$2:$C$4000=$AA157)*('2013 E Maize Soil VWC'!$E$2:$E$4000=$AB157)*('2013 E Maize Soil VWC'!$F$2:$F$4000=AI$5),'2013 E Maize Soil VWC'!$G$2:$G$4000)</f>
        <v>0.2914535056497175</v>
      </c>
      <c r="AJ157" s="4" cm="1">
        <f t="array" ref="AJ157">_xlfn.XLOOKUP(1,('2013 E Maize Soil VWC'!$C$2:$C$4000=$AA157)*('2013 E Maize Soil VWC'!$E$2:$E$4000=$AB157)*('2013 E Maize Soil VWC'!$F$2:$F$4000=AJ$5),'2013 E Maize Soil VWC'!$G$2:$G$4000)</f>
        <v>0.29936203389830512</v>
      </c>
      <c r="AK157" s="4" cm="1">
        <f t="array" ref="AK157">_xlfn.XLOOKUP(1,('2013 E Maize Soil VWC'!$C$2:$C$4000=$AA157)*('2013 E Maize Soil VWC'!$E$2:$E$4000=$AB157)*('2013 E Maize Soil VWC'!$F$2:$F$4000=AK$5),'2013 E Maize Soil VWC'!$G$2:$G$4000)</f>
        <v>0.28947637358757061</v>
      </c>
      <c r="AL157" s="4" cm="1">
        <f t="array" ref="AL157">_xlfn.XLOOKUP(1,('2013 E Maize Soil VWC'!$C$2:$C$4000=$AA157)*('2013 E Maize Soil VWC'!$E$2:$E$4000=$AB157)*('2013 E Maize Soil VWC'!$F$2:$F$4000=AL$5),'2013 E Maize Soil VWC'!$G$2:$G$4000)</f>
        <v>0.29865731355932201</v>
      </c>
      <c r="AM157" s="4" cm="1">
        <f t="array" ref="AM157">_xlfn.XLOOKUP(1,('2013 E Maize Soil VWC'!$C$2:$C$4000=$AA157)*('2013 E Maize Soil VWC'!$E$2:$E$4000=$AB157)*('2013 E Maize Soil VWC'!$F$2:$F$4000=AM$5),'2013 E Maize Soil VWC'!$G$2:$G$4000)</f>
        <v>0.3211887888418079</v>
      </c>
      <c r="AN157" s="4" cm="1">
        <f t="array" ref="AN157">_xlfn.XLOOKUP(1,('2013 E Maize Soil VWC'!$C$2:$C$4000=$AA157)*('2013 E Maize Soil VWC'!$E$2:$E$4000=$AB157)*('2013 E Maize Soil VWC'!$F$2:$F$4000=AN$5),'2013 E Maize Soil VWC'!$G$2:$G$4000)</f>
        <v>0.32747254519774011</v>
      </c>
      <c r="AO157" s="4" cm="1">
        <f t="array" ref="AO157">_xlfn.XLOOKUP(1,('2013 E Maize Soil VWC'!$C$2:$C$4000=$AA157)*('2013 E Maize Soil VWC'!$E$2:$E$4000=$AB157)*('2013 E Maize Soil VWC'!$F$2:$F$4000=AO$5),'2013 E Maize Soil VWC'!$G$2:$G$4000)</f>
        <v>0.30294436228813559</v>
      </c>
      <c r="AP157" s="4" cm="1">
        <f t="array" ref="AP157">_xlfn.XLOOKUP(1,('2013 E Maize Soil VWC'!$C$2:$C$4000=$AA157)*('2013 E Maize Soil VWC'!$E$2:$E$4000=$AB157)*('2013 E Maize Soil VWC'!$F$2:$F$4000=AP$5),'2013 E Maize Soil VWC'!$G$2:$G$4000)</f>
        <v>0.31437649223163844</v>
      </c>
      <c r="AQ157" s="4" cm="1">
        <f t="array" ref="AQ157">_xlfn.XLOOKUP(1,('2013 E Maize Soil VWC'!$C$2:$C$4000=$AA157)*('2013 E Maize Soil VWC'!$E$2:$E$4000=$AB157)*('2013 E Maize Soil VWC'!$F$2:$F$4000=AQ$5),'2013 E Maize Soil VWC'!$G$2:$G$4000)</f>
        <v>0.32751169632768362</v>
      </c>
      <c r="AR157" s="4" cm="1">
        <f t="array" ref="AR157">_xlfn.XLOOKUP(1,('2013 E Maize Soil VWC'!$C$2:$C$4000=$AA157)*('2013 E Maize Soil VWC'!$E$2:$E$4000=$AB157)*('2013 E Maize Soil VWC'!$F$2:$F$4000=AR$5),'2013 E Maize Soil VWC'!$G$2:$G$4000)</f>
        <v>0.31664725776836161</v>
      </c>
      <c r="AS157" s="4" cm="1">
        <f t="array" ref="AS157">_xlfn.XLOOKUP(1,('2013 E Maize Soil VWC'!$C$2:$C$4000=$AA157)*('2013 E Maize Soil VWC'!$E$2:$E$4000=$AB157)*('2013 E Maize Soil VWC'!$F$2:$F$4000=AS$5),'2013 E Maize Soil VWC'!$G$2:$G$4000)</f>
        <v>0.31097034392655371</v>
      </c>
      <c r="AT157" s="4" cm="1">
        <f t="array" ref="AT157">_xlfn.XLOOKUP(1,('2013 E Maize Soil VWC'!$C$2:$C$4000=$AA157)*('2013 E Maize Soil VWC'!$E$2:$E$4000=$AB157)*('2013 E Maize Soil VWC'!$F$2:$F$4000=AT$5),'2013 E Maize Soil VWC'!$G$2:$G$4000)</f>
        <v>0.32015128389830511</v>
      </c>
      <c r="AU157" s="4" cm="1">
        <f t="array" ref="AU157">_xlfn.XLOOKUP(1,('2013 E Maize Soil VWC'!$C$2:$C$4000=$AA157)*('2013 E Maize Soil VWC'!$E$2:$E$4000=$AB157)*('2013 E Maize Soil VWC'!$F$2:$F$4000=AU$5),'2013 E Maize Soil VWC'!$G$2:$G$4000)</f>
        <v>0.30678117302259889</v>
      </c>
      <c r="AV157" s="4" cm="1">
        <f t="array" ref="AV157">_xlfn.XLOOKUP(1,('2013 E Maize Soil VWC'!$C$2:$C$4000=$AA157)*('2013 E Maize Soil VWC'!$E$2:$E$4000=$AB157)*('2013 E Maize Soil VWC'!$F$2:$F$4000=AV$5),'2013 E Maize Soil VWC'!$G$2:$G$4000)</f>
        <v>0.31308450494350282</v>
      </c>
    </row>
    <row r="158" spans="25:64" x14ac:dyDescent="0.25">
      <c r="AA158" s="15">
        <f t="shared" si="23"/>
        <v>41520</v>
      </c>
      <c r="AB158" s="4">
        <f t="shared" si="24"/>
        <v>190</v>
      </c>
      <c r="AC158" s="4" cm="1">
        <f t="array" ref="AC158">_xlfn.XLOOKUP(1,('2013 E Maize Soil VWC'!$C$2:$C$4000=$AA158)*('2013 E Maize Soil VWC'!$E$2:$E$4000=$AB158)*('2013 E Maize Soil VWC'!$F$2:$F$4000=AC$5),'2013 E Maize Soil VWC'!$G$2:$G$4000)</f>
        <v>0.27765273234463278</v>
      </c>
      <c r="AD158" s="4" cm="1">
        <f t="array" ref="AD158">_xlfn.XLOOKUP(1,('2013 E Maize Soil VWC'!$C$2:$C$4000=$AA158)*('2013 E Maize Soil VWC'!$E$2:$E$4000=$AB158)*('2013 E Maize Soil VWC'!$F$2:$F$4000=AD$5),'2013 E Maize Soil VWC'!$G$2:$G$4000)</f>
        <v>0.28462163347457625</v>
      </c>
      <c r="AE158" s="4" cm="1">
        <f t="array" ref="AE158">_xlfn.XLOOKUP(1,('2013 E Maize Soil VWC'!$C$2:$C$4000=$AA158)*('2013 E Maize Soil VWC'!$E$2:$E$4000=$AB158)*('2013 E Maize Soil VWC'!$F$2:$F$4000=AE$5),'2013 E Maize Soil VWC'!$G$2:$G$4000)</f>
        <v>0.27594965819209039</v>
      </c>
      <c r="AF158" s="4" cm="1">
        <f t="array" ref="AF158">_xlfn.XLOOKUP(1,('2013 E Maize Soil VWC'!$C$2:$C$4000=$AA158)*('2013 E Maize Soil VWC'!$E$2:$E$4000=$AB158)*('2013 E Maize Soil VWC'!$F$2:$F$4000=AF$5),'2013 E Maize Soil VWC'!$G$2:$G$4000)</f>
        <v>0.28802778177966104</v>
      </c>
      <c r="AG158" s="4" cm="1">
        <f t="array" ref="AG158">_xlfn.XLOOKUP(1,('2013 E Maize Soil VWC'!$C$2:$C$4000=$AA158)*('2013 E Maize Soil VWC'!$E$2:$E$4000=$AB158)*('2013 E Maize Soil VWC'!$F$2:$F$4000=AG$5),'2013 E Maize Soil VWC'!$G$2:$G$4000)</f>
        <v>0.33937448870056502</v>
      </c>
      <c r="AH158" s="4" cm="1">
        <f t="array" ref="AH158">_xlfn.XLOOKUP(1,('2013 E Maize Soil VWC'!$C$2:$C$4000=$AA158)*('2013 E Maize Soil VWC'!$E$2:$E$4000=$AB158)*('2013 E Maize Soil VWC'!$F$2:$F$4000=AH$5),'2013 E Maize Soil VWC'!$G$2:$G$4000)</f>
        <v>0.33778886793785312</v>
      </c>
      <c r="AI158" s="4" cm="1">
        <f t="array" ref="AI158">_xlfn.XLOOKUP(1,('2013 E Maize Soil VWC'!$C$2:$C$4000=$AA158)*('2013 E Maize Soil VWC'!$E$2:$E$4000=$AB158)*('2013 E Maize Soil VWC'!$F$2:$F$4000=AI$5),'2013 E Maize Soil VWC'!$G$2:$G$4000)</f>
        <v>0.26855009463276841</v>
      </c>
      <c r="AJ158" s="4" cm="1">
        <f t="array" ref="AJ158">_xlfn.XLOOKUP(1,('2013 E Maize Soil VWC'!$C$2:$C$4000=$AA158)*('2013 E Maize Soil VWC'!$E$2:$E$4000=$AB158)*('2013 E Maize Soil VWC'!$F$2:$F$4000=AJ$5),'2013 E Maize Soil VWC'!$G$2:$G$4000)</f>
        <v>0.28697070127118646</v>
      </c>
      <c r="AK158" s="4" cm="1">
        <f t="array" ref="AK158">_xlfn.XLOOKUP(1,('2013 E Maize Soil VWC'!$C$2:$C$4000=$AA158)*('2013 E Maize Soil VWC'!$E$2:$E$4000=$AB158)*('2013 E Maize Soil VWC'!$F$2:$F$4000=AK$5),'2013 E Maize Soil VWC'!$G$2:$G$4000)</f>
        <v>0.27620414053672321</v>
      </c>
      <c r="AL158" s="4" cm="1">
        <f t="array" ref="AL158">_xlfn.XLOOKUP(1,('2013 E Maize Soil VWC'!$C$2:$C$4000=$AA158)*('2013 E Maize Soil VWC'!$E$2:$E$4000=$AB158)*('2013 E Maize Soil VWC'!$F$2:$F$4000=AL$5),'2013 E Maize Soil VWC'!$G$2:$G$4000)</f>
        <v>0.28442587782485879</v>
      </c>
      <c r="AM158" s="4" cm="1">
        <f t="array" ref="AM158">_xlfn.XLOOKUP(1,('2013 E Maize Soil VWC'!$C$2:$C$4000=$AA158)*('2013 E Maize Soil VWC'!$E$2:$E$4000=$AB158)*('2013 E Maize Soil VWC'!$F$2:$F$4000=AM$5),'2013 E Maize Soil VWC'!$G$2:$G$4000)</f>
        <v>0.30235709533898303</v>
      </c>
      <c r="AN158" s="4" cm="1">
        <f t="array" ref="AN158">_xlfn.XLOOKUP(1,('2013 E Maize Soil VWC'!$C$2:$C$4000=$AA158)*('2013 E Maize Soil VWC'!$E$2:$E$4000=$AB158)*('2013 E Maize Soil VWC'!$F$2:$F$4000=AN$5),'2013 E Maize Soil VWC'!$G$2:$G$4000)</f>
        <v>0.30803400918079099</v>
      </c>
      <c r="AO158" s="4" cm="1">
        <f t="array" ref="AO158">_xlfn.XLOOKUP(1,('2013 E Maize Soil VWC'!$C$2:$C$4000=$AA158)*('2013 E Maize Soil VWC'!$E$2:$E$4000=$AB158)*('2013 E Maize Soil VWC'!$F$2:$F$4000=AO$5),'2013 E Maize Soil VWC'!$G$2:$G$4000)</f>
        <v>0.30067359675141242</v>
      </c>
      <c r="AP158" s="4" cm="1">
        <f t="array" ref="AP158">_xlfn.XLOOKUP(1,('2013 E Maize Soil VWC'!$C$2:$C$4000=$AA158)*('2013 E Maize Soil VWC'!$E$2:$E$4000=$AB158)*('2013 E Maize Soil VWC'!$F$2:$F$4000=AP$5),'2013 E Maize Soil VWC'!$G$2:$G$4000)</f>
        <v>0.29211907485875704</v>
      </c>
      <c r="AQ158" s="4" cm="1">
        <f t="array" ref="AQ158">_xlfn.XLOOKUP(1,('2013 E Maize Soil VWC'!$C$2:$C$4000=$AA158)*('2013 E Maize Soil VWC'!$E$2:$E$4000=$AB158)*('2013 E Maize Soil VWC'!$F$2:$F$4000=AQ$5),'2013 E Maize Soil VWC'!$G$2:$G$4000)</f>
        <v>0.33209237853107348</v>
      </c>
      <c r="AR158" s="4" cm="1">
        <f t="array" ref="AR158">_xlfn.XLOOKUP(1,('2013 E Maize Soil VWC'!$C$2:$C$4000=$AA158)*('2013 E Maize Soil VWC'!$E$2:$E$4000=$AB158)*('2013 E Maize Soil VWC'!$F$2:$F$4000=AR$5),'2013 E Maize Soil VWC'!$G$2:$G$4000)</f>
        <v>0.33776929237288139</v>
      </c>
      <c r="AS158" s="4" cm="1">
        <f t="array" ref="AS158">_xlfn.XLOOKUP(1,('2013 E Maize Soil VWC'!$C$2:$C$4000=$AA158)*('2013 E Maize Soil VWC'!$E$2:$E$4000=$AB158)*('2013 E Maize Soil VWC'!$F$2:$F$4000=AS$5),'2013 E Maize Soil VWC'!$G$2:$G$4000)</f>
        <v>0.3147484279661017</v>
      </c>
      <c r="AT158" s="4" cm="1">
        <f t="array" ref="AT158">_xlfn.XLOOKUP(1,('2013 E Maize Soil VWC'!$C$2:$C$4000=$AA158)*('2013 E Maize Soil VWC'!$E$2:$E$4000=$AB158)*('2013 E Maize Soil VWC'!$F$2:$F$4000=AT$5),'2013 E Maize Soil VWC'!$G$2:$G$4000)</f>
        <v>0.30670287076271185</v>
      </c>
      <c r="AU158" s="4" cm="1">
        <f t="array" ref="AU158">_xlfn.XLOOKUP(1,('2013 E Maize Soil VWC'!$C$2:$C$4000=$AA158)*('2013 E Maize Soil VWC'!$E$2:$E$4000=$AB158)*('2013 E Maize Soil VWC'!$F$2:$F$4000=AU$5),'2013 E Maize Soil VWC'!$G$2:$G$4000)</f>
        <v>0.29386130014124295</v>
      </c>
      <c r="AV158" s="4" cm="1">
        <f t="array" ref="AV158">_xlfn.XLOOKUP(1,('2013 E Maize Soil VWC'!$C$2:$C$4000=$AA158)*('2013 E Maize Soil VWC'!$E$2:$E$4000=$AB158)*('2013 E Maize Soil VWC'!$F$2:$F$4000=AV$5),'2013 E Maize Soil VWC'!$G$2:$G$4000)</f>
        <v>0.29356766666666667</v>
      </c>
    </row>
    <row r="159" spans="25:64" x14ac:dyDescent="0.25">
      <c r="AA159" s="15">
        <f t="shared" si="23"/>
        <v>41520</v>
      </c>
      <c r="AB159" s="4">
        <f t="shared" si="24"/>
        <v>210</v>
      </c>
      <c r="AC159" s="4" cm="1">
        <f t="array" ref="AC159">_xlfn.XLOOKUP(1,('2013 E Maize Soil VWC'!$C$2:$C$4000=$AA159)*('2013 E Maize Soil VWC'!$E$2:$E$4000=$AB159)*('2013 E Maize Soil VWC'!$F$2:$F$4000=AC$5),'2013 E Maize Soil VWC'!$G$2:$G$4000)</f>
        <v>0.29591673446327688</v>
      </c>
      <c r="AD159" s="4" cm="1">
        <f t="array" ref="AD159">_xlfn.XLOOKUP(1,('2013 E Maize Soil VWC'!$C$2:$C$4000=$AA159)*('2013 E Maize Soil VWC'!$E$2:$E$4000=$AB159)*('2013 E Maize Soil VWC'!$F$2:$F$4000=AD$5),'2013 E Maize Soil VWC'!$G$2:$G$4000)</f>
        <v>0.29388087570621468</v>
      </c>
      <c r="AE159" s="4" cm="1">
        <f t="array" ref="AE159">_xlfn.XLOOKUP(1,('2013 E Maize Soil VWC'!$C$2:$C$4000=$AA159)*('2013 E Maize Soil VWC'!$E$2:$E$4000=$AB159)*('2013 E Maize Soil VWC'!$F$2:$F$4000=AE$5),'2013 E Maize Soil VWC'!$G$2:$G$4000)</f>
        <v>0.26322554096045198</v>
      </c>
      <c r="AF159" s="4" cm="1">
        <f t="array" ref="AF159">_xlfn.XLOOKUP(1,('2013 E Maize Soil VWC'!$C$2:$C$4000=$AA159)*('2013 E Maize Soil VWC'!$E$2:$E$4000=$AB159)*('2013 E Maize Soil VWC'!$F$2:$F$4000=AF$5),'2013 E Maize Soil VWC'!$G$2:$G$4000)</f>
        <v>0.2813525141242938</v>
      </c>
      <c r="AG159" s="4" t="e" cm="1">
        <f t="array" ref="AG159">_xlfn.XLOOKUP(1,('2013 E Maize Soil VWC'!$C$2:$C$4000=$AA159)*('2013 E Maize Soil VWC'!$E$2:$E$4000=$AB159)*('2013 E Maize Soil VWC'!$F$2:$F$4000=AG$5),'2013 E Maize Soil VWC'!$G$2:$G$4000)</f>
        <v>#N/A</v>
      </c>
      <c r="AH159" s="4" t="e" cm="1">
        <f t="array" ref="AH159">_xlfn.XLOOKUP(1,('2013 E Maize Soil VWC'!$C$2:$C$4000=$AA159)*('2013 E Maize Soil VWC'!$E$2:$E$4000=$AB159)*('2013 E Maize Soil VWC'!$F$2:$F$4000=AH$5),'2013 E Maize Soil VWC'!$G$2:$G$4000)</f>
        <v>#N/A</v>
      </c>
      <c r="AI159" s="4" cm="1">
        <f t="array" ref="AI159">_xlfn.XLOOKUP(1,('2013 E Maize Soil VWC'!$C$2:$C$4000=$AA159)*('2013 E Maize Soil VWC'!$E$2:$E$4000=$AB159)*('2013 E Maize Soil VWC'!$F$2:$F$4000=AI$5),'2013 E Maize Soil VWC'!$G$2:$G$4000)</f>
        <v>0.26210973375706215</v>
      </c>
      <c r="AJ159" s="4" cm="1">
        <f t="array" ref="AJ159">_xlfn.XLOOKUP(1,('2013 E Maize Soil VWC'!$C$2:$C$4000=$AA159)*('2013 E Maize Soil VWC'!$E$2:$E$4000=$AB159)*('2013 E Maize Soil VWC'!$F$2:$F$4000=AJ$5),'2013 E Maize Soil VWC'!$G$2:$G$4000)</f>
        <v>0.30208303742937859</v>
      </c>
      <c r="AK159" s="4" cm="1">
        <f t="array" ref="AK159">_xlfn.XLOOKUP(1,('2013 E Maize Soil VWC'!$C$2:$C$4000=$AA159)*('2013 E Maize Soil VWC'!$E$2:$E$4000=$AB159)*('2013 E Maize Soil VWC'!$F$2:$F$4000=AK$5),'2013 E Maize Soil VWC'!$G$2:$G$4000)</f>
        <v>0.29155138347457626</v>
      </c>
      <c r="AL159" s="4" cm="1">
        <f t="array" ref="AL159">_xlfn.XLOOKUP(1,('2013 E Maize Soil VWC'!$C$2:$C$4000=$AA159)*('2013 E Maize Soil VWC'!$E$2:$E$4000=$AB159)*('2013 E Maize Soil VWC'!$F$2:$F$4000=AL$5),'2013 E Maize Soil VWC'!$G$2:$G$4000)</f>
        <v>0.25488635028248591</v>
      </c>
      <c r="AM159" s="4" cm="1">
        <f t="array" ref="AM159">_xlfn.XLOOKUP(1,('2013 E Maize Soil VWC'!$C$2:$C$4000=$AA159)*('2013 E Maize Soil VWC'!$E$2:$E$4000=$AB159)*('2013 E Maize Soil VWC'!$F$2:$F$4000=AM$5),'2013 E Maize Soil VWC'!$G$2:$G$4000)</f>
        <v>0.30061487005649717</v>
      </c>
      <c r="AN159" s="4" cm="1">
        <f t="array" ref="AN159">_xlfn.XLOOKUP(1,('2013 E Maize Soil VWC'!$C$2:$C$4000=$AA159)*('2013 E Maize Soil VWC'!$E$2:$E$4000=$AB159)*('2013 E Maize Soil VWC'!$F$2:$F$4000=AN$5),'2013 E Maize Soil VWC'!$G$2:$G$4000)</f>
        <v>0.30339460028248588</v>
      </c>
      <c r="AO159" s="4" cm="1">
        <f t="array" ref="AO159">_xlfn.XLOOKUP(1,('2013 E Maize Soil VWC'!$C$2:$C$4000=$AA159)*('2013 E Maize Soil VWC'!$E$2:$E$4000=$AB159)*('2013 E Maize Soil VWC'!$F$2:$F$4000=AO$5),'2013 E Maize Soil VWC'!$G$2:$G$4000)</f>
        <v>0.29826580225988703</v>
      </c>
      <c r="AP159" s="4" cm="1">
        <f t="array" ref="AP159">_xlfn.XLOOKUP(1,('2013 E Maize Soil VWC'!$C$2:$C$4000=$AA159)*('2013 E Maize Soil VWC'!$E$2:$E$4000=$AB159)*('2013 E Maize Soil VWC'!$F$2:$F$4000=AP$5),'2013 E Maize Soil VWC'!$G$2:$G$4000)</f>
        <v>0.26510479519774011</v>
      </c>
      <c r="AQ159" s="4" t="e" cm="1">
        <f t="array" ref="AQ159">_xlfn.XLOOKUP(1,('2013 E Maize Soil VWC'!$C$2:$C$4000=$AA159)*('2013 E Maize Soil VWC'!$E$2:$E$4000=$AB159)*('2013 E Maize Soil VWC'!$F$2:$F$4000=AQ$5),'2013 E Maize Soil VWC'!$G$2:$G$4000)</f>
        <v>#N/A</v>
      </c>
      <c r="AR159" s="4" t="e" cm="1">
        <f t="array" ref="AR159">_xlfn.XLOOKUP(1,('2013 E Maize Soil VWC'!$C$2:$C$4000=$AA159)*('2013 E Maize Soil VWC'!$E$2:$E$4000=$AB159)*('2013 E Maize Soil VWC'!$F$2:$F$4000=AR$5),'2013 E Maize Soil VWC'!$G$2:$G$4000)</f>
        <v>#N/A</v>
      </c>
      <c r="AS159" s="4" cm="1">
        <f t="array" ref="AS159">_xlfn.XLOOKUP(1,('2013 E Maize Soil VWC'!$C$2:$C$4000=$AA159)*('2013 E Maize Soil VWC'!$E$2:$E$4000=$AB159)*('2013 E Maize Soil VWC'!$F$2:$F$4000=AS$5),'2013 E Maize Soil VWC'!$G$2:$G$4000)</f>
        <v>0.30039953884180792</v>
      </c>
      <c r="AT159" s="4" cm="1">
        <f t="array" ref="AT159">_xlfn.XLOOKUP(1,('2013 E Maize Soil VWC'!$C$2:$C$4000=$AA159)*('2013 E Maize Soil VWC'!$E$2:$E$4000=$AB159)*('2013 E Maize Soil VWC'!$F$2:$F$4000=AT$5),'2013 E Maize Soil VWC'!$G$2:$G$4000)</f>
        <v>0.29934245833333334</v>
      </c>
      <c r="AU159" s="4" cm="1">
        <f t="array" ref="AU159">_xlfn.XLOOKUP(1,('2013 E Maize Soil VWC'!$C$2:$C$4000=$AA159)*('2013 E Maize Soil VWC'!$E$2:$E$4000=$AB159)*('2013 E Maize Soil VWC'!$F$2:$F$4000=AU$5),'2013 E Maize Soil VWC'!$G$2:$G$4000)</f>
        <v>0.29104241878531079</v>
      </c>
      <c r="AV159" s="4" cm="1">
        <f t="array" ref="AV159">_xlfn.XLOOKUP(1,('2013 E Maize Soil VWC'!$C$2:$C$4000=$AA159)*('2013 E Maize Soil VWC'!$E$2:$E$4000=$AB159)*('2013 E Maize Soil VWC'!$F$2:$F$4000=AV$5),'2013 E Maize Soil VWC'!$G$2:$G$4000)</f>
        <v>0.29902924929378533</v>
      </c>
    </row>
    <row r="160" spans="25:64" x14ac:dyDescent="0.25">
      <c r="AA160" s="15">
        <f t="shared" si="23"/>
        <v>41520</v>
      </c>
      <c r="AB160" s="4">
        <f t="shared" si="24"/>
        <v>230</v>
      </c>
      <c r="AC160" s="4" cm="1">
        <f t="array" ref="AC160">_xlfn.XLOOKUP(1,('2013 E Maize Soil VWC'!$C$2:$C$4000=$AA160)*('2013 E Maize Soil VWC'!$E$2:$E$4000=$AB160)*('2013 E Maize Soil VWC'!$F$2:$F$4000=AC$5),'2013 E Maize Soil VWC'!$G$2:$G$4000)</f>
        <v>0.29397875353107344</v>
      </c>
      <c r="AD160" s="4" cm="1">
        <f t="array" ref="AD160">_xlfn.XLOOKUP(1,('2013 E Maize Soil VWC'!$C$2:$C$4000=$AA160)*('2013 E Maize Soil VWC'!$E$2:$E$4000=$AB160)*('2013 E Maize Soil VWC'!$F$2:$F$4000=AD$5),'2013 E Maize Soil VWC'!$G$2:$G$4000)</f>
        <v>0.29932288276836161</v>
      </c>
      <c r="AE160" s="4" cm="1">
        <f t="array" ref="AE160">_xlfn.XLOOKUP(1,('2013 E Maize Soil VWC'!$C$2:$C$4000=$AA160)*('2013 E Maize Soil VWC'!$E$2:$E$4000=$AB160)*('2013 E Maize Soil VWC'!$F$2:$F$4000=AE$5),'2013 E Maize Soil VWC'!$G$2:$G$4000)</f>
        <v>0.2814112408192091</v>
      </c>
      <c r="AF160" s="4" cm="1">
        <f t="array" ref="AF160">_xlfn.XLOOKUP(1,('2013 E Maize Soil VWC'!$C$2:$C$4000=$AA160)*('2013 E Maize Soil VWC'!$E$2:$E$4000=$AB160)*('2013 E Maize Soil VWC'!$F$2:$F$4000=AF$5),'2013 E Maize Soil VWC'!$G$2:$G$4000)</f>
        <v>0.27749612782485877</v>
      </c>
      <c r="AG160" s="4" t="e" cm="1">
        <f t="array" ref="AG160">_xlfn.XLOOKUP(1,('2013 E Maize Soil VWC'!$C$2:$C$4000=$AA160)*('2013 E Maize Soil VWC'!$E$2:$E$4000=$AB160)*('2013 E Maize Soil VWC'!$F$2:$F$4000=AG$5),'2013 E Maize Soil VWC'!$G$2:$G$4000)</f>
        <v>#N/A</v>
      </c>
      <c r="AH160" s="4" t="e" cm="1">
        <f t="array" ref="AH160">_xlfn.XLOOKUP(1,('2013 E Maize Soil VWC'!$C$2:$C$4000=$AA160)*('2013 E Maize Soil VWC'!$E$2:$E$4000=$AB160)*('2013 E Maize Soil VWC'!$F$2:$F$4000=AH$5),'2013 E Maize Soil VWC'!$G$2:$G$4000)</f>
        <v>#N/A</v>
      </c>
      <c r="AI160" s="4" cm="1">
        <f t="array" ref="AI160">_xlfn.XLOOKUP(1,('2013 E Maize Soil VWC'!$C$2:$C$4000=$AA160)*('2013 E Maize Soil VWC'!$E$2:$E$4000=$AB160)*('2013 E Maize Soil VWC'!$F$2:$F$4000=AI$5),'2013 E Maize Soil VWC'!$G$2:$G$4000)</f>
        <v>0.27340483474576271</v>
      </c>
      <c r="AJ160" s="4" cm="1">
        <f t="array" ref="AJ160">_xlfn.XLOOKUP(1,('2013 E Maize Soil VWC'!$C$2:$C$4000=$AA160)*('2013 E Maize Soil VWC'!$E$2:$E$4000=$AB160)*('2013 E Maize Soil VWC'!$F$2:$F$4000=AJ$5),'2013 E Maize Soil VWC'!$G$2:$G$4000)</f>
        <v>0.31001114124293788</v>
      </c>
      <c r="AK160" s="4" cm="1">
        <f t="array" ref="AK160">_xlfn.XLOOKUP(1,('2013 E Maize Soil VWC'!$C$2:$C$4000=$AA160)*('2013 E Maize Soil VWC'!$E$2:$E$4000=$AB160)*('2013 E Maize Soil VWC'!$F$2:$F$4000=AK$5),'2013 E Maize Soil VWC'!$G$2:$G$4000)</f>
        <v>0.30206346186440675</v>
      </c>
      <c r="AL160" s="4" cm="1">
        <f t="array" ref="AL160">_xlfn.XLOOKUP(1,('2013 E Maize Soil VWC'!$C$2:$C$4000=$AA160)*('2013 E Maize Soil VWC'!$E$2:$E$4000=$AB160)*('2013 E Maize Soil VWC'!$F$2:$F$4000=AL$5),'2013 E Maize Soil VWC'!$G$2:$G$4000)</f>
        <v>0.25952575918079096</v>
      </c>
      <c r="AM160" s="4" cm="1">
        <f t="array" ref="AM160">_xlfn.XLOOKUP(1,('2013 E Maize Soil VWC'!$C$2:$C$4000=$AA160)*('2013 E Maize Soil VWC'!$E$2:$E$4000=$AB160)*('2013 E Maize Soil VWC'!$F$2:$F$4000=AM$5),'2013 E Maize Soil VWC'!$G$2:$G$4000)</f>
        <v>0.2931565798022599</v>
      </c>
      <c r="AN160" s="4" cm="1">
        <f t="array" ref="AN160">_xlfn.XLOOKUP(1,('2013 E Maize Soil VWC'!$C$2:$C$4000=$AA160)*('2013 E Maize Soil VWC'!$E$2:$E$4000=$AB160)*('2013 E Maize Soil VWC'!$F$2:$F$4000=AN$5),'2013 E Maize Soil VWC'!$G$2:$G$4000)</f>
        <v>0.29198204590395477</v>
      </c>
      <c r="AO160" s="4" cm="1">
        <f t="array" ref="AO160">_xlfn.XLOOKUP(1,('2013 E Maize Soil VWC'!$C$2:$C$4000=$AA160)*('2013 E Maize Soil VWC'!$E$2:$E$4000=$AB160)*('2013 E Maize Soil VWC'!$F$2:$F$4000=AO$5),'2013 E Maize Soil VWC'!$G$2:$G$4000)</f>
        <v>0.28865419985875707</v>
      </c>
      <c r="AP160" s="4" cm="1">
        <f t="array" ref="AP160">_xlfn.XLOOKUP(1,('2013 E Maize Soil VWC'!$C$2:$C$4000=$AA160)*('2013 E Maize Soil VWC'!$E$2:$E$4000=$AB160)*('2013 E Maize Soil VWC'!$F$2:$F$4000=AP$5),'2013 E Maize Soil VWC'!$G$2:$G$4000)</f>
        <v>0.28164614759887008</v>
      </c>
      <c r="AQ160" s="4" t="e" cm="1">
        <f t="array" ref="AQ160">_xlfn.XLOOKUP(1,('2013 E Maize Soil VWC'!$C$2:$C$4000=$AA160)*('2013 E Maize Soil VWC'!$E$2:$E$4000=$AB160)*('2013 E Maize Soil VWC'!$F$2:$F$4000=AQ$5),'2013 E Maize Soil VWC'!$G$2:$G$4000)</f>
        <v>#N/A</v>
      </c>
      <c r="AR160" s="4" t="e" cm="1">
        <f t="array" ref="AR160">_xlfn.XLOOKUP(1,('2013 E Maize Soil VWC'!$C$2:$C$4000=$AA160)*('2013 E Maize Soil VWC'!$E$2:$E$4000=$AB160)*('2013 E Maize Soil VWC'!$F$2:$F$4000=AR$5),'2013 E Maize Soil VWC'!$G$2:$G$4000)</f>
        <v>#N/A</v>
      </c>
      <c r="AS160" s="4" cm="1">
        <f t="array" ref="AS160">_xlfn.XLOOKUP(1,('2013 E Maize Soil VWC'!$C$2:$C$4000=$AA160)*('2013 E Maize Soil VWC'!$E$2:$E$4000=$AB160)*('2013 E Maize Soil VWC'!$F$2:$F$4000=AS$5),'2013 E Maize Soil VWC'!$G$2:$G$4000)</f>
        <v>0.29691508827683616</v>
      </c>
      <c r="AT160" s="4" cm="1">
        <f t="array" ref="AT160">_xlfn.XLOOKUP(1,('2013 E Maize Soil VWC'!$C$2:$C$4000=$AA160)*('2013 E Maize Soil VWC'!$E$2:$E$4000=$AB160)*('2013 E Maize Soil VWC'!$F$2:$F$4000=AT$5),'2013 E Maize Soil VWC'!$G$2:$G$4000)</f>
        <v>0.29638654802259889</v>
      </c>
      <c r="AU160" s="4" cm="1">
        <f t="array" ref="AU160">_xlfn.XLOOKUP(1,('2013 E Maize Soil VWC'!$C$2:$C$4000=$AA160)*('2013 E Maize Soil VWC'!$E$2:$E$4000=$AB160)*('2013 E Maize Soil VWC'!$F$2:$F$4000=AU$5),'2013 E Maize Soil VWC'!$G$2:$G$4000)</f>
        <v>0.28332964618644069</v>
      </c>
      <c r="AV160" s="4" cm="1">
        <f t="array" ref="AV160">_xlfn.XLOOKUP(1,('2013 E Maize Soil VWC'!$C$2:$C$4000=$AA160)*('2013 E Maize Soil VWC'!$E$2:$E$4000=$AB160)*('2013 E Maize Soil VWC'!$F$2:$F$4000=AV$5),'2013 E Maize Soil VWC'!$G$2:$G$4000)</f>
        <v>0.29622994350282489</v>
      </c>
    </row>
    <row r="162" spans="25:64" x14ac:dyDescent="0.25">
      <c r="Y162" s="4">
        <v>2013</v>
      </c>
      <c r="Z162" s="4">
        <v>253</v>
      </c>
      <c r="AA162" s="15">
        <f>DATE(Y162,1,Z162)</f>
        <v>41527</v>
      </c>
      <c r="AB162" s="4">
        <v>10</v>
      </c>
      <c r="AC162" s="4" cm="1">
        <f t="array" ref="AC162">_xlfn.XLOOKUP(1,('2013 E Maize Soil VWC'!$C$2:$C$4000=$AA162)*('2013 E Maize Soil VWC'!$E$2:$E$4000=$AB162)*('2013 E Maize Soil VWC'!$F$2:$F$4000=AC$5),'2013 E Maize Soil VWC'!$G$2:$G$4000)</f>
        <v>0.19481034503631961</v>
      </c>
      <c r="AD162" s="4" cm="1">
        <f t="array" ref="AD162">_xlfn.XLOOKUP(1,('2013 E Maize Soil VWC'!$C$2:$C$4000=$AA162)*('2013 E Maize Soil VWC'!$E$2:$E$4000=$AB162)*('2013 E Maize Soil VWC'!$F$2:$F$4000=AD$5),'2013 E Maize Soil VWC'!$G$2:$G$4000)</f>
        <v>0.20839111016949152</v>
      </c>
      <c r="AE162" s="4" cm="1">
        <f t="array" ref="AE162">_xlfn.XLOOKUP(1,('2013 E Maize Soil VWC'!$C$2:$C$4000=$AA162)*('2013 E Maize Soil VWC'!$E$2:$E$4000=$AB162)*('2013 E Maize Soil VWC'!$F$2:$F$4000=AE$5),'2013 E Maize Soil VWC'!$G$2:$G$4000)</f>
        <v>0.2170912878329298</v>
      </c>
      <c r="AF162" s="4" cm="1">
        <f t="array" ref="AF162">_xlfn.XLOOKUP(1,('2013 E Maize Soil VWC'!$C$2:$C$4000=$AA162)*('2013 E Maize Soil VWC'!$E$2:$E$4000=$AB162)*('2013 E Maize Soil VWC'!$F$2:$F$4000=AF$5),'2013 E Maize Soil VWC'!$G$2:$G$4000)</f>
        <v>0.18474051634382566</v>
      </c>
      <c r="AG162" s="4" cm="1">
        <f t="array" ref="AG162">_xlfn.XLOOKUP(1,('2013 E Maize Soil VWC'!$C$2:$C$4000=$AA162)*('2013 E Maize Soil VWC'!$E$2:$E$4000=$AB162)*('2013 E Maize Soil VWC'!$F$2:$F$4000=AG$5),'2013 E Maize Soil VWC'!$G$2:$G$4000)</f>
        <v>0.22521273970944311</v>
      </c>
      <c r="AH162" s="4" cm="1">
        <f t="array" ref="AH162">_xlfn.XLOOKUP(1,('2013 E Maize Soil VWC'!$C$2:$C$4000=$AA162)*('2013 E Maize Soil VWC'!$E$2:$E$4000=$AB162)*('2013 E Maize Soil VWC'!$F$2:$F$4000=AH$5),'2013 E Maize Soil VWC'!$G$2:$G$4000)</f>
        <v>0.20368414043583533</v>
      </c>
      <c r="AI162" s="4" cm="1">
        <f t="array" ref="AI162">_xlfn.XLOOKUP(1,('2013 E Maize Soil VWC'!$C$2:$C$4000=$AA162)*('2013 E Maize Soil VWC'!$E$2:$E$4000=$AB162)*('2013 E Maize Soil VWC'!$F$2:$F$4000=AI$5),'2013 E Maize Soil VWC'!$G$2:$G$4000)</f>
        <v>0.22127740435835352</v>
      </c>
      <c r="AJ162" s="4" cm="1">
        <f t="array" ref="AJ162">_xlfn.XLOOKUP(1,('2013 E Maize Soil VWC'!$C$2:$C$4000=$AA162)*('2013 E Maize Soil VWC'!$E$2:$E$4000=$AB162)*('2013 E Maize Soil VWC'!$F$2:$F$4000=AJ$5),'2013 E Maize Soil VWC'!$G$2:$G$4000)</f>
        <v>0.22031286138014528</v>
      </c>
      <c r="AK162" s="4" cm="1">
        <f t="array" ref="AK162">_xlfn.XLOOKUP(1,('2013 E Maize Soil VWC'!$C$2:$C$4000=$AA162)*('2013 E Maize Soil VWC'!$E$2:$E$4000=$AB162)*('2013 E Maize Soil VWC'!$F$2:$F$4000=AK$5),'2013 E Maize Soil VWC'!$G$2:$G$4000)</f>
        <v>0.21439056749394675</v>
      </c>
      <c r="AL162" s="4" cm="1">
        <f t="array" ref="AL162">_xlfn.XLOOKUP(1,('2013 E Maize Soil VWC'!$C$2:$C$4000=$AA162)*('2013 E Maize Soil VWC'!$E$2:$E$4000=$AB162)*('2013 E Maize Soil VWC'!$F$2:$F$4000=AL$5),'2013 E Maize Soil VWC'!$G$2:$G$4000)</f>
        <v>0.19737602935835352</v>
      </c>
      <c r="AM162" s="4" cm="1">
        <f t="array" ref="AM162">_xlfn.XLOOKUP(1,('2013 E Maize Soil VWC'!$C$2:$C$4000=$AA162)*('2013 E Maize Soil VWC'!$E$2:$E$4000=$AB162)*('2013 E Maize Soil VWC'!$F$2:$F$4000=AM$5),'2013 E Maize Soil VWC'!$G$2:$G$4000)</f>
        <v>0.18479838892251815</v>
      </c>
      <c r="AN162" s="4" cm="1">
        <f t="array" ref="AN162">_xlfn.XLOOKUP(1,('2013 E Maize Soil VWC'!$C$2:$C$4000=$AA162)*('2013 E Maize Soil VWC'!$E$2:$E$4000=$AB162)*('2013 E Maize Soil VWC'!$F$2:$F$4000=AN$5),'2013 E Maize Soil VWC'!$G$2:$G$4000)</f>
        <v>0.21253864497578689</v>
      </c>
      <c r="AO162" s="4" cm="1">
        <f t="array" ref="AO162">_xlfn.XLOOKUP(1,('2013 E Maize Soil VWC'!$C$2:$C$4000=$AA162)*('2013 E Maize Soil VWC'!$E$2:$E$4000=$AB162)*('2013 E Maize Soil VWC'!$F$2:$F$4000=AO$5),'2013 E Maize Soil VWC'!$G$2:$G$4000)</f>
        <v>0.17627182899515736</v>
      </c>
      <c r="AP162" s="4" cm="1">
        <f t="array" ref="AP162">_xlfn.XLOOKUP(1,('2013 E Maize Soil VWC'!$C$2:$C$4000=$AA162)*('2013 E Maize Soil VWC'!$E$2:$E$4000=$AB162)*('2013 E Maize Soil VWC'!$F$2:$F$4000=AP$5),'2013 E Maize Soil VWC'!$G$2:$G$4000)</f>
        <v>0.16517958474576272</v>
      </c>
      <c r="AQ162" s="4" cm="1">
        <f t="array" ref="AQ162">_xlfn.XLOOKUP(1,('2013 E Maize Soil VWC'!$C$2:$C$4000=$AA162)*('2013 E Maize Soil VWC'!$E$2:$E$4000=$AB162)*('2013 E Maize Soil VWC'!$F$2:$F$4000=AQ$5),'2013 E Maize Soil VWC'!$G$2:$G$4000)</f>
        <v>0.22496195853510892</v>
      </c>
      <c r="AR162" s="4" cm="1">
        <f t="array" ref="AR162">_xlfn.XLOOKUP(1,('2013 E Maize Soil VWC'!$C$2:$C$4000=$AA162)*('2013 E Maize Soil VWC'!$E$2:$E$4000=$AB162)*('2013 E Maize Soil VWC'!$F$2:$F$4000=AR$5),'2013 E Maize Soil VWC'!$G$2:$G$4000)</f>
        <v>0.19272693220338982</v>
      </c>
      <c r="AS162" s="4" cm="1">
        <f t="array" ref="AS162">_xlfn.XLOOKUP(1,('2013 E Maize Soil VWC'!$C$2:$C$4000=$AA162)*('2013 E Maize Soil VWC'!$E$2:$E$4000=$AB162)*('2013 E Maize Soil VWC'!$F$2:$F$4000=AS$5),'2013 E Maize Soil VWC'!$G$2:$G$4000)</f>
        <v>0.19675872185230026</v>
      </c>
      <c r="AT162" s="4" cm="1">
        <f t="array" ref="AT162">_xlfn.XLOOKUP(1,('2013 E Maize Soil VWC'!$C$2:$C$4000=$AA162)*('2013 E Maize Soil VWC'!$E$2:$E$4000=$AB162)*('2013 E Maize Soil VWC'!$F$2:$F$4000=AT$5),'2013 E Maize Soil VWC'!$G$2:$G$4000)</f>
        <v>0.18786563559322034</v>
      </c>
      <c r="AU162" s="4" cm="1">
        <f t="array" ref="AU162">_xlfn.XLOOKUP(1,('2013 E Maize Soil VWC'!$C$2:$C$4000=$AA162)*('2013 E Maize Soil VWC'!$E$2:$E$4000=$AB162)*('2013 E Maize Soil VWC'!$F$2:$F$4000=AU$5),'2013 E Maize Soil VWC'!$G$2:$G$4000)</f>
        <v>0.16338553480629542</v>
      </c>
      <c r="AV162" s="4" cm="1">
        <f t="array" ref="AV162">_xlfn.XLOOKUP(1,('2013 E Maize Soil VWC'!$C$2:$C$4000=$AA162)*('2013 E Maize Soil VWC'!$E$2:$E$4000=$AB162)*('2013 E Maize Soil VWC'!$F$2:$F$4000=AV$5),'2013 E Maize Soil VWC'!$G$2:$G$4000)</f>
        <v>0.15462748456416464</v>
      </c>
      <c r="AW162" s="22">
        <f>Z162</f>
        <v>253</v>
      </c>
      <c r="AX162" s="20">
        <f>AA162</f>
        <v>41527</v>
      </c>
      <c r="AY162" s="4">
        <f>1400*AVERAGE(AG162:AH168)+100*AVERAGE(AG169:AH169)</f>
        <v>427.98357819814368</v>
      </c>
      <c r="AZ162" s="4">
        <f>1400*AVERAGE(AC162:AF168,AI162:AL168)+100*AVERAGE(AC169:AF169,AI169:AL169)</f>
        <v>420.81244861783699</v>
      </c>
      <c r="BA162" s="4">
        <f>1400*AVERAGE(AQ162:AR168)+100*AVERAGE(AQ169:AR169)</f>
        <v>403.4166227956012</v>
      </c>
      <c r="BB162" s="4">
        <f>1400*AVERAGE(AM162:AP168,AS162:AV168)+100*AVERAGE(AM169:AP169,AS169:AV169)</f>
        <v>414.43386972861168</v>
      </c>
      <c r="BC162" s="4">
        <f>AVERAGE(AC162:AD173)*2400</f>
        <v>678.30765674939482</v>
      </c>
      <c r="BD162" s="4">
        <f>AVERAGE(AE162:AF173)*2400</f>
        <v>662.00200930185622</v>
      </c>
      <c r="BE162" s="4">
        <f>AVERAGE(AG162:AH171)*2000</f>
        <v>592.20140969531883</v>
      </c>
      <c r="BF162" s="4">
        <f>AVERAGE(AI162:AJ173)*2400</f>
        <v>691.30898978006439</v>
      </c>
      <c r="BG162" s="4">
        <f>AVERAGE(AK162:AL173)*2400</f>
        <v>674.95354118240527</v>
      </c>
      <c r="BH162" s="4">
        <f>AVERAGE(AM162:AN173)*2400</f>
        <v>699.28921730225989</v>
      </c>
      <c r="BI162" s="4">
        <f>AVERAGE(AO162:AP173)*2400</f>
        <v>668.95298325262308</v>
      </c>
      <c r="BJ162" s="4">
        <f>AVERAGE(AQ162:AR171)*2000</f>
        <v>566.03219429983858</v>
      </c>
      <c r="BK162" s="4">
        <f>AVERAGE(AS162:AT173)*2400</f>
        <v>697.5040433716706</v>
      </c>
      <c r="BL162" s="4">
        <f>AVERAGE(AU162:AV173)*2400</f>
        <v>677.14301705004038</v>
      </c>
    </row>
    <row r="163" spans="25:64" x14ac:dyDescent="0.25">
      <c r="AA163" s="15">
        <f t="shared" ref="AA163:AA173" si="25">AA162</f>
        <v>41527</v>
      </c>
      <c r="AB163" s="4">
        <f t="shared" ref="AB163:AB173" si="26">AB162+20</f>
        <v>30</v>
      </c>
      <c r="AC163" s="4" cm="1">
        <f t="array" ref="AC163">_xlfn.XLOOKUP(1,('2013 E Maize Soil VWC'!$C$2:$C$4000=$AA163)*('2013 E Maize Soil VWC'!$E$2:$E$4000=$AB163)*('2013 E Maize Soil VWC'!$F$2:$F$4000=AC$5),'2013 E Maize Soil VWC'!$G$2:$G$4000)</f>
        <v>0.28073182980225986</v>
      </c>
      <c r="AD163" s="4" cm="1">
        <f t="array" ref="AD163">_xlfn.XLOOKUP(1,('2013 E Maize Soil VWC'!$C$2:$C$4000=$AA163)*('2013 E Maize Soil VWC'!$E$2:$E$4000=$AB163)*('2013 E Maize Soil VWC'!$F$2:$F$4000=AD$5),'2013 E Maize Soil VWC'!$G$2:$G$4000)</f>
        <v>0.2781065289548022</v>
      </c>
      <c r="AE163" s="4" cm="1">
        <f t="array" ref="AE163">_xlfn.XLOOKUP(1,('2013 E Maize Soil VWC'!$C$2:$C$4000=$AA163)*('2013 E Maize Soil VWC'!$E$2:$E$4000=$AB163)*('2013 E Maize Soil VWC'!$F$2:$F$4000=AE$5),'2013 E Maize Soil VWC'!$G$2:$G$4000)</f>
        <v>0.29222327824858757</v>
      </c>
      <c r="AF163" s="4" cm="1">
        <f t="array" ref="AF163">_xlfn.XLOOKUP(1,('2013 E Maize Soil VWC'!$C$2:$C$4000=$AA163)*('2013 E Maize Soil VWC'!$E$2:$E$4000=$AB163)*('2013 E Maize Soil VWC'!$F$2:$F$4000=AF$5),'2013 E Maize Soil VWC'!$G$2:$G$4000)</f>
        <v>0.25903855437853107</v>
      </c>
      <c r="AG163" s="4" cm="1">
        <f t="array" ref="AG163">_xlfn.XLOOKUP(1,('2013 E Maize Soil VWC'!$C$2:$C$4000=$AA163)*('2013 E Maize Soil VWC'!$E$2:$E$4000=$AB163)*('2013 E Maize Soil VWC'!$F$2:$F$4000=AG$5),'2013 E Maize Soil VWC'!$G$2:$G$4000)</f>
        <v>0.29961557274011297</v>
      </c>
      <c r="AH163" s="4" cm="1">
        <f t="array" ref="AH163">_xlfn.XLOOKUP(1,('2013 E Maize Soil VWC'!$C$2:$C$4000=$AA163)*('2013 E Maize Soil VWC'!$E$2:$E$4000=$AB163)*('2013 E Maize Soil VWC'!$F$2:$F$4000=AH$5),'2013 E Maize Soil VWC'!$G$2:$G$4000)</f>
        <v>0.28948283262711866</v>
      </c>
      <c r="AI163" s="4" cm="1">
        <f t="array" ref="AI163">_xlfn.XLOOKUP(1,('2013 E Maize Soil VWC'!$C$2:$C$4000=$AA163)*('2013 E Maize Soil VWC'!$E$2:$E$4000=$AB163)*('2013 E Maize Soil VWC'!$F$2:$F$4000=AI$5),'2013 E Maize Soil VWC'!$G$2:$G$4000)</f>
        <v>0.29275294420903952</v>
      </c>
      <c r="AJ163" s="4" cm="1">
        <f t="array" ref="AJ163">_xlfn.XLOOKUP(1,('2013 E Maize Soil VWC'!$C$2:$C$4000=$AA163)*('2013 E Maize Soil VWC'!$E$2:$E$4000=$AB163)*('2013 E Maize Soil VWC'!$F$2:$F$4000=AJ$5),'2013 E Maize Soil VWC'!$G$2:$G$4000)</f>
        <v>0.29917802259887</v>
      </c>
      <c r="AK163" s="4" cm="1">
        <f t="array" ref="AK163">_xlfn.XLOOKUP(1,('2013 E Maize Soil VWC'!$C$2:$C$4000=$AA163)*('2013 E Maize Soil VWC'!$E$2:$E$4000=$AB163)*('2013 E Maize Soil VWC'!$F$2:$F$4000=AK$5),'2013 E Maize Soil VWC'!$G$2:$G$4000)</f>
        <v>0.28556791031073442</v>
      </c>
      <c r="AL163" s="4" cm="1">
        <f t="array" ref="AL163">_xlfn.XLOOKUP(1,('2013 E Maize Soil VWC'!$C$2:$C$4000=$AA163)*('2013 E Maize Soil VWC'!$E$2:$E$4000=$AB163)*('2013 E Maize Soil VWC'!$F$2:$F$4000=AL$5),'2013 E Maize Soil VWC'!$G$2:$G$4000)</f>
        <v>0.28215962500000002</v>
      </c>
      <c r="AM163" s="4" cm="1">
        <f t="array" ref="AM163">_xlfn.XLOOKUP(1,('2013 E Maize Soil VWC'!$C$2:$C$4000=$AA163)*('2013 E Maize Soil VWC'!$E$2:$E$4000=$AB163)*('2013 E Maize Soil VWC'!$F$2:$F$4000=AM$5),'2013 E Maize Soil VWC'!$G$2:$G$4000)</f>
        <v>0.28252808827683612</v>
      </c>
      <c r="AN163" s="4" cm="1">
        <f t="array" ref="AN163">_xlfn.XLOOKUP(1,('2013 E Maize Soil VWC'!$C$2:$C$4000=$AA163)*('2013 E Maize Soil VWC'!$E$2:$E$4000=$AB163)*('2013 E Maize Soil VWC'!$F$2:$F$4000=AN$5),'2013 E Maize Soil VWC'!$G$2:$G$4000)</f>
        <v>0.30069793361581915</v>
      </c>
      <c r="AO163" s="4" cm="1">
        <f t="array" ref="AO163">_xlfn.XLOOKUP(1,('2013 E Maize Soil VWC'!$C$2:$C$4000=$AA163)*('2013 E Maize Soil VWC'!$E$2:$E$4000=$AB163)*('2013 E Maize Soil VWC'!$F$2:$F$4000=AO$5),'2013 E Maize Soil VWC'!$G$2:$G$4000)</f>
        <v>0.27297107203389831</v>
      </c>
      <c r="AP163" s="4" cm="1">
        <f t="array" ref="AP163">_xlfn.XLOOKUP(1,('2013 E Maize Soil VWC'!$C$2:$C$4000=$AA163)*('2013 E Maize Soil VWC'!$E$2:$E$4000=$AB163)*('2013 E Maize Soil VWC'!$F$2:$F$4000=AP$5),'2013 E Maize Soil VWC'!$G$2:$G$4000)</f>
        <v>0.26813499152542369</v>
      </c>
      <c r="AQ163" s="4" cm="1">
        <f t="array" ref="AQ163">_xlfn.XLOOKUP(1,('2013 E Maize Soil VWC'!$C$2:$C$4000=$AA163)*('2013 E Maize Soil VWC'!$E$2:$E$4000=$AB163)*('2013 E Maize Soil VWC'!$F$2:$F$4000=AQ$5),'2013 E Maize Soil VWC'!$G$2:$G$4000)</f>
        <v>0.31516011723163839</v>
      </c>
      <c r="AR163" s="4" cm="1">
        <f t="array" ref="AR163">_xlfn.XLOOKUP(1,('2013 E Maize Soil VWC'!$C$2:$C$4000=$AA163)*('2013 E Maize Soil VWC'!$E$2:$E$4000=$AB163)*('2013 E Maize Soil VWC'!$F$2:$F$4000=AR$5),'2013 E Maize Soil VWC'!$G$2:$G$4000)</f>
        <v>0.26990822104519774</v>
      </c>
      <c r="AS163" s="4" cm="1">
        <f t="array" ref="AS163">_xlfn.XLOOKUP(1,('2013 E Maize Soil VWC'!$C$2:$C$4000=$AA163)*('2013 E Maize Soil VWC'!$E$2:$E$4000=$AB163)*('2013 E Maize Soil VWC'!$F$2:$F$4000=AS$5),'2013 E Maize Soil VWC'!$G$2:$G$4000)</f>
        <v>0.30661637499999994</v>
      </c>
      <c r="AT163" s="4" cm="1">
        <f t="array" ref="AT163">_xlfn.XLOOKUP(1,('2013 E Maize Soil VWC'!$C$2:$C$4000=$AA163)*('2013 E Maize Soil VWC'!$E$2:$E$4000=$AB163)*('2013 E Maize Soil VWC'!$F$2:$F$4000=AT$5),'2013 E Maize Soil VWC'!$G$2:$G$4000)</f>
        <v>0.29908590677966101</v>
      </c>
      <c r="AU163" s="4" cm="1">
        <f t="array" ref="AU163">_xlfn.XLOOKUP(1,('2013 E Maize Soil VWC'!$C$2:$C$4000=$AA163)*('2013 E Maize Soil VWC'!$E$2:$E$4000=$AB163)*('2013 E Maize Soil VWC'!$F$2:$F$4000=AU$5),'2013 E Maize Soil VWC'!$G$2:$G$4000)</f>
        <v>0.29252265466101696</v>
      </c>
      <c r="AV163" s="4" cm="1">
        <f t="array" ref="AV163">_xlfn.XLOOKUP(1,('2013 E Maize Soil VWC'!$C$2:$C$4000=$AA163)*('2013 E Maize Soil VWC'!$E$2:$E$4000=$AB163)*('2013 E Maize Soil VWC'!$F$2:$F$4000=AV$5),'2013 E Maize Soil VWC'!$G$2:$G$4000)</f>
        <v>0.28167601694915251</v>
      </c>
    </row>
    <row r="164" spans="25:64" x14ac:dyDescent="0.25">
      <c r="AA164" s="15">
        <f t="shared" si="25"/>
        <v>41527</v>
      </c>
      <c r="AB164" s="4">
        <f t="shared" si="26"/>
        <v>50</v>
      </c>
      <c r="AC164" s="4" cm="1">
        <f t="array" ref="AC164">_xlfn.XLOOKUP(1,('2013 E Maize Soil VWC'!$C$2:$C$4000=$AA164)*('2013 E Maize Soil VWC'!$E$2:$E$4000=$AB164)*('2013 E Maize Soil VWC'!$F$2:$F$4000=AC$5),'2013 E Maize Soil VWC'!$G$2:$G$4000)</f>
        <v>0.28612060522598864</v>
      </c>
      <c r="AD164" s="4" cm="1">
        <f t="array" ref="AD164">_xlfn.XLOOKUP(1,('2013 E Maize Soil VWC'!$C$2:$C$4000=$AA164)*('2013 E Maize Soil VWC'!$E$2:$E$4000=$AB164)*('2013 E Maize Soil VWC'!$F$2:$F$4000=AD$5),'2013 E Maize Soil VWC'!$G$2:$G$4000)</f>
        <v>0.29503281073446325</v>
      </c>
      <c r="AE164" s="4" cm="1">
        <f t="array" ref="AE164">_xlfn.XLOOKUP(1,('2013 E Maize Soil VWC'!$C$2:$C$4000=$AA164)*('2013 E Maize Soil VWC'!$E$2:$E$4000=$AB164)*('2013 E Maize Soil VWC'!$F$2:$F$4000=AE$5),'2013 E Maize Soil VWC'!$G$2:$G$4000)</f>
        <v>0.30230996045197739</v>
      </c>
      <c r="AF164" s="4" cm="1">
        <f t="array" ref="AF164">_xlfn.XLOOKUP(1,('2013 E Maize Soil VWC'!$C$2:$C$4000=$AA164)*('2013 E Maize Soil VWC'!$E$2:$E$4000=$AB164)*('2013 E Maize Soil VWC'!$F$2:$F$4000=AF$5),'2013 E Maize Soil VWC'!$G$2:$G$4000)</f>
        <v>0.2840710282485876</v>
      </c>
      <c r="AG164" s="4" cm="1">
        <f t="array" ref="AG164">_xlfn.XLOOKUP(1,('2013 E Maize Soil VWC'!$C$2:$C$4000=$AA164)*('2013 E Maize Soil VWC'!$E$2:$E$4000=$AB164)*('2013 E Maize Soil VWC'!$F$2:$F$4000=AG$5),'2013 E Maize Soil VWC'!$G$2:$G$4000)</f>
        <v>0.29832595127118644</v>
      </c>
      <c r="AH164" s="4" cm="1">
        <f t="array" ref="AH164">_xlfn.XLOOKUP(1,('2013 E Maize Soil VWC'!$C$2:$C$4000=$AA164)*('2013 E Maize Soil VWC'!$E$2:$E$4000=$AB164)*('2013 E Maize Soil VWC'!$F$2:$F$4000=AH$5),'2013 E Maize Soil VWC'!$G$2:$G$4000)</f>
        <v>0.30189543926553675</v>
      </c>
      <c r="AI164" s="4" cm="1">
        <f t="array" ref="AI164">_xlfn.XLOOKUP(1,('2013 E Maize Soil VWC'!$C$2:$C$4000=$AA164)*('2013 E Maize Soil VWC'!$E$2:$E$4000=$AB164)*('2013 E Maize Soil VWC'!$F$2:$F$4000=AI$5),'2013 E Maize Soil VWC'!$G$2:$G$4000)</f>
        <v>0.29742782203389828</v>
      </c>
      <c r="AJ164" s="4" cm="1">
        <f t="array" ref="AJ164">_xlfn.XLOOKUP(1,('2013 E Maize Soil VWC'!$C$2:$C$4000=$AA164)*('2013 E Maize Soil VWC'!$E$2:$E$4000=$AB164)*('2013 E Maize Soil VWC'!$F$2:$F$4000=AJ$5),'2013 E Maize Soil VWC'!$G$2:$G$4000)</f>
        <v>0.28964403531073446</v>
      </c>
      <c r="AK164" s="4" cm="1">
        <f t="array" ref="AK164">_xlfn.XLOOKUP(1,('2013 E Maize Soil VWC'!$C$2:$C$4000=$AA164)*('2013 E Maize Soil VWC'!$E$2:$E$4000=$AB164)*('2013 E Maize Soil VWC'!$F$2:$F$4000=AK$5),'2013 E Maize Soil VWC'!$G$2:$G$4000)</f>
        <v>0.2887459060734463</v>
      </c>
      <c r="AL164" s="4" cm="1">
        <f t="array" ref="AL164">_xlfn.XLOOKUP(1,('2013 E Maize Soil VWC'!$C$2:$C$4000=$AA164)*('2013 E Maize Soil VWC'!$E$2:$E$4000=$AB164)*('2013 E Maize Soil VWC'!$F$2:$F$4000=AL$5),'2013 E Maize Soil VWC'!$G$2:$G$4000)</f>
        <v>0.30136577330508474</v>
      </c>
      <c r="AM164" s="4" cm="1">
        <f t="array" ref="AM164">_xlfn.XLOOKUP(1,('2013 E Maize Soil VWC'!$C$2:$C$4000=$AA164)*('2013 E Maize Soil VWC'!$E$2:$E$4000=$AB164)*('2013 E Maize Soil VWC'!$F$2:$F$4000=AM$5),'2013 E Maize Soil VWC'!$G$2:$G$4000)</f>
        <v>0.29450314477401129</v>
      </c>
      <c r="AN164" s="4" cm="1">
        <f t="array" ref="AN164">_xlfn.XLOOKUP(1,('2013 E Maize Soil VWC'!$C$2:$C$4000=$AA164)*('2013 E Maize Soil VWC'!$E$2:$E$4000=$AB164)*('2013 E Maize Soil VWC'!$F$2:$F$4000=AN$5),'2013 E Maize Soil VWC'!$G$2:$G$4000)</f>
        <v>0.30493526129943505</v>
      </c>
      <c r="AO164" s="4" cm="1">
        <f t="array" ref="AO164">_xlfn.XLOOKUP(1,('2013 E Maize Soil VWC'!$C$2:$C$4000=$AA164)*('2013 E Maize Soil VWC'!$E$2:$E$4000=$AB164)*('2013 E Maize Soil VWC'!$F$2:$F$4000=AO$5),'2013 E Maize Soil VWC'!$G$2:$G$4000)</f>
        <v>0.28116937994350277</v>
      </c>
      <c r="AP164" s="4" cm="1">
        <f t="array" ref="AP164">_xlfn.XLOOKUP(1,('2013 E Maize Soil VWC'!$C$2:$C$4000=$AA164)*('2013 E Maize Soil VWC'!$E$2:$E$4000=$AB164)*('2013 E Maize Soil VWC'!$F$2:$F$4000=AP$5),'2013 E Maize Soil VWC'!$G$2:$G$4000)</f>
        <v>0.289160427259887</v>
      </c>
      <c r="AQ164" s="4" cm="1">
        <f t="array" ref="AQ164">_xlfn.XLOOKUP(1,('2013 E Maize Soil VWC'!$C$2:$C$4000=$AA164)*('2013 E Maize Soil VWC'!$E$2:$E$4000=$AB164)*('2013 E Maize Soil VWC'!$F$2:$F$4000=AQ$5),'2013 E Maize Soil VWC'!$G$2:$G$4000)</f>
        <v>0.29132514901129941</v>
      </c>
      <c r="AR164" s="4" cm="1">
        <f t="array" ref="AR164">_xlfn.XLOOKUP(1,('2013 E Maize Soil VWC'!$C$2:$C$4000=$AA164)*('2013 E Maize Soil VWC'!$E$2:$E$4000=$AB164)*('2013 E Maize Soil VWC'!$F$2:$F$4000=AR$5),'2013 E Maize Soil VWC'!$G$2:$G$4000)</f>
        <v>0.27672479166666664</v>
      </c>
      <c r="AS164" s="4" cm="1">
        <f t="array" ref="AS164">_xlfn.XLOOKUP(1,('2013 E Maize Soil VWC'!$C$2:$C$4000=$AA164)*('2013 E Maize Soil VWC'!$E$2:$E$4000=$AB164)*('2013 E Maize Soil VWC'!$F$2:$F$4000=AS$5),'2013 E Maize Soil VWC'!$G$2:$G$4000)</f>
        <v>0.31168274505649718</v>
      </c>
      <c r="AT164" s="4" cm="1">
        <f t="array" ref="AT164">_xlfn.XLOOKUP(1,('2013 E Maize Soil VWC'!$C$2:$C$4000=$AA164)*('2013 E Maize Soil VWC'!$E$2:$E$4000=$AB164)*('2013 E Maize Soil VWC'!$F$2:$F$4000=AT$5),'2013 E Maize Soil VWC'!$G$2:$G$4000)</f>
        <v>0.29084154096045195</v>
      </c>
      <c r="AU164" s="4" cm="1">
        <f t="array" ref="AU164">_xlfn.XLOOKUP(1,('2013 E Maize Soil VWC'!$C$2:$C$4000=$AA164)*('2013 E Maize Soil VWC'!$E$2:$E$4000=$AB164)*('2013 E Maize Soil VWC'!$F$2:$F$4000=AU$5),'2013 E Maize Soil VWC'!$G$2:$G$4000)</f>
        <v>0.30055975988700567</v>
      </c>
      <c r="AV164" s="4" cm="1">
        <f t="array" ref="AV164">_xlfn.XLOOKUP(1,('2013 E Maize Soil VWC'!$C$2:$C$4000=$AA164)*('2013 E Maize Soil VWC'!$E$2:$E$4000=$AB164)*('2013 E Maize Soil VWC'!$F$2:$F$4000=AV$5),'2013 E Maize Soil VWC'!$G$2:$G$4000)</f>
        <v>0.3122814978813559</v>
      </c>
    </row>
    <row r="165" spans="25:64" x14ac:dyDescent="0.25">
      <c r="AA165" s="15">
        <f t="shared" si="25"/>
        <v>41527</v>
      </c>
      <c r="AB165" s="4">
        <f t="shared" si="26"/>
        <v>70</v>
      </c>
      <c r="AC165" s="4" cm="1">
        <f t="array" ref="AC165">_xlfn.XLOOKUP(1,('2013 E Maize Soil VWC'!$C$2:$C$4000=$AA165)*('2013 E Maize Soil VWC'!$E$2:$E$4000=$AB165)*('2013 E Maize Soil VWC'!$F$2:$F$4000=AC$5),'2013 E Maize Soil VWC'!$G$2:$G$4000)</f>
        <v>0.28872287711864408</v>
      </c>
      <c r="AD165" s="4" cm="1">
        <f t="array" ref="AD165">_xlfn.XLOOKUP(1,('2013 E Maize Soil VWC'!$C$2:$C$4000=$AA165)*('2013 E Maize Soil VWC'!$E$2:$E$4000=$AB165)*('2013 E Maize Soil VWC'!$F$2:$F$4000=AD$5),'2013 E Maize Soil VWC'!$G$2:$G$4000)</f>
        <v>0.27591877824858757</v>
      </c>
      <c r="AE165" s="4" cm="1">
        <f t="array" ref="AE165">_xlfn.XLOOKUP(1,('2013 E Maize Soil VWC'!$C$2:$C$4000=$AA165)*('2013 E Maize Soil VWC'!$E$2:$E$4000=$AB165)*('2013 E Maize Soil VWC'!$F$2:$F$4000=AE$5),'2013 E Maize Soil VWC'!$G$2:$G$4000)</f>
        <v>0.27552728601694915</v>
      </c>
      <c r="AF165" s="4" cm="1">
        <f t="array" ref="AF165">_xlfn.XLOOKUP(1,('2013 E Maize Soil VWC'!$C$2:$C$4000=$AA165)*('2013 E Maize Soil VWC'!$E$2:$E$4000=$AB165)*('2013 E Maize Soil VWC'!$F$2:$F$4000=AF$5),'2013 E Maize Soil VWC'!$G$2:$G$4000)</f>
        <v>0.26405886652542371</v>
      </c>
      <c r="AG165" s="4" cm="1">
        <f t="array" ref="AG165">_xlfn.XLOOKUP(1,('2013 E Maize Soil VWC'!$C$2:$C$4000=$AA165)*('2013 E Maize Soil VWC'!$E$2:$E$4000=$AB165)*('2013 E Maize Soil VWC'!$F$2:$F$4000=AG$5),'2013 E Maize Soil VWC'!$G$2:$G$4000)</f>
        <v>0.28384073870056492</v>
      </c>
      <c r="AH165" s="4" cm="1">
        <f t="array" ref="AH165">_xlfn.XLOOKUP(1,('2013 E Maize Soil VWC'!$C$2:$C$4000=$AA165)*('2013 E Maize Soil VWC'!$E$2:$E$4000=$AB165)*('2013 E Maize Soil VWC'!$F$2:$F$4000=AH$5),'2013 E Maize Soil VWC'!$G$2:$G$4000)</f>
        <v>0.28545276553672316</v>
      </c>
      <c r="AI165" s="4" cm="1">
        <f t="array" ref="AI165">_xlfn.XLOOKUP(1,('2013 E Maize Soil VWC'!$C$2:$C$4000=$AA165)*('2013 E Maize Soil VWC'!$E$2:$E$4000=$AB165)*('2013 E Maize Soil VWC'!$F$2:$F$4000=AI$5),'2013 E Maize Soil VWC'!$G$2:$G$4000)</f>
        <v>0.27748474717514121</v>
      </c>
      <c r="AJ165" s="4" cm="1">
        <f t="array" ref="AJ165">_xlfn.XLOOKUP(1,('2013 E Maize Soil VWC'!$C$2:$C$4000=$AA165)*('2013 E Maize Soil VWC'!$E$2:$E$4000=$AB165)*('2013 E Maize Soil VWC'!$F$2:$F$4000=AJ$5),'2013 E Maize Soil VWC'!$G$2:$G$4000)</f>
        <v>0.27430675141242938</v>
      </c>
      <c r="AK165" s="4" cm="1">
        <f t="array" ref="AK165">_xlfn.XLOOKUP(1,('2013 E Maize Soil VWC'!$C$2:$C$4000=$AA165)*('2013 E Maize Soil VWC'!$E$2:$E$4000=$AB165)*('2013 E Maize Soil VWC'!$F$2:$F$4000=AK$5),'2013 E Maize Soil VWC'!$G$2:$G$4000)</f>
        <v>0.26532545903954802</v>
      </c>
      <c r="AL165" s="4" cm="1">
        <f t="array" ref="AL165">_xlfn.XLOOKUP(1,('2013 E Maize Soil VWC'!$C$2:$C$4000=$AA165)*('2013 E Maize Soil VWC'!$E$2:$E$4000=$AB165)*('2013 E Maize Soil VWC'!$F$2:$F$4000=AL$5),'2013 E Maize Soil VWC'!$G$2:$G$4000)</f>
        <v>0.28998946963276834</v>
      </c>
      <c r="AM165" s="4" cm="1">
        <f t="array" ref="AM165">_xlfn.XLOOKUP(1,('2013 E Maize Soil VWC'!$C$2:$C$4000=$AA165)*('2013 E Maize Soil VWC'!$E$2:$E$4000=$AB165)*('2013 E Maize Soil VWC'!$F$2:$F$4000=AM$5),'2013 E Maize Soil VWC'!$G$2:$G$4000)</f>
        <v>0.2897361511299435</v>
      </c>
      <c r="AN165" s="4" cm="1">
        <f t="array" ref="AN165">_xlfn.XLOOKUP(1,('2013 E Maize Soil VWC'!$C$2:$C$4000=$AA165)*('2013 E Maize Soil VWC'!$E$2:$E$4000=$AB165)*('2013 E Maize Soil VWC'!$F$2:$F$4000=AN$5),'2013 E Maize Soil VWC'!$G$2:$G$4000)</f>
        <v>0.28536064971751407</v>
      </c>
      <c r="AO165" s="4" cm="1">
        <f t="array" ref="AO165">_xlfn.XLOOKUP(1,('2013 E Maize Soil VWC'!$C$2:$C$4000=$AA165)*('2013 E Maize Soil VWC'!$E$2:$E$4000=$AB165)*('2013 E Maize Soil VWC'!$F$2:$F$4000=AO$5),'2013 E Maize Soil VWC'!$G$2:$G$4000)</f>
        <v>0.270553031779661</v>
      </c>
      <c r="AP165" s="4" cm="1">
        <f t="array" ref="AP165">_xlfn.XLOOKUP(1,('2013 E Maize Soil VWC'!$C$2:$C$4000=$AA165)*('2013 E Maize Soil VWC'!$E$2:$E$4000=$AB165)*('2013 E Maize Soil VWC'!$F$2:$F$4000=AP$5),'2013 E Maize Soil VWC'!$G$2:$G$4000)</f>
        <v>0.27292501412429376</v>
      </c>
      <c r="AQ165" s="4" cm="1">
        <f t="array" ref="AQ165">_xlfn.XLOOKUP(1,('2013 E Maize Soil VWC'!$C$2:$C$4000=$AA165)*('2013 E Maize Soil VWC'!$E$2:$E$4000=$AB165)*('2013 E Maize Soil VWC'!$F$2:$F$4000=AQ$5),'2013 E Maize Soil VWC'!$G$2:$G$4000)</f>
        <v>0.27027668432203389</v>
      </c>
      <c r="AR165" s="4" cm="1">
        <f t="array" ref="AR165">_xlfn.XLOOKUP(1,('2013 E Maize Soil VWC'!$C$2:$C$4000=$AA165)*('2013 E Maize Soil VWC'!$E$2:$E$4000=$AB165)*('2013 E Maize Soil VWC'!$F$2:$F$4000=AR$5),'2013 E Maize Soil VWC'!$G$2:$G$4000)</f>
        <v>0.26175597104519771</v>
      </c>
      <c r="AS165" s="4" cm="1">
        <f t="array" ref="AS165">_xlfn.XLOOKUP(1,('2013 E Maize Soil VWC'!$C$2:$C$4000=$AA165)*('2013 E Maize Soil VWC'!$E$2:$E$4000=$AB165)*('2013 E Maize Soil VWC'!$F$2:$F$4000=AS$5),'2013 E Maize Soil VWC'!$G$2:$G$4000)</f>
        <v>0.27741566031073445</v>
      </c>
      <c r="AT165" s="4" cm="1">
        <f t="array" ref="AT165">_xlfn.XLOOKUP(1,('2013 E Maize Soil VWC'!$C$2:$C$4000=$AA165)*('2013 E Maize Soil VWC'!$E$2:$E$4000=$AB165)*('2013 E Maize Soil VWC'!$F$2:$F$4000=AT$5),'2013 E Maize Soil VWC'!$G$2:$G$4000)</f>
        <v>0.27135904519774007</v>
      </c>
      <c r="AU165" s="4" cm="1">
        <f t="array" ref="AU165">_xlfn.XLOOKUP(1,('2013 E Maize Soil VWC'!$C$2:$C$4000=$AA165)*('2013 E Maize Soil VWC'!$E$2:$E$4000=$AB165)*('2013 E Maize Soil VWC'!$F$2:$F$4000=AU$5),'2013 E Maize Soil VWC'!$G$2:$G$4000)</f>
        <v>0.268250136299435</v>
      </c>
      <c r="AV165" s="4" cm="1">
        <f t="array" ref="AV165">_xlfn.XLOOKUP(1,('2013 E Maize Soil VWC'!$C$2:$C$4000=$AA165)*('2013 E Maize Soil VWC'!$E$2:$E$4000=$AB165)*('2013 E Maize Soil VWC'!$F$2:$F$4000=AV$5),'2013 E Maize Soil VWC'!$G$2:$G$4000)</f>
        <v>0.27921191878531071</v>
      </c>
    </row>
    <row r="166" spans="25:64" x14ac:dyDescent="0.25">
      <c r="AA166" s="15">
        <f t="shared" si="25"/>
        <v>41527</v>
      </c>
      <c r="AB166" s="4">
        <f t="shared" si="26"/>
        <v>90</v>
      </c>
      <c r="AC166" s="4" cm="1">
        <f t="array" ref="AC166">_xlfn.XLOOKUP(1,('2013 E Maize Soil VWC'!$C$2:$C$4000=$AA166)*('2013 E Maize Soil VWC'!$E$2:$E$4000=$AB166)*('2013 E Maize Soil VWC'!$F$2:$F$4000=AC$5),'2013 E Maize Soil VWC'!$G$2:$G$4000)</f>
        <v>0.30212572881355931</v>
      </c>
      <c r="AD166" s="4" cm="1">
        <f t="array" ref="AD166">_xlfn.XLOOKUP(1,('2013 E Maize Soil VWC'!$C$2:$C$4000=$AA166)*('2013 E Maize Soil VWC'!$E$2:$E$4000=$AB166)*('2013 E Maize Soil VWC'!$F$2:$F$4000=AD$5),'2013 E Maize Soil VWC'!$G$2:$G$4000)</f>
        <v>0.27018456850282485</v>
      </c>
      <c r="AE166" s="4" cm="1">
        <f t="array" ref="AE166">_xlfn.XLOOKUP(1,('2013 E Maize Soil VWC'!$C$2:$C$4000=$AA166)*('2013 E Maize Soil VWC'!$E$2:$E$4000=$AB166)*('2013 E Maize Soil VWC'!$F$2:$F$4000=AE$5),'2013 E Maize Soil VWC'!$G$2:$G$4000)</f>
        <v>0.25705806426553668</v>
      </c>
      <c r="AF166" s="4" cm="1">
        <f t="array" ref="AF166">_xlfn.XLOOKUP(1,('2013 E Maize Soil VWC'!$C$2:$C$4000=$AA166)*('2013 E Maize Soil VWC'!$E$2:$E$4000=$AB166)*('2013 E Maize Soil VWC'!$F$2:$F$4000=AF$5),'2013 E Maize Soil VWC'!$G$2:$G$4000)</f>
        <v>0.27181962429378531</v>
      </c>
      <c r="AG166" s="4" cm="1">
        <f t="array" ref="AG166">_xlfn.XLOOKUP(1,('2013 E Maize Soil VWC'!$C$2:$C$4000=$AA166)*('2013 E Maize Soil VWC'!$E$2:$E$4000=$AB166)*('2013 E Maize Soil VWC'!$F$2:$F$4000=AG$5),'2013 E Maize Soil VWC'!$G$2:$G$4000)</f>
        <v>0.27679387853107346</v>
      </c>
      <c r="AH166" s="4" cm="1">
        <f t="array" ref="AH166">_xlfn.XLOOKUP(1,('2013 E Maize Soil VWC'!$C$2:$C$4000=$AA166)*('2013 E Maize Soil VWC'!$E$2:$E$4000=$AB166)*('2013 E Maize Soil VWC'!$F$2:$F$4000=AH$5),'2013 E Maize Soil VWC'!$G$2:$G$4000)</f>
        <v>0.26518728531073443</v>
      </c>
      <c r="AI166" s="4" cm="1">
        <f t="array" ref="AI166">_xlfn.XLOOKUP(1,('2013 E Maize Soil VWC'!$C$2:$C$4000=$AA166)*('2013 E Maize Soil VWC'!$E$2:$E$4000=$AB166)*('2013 E Maize Soil VWC'!$F$2:$F$4000=AI$5),'2013 E Maize Soil VWC'!$G$2:$G$4000)</f>
        <v>0.2675132097457627</v>
      </c>
      <c r="AJ166" s="4" cm="1">
        <f t="array" ref="AJ166">_xlfn.XLOOKUP(1,('2013 E Maize Soil VWC'!$C$2:$C$4000=$AA166)*('2013 E Maize Soil VWC'!$E$2:$E$4000=$AB166)*('2013 E Maize Soil VWC'!$F$2:$F$4000=AJ$5),'2013 E Maize Soil VWC'!$G$2:$G$4000)</f>
        <v>0.27564243079096046</v>
      </c>
      <c r="AK166" s="4" cm="1">
        <f t="array" ref="AK166">_xlfn.XLOOKUP(1,('2013 E Maize Soil VWC'!$C$2:$C$4000=$AA166)*('2013 E Maize Soil VWC'!$E$2:$E$4000=$AB166)*('2013 E Maize Soil VWC'!$F$2:$F$4000=AK$5),'2013 E Maize Soil VWC'!$G$2:$G$4000)</f>
        <v>0.26728292019774008</v>
      </c>
      <c r="AL166" s="4" cm="1">
        <f t="array" ref="AL166">_xlfn.XLOOKUP(1,('2013 E Maize Soil VWC'!$C$2:$C$4000=$AA166)*('2013 E Maize Soil VWC'!$E$2:$E$4000=$AB166)*('2013 E Maize Soil VWC'!$F$2:$F$4000=AL$5),'2013 E Maize Soil VWC'!$G$2:$G$4000)</f>
        <v>0.27670176271186436</v>
      </c>
      <c r="AM166" s="4" cm="1">
        <f t="array" ref="AM166">_xlfn.XLOOKUP(1,('2013 E Maize Soil VWC'!$C$2:$C$4000=$AA166)*('2013 E Maize Soil VWC'!$E$2:$E$4000=$AB166)*('2013 E Maize Soil VWC'!$F$2:$F$4000=AM$5),'2013 E Maize Soil VWC'!$G$2:$G$4000)</f>
        <v>0.27152024788135593</v>
      </c>
      <c r="AN166" s="4" cm="1">
        <f t="array" ref="AN166">_xlfn.XLOOKUP(1,('2013 E Maize Soil VWC'!$C$2:$C$4000=$AA166)*('2013 E Maize Soil VWC'!$E$2:$E$4000=$AB166)*('2013 E Maize Soil VWC'!$F$2:$F$4000=AN$5),'2013 E Maize Soil VWC'!$G$2:$G$4000)</f>
        <v>0.29201601765536722</v>
      </c>
      <c r="AO166" s="4" cm="1">
        <f t="array" ref="AO166">_xlfn.XLOOKUP(1,('2013 E Maize Soil VWC'!$C$2:$C$4000=$AA166)*('2013 E Maize Soil VWC'!$E$2:$E$4000=$AB166)*('2013 E Maize Soil VWC'!$F$2:$F$4000=AO$5),'2013 E Maize Soil VWC'!$G$2:$G$4000)</f>
        <v>0.26613147245762708</v>
      </c>
      <c r="AP166" s="4" cm="1">
        <f t="array" ref="AP166">_xlfn.XLOOKUP(1,('2013 E Maize Soil VWC'!$C$2:$C$4000=$AA166)*('2013 E Maize Soil VWC'!$E$2:$E$4000=$AB166)*('2013 E Maize Soil VWC'!$F$2:$F$4000=AP$5),'2013 E Maize Soil VWC'!$G$2:$G$4000)</f>
        <v>0.25611387711864408</v>
      </c>
      <c r="AQ166" s="4" cm="1">
        <f t="array" ref="AQ166">_xlfn.XLOOKUP(1,('2013 E Maize Soil VWC'!$C$2:$C$4000=$AA166)*('2013 E Maize Soil VWC'!$E$2:$E$4000=$AB166)*('2013 E Maize Soil VWC'!$F$2:$F$4000=AQ$5),'2013 E Maize Soil VWC'!$G$2:$G$4000)</f>
        <v>0.25155414406779658</v>
      </c>
      <c r="AR166" s="4" cm="1">
        <f t="array" ref="AR166">_xlfn.XLOOKUP(1,('2013 E Maize Soil VWC'!$C$2:$C$4000=$AA166)*('2013 E Maize Soil VWC'!$E$2:$E$4000=$AB166)*('2013 E Maize Soil VWC'!$F$2:$F$4000=AR$5),'2013 E Maize Soil VWC'!$G$2:$G$4000)</f>
        <v>0.2447606024011299</v>
      </c>
      <c r="AS166" s="4" cm="1">
        <f t="array" ref="AS166">_xlfn.XLOOKUP(1,('2013 E Maize Soil VWC'!$C$2:$C$4000=$AA166)*('2013 E Maize Soil VWC'!$E$2:$E$4000=$AB166)*('2013 E Maize Soil VWC'!$F$2:$F$4000=AS$5),'2013 E Maize Soil VWC'!$G$2:$G$4000)</f>
        <v>0.26484185098870056</v>
      </c>
      <c r="AT166" s="4" cm="1">
        <f t="array" ref="AT166">_xlfn.XLOOKUP(1,('2013 E Maize Soil VWC'!$C$2:$C$4000=$AA166)*('2013 E Maize Soil VWC'!$E$2:$E$4000=$AB166)*('2013 E Maize Soil VWC'!$F$2:$F$4000=AT$5),'2013 E Maize Soil VWC'!$G$2:$G$4000)</f>
        <v>0.28245900141242936</v>
      </c>
      <c r="AU166" s="4" cm="1">
        <f t="array" ref="AU166">_xlfn.XLOOKUP(1,('2013 E Maize Soil VWC'!$C$2:$C$4000=$AA166)*('2013 E Maize Soil VWC'!$E$2:$E$4000=$AB166)*('2013 E Maize Soil VWC'!$F$2:$F$4000=AU$5),'2013 E Maize Soil VWC'!$G$2:$G$4000)</f>
        <v>0.26576300918079093</v>
      </c>
      <c r="AV166" s="4" cm="1">
        <f t="array" ref="AV166">_xlfn.XLOOKUP(1,('2013 E Maize Soil VWC'!$C$2:$C$4000=$AA166)*('2013 E Maize Soil VWC'!$E$2:$E$4000=$AB166)*('2013 E Maize Soil VWC'!$F$2:$F$4000=AV$5),'2013 E Maize Soil VWC'!$G$2:$G$4000)</f>
        <v>0.27743868926553672</v>
      </c>
    </row>
    <row r="167" spans="25:64" x14ac:dyDescent="0.25">
      <c r="AA167" s="15">
        <f t="shared" si="25"/>
        <v>41527</v>
      </c>
      <c r="AB167" s="4">
        <f t="shared" si="26"/>
        <v>110</v>
      </c>
      <c r="AC167" s="4" cm="1">
        <f t="array" ref="AC167">_xlfn.XLOOKUP(1,('2013 E Maize Soil VWC'!$C$2:$C$4000=$AA167)*('2013 E Maize Soil VWC'!$E$2:$E$4000=$AB167)*('2013 E Maize Soil VWC'!$F$2:$F$4000=AC$5),'2013 E Maize Soil VWC'!$G$2:$G$4000)</f>
        <v>0.32298996186440676</v>
      </c>
      <c r="AD167" s="4" cm="1">
        <f t="array" ref="AD167">_xlfn.XLOOKUP(1,('2013 E Maize Soil VWC'!$C$2:$C$4000=$AA167)*('2013 E Maize Soil VWC'!$E$2:$E$4000=$AB167)*('2013 E Maize Soil VWC'!$F$2:$F$4000=AD$5),'2013 E Maize Soil VWC'!$G$2:$G$4000)</f>
        <v>0.3050504060734463</v>
      </c>
      <c r="AE167" s="4" cm="1">
        <f t="array" ref="AE167">_xlfn.XLOOKUP(1,('2013 E Maize Soil VWC'!$C$2:$C$4000=$AA167)*('2013 E Maize Soil VWC'!$E$2:$E$4000=$AB167)*('2013 E Maize Soil VWC'!$F$2:$F$4000=AE$5),'2013 E Maize Soil VWC'!$G$2:$G$4000)</f>
        <v>0.30189543926553675</v>
      </c>
      <c r="AF167" s="4" cm="1">
        <f t="array" ref="AF167">_xlfn.XLOOKUP(1,('2013 E Maize Soil VWC'!$C$2:$C$4000=$AA167)*('2013 E Maize Soil VWC'!$E$2:$E$4000=$AB167)*('2013 E Maize Soil VWC'!$F$2:$F$4000=AF$5),'2013 E Maize Soil VWC'!$G$2:$G$4000)</f>
        <v>0.31714060734463273</v>
      </c>
      <c r="AG167" s="4" cm="1">
        <f t="array" ref="AG167">_xlfn.XLOOKUP(1,('2013 E Maize Soil VWC'!$C$2:$C$4000=$AA167)*('2013 E Maize Soil VWC'!$E$2:$E$4000=$AB167)*('2013 E Maize Soil VWC'!$F$2:$F$4000=AG$5),'2013 E Maize Soil VWC'!$G$2:$G$4000)</f>
        <v>0.29337472598870057</v>
      </c>
      <c r="AH167" s="4" cm="1">
        <f t="array" ref="AH167">_xlfn.XLOOKUP(1,('2013 E Maize Soil VWC'!$C$2:$C$4000=$AA167)*('2013 E Maize Soil VWC'!$E$2:$E$4000=$AB167)*('2013 E Maize Soil VWC'!$F$2:$F$4000=AH$5),'2013 E Maize Soil VWC'!$G$2:$G$4000)</f>
        <v>0.29682906920903951</v>
      </c>
      <c r="AI167" s="4" cm="1">
        <f t="array" ref="AI167">_xlfn.XLOOKUP(1,('2013 E Maize Soil VWC'!$C$2:$C$4000=$AA167)*('2013 E Maize Soil VWC'!$E$2:$E$4000=$AB167)*('2013 E Maize Soil VWC'!$F$2:$F$4000=AI$5),'2013 E Maize Soil VWC'!$G$2:$G$4000)</f>
        <v>0.31948956073446327</v>
      </c>
      <c r="AJ167" s="4" cm="1">
        <f t="array" ref="AJ167">_xlfn.XLOOKUP(1,('2013 E Maize Soil VWC'!$C$2:$C$4000=$AA167)*('2013 E Maize Soil VWC'!$E$2:$E$4000=$AB167)*('2013 E Maize Soil VWC'!$F$2:$F$4000=AJ$5),'2013 E Maize Soil VWC'!$G$2:$G$4000)</f>
        <v>0.32467107556497177</v>
      </c>
      <c r="AK167" s="4" cm="1">
        <f t="array" ref="AK167">_xlfn.XLOOKUP(1,('2013 E Maize Soil VWC'!$C$2:$C$4000=$AA167)*('2013 E Maize Soil VWC'!$E$2:$E$4000=$AB167)*('2013 E Maize Soil VWC'!$F$2:$F$4000=AK$5),'2013 E Maize Soil VWC'!$G$2:$G$4000)</f>
        <v>0.3151140593220339</v>
      </c>
      <c r="AL167" s="4" cm="1">
        <f t="array" ref="AL167">_xlfn.XLOOKUP(1,('2013 E Maize Soil VWC'!$C$2:$C$4000=$AA167)*('2013 E Maize Soil VWC'!$E$2:$E$4000=$AB167)*('2013 E Maize Soil VWC'!$F$2:$F$4000=AL$5),'2013 E Maize Soil VWC'!$G$2:$G$4000)</f>
        <v>0.29383530508474576</v>
      </c>
      <c r="AM167" s="4" cm="1">
        <f t="array" ref="AM167">_xlfn.XLOOKUP(1,('2013 E Maize Soil VWC'!$C$2:$C$4000=$AA167)*('2013 E Maize Soil VWC'!$E$2:$E$4000=$AB167)*('2013 E Maize Soil VWC'!$F$2:$F$4000=AM$5),'2013 E Maize Soil VWC'!$G$2:$G$4000)</f>
        <v>0.29243053884180786</v>
      </c>
      <c r="AN167" s="4" cm="1">
        <f t="array" ref="AN167">_xlfn.XLOOKUP(1,('2013 E Maize Soil VWC'!$C$2:$C$4000=$AA167)*('2013 E Maize Soil VWC'!$E$2:$E$4000=$AB167)*('2013 E Maize Soil VWC'!$F$2:$F$4000=AN$5),'2013 E Maize Soil VWC'!$G$2:$G$4000)</f>
        <v>0.31681820197740113</v>
      </c>
      <c r="AO167" s="4" cm="1">
        <f t="array" ref="AO167">_xlfn.XLOOKUP(1,('2013 E Maize Soil VWC'!$C$2:$C$4000=$AA167)*('2013 E Maize Soil VWC'!$E$2:$E$4000=$AB167)*('2013 E Maize Soil VWC'!$F$2:$F$4000=AO$5),'2013 E Maize Soil VWC'!$G$2:$G$4000)</f>
        <v>0.30408318997175138</v>
      </c>
      <c r="AP167" s="4" cm="1">
        <f t="array" ref="AP167">_xlfn.XLOOKUP(1,('2013 E Maize Soil VWC'!$C$2:$C$4000=$AA167)*('2013 E Maize Soil VWC'!$E$2:$E$4000=$AB167)*('2013 E Maize Soil VWC'!$F$2:$F$4000=AP$5),'2013 E Maize Soil VWC'!$G$2:$G$4000)</f>
        <v>0.28637392372881354</v>
      </c>
      <c r="AQ167" s="4" cm="1">
        <f t="array" ref="AQ167">_xlfn.XLOOKUP(1,('2013 E Maize Soil VWC'!$C$2:$C$4000=$AA167)*('2013 E Maize Soil VWC'!$E$2:$E$4000=$AB167)*('2013 E Maize Soil VWC'!$F$2:$F$4000=AQ$5),'2013 E Maize Soil VWC'!$G$2:$G$4000)</f>
        <v>0.27313227471751411</v>
      </c>
      <c r="AR167" s="4" cm="1">
        <f t="array" ref="AR167">_xlfn.XLOOKUP(1,('2013 E Maize Soil VWC'!$C$2:$C$4000=$AA167)*('2013 E Maize Soil VWC'!$E$2:$E$4000=$AB167)*('2013 E Maize Soil VWC'!$F$2:$F$4000=AR$5),'2013 E Maize Soil VWC'!$G$2:$G$4000)</f>
        <v>0.26744412288135594</v>
      </c>
      <c r="AS167" s="4" cm="1">
        <f t="array" ref="AS167">_xlfn.XLOOKUP(1,('2013 E Maize Soil VWC'!$C$2:$C$4000=$AA167)*('2013 E Maize Soil VWC'!$E$2:$E$4000=$AB167)*('2013 E Maize Soil VWC'!$F$2:$F$4000=AS$5),'2013 E Maize Soil VWC'!$G$2:$G$4000)</f>
        <v>0.30138880225988701</v>
      </c>
      <c r="AT167" s="4" cm="1">
        <f t="array" ref="AT167">_xlfn.XLOOKUP(1,('2013 E Maize Soil VWC'!$C$2:$C$4000=$AA167)*('2013 E Maize Soil VWC'!$E$2:$E$4000=$AB167)*('2013 E Maize Soil VWC'!$F$2:$F$4000=AT$5),'2013 E Maize Soil VWC'!$G$2:$G$4000)</f>
        <v>0.32282875918079096</v>
      </c>
      <c r="AU167" s="4" cm="1">
        <f t="array" ref="AU167">_xlfn.XLOOKUP(1,('2013 E Maize Soil VWC'!$C$2:$C$4000=$AA167)*('2013 E Maize Soil VWC'!$E$2:$E$4000=$AB167)*('2013 E Maize Soil VWC'!$F$2:$F$4000=AU$5),'2013 E Maize Soil VWC'!$G$2:$G$4000)</f>
        <v>0.31509103036723163</v>
      </c>
      <c r="AV167" s="4" cm="1">
        <f t="array" ref="AV167">_xlfn.XLOOKUP(1,('2013 E Maize Soil VWC'!$C$2:$C$4000=$AA167)*('2013 E Maize Soil VWC'!$E$2:$E$4000=$AB167)*('2013 E Maize Soil VWC'!$F$2:$F$4000=AV$5),'2013 E Maize Soil VWC'!$G$2:$G$4000)</f>
        <v>0.28658118432203389</v>
      </c>
    </row>
    <row r="168" spans="25:64" x14ac:dyDescent="0.25">
      <c r="AA168" s="15">
        <f t="shared" si="25"/>
        <v>41527</v>
      </c>
      <c r="AB168" s="4">
        <f t="shared" si="26"/>
        <v>130</v>
      </c>
      <c r="AC168" s="4" cm="1">
        <f t="array" ref="AC168">_xlfn.XLOOKUP(1,('2013 E Maize Soil VWC'!$C$2:$C$4000=$AA168)*('2013 E Maize Soil VWC'!$E$2:$E$4000=$AB168)*('2013 E Maize Soil VWC'!$F$2:$F$4000=AC$5),'2013 E Maize Soil VWC'!$G$2:$G$4000)</f>
        <v>0.3045299830508475</v>
      </c>
      <c r="AD168" s="4" cm="1">
        <f t="array" ref="AD168">_xlfn.XLOOKUP(1,('2013 E Maize Soil VWC'!$C$2:$C$4000=$AA168)*('2013 E Maize Soil VWC'!$E$2:$E$4000=$AB168)*('2013 E Maize Soil VWC'!$F$2:$F$4000=AD$5),'2013 E Maize Soil VWC'!$G$2:$G$4000)</f>
        <v>0.29006364053672318</v>
      </c>
      <c r="AE168" s="4" cm="1">
        <f t="array" ref="AE168">_xlfn.XLOOKUP(1,('2013 E Maize Soil VWC'!$C$2:$C$4000=$AA168)*('2013 E Maize Soil VWC'!$E$2:$E$4000=$AB168)*('2013 E Maize Soil VWC'!$F$2:$F$4000=AE$5),'2013 E Maize Soil VWC'!$G$2:$G$4000)</f>
        <v>0.29313700423728817</v>
      </c>
      <c r="AF168" s="4" cm="1">
        <f t="array" ref="AF168">_xlfn.XLOOKUP(1,('2013 E Maize Soil VWC'!$C$2:$C$4000=$AA168)*('2013 E Maize Soil VWC'!$E$2:$E$4000=$AB168)*('2013 E Maize Soil VWC'!$F$2:$F$4000=AF$5),'2013 E Maize Soil VWC'!$G$2:$G$4000)</f>
        <v>0.29940118502824858</v>
      </c>
      <c r="AG168" s="4" cm="1">
        <f t="array" ref="AG168">_xlfn.XLOOKUP(1,('2013 E Maize Soil VWC'!$C$2:$C$4000=$AA168)*('2013 E Maize Soil VWC'!$E$2:$E$4000=$AB168)*('2013 E Maize Soil VWC'!$F$2:$F$4000=AG$5),'2013 E Maize Soil VWC'!$G$2:$G$4000)</f>
        <v>0.31555102612994351</v>
      </c>
      <c r="AH168" s="4" cm="1">
        <f t="array" ref="AH168">_xlfn.XLOOKUP(1,('2013 E Maize Soil VWC'!$C$2:$C$4000=$AA168)*('2013 E Maize Soil VWC'!$E$2:$E$4000=$AB168)*('2013 E Maize Soil VWC'!$F$2:$F$4000=AH$5),'2013 E Maize Soil VWC'!$G$2:$G$4000)</f>
        <v>0.30188728177966101</v>
      </c>
      <c r="AI168" s="4" cm="1">
        <f t="array" ref="AI168">_xlfn.XLOOKUP(1,('2013 E Maize Soil VWC'!$C$2:$C$4000=$AA168)*('2013 E Maize Soil VWC'!$E$2:$E$4000=$AB168)*('2013 E Maize Soil VWC'!$F$2:$F$4000=AI$5),'2013 E Maize Soil VWC'!$G$2:$G$4000)</f>
        <v>0.30196558403954804</v>
      </c>
      <c r="AJ168" s="4" cm="1">
        <f t="array" ref="AJ168">_xlfn.XLOOKUP(1,('2013 E Maize Soil VWC'!$C$2:$C$4000=$AA168)*('2013 E Maize Soil VWC'!$E$2:$E$4000=$AB168)*('2013 E Maize Soil VWC'!$F$2:$F$4000=AJ$5),'2013 E Maize Soil VWC'!$G$2:$G$4000)</f>
        <v>0.33187704731638423</v>
      </c>
      <c r="AK168" s="4" cm="1">
        <f t="array" ref="AK168">_xlfn.XLOOKUP(1,('2013 E Maize Soil VWC'!$C$2:$C$4000=$AA168)*('2013 E Maize Soil VWC'!$E$2:$E$4000=$AB168)*('2013 E Maize Soil VWC'!$F$2:$F$4000=AK$5),'2013 E Maize Soil VWC'!$G$2:$G$4000)</f>
        <v>0.29211907485875704</v>
      </c>
      <c r="AL168" s="4" cm="1">
        <f t="array" ref="AL168">_xlfn.XLOOKUP(1,('2013 E Maize Soil VWC'!$C$2:$C$4000=$AA168)*('2013 E Maize Soil VWC'!$E$2:$E$4000=$AB168)*('2013 E Maize Soil VWC'!$F$2:$F$4000=AL$5),'2013 E Maize Soil VWC'!$G$2:$G$4000)</f>
        <v>0.29466389830508477</v>
      </c>
      <c r="AM168" s="4" cm="1">
        <f t="array" ref="AM168">_xlfn.XLOOKUP(1,('2013 E Maize Soil VWC'!$C$2:$C$4000=$AA168)*('2013 E Maize Soil VWC'!$E$2:$E$4000=$AB168)*('2013 E Maize Soil VWC'!$F$2:$F$4000=AM$5),'2013 E Maize Soil VWC'!$G$2:$G$4000)</f>
        <v>0.29370469562146895</v>
      </c>
      <c r="AN168" s="4" cm="1">
        <f t="array" ref="AN168">_xlfn.XLOOKUP(1,('2013 E Maize Soil VWC'!$C$2:$C$4000=$AA168)*('2013 E Maize Soil VWC'!$E$2:$E$4000=$AB168)*('2013 E Maize Soil VWC'!$F$2:$F$4000=AN$5),'2013 E Maize Soil VWC'!$G$2:$G$4000)</f>
        <v>0.28092185169491529</v>
      </c>
      <c r="AO168" s="4" cm="1">
        <f t="array" ref="AO168">_xlfn.XLOOKUP(1,('2013 E Maize Soil VWC'!$C$2:$C$4000=$AA168)*('2013 E Maize Soil VWC'!$E$2:$E$4000=$AB168)*('2013 E Maize Soil VWC'!$F$2:$F$4000=AO$5),'2013 E Maize Soil VWC'!$G$2:$G$4000)</f>
        <v>0.31580550847457628</v>
      </c>
      <c r="AP168" s="4" cm="1">
        <f t="array" ref="AP168">_xlfn.XLOOKUP(1,('2013 E Maize Soil VWC'!$C$2:$C$4000=$AA168)*('2013 E Maize Soil VWC'!$E$2:$E$4000=$AB168)*('2013 E Maize Soil VWC'!$F$2:$F$4000=AP$5),'2013 E Maize Soil VWC'!$G$2:$G$4000)</f>
        <v>0.31003071680790961</v>
      </c>
      <c r="AQ168" s="4" cm="1">
        <f t="array" ref="AQ168">_xlfn.XLOOKUP(1,('2013 E Maize Soil VWC'!$C$2:$C$4000=$AA168)*('2013 E Maize Soil VWC'!$E$2:$E$4000=$AB168)*('2013 E Maize Soil VWC'!$F$2:$F$4000=AQ$5),'2013 E Maize Soil VWC'!$G$2:$G$4000)</f>
        <v>0.28877165324858761</v>
      </c>
      <c r="AR168" s="4" cm="1">
        <f t="array" ref="AR168">_xlfn.XLOOKUP(1,('2013 E Maize Soil VWC'!$C$2:$C$4000=$AA168)*('2013 E Maize Soil VWC'!$E$2:$E$4000=$AB168)*('2013 E Maize Soil VWC'!$F$2:$F$4000=AR$5),'2013 E Maize Soil VWC'!$G$2:$G$4000)</f>
        <v>0.27763315677966099</v>
      </c>
      <c r="AS168" s="4" cm="1">
        <f t="array" ref="AS168">_xlfn.XLOOKUP(1,('2013 E Maize Soil VWC'!$C$2:$C$4000=$AA168)*('2013 E Maize Soil VWC'!$E$2:$E$4000=$AB168)*('2013 E Maize Soil VWC'!$F$2:$F$4000=AS$5),'2013 E Maize Soil VWC'!$G$2:$G$4000)</f>
        <v>0.29942076059322037</v>
      </c>
      <c r="AT168" s="4" cm="1">
        <f t="array" ref="AT168">_xlfn.XLOOKUP(1,('2013 E Maize Soil VWC'!$C$2:$C$4000=$AA168)*('2013 E Maize Soil VWC'!$E$2:$E$4000=$AB168)*('2013 E Maize Soil VWC'!$F$2:$F$4000=AT$5),'2013 E Maize Soil VWC'!$G$2:$G$4000)</f>
        <v>0.29979269632768363</v>
      </c>
      <c r="AU168" s="4" cm="1">
        <f t="array" ref="AU168">_xlfn.XLOOKUP(1,('2013 E Maize Soil VWC'!$C$2:$C$4000=$AA168)*('2013 E Maize Soil VWC'!$E$2:$E$4000=$AB168)*('2013 E Maize Soil VWC'!$F$2:$F$4000=AU$5),'2013 E Maize Soil VWC'!$G$2:$G$4000)</f>
        <v>0.29769811087570625</v>
      </c>
      <c r="AV168" s="4" cm="1">
        <f t="array" ref="AV168">_xlfn.XLOOKUP(1,('2013 E Maize Soil VWC'!$C$2:$C$4000=$AA168)*('2013 E Maize Soil VWC'!$E$2:$E$4000=$AB168)*('2013 E Maize Soil VWC'!$F$2:$F$4000=AV$5),'2013 E Maize Soil VWC'!$G$2:$G$4000)</f>
        <v>0.26026963064971753</v>
      </c>
    </row>
    <row r="169" spans="25:64" x14ac:dyDescent="0.25">
      <c r="AA169" s="15">
        <f t="shared" si="25"/>
        <v>41527</v>
      </c>
      <c r="AB169" s="4">
        <f t="shared" si="26"/>
        <v>150</v>
      </c>
      <c r="AC169" s="4" cm="1">
        <f t="array" ref="AC169">_xlfn.XLOOKUP(1,('2013 E Maize Soil VWC'!$C$2:$C$4000=$AA169)*('2013 E Maize Soil VWC'!$E$2:$E$4000=$AB169)*('2013 E Maize Soil VWC'!$F$2:$F$4000=AC$5),'2013 E Maize Soil VWC'!$G$2:$G$4000)</f>
        <v>0.3236553100282486</v>
      </c>
      <c r="AD169" s="4" cm="1">
        <f t="array" ref="AD169">_xlfn.XLOOKUP(1,('2013 E Maize Soil VWC'!$C$2:$C$4000=$AA169)*('2013 E Maize Soil VWC'!$E$2:$E$4000=$AB169)*('2013 E Maize Soil VWC'!$F$2:$F$4000=AD$5),'2013 E Maize Soil VWC'!$G$2:$G$4000)</f>
        <v>0.31510078813559322</v>
      </c>
      <c r="AE169" s="4" cm="1">
        <f t="array" ref="AE169">_xlfn.XLOOKUP(1,('2013 E Maize Soil VWC'!$C$2:$C$4000=$AA169)*('2013 E Maize Soil VWC'!$E$2:$E$4000=$AB169)*('2013 E Maize Soil VWC'!$F$2:$F$4000=AE$5),'2013 E Maize Soil VWC'!$G$2:$G$4000)</f>
        <v>0.29256931285310733</v>
      </c>
      <c r="AF169" s="4" cm="1">
        <f t="array" ref="AF169">_xlfn.XLOOKUP(1,('2013 E Maize Soil VWC'!$C$2:$C$4000=$AA169)*('2013 E Maize Soil VWC'!$E$2:$E$4000=$AB169)*('2013 E Maize Soil VWC'!$F$2:$F$4000=AF$5),'2013 E Maize Soil VWC'!$G$2:$G$4000)</f>
        <v>0.27972774223163843</v>
      </c>
      <c r="AG169" s="4" cm="1">
        <f t="array" ref="AG169">_xlfn.XLOOKUP(1,('2013 E Maize Soil VWC'!$C$2:$C$4000=$AA169)*('2013 E Maize Soil VWC'!$E$2:$E$4000=$AB169)*('2013 E Maize Soil VWC'!$F$2:$F$4000=AG$5),'2013 E Maize Soil VWC'!$G$2:$G$4000)</f>
        <v>0.34902524223163844</v>
      </c>
      <c r="AH169" s="4" cm="1">
        <f t="array" ref="AH169">_xlfn.XLOOKUP(1,('2013 E Maize Soil VWC'!$C$2:$C$4000=$AA169)*('2013 E Maize Soil VWC'!$E$2:$E$4000=$AB169)*('2013 E Maize Soil VWC'!$F$2:$F$4000=AH$5),'2013 E Maize Soil VWC'!$G$2:$G$4000)</f>
        <v>0.33637942725988701</v>
      </c>
      <c r="AI169" s="4" cm="1">
        <f t="array" ref="AI169">_xlfn.XLOOKUP(1,('2013 E Maize Soil VWC'!$C$2:$C$4000=$AA169)*('2013 E Maize Soil VWC'!$E$2:$E$4000=$AB169)*('2013 E Maize Soil VWC'!$F$2:$F$4000=AI$5),'2013 E Maize Soil VWC'!$G$2:$G$4000)</f>
        <v>0.3158446596045198</v>
      </c>
      <c r="AJ169" s="4" cm="1">
        <f t="array" ref="AJ169">_xlfn.XLOOKUP(1,('2013 E Maize Soil VWC'!$C$2:$C$4000=$AA169)*('2013 E Maize Soil VWC'!$E$2:$E$4000=$AB169)*('2013 E Maize Soil VWC'!$F$2:$F$4000=AJ$5),'2013 E Maize Soil VWC'!$G$2:$G$4000)</f>
        <v>0.32676782485875705</v>
      </c>
      <c r="AK169" s="4" cm="1">
        <f t="array" ref="AK169">_xlfn.XLOOKUP(1,('2013 E Maize Soil VWC'!$C$2:$C$4000=$AA169)*('2013 E Maize Soil VWC'!$E$2:$E$4000=$AB169)*('2013 E Maize Soil VWC'!$F$2:$F$4000=AK$5),'2013 E Maize Soil VWC'!$G$2:$G$4000)</f>
        <v>0.32105175988700568</v>
      </c>
      <c r="AL169" s="4" cm="1">
        <f t="array" ref="AL169">_xlfn.XLOOKUP(1,('2013 E Maize Soil VWC'!$C$2:$C$4000=$AA169)*('2013 E Maize Soil VWC'!$E$2:$E$4000=$AB169)*('2013 E Maize Soil VWC'!$F$2:$F$4000=AL$5),'2013 E Maize Soil VWC'!$G$2:$G$4000)</f>
        <v>0.32933222387005651</v>
      </c>
      <c r="AM169" s="4" cm="1">
        <f t="array" ref="AM169">_xlfn.XLOOKUP(1,('2013 E Maize Soil VWC'!$C$2:$C$4000=$AA169)*('2013 E Maize Soil VWC'!$E$2:$E$4000=$AB169)*('2013 E Maize Soil VWC'!$F$2:$F$4000=AM$5),'2013 E Maize Soil VWC'!$G$2:$G$4000)</f>
        <v>0.32903859039548022</v>
      </c>
      <c r="AN169" s="4" cm="1">
        <f t="array" ref="AN169">_xlfn.XLOOKUP(1,('2013 E Maize Soil VWC'!$C$2:$C$4000=$AA169)*('2013 E Maize Soil VWC'!$E$2:$E$4000=$AB169)*('2013 E Maize Soil VWC'!$F$2:$F$4000=AN$5),'2013 E Maize Soil VWC'!$G$2:$G$4000)</f>
        <v>0.33187704731638423</v>
      </c>
      <c r="AO169" s="4" cm="1">
        <f t="array" ref="AO169">_xlfn.XLOOKUP(1,('2013 E Maize Soil VWC'!$C$2:$C$4000=$AA169)*('2013 E Maize Soil VWC'!$E$2:$E$4000=$AB169)*('2013 E Maize Soil VWC'!$F$2:$F$4000=AO$5),'2013 E Maize Soil VWC'!$G$2:$G$4000)</f>
        <v>0.30813188700564975</v>
      </c>
      <c r="AP169" s="4" cm="1">
        <f t="array" ref="AP169">_xlfn.XLOOKUP(1,('2013 E Maize Soil VWC'!$C$2:$C$4000=$AA169)*('2013 E Maize Soil VWC'!$E$2:$E$4000=$AB169)*('2013 E Maize Soil VWC'!$F$2:$F$4000=AP$5),'2013 E Maize Soil VWC'!$G$2:$G$4000)</f>
        <v>0.29421366031073448</v>
      </c>
      <c r="AQ169" s="4" cm="1">
        <f t="array" ref="AQ169">_xlfn.XLOOKUP(1,('2013 E Maize Soil VWC'!$C$2:$C$4000=$AA169)*('2013 E Maize Soil VWC'!$E$2:$E$4000=$AB169)*('2013 E Maize Soil VWC'!$F$2:$F$4000=AQ$5),'2013 E Maize Soil VWC'!$G$2:$G$4000)</f>
        <v>0.33379545268361582</v>
      </c>
      <c r="AR169" s="4" cm="1">
        <f t="array" ref="AR169">_xlfn.XLOOKUP(1,('2013 E Maize Soil VWC'!$C$2:$C$4000=$AA169)*('2013 E Maize Soil VWC'!$E$2:$E$4000=$AB169)*('2013 E Maize Soil VWC'!$F$2:$F$4000=AR$5),'2013 E Maize Soil VWC'!$G$2:$G$4000)</f>
        <v>0.32226544491525422</v>
      </c>
      <c r="AS169" s="4" cm="1">
        <f t="array" ref="AS169">_xlfn.XLOOKUP(1,('2013 E Maize Soil VWC'!$C$2:$C$4000=$AA169)*('2013 E Maize Soil VWC'!$E$2:$E$4000=$AB169)*('2013 E Maize Soil VWC'!$F$2:$F$4000=AS$5),'2013 E Maize Soil VWC'!$G$2:$G$4000)</f>
        <v>0.3057240925141243</v>
      </c>
      <c r="AT169" s="4" cm="1">
        <f t="array" ref="AT169">_xlfn.XLOOKUP(1,('2013 E Maize Soil VWC'!$C$2:$C$4000=$AA169)*('2013 E Maize Soil VWC'!$E$2:$E$4000=$AB169)*('2013 E Maize Soil VWC'!$F$2:$F$4000=AT$5),'2013 E Maize Soil VWC'!$G$2:$G$4000)</f>
        <v>0.3228918629943503</v>
      </c>
      <c r="AU169" s="4" cm="1">
        <f t="array" ref="AU169">_xlfn.XLOOKUP(1,('2013 E Maize Soil VWC'!$C$2:$C$4000=$AA169)*('2013 E Maize Soil VWC'!$E$2:$E$4000=$AB169)*('2013 E Maize Soil VWC'!$F$2:$F$4000=AU$5),'2013 E Maize Soil VWC'!$G$2:$G$4000)</f>
        <v>0.32477111723163843</v>
      </c>
      <c r="AV169" s="4" cm="1">
        <f t="array" ref="AV169">_xlfn.XLOOKUP(1,('2013 E Maize Soil VWC'!$C$2:$C$4000=$AA169)*('2013 E Maize Soil VWC'!$E$2:$E$4000=$AB169)*('2013 E Maize Soil VWC'!$F$2:$F$4000=AV$5),'2013 E Maize Soil VWC'!$G$2:$G$4000)</f>
        <v>0.3278053298022599</v>
      </c>
    </row>
    <row r="170" spans="25:64" x14ac:dyDescent="0.25">
      <c r="AA170" s="15">
        <f t="shared" si="25"/>
        <v>41527</v>
      </c>
      <c r="AB170" s="4">
        <f t="shared" si="26"/>
        <v>170</v>
      </c>
      <c r="AC170" s="4" cm="1">
        <f t="array" ref="AC170">_xlfn.XLOOKUP(1,('2013 E Maize Soil VWC'!$C$2:$C$4000=$AA170)*('2013 E Maize Soil VWC'!$E$2:$E$4000=$AB170)*('2013 E Maize Soil VWC'!$F$2:$F$4000=AC$5),'2013 E Maize Soil VWC'!$G$2:$G$4000)</f>
        <v>0.26197270480225987</v>
      </c>
      <c r="AD170" s="4" cm="1">
        <f t="array" ref="AD170">_xlfn.XLOOKUP(1,('2013 E Maize Soil VWC'!$C$2:$C$4000=$AA170)*('2013 E Maize Soil VWC'!$E$2:$E$4000=$AB170)*('2013 E Maize Soil VWC'!$F$2:$F$4000=AD$5),'2013 E Maize Soil VWC'!$G$2:$G$4000)</f>
        <v>0.25747032485875704</v>
      </c>
      <c r="AE170" s="4" cm="1">
        <f t="array" ref="AE170">_xlfn.XLOOKUP(1,('2013 E Maize Soil VWC'!$C$2:$C$4000=$AA170)*('2013 E Maize Soil VWC'!$E$2:$E$4000=$AB170)*('2013 E Maize Soil VWC'!$F$2:$F$4000=AE$5),'2013 E Maize Soil VWC'!$G$2:$G$4000)</f>
        <v>0.27516663559322035</v>
      </c>
      <c r="AF170" s="4" cm="1">
        <f t="array" ref="AF170">_xlfn.XLOOKUP(1,('2013 E Maize Soil VWC'!$C$2:$C$4000=$AA170)*('2013 E Maize Soil VWC'!$E$2:$E$4000=$AB170)*('2013 E Maize Soil VWC'!$F$2:$F$4000=AF$5),'2013 E Maize Soil VWC'!$G$2:$G$4000)</f>
        <v>0.28399521539548023</v>
      </c>
      <c r="AG170" s="4" cm="1">
        <f t="array" ref="AG170">_xlfn.XLOOKUP(1,('2013 E Maize Soil VWC'!$C$2:$C$4000=$AA170)*('2013 E Maize Soil VWC'!$E$2:$E$4000=$AB170)*('2013 E Maize Soil VWC'!$F$2:$F$4000=AG$5),'2013 E Maize Soil VWC'!$G$2:$G$4000)</f>
        <v>0.31574678177966103</v>
      </c>
      <c r="AH170" s="4" cm="1">
        <f t="array" ref="AH170">_xlfn.XLOOKUP(1,('2013 E Maize Soil VWC'!$C$2:$C$4000=$AA170)*('2013 E Maize Soil VWC'!$E$2:$E$4000=$AB170)*('2013 E Maize Soil VWC'!$F$2:$F$4000=AH$5),'2013 E Maize Soil VWC'!$G$2:$G$4000)</f>
        <v>0.32122793997175142</v>
      </c>
      <c r="AI170" s="4" cm="1">
        <f t="array" ref="AI170">_xlfn.XLOOKUP(1,('2013 E Maize Soil VWC'!$C$2:$C$4000=$AA170)*('2013 E Maize Soil VWC'!$E$2:$E$4000=$AB170)*('2013 E Maize Soil VWC'!$F$2:$F$4000=AI$5),'2013 E Maize Soil VWC'!$G$2:$G$4000)</f>
        <v>0.29209949929378531</v>
      </c>
      <c r="AJ170" s="4" cm="1">
        <f t="array" ref="AJ170">_xlfn.XLOOKUP(1,('2013 E Maize Soil VWC'!$C$2:$C$4000=$AA170)*('2013 E Maize Soil VWC'!$E$2:$E$4000=$AB170)*('2013 E Maize Soil VWC'!$F$2:$F$4000=AJ$5),'2013 E Maize Soil VWC'!$G$2:$G$4000)</f>
        <v>0.29726744844632769</v>
      </c>
      <c r="AK170" s="4" cm="1">
        <f t="array" ref="AK170">_xlfn.XLOOKUP(1,('2013 E Maize Soil VWC'!$C$2:$C$4000=$AA170)*('2013 E Maize Soil VWC'!$E$2:$E$4000=$AB170)*('2013 E Maize Soil VWC'!$F$2:$F$4000=AK$5),'2013 E Maize Soil VWC'!$G$2:$G$4000)</f>
        <v>0.29010279166666669</v>
      </c>
      <c r="AL170" s="4" cm="1">
        <f t="array" ref="AL170">_xlfn.XLOOKUP(1,('2013 E Maize Soil VWC'!$C$2:$C$4000=$AA170)*('2013 E Maize Soil VWC'!$E$2:$E$4000=$AB170)*('2013 E Maize Soil VWC'!$F$2:$F$4000=AL$5),'2013 E Maize Soil VWC'!$G$2:$G$4000)</f>
        <v>0.29660187923728815</v>
      </c>
      <c r="AM170" s="4" cm="1">
        <f t="array" ref="AM170">_xlfn.XLOOKUP(1,('2013 E Maize Soil VWC'!$C$2:$C$4000=$AA170)*('2013 E Maize Soil VWC'!$E$2:$E$4000=$AB170)*('2013 E Maize Soil VWC'!$F$2:$F$4000=AM$5),'2013 E Maize Soil VWC'!$G$2:$G$4000)</f>
        <v>0.32030788841807911</v>
      </c>
      <c r="AN170" s="4" cm="1">
        <f t="array" ref="AN170">_xlfn.XLOOKUP(1,('2013 E Maize Soil VWC'!$C$2:$C$4000=$AA170)*('2013 E Maize Soil VWC'!$E$2:$E$4000=$AB170)*('2013 E Maize Soil VWC'!$F$2:$F$4000=AN$5),'2013 E Maize Soil VWC'!$G$2:$G$4000)</f>
        <v>0.32345955437853108</v>
      </c>
      <c r="AO170" s="4" cm="1">
        <f t="array" ref="AO170">_xlfn.XLOOKUP(1,('2013 E Maize Soil VWC'!$C$2:$C$4000=$AA170)*('2013 E Maize Soil VWC'!$E$2:$E$4000=$AB170)*('2013 E Maize Soil VWC'!$F$2:$F$4000=AO$5),'2013 E Maize Soil VWC'!$G$2:$G$4000)</f>
        <v>0.30511725000000001</v>
      </c>
      <c r="AP170" s="4" cm="1">
        <f t="array" ref="AP170">_xlfn.XLOOKUP(1,('2013 E Maize Soil VWC'!$C$2:$C$4000=$AA170)*('2013 E Maize Soil VWC'!$E$2:$E$4000=$AB170)*('2013 E Maize Soil VWC'!$F$2:$F$4000=AP$5),'2013 E Maize Soil VWC'!$G$2:$G$4000)</f>
        <v>0.31568805508474579</v>
      </c>
      <c r="AQ170" s="4" cm="1">
        <f t="array" ref="AQ170">_xlfn.XLOOKUP(1,('2013 E Maize Soil VWC'!$C$2:$C$4000=$AA170)*('2013 E Maize Soil VWC'!$E$2:$E$4000=$AB170)*('2013 E Maize Soil VWC'!$F$2:$F$4000=AQ$5),'2013 E Maize Soil VWC'!$G$2:$G$4000)</f>
        <v>0.32504517514124298</v>
      </c>
      <c r="AR170" s="4" cm="1">
        <f t="array" ref="AR170">_xlfn.XLOOKUP(1,('2013 E Maize Soil VWC'!$C$2:$C$4000=$AA170)*('2013 E Maize Soil VWC'!$E$2:$E$4000=$AB170)*('2013 E Maize Soil VWC'!$F$2:$F$4000=AR$5),'2013 E Maize Soil VWC'!$G$2:$G$4000)</f>
        <v>0.31842863418079098</v>
      </c>
      <c r="AS170" s="4" cm="1">
        <f t="array" ref="AS170">_xlfn.XLOOKUP(1,('2013 E Maize Soil VWC'!$C$2:$C$4000=$AA170)*('2013 E Maize Soil VWC'!$E$2:$E$4000=$AB170)*('2013 E Maize Soil VWC'!$F$2:$F$4000=AS$5),'2013 E Maize Soil VWC'!$G$2:$G$4000)</f>
        <v>0.31171421539548028</v>
      </c>
      <c r="AT170" s="4" cm="1">
        <f t="array" ref="AT170">_xlfn.XLOOKUP(1,('2013 E Maize Soil VWC'!$C$2:$C$4000=$AA170)*('2013 E Maize Soil VWC'!$E$2:$E$4000=$AB170)*('2013 E Maize Soil VWC'!$F$2:$F$4000=AT$5),'2013 E Maize Soil VWC'!$G$2:$G$4000)</f>
        <v>0.32285271186440678</v>
      </c>
      <c r="AU170" s="4" cm="1">
        <f t="array" ref="AU170">_xlfn.XLOOKUP(1,('2013 E Maize Soil VWC'!$C$2:$C$4000=$AA170)*('2013 E Maize Soil VWC'!$E$2:$E$4000=$AB170)*('2013 E Maize Soil VWC'!$F$2:$F$4000=AU$5),'2013 E Maize Soil VWC'!$G$2:$G$4000)</f>
        <v>0.30875830508474578</v>
      </c>
      <c r="AV170" s="4" cm="1">
        <f t="array" ref="AV170">_xlfn.XLOOKUP(1,('2013 E Maize Soil VWC'!$C$2:$C$4000=$AA170)*('2013 E Maize Soil VWC'!$E$2:$E$4000=$AB170)*('2013 E Maize Soil VWC'!$F$2:$F$4000=AV$5),'2013 E Maize Soil VWC'!$G$2:$G$4000)</f>
        <v>0.30936514759887007</v>
      </c>
    </row>
    <row r="171" spans="25:64" x14ac:dyDescent="0.25">
      <c r="AA171" s="15">
        <f t="shared" si="25"/>
        <v>41527</v>
      </c>
      <c r="AB171" s="4">
        <f t="shared" si="26"/>
        <v>190</v>
      </c>
      <c r="AC171" s="4" cm="1">
        <f t="array" ref="AC171">_xlfn.XLOOKUP(1,('2013 E Maize Soil VWC'!$C$2:$C$4000=$AA171)*('2013 E Maize Soil VWC'!$E$2:$E$4000=$AB171)*('2013 E Maize Soil VWC'!$F$2:$F$4000=AC$5),'2013 E Maize Soil VWC'!$G$2:$G$4000)</f>
        <v>0.27042934887005649</v>
      </c>
      <c r="AD171" s="4" cm="1">
        <f t="array" ref="AD171">_xlfn.XLOOKUP(1,('2013 E Maize Soil VWC'!$C$2:$C$4000=$AA171)*('2013 E Maize Soil VWC'!$E$2:$E$4000=$AB171)*('2013 E Maize Soil VWC'!$F$2:$F$4000=AD$5),'2013 E Maize Soil VWC'!$G$2:$G$4000)</f>
        <v>0.27508833333333338</v>
      </c>
      <c r="AE171" s="4" cm="1">
        <f t="array" ref="AE171">_xlfn.XLOOKUP(1,('2013 E Maize Soil VWC'!$C$2:$C$4000=$AA171)*('2013 E Maize Soil VWC'!$E$2:$E$4000=$AB171)*('2013 E Maize Soil VWC'!$F$2:$F$4000=AE$5),'2013 E Maize Soil VWC'!$G$2:$G$4000)</f>
        <v>0.28060864265536728</v>
      </c>
      <c r="AF171" s="4" cm="1">
        <f t="array" ref="AF171">_xlfn.XLOOKUP(1,('2013 E Maize Soil VWC'!$C$2:$C$4000=$AA171)*('2013 E Maize Soil VWC'!$E$2:$E$4000=$AB171)*('2013 E Maize Soil VWC'!$F$2:$F$4000=AF$5),'2013 E Maize Soil VWC'!$G$2:$G$4000)</f>
        <v>0.28765584604519778</v>
      </c>
      <c r="AG171" s="4" cm="1">
        <f t="array" ref="AG171">_xlfn.XLOOKUP(1,('2013 E Maize Soil VWC'!$C$2:$C$4000=$AA171)*('2013 E Maize Soil VWC'!$E$2:$E$4000=$AB171)*('2013 E Maize Soil VWC'!$F$2:$F$4000=AG$5),'2013 E Maize Soil VWC'!$G$2:$G$4000)</f>
        <v>0.32939095056497175</v>
      </c>
      <c r="AH171" s="4" cm="1">
        <f t="array" ref="AH171">_xlfn.XLOOKUP(1,('2013 E Maize Soil VWC'!$C$2:$C$4000=$AA171)*('2013 E Maize Soil VWC'!$E$2:$E$4000=$AB171)*('2013 E Maize Soil VWC'!$F$2:$F$4000=AH$5),'2013 E Maize Soil VWC'!$G$2:$G$4000)</f>
        <v>0.33311030790960455</v>
      </c>
      <c r="AI171" s="4" cm="1">
        <f t="array" ref="AI171">_xlfn.XLOOKUP(1,('2013 E Maize Soil VWC'!$C$2:$C$4000=$AA171)*('2013 E Maize Soil VWC'!$E$2:$E$4000=$AB171)*('2013 E Maize Soil VWC'!$F$2:$F$4000=AI$5),'2013 E Maize Soil VWC'!$G$2:$G$4000)</f>
        <v>0.26823688559322034</v>
      </c>
      <c r="AJ171" s="4" cm="1">
        <f t="array" ref="AJ171">_xlfn.XLOOKUP(1,('2013 E Maize Soil VWC'!$C$2:$C$4000=$AA171)*('2013 E Maize Soil VWC'!$E$2:$E$4000=$AB171)*('2013 E Maize Soil VWC'!$F$2:$F$4000=AJ$5),'2013 E Maize Soil VWC'!$G$2:$G$4000)</f>
        <v>0.28513059816384179</v>
      </c>
      <c r="AK171" s="4" cm="1">
        <f t="array" ref="AK171">_xlfn.XLOOKUP(1,('2013 E Maize Soil VWC'!$C$2:$C$4000=$AA171)*('2013 E Maize Soil VWC'!$E$2:$E$4000=$AB171)*('2013 E Maize Soil VWC'!$F$2:$F$4000=AK$5),'2013 E Maize Soil VWC'!$G$2:$G$4000)</f>
        <v>0.27307205014124292</v>
      </c>
      <c r="AL171" s="4" cm="1">
        <f t="array" ref="AL171">_xlfn.XLOOKUP(1,('2013 E Maize Soil VWC'!$C$2:$C$4000=$AA171)*('2013 E Maize Soil VWC'!$E$2:$E$4000=$AB171)*('2013 E Maize Soil VWC'!$F$2:$F$4000=AL$5),'2013 E Maize Soil VWC'!$G$2:$G$4000)</f>
        <v>0.28280110593220342</v>
      </c>
      <c r="AM171" s="4" cm="1">
        <f t="array" ref="AM171">_xlfn.XLOOKUP(1,('2013 E Maize Soil VWC'!$C$2:$C$4000=$AA171)*('2013 E Maize Soil VWC'!$E$2:$E$4000=$AB171)*('2013 E Maize Soil VWC'!$F$2:$F$4000=AM$5),'2013 E Maize Soil VWC'!$G$2:$G$4000)</f>
        <v>0.30114341031073449</v>
      </c>
      <c r="AN171" s="4" cm="1">
        <f t="array" ref="AN171">_xlfn.XLOOKUP(1,('2013 E Maize Soil VWC'!$C$2:$C$4000=$AA171)*('2013 E Maize Soil VWC'!$E$2:$E$4000=$AB171)*('2013 E Maize Soil VWC'!$F$2:$F$4000=AN$5),'2013 E Maize Soil VWC'!$G$2:$G$4000)</f>
        <v>0.30437337853107349</v>
      </c>
      <c r="AO171" s="4" cm="1">
        <f t="array" ref="AO171">_xlfn.XLOOKUP(1,('2013 E Maize Soil VWC'!$C$2:$C$4000=$AA171)*('2013 E Maize Soil VWC'!$E$2:$E$4000=$AB171)*('2013 E Maize Soil VWC'!$F$2:$F$4000=AO$5),'2013 E Maize Soil VWC'!$G$2:$G$4000)</f>
        <v>0.29636697245762711</v>
      </c>
      <c r="AP171" s="4" cm="1">
        <f t="array" ref="AP171">_xlfn.XLOOKUP(1,('2013 E Maize Soil VWC'!$C$2:$C$4000=$AA171)*('2013 E Maize Soil VWC'!$E$2:$E$4000=$AB171)*('2013 E Maize Soil VWC'!$F$2:$F$4000=AP$5),'2013 E Maize Soil VWC'!$G$2:$G$4000)</f>
        <v>0.2928825218926554</v>
      </c>
      <c r="AQ171" s="4" cm="1">
        <f t="array" ref="AQ171">_xlfn.XLOOKUP(1,('2013 E Maize Soil VWC'!$C$2:$C$4000=$AA171)*('2013 E Maize Soil VWC'!$E$2:$E$4000=$AB171)*('2013 E Maize Soil VWC'!$F$2:$F$4000=AQ$5),'2013 E Maize Soil VWC'!$G$2:$G$4000)</f>
        <v>0.32909731709039547</v>
      </c>
      <c r="AR171" s="4" cm="1">
        <f t="array" ref="AR171">_xlfn.XLOOKUP(1,('2013 E Maize Soil VWC'!$C$2:$C$4000=$AA171)*('2013 E Maize Soil VWC'!$E$2:$E$4000=$AB171)*('2013 E Maize Soil VWC'!$F$2:$F$4000=AR$5),'2013 E Maize Soil VWC'!$G$2:$G$4000)</f>
        <v>0.32555413983050852</v>
      </c>
      <c r="AS171" s="4" cm="1">
        <f t="array" ref="AS171">_xlfn.XLOOKUP(1,('2013 E Maize Soil VWC'!$C$2:$C$4000=$AA171)*('2013 E Maize Soil VWC'!$E$2:$E$4000=$AB171)*('2013 E Maize Soil VWC'!$F$2:$F$4000=AS$5),'2013 E Maize Soil VWC'!$G$2:$G$4000)</f>
        <v>0.30954132768361581</v>
      </c>
      <c r="AT171" s="4" cm="1">
        <f t="array" ref="AT171">_xlfn.XLOOKUP(1,('2013 E Maize Soil VWC'!$C$2:$C$4000=$AA171)*('2013 E Maize Soil VWC'!$E$2:$E$4000=$AB171)*('2013 E Maize Soil VWC'!$F$2:$F$4000=AT$5),'2013 E Maize Soil VWC'!$G$2:$G$4000)</f>
        <v>0.30570451694915257</v>
      </c>
      <c r="AU171" s="4" cm="1">
        <f t="array" ref="AU171">_xlfn.XLOOKUP(1,('2013 E Maize Soil VWC'!$C$2:$C$4000=$AA171)*('2013 E Maize Soil VWC'!$E$2:$E$4000=$AB171)*('2013 E Maize Soil VWC'!$F$2:$F$4000=AU$5),'2013 E Maize Soil VWC'!$G$2:$G$4000)</f>
        <v>0.30055614336158193</v>
      </c>
      <c r="AV171" s="4" cm="1">
        <f t="array" ref="AV171">_xlfn.XLOOKUP(1,('2013 E Maize Soil VWC'!$C$2:$C$4000=$AA171)*('2013 E Maize Soil VWC'!$E$2:$E$4000=$AB171)*('2013 E Maize Soil VWC'!$F$2:$F$4000=AV$5),'2013 E Maize Soil VWC'!$G$2:$G$4000)</f>
        <v>0.29570140324858757</v>
      </c>
    </row>
    <row r="172" spans="25:64" x14ac:dyDescent="0.25">
      <c r="AA172" s="15">
        <f t="shared" si="25"/>
        <v>41527</v>
      </c>
      <c r="AB172" s="4">
        <f t="shared" si="26"/>
        <v>210</v>
      </c>
      <c r="AC172" s="4" cm="1">
        <f t="array" ref="AC172">_xlfn.XLOOKUP(1,('2013 E Maize Soil VWC'!$C$2:$C$4000=$AA172)*('2013 E Maize Soil VWC'!$E$2:$E$4000=$AB172)*('2013 E Maize Soil VWC'!$F$2:$F$4000=AC$5),'2013 E Maize Soil VWC'!$G$2:$G$4000)</f>
        <v>0.29805047104519777</v>
      </c>
      <c r="AD172" s="4" cm="1">
        <f t="array" ref="AD172">_xlfn.XLOOKUP(1,('2013 E Maize Soil VWC'!$C$2:$C$4000=$AA172)*('2013 E Maize Soil VWC'!$E$2:$E$4000=$AB172)*('2013 E Maize Soil VWC'!$F$2:$F$4000=AD$5),'2013 E Maize Soil VWC'!$G$2:$G$4000)</f>
        <v>0.29170798799435033</v>
      </c>
      <c r="AE172" s="4" cm="1">
        <f t="array" ref="AE172">_xlfn.XLOOKUP(1,('2013 E Maize Soil VWC'!$C$2:$C$4000=$AA172)*('2013 E Maize Soil VWC'!$E$2:$E$4000=$AB172)*('2013 E Maize Soil VWC'!$F$2:$F$4000=AE$5),'2013 E Maize Soil VWC'!$G$2:$G$4000)</f>
        <v>0.26226633827683615</v>
      </c>
      <c r="AF172" s="4" cm="1">
        <f t="array" ref="AF172">_xlfn.XLOOKUP(1,('2013 E Maize Soil VWC'!$C$2:$C$4000=$AA172)*('2013 E Maize Soil VWC'!$E$2:$E$4000=$AB172)*('2013 E Maize Soil VWC'!$F$2:$F$4000=AF$5),'2013 E Maize Soil VWC'!$G$2:$G$4000)</f>
        <v>0.28534592937853109</v>
      </c>
      <c r="AG172" s="4" t="e" cm="1">
        <f t="array" ref="AG172">_xlfn.XLOOKUP(1,('2013 E Maize Soil VWC'!$C$2:$C$4000=$AA172)*('2013 E Maize Soil VWC'!$E$2:$E$4000=$AB172)*('2013 E Maize Soil VWC'!$F$2:$F$4000=AG$5),'2013 E Maize Soil VWC'!$G$2:$G$4000)</f>
        <v>#N/A</v>
      </c>
      <c r="AH172" s="4" t="e" cm="1">
        <f t="array" ref="AH172">_xlfn.XLOOKUP(1,('2013 E Maize Soil VWC'!$C$2:$C$4000=$AA172)*('2013 E Maize Soil VWC'!$E$2:$E$4000=$AB172)*('2013 E Maize Soil VWC'!$F$2:$F$4000=AH$5),'2013 E Maize Soil VWC'!$G$2:$G$4000)</f>
        <v>#N/A</v>
      </c>
      <c r="AI172" s="4" cm="1">
        <f t="array" ref="AI172">_xlfn.XLOOKUP(1,('2013 E Maize Soil VWC'!$C$2:$C$4000=$AA172)*('2013 E Maize Soil VWC'!$E$2:$E$4000=$AB172)*('2013 E Maize Soil VWC'!$F$2:$F$4000=AI$5),'2013 E Maize Soil VWC'!$G$2:$G$4000)</f>
        <v>0.26124840889830508</v>
      </c>
      <c r="AJ172" s="4" cm="1">
        <f t="array" ref="AJ172">_xlfn.XLOOKUP(1,('2013 E Maize Soil VWC'!$C$2:$C$4000=$AA172)*('2013 E Maize Soil VWC'!$E$2:$E$4000=$AB172)*('2013 E Maize Soil VWC'!$F$2:$F$4000=AJ$5),'2013 E Maize Soil VWC'!$G$2:$G$4000)</f>
        <v>0.29752193079096045</v>
      </c>
      <c r="AK172" s="4" cm="1">
        <f t="array" ref="AK172">_xlfn.XLOOKUP(1,('2013 E Maize Soil VWC'!$C$2:$C$4000=$AA172)*('2013 E Maize Soil VWC'!$E$2:$E$4000=$AB172)*('2013 E Maize Soil VWC'!$F$2:$F$4000=AK$5),'2013 E Maize Soil VWC'!$G$2:$G$4000)</f>
        <v>0.28910443785310735</v>
      </c>
      <c r="AL172" s="4" cm="1">
        <f t="array" ref="AL172">_xlfn.XLOOKUP(1,('2013 E Maize Soil VWC'!$C$2:$C$4000=$AA172)*('2013 E Maize Soil VWC'!$E$2:$E$4000=$AB172)*('2013 E Maize Soil VWC'!$F$2:$F$4000=AL$5),'2013 E Maize Soil VWC'!$G$2:$G$4000)</f>
        <v>0.25341818290960455</v>
      </c>
      <c r="AM172" s="4" cm="1">
        <f t="array" ref="AM172">_xlfn.XLOOKUP(1,('2013 E Maize Soil VWC'!$C$2:$C$4000=$AA172)*('2013 E Maize Soil VWC'!$E$2:$E$4000=$AB172)*('2013 E Maize Soil VWC'!$F$2:$F$4000=AM$5),'2013 E Maize Soil VWC'!$G$2:$G$4000)</f>
        <v>0.30175025282485873</v>
      </c>
      <c r="AN172" s="4" cm="1">
        <f t="array" ref="AN172">_xlfn.XLOOKUP(1,('2013 E Maize Soil VWC'!$C$2:$C$4000=$AA172)*('2013 E Maize Soil VWC'!$E$2:$E$4000=$AB172)*('2013 E Maize Soil VWC'!$F$2:$F$4000=AN$5),'2013 E Maize Soil VWC'!$G$2:$G$4000)</f>
        <v>0.29965566737288141</v>
      </c>
      <c r="AO172" s="4" cm="1">
        <f t="array" ref="AO172">_xlfn.XLOOKUP(1,('2013 E Maize Soil VWC'!$C$2:$C$4000=$AA172)*('2013 E Maize Soil VWC'!$E$2:$E$4000=$AB172)*('2013 E Maize Soil VWC'!$F$2:$F$4000=AO$5),'2013 E Maize Soil VWC'!$G$2:$G$4000)</f>
        <v>0.30225921751412432</v>
      </c>
      <c r="AP172" s="4" cm="1">
        <f t="array" ref="AP172">_xlfn.XLOOKUP(1,('2013 E Maize Soil VWC'!$C$2:$C$4000=$AA172)*('2013 E Maize Soil VWC'!$E$2:$E$4000=$AB172)*('2013 E Maize Soil VWC'!$F$2:$F$4000=AP$5),'2013 E Maize Soil VWC'!$G$2:$G$4000)</f>
        <v>0.26259912288135595</v>
      </c>
      <c r="AQ172" s="4" t="e" cm="1">
        <f t="array" ref="AQ172">_xlfn.XLOOKUP(1,('2013 E Maize Soil VWC'!$C$2:$C$4000=$AA172)*('2013 E Maize Soil VWC'!$E$2:$E$4000=$AB172)*('2013 E Maize Soil VWC'!$F$2:$F$4000=AQ$5),'2013 E Maize Soil VWC'!$G$2:$G$4000)</f>
        <v>#N/A</v>
      </c>
      <c r="AR172" s="4" t="e" cm="1">
        <f t="array" ref="AR172">_xlfn.XLOOKUP(1,('2013 E Maize Soil VWC'!$C$2:$C$4000=$AA172)*('2013 E Maize Soil VWC'!$E$2:$E$4000=$AB172)*('2013 E Maize Soil VWC'!$F$2:$F$4000=AR$5),'2013 E Maize Soil VWC'!$G$2:$G$4000)</f>
        <v>#N/A</v>
      </c>
      <c r="AS172" s="4" cm="1">
        <f t="array" ref="AS172">_xlfn.XLOOKUP(1,('2013 E Maize Soil VWC'!$C$2:$C$4000=$AA172)*('2013 E Maize Soil VWC'!$E$2:$E$4000=$AB172)*('2013 E Maize Soil VWC'!$F$2:$F$4000=AS$5),'2013 E Maize Soil VWC'!$G$2:$G$4000)</f>
        <v>0.30036038771186441</v>
      </c>
      <c r="AT172" s="4" cm="1">
        <f t="array" ref="AT172">_xlfn.XLOOKUP(1,('2013 E Maize Soil VWC'!$C$2:$C$4000=$AA172)*('2013 E Maize Soil VWC'!$E$2:$E$4000=$AB172)*('2013 E Maize Soil VWC'!$F$2:$F$4000=AT$5),'2013 E Maize Soil VWC'!$G$2:$G$4000)</f>
        <v>0.29525116525423734</v>
      </c>
      <c r="AU172" s="4" cm="1">
        <f t="array" ref="AU172">_xlfn.XLOOKUP(1,('2013 E Maize Soil VWC'!$C$2:$C$4000=$AA172)*('2013 E Maize Soil VWC'!$E$2:$E$4000=$AB172)*('2013 E Maize Soil VWC'!$F$2:$F$4000=AU$5),'2013 E Maize Soil VWC'!$G$2:$G$4000)</f>
        <v>0.28822353742937851</v>
      </c>
      <c r="AV172" s="4" cm="1">
        <f t="array" ref="AV172">_xlfn.XLOOKUP(1,('2013 E Maize Soil VWC'!$C$2:$C$4000=$AA172)*('2013 E Maize Soil VWC'!$E$2:$E$4000=$AB172)*('2013 E Maize Soil VWC'!$F$2:$F$4000=AV$5),'2013 E Maize Soil VWC'!$G$2:$G$4000)</f>
        <v>0.28851717090395479</v>
      </c>
    </row>
    <row r="173" spans="25:64" x14ac:dyDescent="0.25">
      <c r="AA173" s="15">
        <f t="shared" si="25"/>
        <v>41527</v>
      </c>
      <c r="AB173" s="4">
        <f t="shared" si="26"/>
        <v>230</v>
      </c>
      <c r="AC173" s="4" cm="1">
        <f t="array" ref="AC173">_xlfn.XLOOKUP(1,('2013 E Maize Soil VWC'!$C$2:$C$4000=$AA173)*('2013 E Maize Soil VWC'!$E$2:$E$4000=$AB173)*('2013 E Maize Soil VWC'!$F$2:$F$4000=AC$5),'2013 E Maize Soil VWC'!$G$2:$G$4000)</f>
        <v>0.29069005861581926</v>
      </c>
      <c r="AD173" s="4" cm="1">
        <f t="array" ref="AD173">_xlfn.XLOOKUP(1,('2013 E Maize Soil VWC'!$C$2:$C$4000=$AA173)*('2013 E Maize Soil VWC'!$E$2:$E$4000=$AB173)*('2013 E Maize Soil VWC'!$F$2:$F$4000=AD$5),'2013 E Maize Soil VWC'!$G$2:$G$4000)</f>
        <v>0.29613206567796613</v>
      </c>
      <c r="AE173" s="4" cm="1">
        <f t="array" ref="AE173">_xlfn.XLOOKUP(1,('2013 E Maize Soil VWC'!$C$2:$C$4000=$AA173)*('2013 E Maize Soil VWC'!$E$2:$E$4000=$AB173)*('2013 E Maize Soil VWC'!$F$2:$F$4000=AE$5),'2013 E Maize Soil VWC'!$G$2:$G$4000)</f>
        <v>0.27569517584745762</v>
      </c>
      <c r="AF173" s="4" cm="1">
        <f t="array" ref="AF173">_xlfn.XLOOKUP(1,('2013 E Maize Soil VWC'!$C$2:$C$4000=$AA173)*('2013 E Maize Soil VWC'!$E$2:$E$4000=$AB173)*('2013 E Maize Soil VWC'!$F$2:$F$4000=AF$5),'2013 E Maize Soil VWC'!$G$2:$G$4000)</f>
        <v>0.27747655225988699</v>
      </c>
      <c r="AG173" s="4" t="e" cm="1">
        <f t="array" ref="AG173">_xlfn.XLOOKUP(1,('2013 E Maize Soil VWC'!$C$2:$C$4000=$AA173)*('2013 E Maize Soil VWC'!$E$2:$E$4000=$AB173)*('2013 E Maize Soil VWC'!$F$2:$F$4000=AG$5),'2013 E Maize Soil VWC'!$G$2:$G$4000)</f>
        <v>#N/A</v>
      </c>
      <c r="AH173" s="4" t="e" cm="1">
        <f t="array" ref="AH173">_xlfn.XLOOKUP(1,('2013 E Maize Soil VWC'!$C$2:$C$4000=$AA173)*('2013 E Maize Soil VWC'!$E$2:$E$4000=$AB173)*('2013 E Maize Soil VWC'!$F$2:$F$4000=AH$5),'2013 E Maize Soil VWC'!$G$2:$G$4000)</f>
        <v>#N/A</v>
      </c>
      <c r="AI173" s="4" cm="1">
        <f t="array" ref="AI173">_xlfn.XLOOKUP(1,('2013 E Maize Soil VWC'!$C$2:$C$4000=$AA173)*('2013 E Maize Soil VWC'!$E$2:$E$4000=$AB173)*('2013 E Maize Soil VWC'!$F$2:$F$4000=AI$5),'2013 E Maize Soil VWC'!$G$2:$G$4000)</f>
        <v>0.26694489830508478</v>
      </c>
      <c r="AJ173" s="4" cm="1">
        <f t="array" ref="AJ173">_xlfn.XLOOKUP(1,('2013 E Maize Soil VWC'!$C$2:$C$4000=$AA173)*('2013 E Maize Soil VWC'!$E$2:$E$4000=$AB173)*('2013 E Maize Soil VWC'!$F$2:$F$4000=AJ$5),'2013 E Maize Soil VWC'!$G$2:$G$4000)</f>
        <v>0.30848424717514128</v>
      </c>
      <c r="AK173" s="4" cm="1">
        <f t="array" ref="AK173">_xlfn.XLOOKUP(1,('2013 E Maize Soil VWC'!$C$2:$C$4000=$AA173)*('2013 E Maize Soil VWC'!$E$2:$E$4000=$AB173)*('2013 E Maize Soil VWC'!$F$2:$F$4000=AK$5),'2013 E Maize Soil VWC'!$G$2:$G$4000)</f>
        <v>0.30051699223163841</v>
      </c>
      <c r="AL173" s="4" cm="1">
        <f t="array" ref="AL173">_xlfn.XLOOKUP(1,('2013 E Maize Soil VWC'!$C$2:$C$4000=$AA173)*('2013 E Maize Soil VWC'!$E$2:$E$4000=$AB173)*('2013 E Maize Soil VWC'!$F$2:$F$4000=AL$5),'2013 E Maize Soil VWC'!$G$2:$G$4000)</f>
        <v>0.24889622740112999</v>
      </c>
      <c r="AM173" s="4" cm="1">
        <f t="array" ref="AM173">_xlfn.XLOOKUP(1,('2013 E Maize Soil VWC'!$C$2:$C$4000=$AA173)*('2013 E Maize Soil VWC'!$E$2:$E$4000=$AB173)*('2013 E Maize Soil VWC'!$F$2:$F$4000=AM$5),'2013 E Maize Soil VWC'!$G$2:$G$4000)</f>
        <v>0.28851717090395479</v>
      </c>
      <c r="AN173" s="4" cm="1">
        <f t="array" ref="AN173">_xlfn.XLOOKUP(1,('2013 E Maize Soil VWC'!$C$2:$C$4000=$AA173)*('2013 E Maize Soil VWC'!$E$2:$E$4000=$AB173)*('2013 E Maize Soil VWC'!$F$2:$F$4000=AN$5),'2013 E Maize Soil VWC'!$G$2:$G$4000)</f>
        <v>0.2902593961864407</v>
      </c>
      <c r="AO173" s="4" cm="1">
        <f t="array" ref="AO173">_xlfn.XLOOKUP(1,('2013 E Maize Soil VWC'!$C$2:$C$4000=$AA173)*('2013 E Maize Soil VWC'!$E$2:$E$4000=$AB173)*('2013 E Maize Soil VWC'!$F$2:$F$4000=AO$5),'2013 E Maize Soil VWC'!$G$2:$G$4000)</f>
        <v>0.28689239901129943</v>
      </c>
      <c r="AP173" s="4" cm="1">
        <f t="array" ref="AP173">_xlfn.XLOOKUP(1,('2013 E Maize Soil VWC'!$C$2:$C$4000=$AA173)*('2013 E Maize Soil VWC'!$E$2:$E$4000=$AB173)*('2013 E Maize Soil VWC'!$F$2:$F$4000=AP$5),'2013 E Maize Soil VWC'!$G$2:$G$4000)</f>
        <v>0.29047472740112995</v>
      </c>
      <c r="AQ173" s="4" t="e" cm="1">
        <f t="array" ref="AQ173">_xlfn.XLOOKUP(1,('2013 E Maize Soil VWC'!$C$2:$C$4000=$AA173)*('2013 E Maize Soil VWC'!$E$2:$E$4000=$AB173)*('2013 E Maize Soil VWC'!$F$2:$F$4000=AQ$5),'2013 E Maize Soil VWC'!$G$2:$G$4000)</f>
        <v>#N/A</v>
      </c>
      <c r="AR173" s="4" t="e" cm="1">
        <f t="array" ref="AR173">_xlfn.XLOOKUP(1,('2013 E Maize Soil VWC'!$C$2:$C$4000=$AA173)*('2013 E Maize Soil VWC'!$E$2:$E$4000=$AB173)*('2013 E Maize Soil VWC'!$F$2:$F$4000=AR$5),'2013 E Maize Soil VWC'!$G$2:$G$4000)</f>
        <v>#N/A</v>
      </c>
      <c r="AS173" s="4" cm="1">
        <f t="array" ref="AS173">_xlfn.XLOOKUP(1,('2013 E Maize Soil VWC'!$C$2:$C$4000=$AA173)*('2013 E Maize Soil VWC'!$E$2:$E$4000=$AB173)*('2013 E Maize Soil VWC'!$F$2:$F$4000=AS$5),'2013 E Maize Soil VWC'!$G$2:$G$4000)</f>
        <v>0.29446814265536725</v>
      </c>
      <c r="AT173" s="4" cm="1">
        <f t="array" ref="AT173">_xlfn.XLOOKUP(1,('2013 E Maize Soil VWC'!$C$2:$C$4000=$AA173)*('2013 E Maize Soil VWC'!$E$2:$E$4000=$AB173)*('2013 E Maize Soil VWC'!$F$2:$F$4000=AT$5),'2013 E Maize Soil VWC'!$G$2:$G$4000)</f>
        <v>0.29417450918079097</v>
      </c>
      <c r="AU173" s="4" cm="1">
        <f t="array" ref="AU173">_xlfn.XLOOKUP(1,('2013 E Maize Soil VWC'!$C$2:$C$4000=$AA173)*('2013 E Maize Soil VWC'!$E$2:$E$4000=$AB173)*('2013 E Maize Soil VWC'!$F$2:$F$4000=AU$5),'2013 E Maize Soil VWC'!$G$2:$G$4000)</f>
        <v>0.27876853954802261</v>
      </c>
      <c r="AV173" s="4" cm="1">
        <f t="array" ref="AV173">_xlfn.XLOOKUP(1,('2013 E Maize Soil VWC'!$C$2:$C$4000=$AA173)*('2013 E Maize Soil VWC'!$E$2:$E$4000=$AB173)*('2013 E Maize Soil VWC'!$F$2:$F$4000=AV$5),'2013 E Maize Soil VWC'!$G$2:$G$4000)</f>
        <v>0.29360681779661019</v>
      </c>
    </row>
    <row r="175" spans="25:64" x14ac:dyDescent="0.25">
      <c r="Y175" s="4">
        <v>2013</v>
      </c>
      <c r="Z175" s="4">
        <v>269</v>
      </c>
      <c r="AA175" s="15">
        <f>DATE(Y175,1,Z175)</f>
        <v>41543</v>
      </c>
      <c r="AB175" s="4">
        <v>10</v>
      </c>
      <c r="AC175" s="4" cm="1">
        <f t="array" ref="AC175">_xlfn.XLOOKUP(1,('2013 E Maize Soil VWC'!$C$2:$C$4000=$AA175)*('2013 E Maize Soil VWC'!$E$2:$E$4000=$AB175)*('2013 E Maize Soil VWC'!$F$2:$F$4000=AC$5),'2013 E Maize Soil VWC'!$G$2:$G$4000)</f>
        <v>0.2566954225181598</v>
      </c>
      <c r="AD175" s="4" cm="1">
        <f t="array" ref="AD175">_xlfn.XLOOKUP(1,('2013 E Maize Soil VWC'!$C$2:$C$4000=$AA175)*('2013 E Maize Soil VWC'!$E$2:$E$4000=$AB175)*('2013 E Maize Soil VWC'!$F$2:$F$4000=AD$5),'2013 E Maize Soil VWC'!$G$2:$G$4000)</f>
        <v>0.27367137893462468</v>
      </c>
      <c r="AE175" s="4" cm="1">
        <f t="array" ref="AE175">_xlfn.XLOOKUP(1,('2013 E Maize Soil VWC'!$C$2:$C$4000=$AA175)*('2013 E Maize Soil VWC'!$E$2:$E$4000=$AB175)*('2013 E Maize Soil VWC'!$F$2:$F$4000=AE$5),'2013 E Maize Soil VWC'!$G$2:$G$4000)</f>
        <v>0.27714373365617434</v>
      </c>
      <c r="AF175" s="4" cm="1">
        <f t="array" ref="AF175">_xlfn.XLOOKUP(1,('2013 E Maize Soil VWC'!$C$2:$C$4000=$AA175)*('2013 E Maize Soil VWC'!$E$2:$E$4000=$AB175)*('2013 E Maize Soil VWC'!$F$2:$F$4000=AF$5),'2013 E Maize Soil VWC'!$G$2:$G$4000)</f>
        <v>0.26138310139225179</v>
      </c>
      <c r="AG175" s="4" cm="1">
        <f t="array" ref="AG175">_xlfn.XLOOKUP(1,('2013 E Maize Soil VWC'!$C$2:$C$4000=$AA175)*('2013 E Maize Soil VWC'!$E$2:$E$4000=$AB175)*('2013 E Maize Soil VWC'!$F$2:$F$4000=AG$5),'2013 E Maize Soil VWC'!$G$2:$G$4000)</f>
        <v>0.28738718008474579</v>
      </c>
      <c r="AH175" s="4" cm="1">
        <f t="array" ref="AH175">_xlfn.XLOOKUP(1,('2013 E Maize Soil VWC'!$C$2:$C$4000=$AA175)*('2013 E Maize Soil VWC'!$E$2:$E$4000=$AB175)*('2013 E Maize Soil VWC'!$F$2:$F$4000=AH$5),'2013 E Maize Soil VWC'!$G$2:$G$4000)</f>
        <v>0.25740918432203391</v>
      </c>
      <c r="AI175" s="4" cm="1">
        <f t="array" ref="AI175">_xlfn.XLOOKUP(1,('2013 E Maize Soil VWC'!$C$2:$C$4000=$AA175)*('2013 E Maize Soil VWC'!$E$2:$E$4000=$AB175)*('2013 E Maize Soil VWC'!$F$2:$F$4000=AI$5),'2013 E Maize Soil VWC'!$G$2:$G$4000)</f>
        <v>0.28813952360774819</v>
      </c>
      <c r="AJ175" s="4" cm="1">
        <f t="array" ref="AJ175">_xlfn.XLOOKUP(1,('2013 E Maize Soil VWC'!$C$2:$C$4000=$AA175)*('2013 E Maize Soil VWC'!$E$2:$E$4000=$AB175)*('2013 E Maize Soil VWC'!$F$2:$F$4000=AJ$5),'2013 E Maize Soil VWC'!$G$2:$G$4000)</f>
        <v>0.29394607233656173</v>
      </c>
      <c r="AK175" s="4" cm="1">
        <f t="array" ref="AK175">_xlfn.XLOOKUP(1,('2013 E Maize Soil VWC'!$C$2:$C$4000=$AA175)*('2013 E Maize Soil VWC'!$E$2:$E$4000=$AB175)*('2013 E Maize Soil VWC'!$F$2:$F$4000=AK$5),'2013 E Maize Soil VWC'!$G$2:$G$4000)</f>
        <v>0.27847480296610166</v>
      </c>
      <c r="AL175" s="4" cm="1">
        <f t="array" ref="AL175">_xlfn.XLOOKUP(1,('2013 E Maize Soil VWC'!$C$2:$C$4000=$AA175)*('2013 E Maize Soil VWC'!$E$2:$E$4000=$AB175)*('2013 E Maize Soil VWC'!$F$2:$F$4000=AL$5),'2013 E Maize Soil VWC'!$G$2:$G$4000)</f>
        <v>0.28505298607748186</v>
      </c>
      <c r="AM175" s="4" cm="1">
        <f t="array" ref="AM175">_xlfn.XLOOKUP(1,('2013 E Maize Soil VWC'!$C$2:$C$4000=$AA175)*('2013 E Maize Soil VWC'!$E$2:$E$4000=$AB175)*('2013 E Maize Soil VWC'!$F$2:$F$4000=AM$5),'2013 E Maize Soil VWC'!$G$2:$G$4000)</f>
        <v>0.26628297972154963</v>
      </c>
      <c r="AN175" s="4" cm="1">
        <f t="array" ref="AN175">_xlfn.XLOOKUP(1,('2013 E Maize Soil VWC'!$C$2:$C$4000=$AA175)*('2013 E Maize Soil VWC'!$E$2:$E$4000=$AB175)*('2013 E Maize Soil VWC'!$F$2:$F$4000=AN$5),'2013 E Maize Soil VWC'!$G$2:$G$4000)</f>
        <v>0.24527523365617432</v>
      </c>
      <c r="AO175" s="4" cm="1">
        <f t="array" ref="AO175">_xlfn.XLOOKUP(1,('2013 E Maize Soil VWC'!$C$2:$C$4000=$AA175)*('2013 E Maize Soil VWC'!$E$2:$E$4000=$AB175)*('2013 E Maize Soil VWC'!$F$2:$F$4000=AO$5),'2013 E Maize Soil VWC'!$G$2:$G$4000)</f>
        <v>0.24807240829297816</v>
      </c>
      <c r="AP175" s="4" cm="1">
        <f t="array" ref="AP175">_xlfn.XLOOKUP(1,('2013 E Maize Soil VWC'!$C$2:$C$4000=$AA175)*('2013 E Maize Soil VWC'!$E$2:$E$4000=$AB175)*('2013 E Maize Soil VWC'!$F$2:$F$4000=AP$5),'2013 E Maize Soil VWC'!$G$2:$G$4000)</f>
        <v>0.24774446368038738</v>
      </c>
      <c r="AQ175" s="4" cm="1">
        <f t="array" ref="AQ175">_xlfn.XLOOKUP(1,('2013 E Maize Soil VWC'!$C$2:$C$4000=$AA175)*('2013 E Maize Soil VWC'!$E$2:$E$4000=$AB175)*('2013 E Maize Soil VWC'!$F$2:$F$4000=AQ$5),'2013 E Maize Soil VWC'!$G$2:$G$4000)</f>
        <v>0.27629493583535109</v>
      </c>
      <c r="AR175" s="4" cm="1">
        <f t="array" ref="AR175">_xlfn.XLOOKUP(1,('2013 E Maize Soil VWC'!$C$2:$C$4000=$AA175)*('2013 E Maize Soil VWC'!$E$2:$E$4000=$AB175)*('2013 E Maize Soil VWC'!$F$2:$F$4000=AR$5),'2013 E Maize Soil VWC'!$G$2:$G$4000)</f>
        <v>0.2586052176150121</v>
      </c>
      <c r="AS175" s="4" cm="1">
        <f t="array" ref="AS175">_xlfn.XLOOKUP(1,('2013 E Maize Soil VWC'!$C$2:$C$4000=$AA175)*('2013 E Maize Soil VWC'!$E$2:$E$4000=$AB175)*('2013 E Maize Soil VWC'!$F$2:$F$4000=AS$5),'2013 E Maize Soil VWC'!$G$2:$G$4000)</f>
        <v>0.24745510078692495</v>
      </c>
      <c r="AT175" s="4" cm="1">
        <f t="array" ref="AT175">_xlfn.XLOOKUP(1,('2013 E Maize Soil VWC'!$C$2:$C$4000=$AA175)*('2013 E Maize Soil VWC'!$E$2:$E$4000=$AB175)*('2013 E Maize Soil VWC'!$F$2:$F$4000=AT$5),'2013 E Maize Soil VWC'!$G$2:$G$4000)</f>
        <v>0.23487746035108958</v>
      </c>
      <c r="AU175" s="4" cm="1">
        <f t="array" ref="AU175">_xlfn.XLOOKUP(1,('2013 E Maize Soil VWC'!$C$2:$C$4000=$AA175)*('2013 E Maize Soil VWC'!$E$2:$E$4000=$AB175)*('2013 E Maize Soil VWC'!$F$2:$F$4000=AU$5),'2013 E Maize Soil VWC'!$G$2:$G$4000)</f>
        <v>0.21689837923728811</v>
      </c>
      <c r="AV175" s="4" cm="1">
        <f t="array" ref="AV175">_xlfn.XLOOKUP(1,('2013 E Maize Soil VWC'!$C$2:$C$4000=$AA175)*('2013 E Maize Soil VWC'!$E$2:$E$4000=$AB175)*('2013 E Maize Soil VWC'!$F$2:$F$4000=AV$5),'2013 E Maize Soil VWC'!$G$2:$G$4000)</f>
        <v>0.20721436773607749</v>
      </c>
      <c r="AW175" s="22">
        <f>Z175</f>
        <v>269</v>
      </c>
      <c r="AX175" s="20">
        <f>AA175</f>
        <v>41543</v>
      </c>
      <c r="AY175" s="4">
        <f>1400*AVERAGE(AG175:AH181)+100*AVERAGE(AG182:AH182)</f>
        <v>436.86971938559321</v>
      </c>
      <c r="AZ175" s="4">
        <f>1400*AVERAGE(AC175:AF181,AI175:AL181)+100*AVERAGE(AC182:AF182,AI182:AL182)</f>
        <v>428.87389596448742</v>
      </c>
      <c r="BA175" s="4">
        <f>1400*AVERAGE(AQ175:AR181)+100*AVERAGE(AQ182:AR182)</f>
        <v>416.18995093825663</v>
      </c>
      <c r="BB175" s="4">
        <f>1400*AVERAGE(AM175:AP181,AS175:AV181)+100*AVERAGE(AM182:AP182,AS182:AV182)</f>
        <v>418.99131176982434</v>
      </c>
      <c r="BC175" s="4">
        <f>AVERAGE(AC175:AD186)*2400</f>
        <v>681.01519716505254</v>
      </c>
      <c r="BD175" s="4">
        <f>AVERAGE(AE175:AF186)*2400</f>
        <v>664.93760038337382</v>
      </c>
      <c r="BE175" s="4">
        <f>AVERAGE(AG175:AH184)*2000</f>
        <v>600.65786723163842</v>
      </c>
      <c r="BF175" s="4">
        <f>AVERAGE(AI175:AJ186)*2400</f>
        <v>698.2461990012107</v>
      </c>
      <c r="BG175" s="4">
        <f>AVERAGE(AK175:AL186)*2400</f>
        <v>682.97544380548823</v>
      </c>
      <c r="BH175" s="4">
        <f>AVERAGE(AM175:AN186)*2400</f>
        <v>698.71402070217903</v>
      </c>
      <c r="BI175" s="4">
        <f>AVERAGE(AO175:AP186)*2400</f>
        <v>678.97546579903167</v>
      </c>
      <c r="BJ175" s="4">
        <f>AVERAGE(AQ175:AR184)*2000</f>
        <v>579.15690383373669</v>
      </c>
      <c r="BK175" s="4">
        <f>AVERAGE(AS175:AT186)*2400</f>
        <v>698.40233980024232</v>
      </c>
      <c r="BL175" s="4">
        <f>AVERAGE(AU175:AV186)*2400</f>
        <v>676.13500245157388</v>
      </c>
    </row>
    <row r="176" spans="25:64" x14ac:dyDescent="0.25">
      <c r="AA176" s="15">
        <f t="shared" ref="AA176:AA186" si="27">AA175</f>
        <v>41543</v>
      </c>
      <c r="AB176" s="4">
        <f t="shared" ref="AB176:AB186" si="28">AB175+20</f>
        <v>30</v>
      </c>
      <c r="AC176" s="4" cm="1">
        <f t="array" ref="AC176">_xlfn.XLOOKUP(1,('2013 E Maize Soil VWC'!$C$2:$C$4000=$AA176)*('2013 E Maize Soil VWC'!$E$2:$E$4000=$AB176)*('2013 E Maize Soil VWC'!$F$2:$F$4000=AC$5),'2013 E Maize Soil VWC'!$G$2:$G$4000)</f>
        <v>0.27485944632768355</v>
      </c>
      <c r="AD176" s="4" cm="1">
        <f t="array" ref="AD176">_xlfn.XLOOKUP(1,('2013 E Maize Soil VWC'!$C$2:$C$4000=$AA176)*('2013 E Maize Soil VWC'!$E$2:$E$4000=$AB176)*('2013 E Maize Soil VWC'!$F$2:$F$4000=AD$5),'2013 E Maize Soil VWC'!$G$2:$G$4000)</f>
        <v>0.26267712923728814</v>
      </c>
      <c r="AE176" s="4" cm="1">
        <f t="array" ref="AE176">_xlfn.XLOOKUP(1,('2013 E Maize Soil VWC'!$C$2:$C$4000=$AA176)*('2013 E Maize Soil VWC'!$E$2:$E$4000=$AB176)*('2013 E Maize Soil VWC'!$F$2:$F$4000=AE$5),'2013 E Maize Soil VWC'!$G$2:$G$4000)</f>
        <v>0.29141726483050845</v>
      </c>
      <c r="AF176" s="4" cm="1">
        <f t="array" ref="AF176">_xlfn.XLOOKUP(1,('2013 E Maize Soil VWC'!$C$2:$C$4000=$AA176)*('2013 E Maize Soil VWC'!$E$2:$E$4000=$AB176)*('2013 E Maize Soil VWC'!$F$2:$F$4000=AF$5),'2013 E Maize Soil VWC'!$G$2:$G$4000)</f>
        <v>0.26159476836158191</v>
      </c>
      <c r="AG176" s="4" cm="1">
        <f t="array" ref="AG176">_xlfn.XLOOKUP(1,('2013 E Maize Soil VWC'!$C$2:$C$4000=$AA176)*('2013 E Maize Soil VWC'!$E$2:$E$4000=$AB176)*('2013 E Maize Soil VWC'!$F$2:$F$4000=AG$5),'2013 E Maize Soil VWC'!$G$2:$G$4000)</f>
        <v>0.29887864618644067</v>
      </c>
      <c r="AH176" s="4" cm="1">
        <f t="array" ref="AH176">_xlfn.XLOOKUP(1,('2013 E Maize Soil VWC'!$C$2:$C$4000=$AA176)*('2013 E Maize Soil VWC'!$E$2:$E$4000=$AB176)*('2013 E Maize Soil VWC'!$F$2:$F$4000=AH$5),'2013 E Maize Soil VWC'!$G$2:$G$4000)</f>
        <v>0.28236688559322032</v>
      </c>
      <c r="AI176" s="4" cm="1">
        <f t="array" ref="AI176">_xlfn.XLOOKUP(1,('2013 E Maize Soil VWC'!$C$2:$C$4000=$AA176)*('2013 E Maize Soil VWC'!$E$2:$E$4000=$AB176)*('2013 E Maize Soil VWC'!$F$2:$F$4000=AI$5),'2013 E Maize Soil VWC'!$G$2:$G$4000)</f>
        <v>0.27518185169491521</v>
      </c>
      <c r="AJ176" s="4" cm="1">
        <f t="array" ref="AJ176">_xlfn.XLOOKUP(1,('2013 E Maize Soil VWC'!$C$2:$C$4000=$AA176)*('2013 E Maize Soil VWC'!$E$2:$E$4000=$AB176)*('2013 E Maize Soil VWC'!$F$2:$F$4000=AJ$5),'2013 E Maize Soil VWC'!$G$2:$G$4000)</f>
        <v>0.29307534957627118</v>
      </c>
      <c r="AK176" s="4" cm="1">
        <f t="array" ref="AK176">_xlfn.XLOOKUP(1,('2013 E Maize Soil VWC'!$C$2:$C$4000=$AA176)*('2013 E Maize Soil VWC'!$E$2:$E$4000=$AB176)*('2013 E Maize Soil VWC'!$F$2:$F$4000=AK$5),'2013 E Maize Soil VWC'!$G$2:$G$4000)</f>
        <v>0.27923494774011298</v>
      </c>
      <c r="AL176" s="4" cm="1">
        <f t="array" ref="AL176">_xlfn.XLOOKUP(1,('2013 E Maize Soil VWC'!$C$2:$C$4000=$AA176)*('2013 E Maize Soil VWC'!$E$2:$E$4000=$AB176)*('2013 E Maize Soil VWC'!$F$2:$F$4000=AL$5),'2013 E Maize Soil VWC'!$G$2:$G$4000)</f>
        <v>0.28356439124293786</v>
      </c>
      <c r="AM176" s="4" cm="1">
        <f t="array" ref="AM176">_xlfn.XLOOKUP(1,('2013 E Maize Soil VWC'!$C$2:$C$4000=$AA176)*('2013 E Maize Soil VWC'!$E$2:$E$4000=$AB176)*('2013 E Maize Soil VWC'!$F$2:$F$4000=AM$5),'2013 E Maize Soil VWC'!$G$2:$G$4000)</f>
        <v>0.27527396751412431</v>
      </c>
      <c r="AN176" s="4" cm="1">
        <f t="array" ref="AN176">_xlfn.XLOOKUP(1,('2013 E Maize Soil VWC'!$C$2:$C$4000=$AA176)*('2013 E Maize Soil VWC'!$E$2:$E$4000=$AB176)*('2013 E Maize Soil VWC'!$F$2:$F$4000=AN$5),'2013 E Maize Soil VWC'!$G$2:$G$4000)</f>
        <v>0.2826662620056497</v>
      </c>
      <c r="AO176" s="4" cm="1">
        <f t="array" ref="AO176">_xlfn.XLOOKUP(1,('2013 E Maize Soil VWC'!$C$2:$C$4000=$AA176)*('2013 E Maize Soil VWC'!$E$2:$E$4000=$AB176)*('2013 E Maize Soil VWC'!$F$2:$F$4000=AO$5),'2013 E Maize Soil VWC'!$G$2:$G$4000)</f>
        <v>0.27520488064971749</v>
      </c>
      <c r="AP176" s="4" cm="1">
        <f t="array" ref="AP176">_xlfn.XLOOKUP(1,('2013 E Maize Soil VWC'!$C$2:$C$4000=$AA176)*('2013 E Maize Soil VWC'!$E$2:$E$4000=$AB176)*('2013 E Maize Soil VWC'!$F$2:$F$4000=AP$5),'2013 E Maize Soil VWC'!$G$2:$G$4000)</f>
        <v>0.26778955720338982</v>
      </c>
      <c r="AQ176" s="4" cm="1">
        <f t="array" ref="AQ176">_xlfn.XLOOKUP(1,('2013 E Maize Soil VWC'!$C$2:$C$4000=$AA176)*('2013 E Maize Soil VWC'!$E$2:$E$4000=$AB176)*('2013 E Maize Soil VWC'!$F$2:$F$4000=AQ$5),'2013 E Maize Soil VWC'!$G$2:$G$4000)</f>
        <v>0.30861989406779661</v>
      </c>
      <c r="AR176" s="4" cm="1">
        <f t="array" ref="AR176">_xlfn.XLOOKUP(1,('2013 E Maize Soil VWC'!$C$2:$C$4000=$AA176)*('2013 E Maize Soil VWC'!$E$2:$E$4000=$AB176)*('2013 E Maize Soil VWC'!$F$2:$F$4000=AR$5),'2013 E Maize Soil VWC'!$G$2:$G$4000)</f>
        <v>0.27520488064971749</v>
      </c>
      <c r="AS176" s="4" cm="1">
        <f t="array" ref="AS176">_xlfn.XLOOKUP(1,('2013 E Maize Soil VWC'!$C$2:$C$4000=$AA176)*('2013 E Maize Soil VWC'!$E$2:$E$4000=$AB176)*('2013 E Maize Soil VWC'!$F$2:$F$4000=AS$5),'2013 E Maize Soil VWC'!$G$2:$G$4000)</f>
        <v>0.30385290042372881</v>
      </c>
      <c r="AT176" s="4" cm="1">
        <f t="array" ref="AT176">_xlfn.XLOOKUP(1,('2013 E Maize Soil VWC'!$C$2:$C$4000=$AA176)*('2013 E Maize Soil VWC'!$E$2:$E$4000=$AB176)*('2013 E Maize Soil VWC'!$F$2:$F$4000=AT$5),'2013 E Maize Soil VWC'!$G$2:$G$4000)</f>
        <v>0.2935128997175141</v>
      </c>
      <c r="AU176" s="4" cm="1">
        <f t="array" ref="AU176">_xlfn.XLOOKUP(1,('2013 E Maize Soil VWC'!$C$2:$C$4000=$AA176)*('2013 E Maize Soil VWC'!$E$2:$E$4000=$AB176)*('2013 E Maize Soil VWC'!$F$2:$F$4000=AU$5),'2013 E Maize Soil VWC'!$G$2:$G$4000)</f>
        <v>0.27990278742937852</v>
      </c>
      <c r="AV176" s="4" cm="1">
        <f t="array" ref="AV176">_xlfn.XLOOKUP(1,('2013 E Maize Soil VWC'!$C$2:$C$4000=$AA176)*('2013 E Maize Soil VWC'!$E$2:$E$4000=$AB176)*('2013 E Maize Soil VWC'!$F$2:$F$4000=AV$5),'2013 E Maize Soil VWC'!$G$2:$G$4000)</f>
        <v>0.27631027048022599</v>
      </c>
    </row>
    <row r="177" spans="25:64" x14ac:dyDescent="0.25">
      <c r="AA177" s="15">
        <f t="shared" si="27"/>
        <v>41543</v>
      </c>
      <c r="AB177" s="4">
        <f t="shared" si="28"/>
        <v>50</v>
      </c>
      <c r="AC177" s="4" cm="1">
        <f t="array" ref="AC177">_xlfn.XLOOKUP(1,('2013 E Maize Soil VWC'!$C$2:$C$4000=$AA177)*('2013 E Maize Soil VWC'!$E$2:$E$4000=$AB177)*('2013 E Maize Soil VWC'!$F$2:$F$4000=AC$5),'2013 E Maize Soil VWC'!$G$2:$G$4000)</f>
        <v>0.2804094244350282</v>
      </c>
      <c r="AD177" s="4" cm="1">
        <f t="array" ref="AD177">_xlfn.XLOOKUP(1,('2013 E Maize Soil VWC'!$C$2:$C$4000=$AA177)*('2013 E Maize Soil VWC'!$E$2:$E$4000=$AB177)*('2013 E Maize Soil VWC'!$F$2:$F$4000=AD$5),'2013 E Maize Soil VWC'!$G$2:$G$4000)</f>
        <v>0.28342621751412428</v>
      </c>
      <c r="AE177" s="4" cm="1">
        <f t="array" ref="AE177">_xlfn.XLOOKUP(1,('2013 E Maize Soil VWC'!$C$2:$C$4000=$AA177)*('2013 E Maize Soil VWC'!$E$2:$E$4000=$AB177)*('2013 E Maize Soil VWC'!$F$2:$F$4000=AE$5),'2013 E Maize Soil VWC'!$G$2:$G$4000)</f>
        <v>0.29187784392655364</v>
      </c>
      <c r="AF177" s="4" cm="1">
        <f t="array" ref="AF177">_xlfn.XLOOKUP(1,('2013 E Maize Soil VWC'!$C$2:$C$4000=$AA177)*('2013 E Maize Soil VWC'!$E$2:$E$4000=$AB177)*('2013 E Maize Soil VWC'!$F$2:$F$4000=AF$5),'2013 E Maize Soil VWC'!$G$2:$G$4000)</f>
        <v>0.2789355713276836</v>
      </c>
      <c r="AG177" s="4" cm="1">
        <f t="array" ref="AG177">_xlfn.XLOOKUP(1,('2013 E Maize Soil VWC'!$C$2:$C$4000=$AA177)*('2013 E Maize Soil VWC'!$E$2:$E$4000=$AB177)*('2013 E Maize Soil VWC'!$F$2:$F$4000=AG$5),'2013 E Maize Soil VWC'!$G$2:$G$4000)</f>
        <v>0.29114091737288134</v>
      </c>
      <c r="AH177" s="4" cm="1">
        <f t="array" ref="AH177">_xlfn.XLOOKUP(1,('2013 E Maize Soil VWC'!$C$2:$C$4000=$AA177)*('2013 E Maize Soil VWC'!$E$2:$E$4000=$AB177)*('2013 E Maize Soil VWC'!$F$2:$F$4000=AH$5),'2013 E Maize Soil VWC'!$G$2:$G$4000)</f>
        <v>0.29738176412429379</v>
      </c>
      <c r="AI177" s="4" cm="1">
        <f t="array" ref="AI177">_xlfn.XLOOKUP(1,('2013 E Maize Soil VWC'!$C$2:$C$4000=$AA177)*('2013 E Maize Soil VWC'!$E$2:$E$4000=$AB177)*('2013 E Maize Soil VWC'!$F$2:$F$4000=AI$5),'2013 E Maize Soil VWC'!$G$2:$G$4000)</f>
        <v>0.28595940254237284</v>
      </c>
      <c r="AJ177" s="4" cm="1">
        <f t="array" ref="AJ177">_xlfn.XLOOKUP(1,('2013 E Maize Soil VWC'!$C$2:$C$4000=$AA177)*('2013 E Maize Soil VWC'!$E$2:$E$4000=$AB177)*('2013 E Maize Soil VWC'!$F$2:$F$4000=AJ$5),'2013 E Maize Soil VWC'!$G$2:$G$4000)</f>
        <v>0.28303472528248586</v>
      </c>
      <c r="AK177" s="4" cm="1">
        <f t="array" ref="AK177">_xlfn.XLOOKUP(1,('2013 E Maize Soil VWC'!$C$2:$C$4000=$AA177)*('2013 E Maize Soil VWC'!$E$2:$E$4000=$AB177)*('2013 E Maize Soil VWC'!$F$2:$F$4000=AK$5),'2013 E Maize Soil VWC'!$G$2:$G$4000)</f>
        <v>0.27939615042372878</v>
      </c>
      <c r="AL177" s="4" cm="1">
        <f t="array" ref="AL177">_xlfn.XLOOKUP(1,('2013 E Maize Soil VWC'!$C$2:$C$4000=$AA177)*('2013 E Maize Soil VWC'!$E$2:$E$4000=$AB177)*('2013 E Maize Soil VWC'!$F$2:$F$4000=AL$5),'2013 E Maize Soil VWC'!$G$2:$G$4000)</f>
        <v>0.29272991525423731</v>
      </c>
      <c r="AM177" s="4" cm="1">
        <f t="array" ref="AM177">_xlfn.XLOOKUP(1,('2013 E Maize Soil VWC'!$C$2:$C$4000=$AA177)*('2013 E Maize Soil VWC'!$E$2:$E$4000=$AB177)*('2013 E Maize Soil VWC'!$F$2:$F$4000=AM$5),'2013 E Maize Soil VWC'!$G$2:$G$4000)</f>
        <v>0.28243597245762708</v>
      </c>
      <c r="AN177" s="4" cm="1">
        <f t="array" ref="AN177">_xlfn.XLOOKUP(1,('2013 E Maize Soil VWC'!$C$2:$C$4000=$AA177)*('2013 E Maize Soil VWC'!$E$2:$E$4000=$AB177)*('2013 E Maize Soil VWC'!$F$2:$F$4000=AN$5),'2013 E Maize Soil VWC'!$G$2:$G$4000)</f>
        <v>0.30290871327683616</v>
      </c>
      <c r="AO177" s="4" cm="1">
        <f t="array" ref="AO177">_xlfn.XLOOKUP(1,('2013 E Maize Soil VWC'!$C$2:$C$4000=$AA177)*('2013 E Maize Soil VWC'!$E$2:$E$4000=$AB177)*('2013 E Maize Soil VWC'!$F$2:$F$4000=AO$5),'2013 E Maize Soil VWC'!$G$2:$G$4000)</f>
        <v>0.27667873375706215</v>
      </c>
      <c r="AP177" s="4" cm="1">
        <f t="array" ref="AP177">_xlfn.XLOOKUP(1,('2013 E Maize Soil VWC'!$C$2:$C$4000=$AA177)*('2013 E Maize Soil VWC'!$E$2:$E$4000=$AB177)*('2013 E Maize Soil VWC'!$F$2:$F$4000=AP$5),'2013 E Maize Soil VWC'!$G$2:$G$4000)</f>
        <v>0.28810109533898304</v>
      </c>
      <c r="AQ177" s="4" cm="1">
        <f t="array" ref="AQ177">_xlfn.XLOOKUP(1,('2013 E Maize Soil VWC'!$C$2:$C$4000=$AA177)*('2013 E Maize Soil VWC'!$E$2:$E$4000=$AB177)*('2013 E Maize Soil VWC'!$F$2:$F$4000=AQ$5),'2013 E Maize Soil VWC'!$G$2:$G$4000)</f>
        <v>0.28476189689265535</v>
      </c>
      <c r="AR177" s="4" cm="1">
        <f t="array" ref="AR177">_xlfn.XLOOKUP(1,('2013 E Maize Soil VWC'!$C$2:$C$4000=$AA177)*('2013 E Maize Soil VWC'!$E$2:$E$4000=$AB177)*('2013 E Maize Soil VWC'!$F$2:$F$4000=AR$5),'2013 E Maize Soil VWC'!$G$2:$G$4000)</f>
        <v>0.26919432344632765</v>
      </c>
      <c r="AS177" s="4" cm="1">
        <f t="array" ref="AS177">_xlfn.XLOOKUP(1,('2013 E Maize Soil VWC'!$C$2:$C$4000=$AA177)*('2013 E Maize Soil VWC'!$E$2:$E$4000=$AB177)*('2013 E Maize Soil VWC'!$F$2:$F$4000=AS$5),'2013 E Maize Soil VWC'!$G$2:$G$4000)</f>
        <v>0.27082937923728811</v>
      </c>
      <c r="AT177" s="4" cm="1">
        <f t="array" ref="AT177">_xlfn.XLOOKUP(1,('2013 E Maize Soil VWC'!$C$2:$C$4000=$AA177)*('2013 E Maize Soil VWC'!$E$2:$E$4000=$AB177)*('2013 E Maize Soil VWC'!$F$2:$F$4000=AT$5),'2013 E Maize Soil VWC'!$G$2:$G$4000)</f>
        <v>0.28589031567796608</v>
      </c>
      <c r="AU177" s="4" cm="1">
        <f t="array" ref="AU177">_xlfn.XLOOKUP(1,('2013 E Maize Soil VWC'!$C$2:$C$4000=$AA177)*('2013 E Maize Soil VWC'!$E$2:$E$4000=$AB177)*('2013 E Maize Soil VWC'!$F$2:$F$4000=AU$5),'2013 E Maize Soil VWC'!$G$2:$G$4000)</f>
        <v>0.29703632980225986</v>
      </c>
      <c r="AV177" s="4" cm="1">
        <f t="array" ref="AV177">_xlfn.XLOOKUP(1,('2013 E Maize Soil VWC'!$C$2:$C$4000=$AA177)*('2013 E Maize Soil VWC'!$E$2:$E$4000=$AB177)*('2013 E Maize Soil VWC'!$F$2:$F$4000=AV$5),'2013 E Maize Soil VWC'!$G$2:$G$4000)</f>
        <v>0.29675998234463274</v>
      </c>
    </row>
    <row r="178" spans="25:64" x14ac:dyDescent="0.25">
      <c r="AA178" s="15">
        <f t="shared" si="27"/>
        <v>41543</v>
      </c>
      <c r="AB178" s="4">
        <f t="shared" si="28"/>
        <v>70</v>
      </c>
      <c r="AC178" s="4" cm="1">
        <f t="array" ref="AC178">_xlfn.XLOOKUP(1,('2013 E Maize Soil VWC'!$C$2:$C$4000=$AA178)*('2013 E Maize Soil VWC'!$E$2:$E$4000=$AB178)*('2013 E Maize Soil VWC'!$F$2:$F$4000=AC$5),'2013 E Maize Soil VWC'!$G$2:$G$4000)</f>
        <v>0.27637935734463276</v>
      </c>
      <c r="AD178" s="4" cm="1">
        <f t="array" ref="AD178">_xlfn.XLOOKUP(1,('2013 E Maize Soil VWC'!$C$2:$C$4000=$AA178)*('2013 E Maize Soil VWC'!$E$2:$E$4000=$AB178)*('2013 E Maize Soil VWC'!$F$2:$F$4000=AD$5),'2013 E Maize Soil VWC'!$G$2:$G$4000)</f>
        <v>0.27534305437853107</v>
      </c>
      <c r="AE178" s="4" cm="1">
        <f t="array" ref="AE178">_xlfn.XLOOKUP(1,('2013 E Maize Soil VWC'!$C$2:$C$4000=$AA178)*('2013 E Maize Soil VWC'!$E$2:$E$4000=$AB178)*('2013 E Maize Soil VWC'!$F$2:$F$4000=AE$5),'2013 E Maize Soil VWC'!$G$2:$G$4000)</f>
        <v>0.26682234110169489</v>
      </c>
      <c r="AF178" s="4" cm="1">
        <f t="array" ref="AF178">_xlfn.XLOOKUP(1,('2013 E Maize Soil VWC'!$C$2:$C$4000=$AA178)*('2013 E Maize Soil VWC'!$E$2:$E$4000=$AB178)*('2013 E Maize Soil VWC'!$F$2:$F$4000=AF$5),'2013 E Maize Soil VWC'!$G$2:$G$4000)</f>
        <v>0.26099601553672314</v>
      </c>
      <c r="AG178" s="4" cm="1">
        <f t="array" ref="AG178">_xlfn.XLOOKUP(1,('2013 E Maize Soil VWC'!$C$2:$C$4000=$AA178)*('2013 E Maize Soil VWC'!$E$2:$E$4000=$AB178)*('2013 E Maize Soil VWC'!$F$2:$F$4000=AG$5),'2013 E Maize Soil VWC'!$G$2:$G$4000)</f>
        <v>0.28153784322033892</v>
      </c>
      <c r="AH178" s="4" cm="1">
        <f t="array" ref="AH178">_xlfn.XLOOKUP(1,('2013 E Maize Soil VWC'!$C$2:$C$4000=$AA178)*('2013 E Maize Soil VWC'!$E$2:$E$4000=$AB178)*('2013 E Maize Soil VWC'!$F$2:$F$4000=AH$5),'2013 E Maize Soil VWC'!$G$2:$G$4000)</f>
        <v>0.27658661793785305</v>
      </c>
      <c r="AI178" s="4" cm="1">
        <f t="array" ref="AI178">_xlfn.XLOOKUP(1,('2013 E Maize Soil VWC'!$C$2:$C$4000=$AA178)*('2013 E Maize Soil VWC'!$E$2:$E$4000=$AB178)*('2013 E Maize Soil VWC'!$F$2:$F$4000=AI$5),'2013 E Maize Soil VWC'!$G$2:$G$4000)</f>
        <v>0.27200385593220339</v>
      </c>
      <c r="AJ178" s="4" cm="1">
        <f t="array" ref="AJ178">_xlfn.XLOOKUP(1,('2013 E Maize Soil VWC'!$C$2:$C$4000=$AA178)*('2013 E Maize Soil VWC'!$E$2:$E$4000=$AB178)*('2013 E Maize Soil VWC'!$F$2:$F$4000=AJ$5),'2013 E Maize Soil VWC'!$G$2:$G$4000)</f>
        <v>0.26647690677966102</v>
      </c>
      <c r="AK178" s="4" cm="1">
        <f t="array" ref="AK178">_xlfn.XLOOKUP(1,('2013 E Maize Soil VWC'!$C$2:$C$4000=$AA178)*('2013 E Maize Soil VWC'!$E$2:$E$4000=$AB178)*('2013 E Maize Soil VWC'!$F$2:$F$4000=AK$5),'2013 E Maize Soil VWC'!$G$2:$G$4000)</f>
        <v>0.26023606002824856</v>
      </c>
      <c r="AL178" s="4" cm="1">
        <f t="array" ref="AL178">_xlfn.XLOOKUP(1,('2013 E Maize Soil VWC'!$C$2:$C$4000=$AA178)*('2013 E Maize Soil VWC'!$E$2:$E$4000=$AB178)*('2013 E Maize Soil VWC'!$F$2:$F$4000=AL$5),'2013 E Maize Soil VWC'!$G$2:$G$4000)</f>
        <v>0.2858672867231638</v>
      </c>
      <c r="AM178" s="4" cm="1">
        <f t="array" ref="AM178">_xlfn.XLOOKUP(1,('2013 E Maize Soil VWC'!$C$2:$C$4000=$AA178)*('2013 E Maize Soil VWC'!$E$2:$E$4000=$AB178)*('2013 E Maize Soil VWC'!$F$2:$F$4000=AM$5),'2013 E Maize Soil VWC'!$G$2:$G$4000)</f>
        <v>0.28278140677966102</v>
      </c>
      <c r="AN178" s="4" cm="1">
        <f t="array" ref="AN178">_xlfn.XLOOKUP(1,('2013 E Maize Soil VWC'!$C$2:$C$4000=$AA178)*('2013 E Maize Soil VWC'!$E$2:$E$4000=$AB178)*('2013 E Maize Soil VWC'!$F$2:$F$4000=AN$5),'2013 E Maize Soil VWC'!$G$2:$G$4000)</f>
        <v>0.27356982485875708</v>
      </c>
      <c r="AO178" s="4" cm="1">
        <f t="array" ref="AO178">_xlfn.XLOOKUP(1,('2013 E Maize Soil VWC'!$C$2:$C$4000=$AA178)*('2013 E Maize Soil VWC'!$E$2:$E$4000=$AB178)*('2013 E Maize Soil VWC'!$F$2:$F$4000=AO$5),'2013 E Maize Soil VWC'!$G$2:$G$4000)</f>
        <v>0.26286136087570622</v>
      </c>
      <c r="AP178" s="4" cm="1">
        <f t="array" ref="AP178">_xlfn.XLOOKUP(1,('2013 E Maize Soil VWC'!$C$2:$C$4000=$AA178)*('2013 E Maize Soil VWC'!$E$2:$E$4000=$AB178)*('2013 E Maize Soil VWC'!$F$2:$F$4000=AP$5),'2013 E Maize Soil VWC'!$G$2:$G$4000)</f>
        <v>0.2707142344632768</v>
      </c>
      <c r="AQ178" s="4" cm="1">
        <f t="array" ref="AQ178">_xlfn.XLOOKUP(1,('2013 E Maize Soil VWC'!$C$2:$C$4000=$AA178)*('2013 E Maize Soil VWC'!$E$2:$E$4000=$AB178)*('2013 E Maize Soil VWC'!$F$2:$F$4000=AQ$5),'2013 E Maize Soil VWC'!$G$2:$G$4000)</f>
        <v>0.26521031426553671</v>
      </c>
      <c r="AR178" s="4" cm="1">
        <f t="array" ref="AR178">_xlfn.XLOOKUP(1,('2013 E Maize Soil VWC'!$C$2:$C$4000=$AA178)*('2013 E Maize Soil VWC'!$E$2:$E$4000=$AB178)*('2013 E Maize Soil VWC'!$F$2:$F$4000=AR$5),'2013 E Maize Soil VWC'!$G$2:$G$4000)</f>
        <v>0.25530786370056496</v>
      </c>
      <c r="AS178" s="4" cm="1">
        <f t="array" ref="AS178">_xlfn.XLOOKUP(1,('2013 E Maize Soil VWC'!$C$2:$C$4000=$AA178)*('2013 E Maize Soil VWC'!$E$2:$E$4000=$AB178)*('2013 E Maize Soil VWC'!$F$2:$F$4000=AS$5),'2013 E Maize Soil VWC'!$G$2:$G$4000)</f>
        <v>0.27442189618644064</v>
      </c>
      <c r="AT178" s="4" cm="1">
        <f t="array" ref="AT178">_xlfn.XLOOKUP(1,('2013 E Maize Soil VWC'!$C$2:$C$4000=$AA178)*('2013 E Maize Soil VWC'!$E$2:$E$4000=$AB178)*('2013 E Maize Soil VWC'!$F$2:$F$4000=AT$5),'2013 E Maize Soil VWC'!$G$2:$G$4000)</f>
        <v>0.26532545903954802</v>
      </c>
      <c r="AU178" s="4" cm="1">
        <f t="array" ref="AU178">_xlfn.XLOOKUP(1,('2013 E Maize Soil VWC'!$C$2:$C$4000=$AA178)*('2013 E Maize Soil VWC'!$E$2:$E$4000=$AB178)*('2013 E Maize Soil VWC'!$F$2:$F$4000=AU$5),'2013 E Maize Soil VWC'!$G$2:$G$4000)</f>
        <v>0.26085784180790955</v>
      </c>
      <c r="AV178" s="4" cm="1">
        <f t="array" ref="AV178">_xlfn.XLOOKUP(1,('2013 E Maize Soil VWC'!$C$2:$C$4000=$AA178)*('2013 E Maize Soil VWC'!$E$2:$E$4000=$AB178)*('2013 E Maize Soil VWC'!$F$2:$F$4000=AV$5),'2013 E Maize Soil VWC'!$G$2:$G$4000)</f>
        <v>0.27409949081920898</v>
      </c>
    </row>
    <row r="179" spans="25:64" x14ac:dyDescent="0.25">
      <c r="AA179" s="15">
        <f t="shared" si="27"/>
        <v>41543</v>
      </c>
      <c r="AB179" s="4">
        <f t="shared" si="28"/>
        <v>90</v>
      </c>
      <c r="AC179" s="4" cm="1">
        <f t="array" ref="AC179">_xlfn.XLOOKUP(1,('2013 E Maize Soil VWC'!$C$2:$C$4000=$AA179)*('2013 E Maize Soil VWC'!$E$2:$E$4000=$AB179)*('2013 E Maize Soil VWC'!$F$2:$F$4000=AC$5),'2013 E Maize Soil VWC'!$G$2:$G$4000)</f>
        <v>0.29001249858757061</v>
      </c>
      <c r="AD179" s="4" cm="1">
        <f t="array" ref="AD179">_xlfn.XLOOKUP(1,('2013 E Maize Soil VWC'!$C$2:$C$4000=$AA179)*('2013 E Maize Soil VWC'!$E$2:$E$4000=$AB179)*('2013 E Maize Soil VWC'!$F$2:$F$4000=AD$5),'2013 E Maize Soil VWC'!$G$2:$G$4000)</f>
        <v>0.26369040324858756</v>
      </c>
      <c r="AE179" s="4" cm="1">
        <f t="array" ref="AE179">_xlfn.XLOOKUP(1,('2013 E Maize Soil VWC'!$C$2:$C$4000=$AA179)*('2013 E Maize Soil VWC'!$E$2:$E$4000=$AB179)*('2013 E Maize Soil VWC'!$F$2:$F$4000=AE$5),'2013 E Maize Soil VWC'!$G$2:$G$4000)</f>
        <v>0.25860100423728816</v>
      </c>
      <c r="AF179" s="4" cm="1">
        <f t="array" ref="AF179">_xlfn.XLOOKUP(1,('2013 E Maize Soil VWC'!$C$2:$C$4000=$AA179)*('2013 E Maize Soil VWC'!$E$2:$E$4000=$AB179)*('2013 E Maize Soil VWC'!$F$2:$F$4000=AF$5),'2013 E Maize Soil VWC'!$G$2:$G$4000)</f>
        <v>0.26702960169491524</v>
      </c>
      <c r="AG179" s="4" cm="1">
        <f t="array" ref="AG179">_xlfn.XLOOKUP(1,('2013 E Maize Soil VWC'!$C$2:$C$4000=$AA179)*('2013 E Maize Soil VWC'!$E$2:$E$4000=$AB179)*('2013 E Maize Soil VWC'!$F$2:$F$4000=AG$5),'2013 E Maize Soil VWC'!$G$2:$G$4000)</f>
        <v>0.27115178460451977</v>
      </c>
      <c r="AH179" s="4" cm="1">
        <f t="array" ref="AH179">_xlfn.XLOOKUP(1,('2013 E Maize Soil VWC'!$C$2:$C$4000=$AA179)*('2013 E Maize Soil VWC'!$E$2:$E$4000=$AB179)*('2013 E Maize Soil VWC'!$F$2:$F$4000=AH$5),'2013 E Maize Soil VWC'!$G$2:$G$4000)</f>
        <v>0.26260804237288132</v>
      </c>
      <c r="AI179" s="4" cm="1">
        <f t="array" ref="AI179">_xlfn.XLOOKUP(1,('2013 E Maize Soil VWC'!$C$2:$C$4000=$AA179)*('2013 E Maize Soil VWC'!$E$2:$E$4000=$AB179)*('2013 E Maize Soil VWC'!$F$2:$F$4000=AI$5),'2013 E Maize Soil VWC'!$G$2:$G$4000)</f>
        <v>0.26380554802259887</v>
      </c>
      <c r="AJ179" s="4" cm="1">
        <f t="array" ref="AJ179">_xlfn.XLOOKUP(1,('2013 E Maize Soil VWC'!$C$2:$C$4000=$AA179)*('2013 E Maize Soil VWC'!$E$2:$E$4000=$AB179)*('2013 E Maize Soil VWC'!$F$2:$F$4000=AJ$5),'2013 E Maize Soil VWC'!$G$2:$G$4000)</f>
        <v>0.27644844420903952</v>
      </c>
      <c r="AK179" s="4" cm="1">
        <f t="array" ref="AK179">_xlfn.XLOOKUP(1,('2013 E Maize Soil VWC'!$C$2:$C$4000=$AA179)*('2013 E Maize Soil VWC'!$E$2:$E$4000=$AB179)*('2013 E Maize Soil VWC'!$F$2:$F$4000=AK$5),'2013 E Maize Soil VWC'!$G$2:$G$4000)</f>
        <v>0.26643084887005647</v>
      </c>
      <c r="AL179" s="4" cm="1">
        <f t="array" ref="AL179">_xlfn.XLOOKUP(1,('2013 E Maize Soil VWC'!$C$2:$C$4000=$AA179)*('2013 E Maize Soil VWC'!$E$2:$E$4000=$AB179)*('2013 E Maize Soil VWC'!$F$2:$F$4000=AL$5),'2013 E Maize Soil VWC'!$G$2:$G$4000)</f>
        <v>0.27025365536723162</v>
      </c>
      <c r="AM179" s="4" cm="1">
        <f t="array" ref="AM179">_xlfn.XLOOKUP(1,('2013 E Maize Soil VWC'!$C$2:$C$4000=$AA179)*('2013 E Maize Soil VWC'!$E$2:$E$4000=$AB179)*('2013 E Maize Soil VWC'!$F$2:$F$4000=AM$5),'2013 E Maize Soil VWC'!$G$2:$G$4000)</f>
        <v>0.26613147245762708</v>
      </c>
      <c r="AN179" s="4" cm="1">
        <f t="array" ref="AN179">_xlfn.XLOOKUP(1,('2013 E Maize Soil VWC'!$C$2:$C$4000=$AA179)*('2013 E Maize Soil VWC'!$E$2:$E$4000=$AB179)*('2013 E Maize Soil VWC'!$F$2:$F$4000=AN$5),'2013 E Maize Soil VWC'!$G$2:$G$4000)</f>
        <v>0.2806166850282486</v>
      </c>
      <c r="AO179" s="4" cm="1">
        <f t="array" ref="AO179">_xlfn.XLOOKUP(1,('2013 E Maize Soil VWC'!$C$2:$C$4000=$AA179)*('2013 E Maize Soil VWC'!$E$2:$E$4000=$AB179)*('2013 E Maize Soil VWC'!$F$2:$F$4000=AO$5),'2013 E Maize Soil VWC'!$G$2:$G$4000)</f>
        <v>0.25719623799435026</v>
      </c>
      <c r="AP179" s="4" cm="1">
        <f t="array" ref="AP179">_xlfn.XLOOKUP(1,('2013 E Maize Soil VWC'!$C$2:$C$4000=$AA179)*('2013 E Maize Soil VWC'!$E$2:$E$4000=$AB179)*('2013 E Maize Soil VWC'!$F$2:$F$4000=AP$5),'2013 E Maize Soil VWC'!$G$2:$G$4000)</f>
        <v>0.25689686158192093</v>
      </c>
      <c r="AQ179" s="4" cm="1">
        <f t="array" ref="AQ179">_xlfn.XLOOKUP(1,('2013 E Maize Soil VWC'!$C$2:$C$4000=$AA179)*('2013 E Maize Soil VWC'!$E$2:$E$4000=$AB179)*('2013 E Maize Soil VWC'!$F$2:$F$4000=AQ$5),'2013 E Maize Soil VWC'!$G$2:$G$4000)</f>
        <v>0.25362675000000001</v>
      </c>
      <c r="AR179" s="4" cm="1">
        <f t="array" ref="AR179">_xlfn.XLOOKUP(1,('2013 E Maize Soil VWC'!$C$2:$C$4000=$AA179)*('2013 E Maize Soil VWC'!$E$2:$E$4000=$AB179)*('2013 E Maize Soil VWC'!$F$2:$F$4000=AR$5),'2013 E Maize Soil VWC'!$G$2:$G$4000)</f>
        <v>0.2406614484463277</v>
      </c>
      <c r="AS179" s="4" cm="1">
        <f t="array" ref="AS179">_xlfn.XLOOKUP(1,('2013 E Maize Soil VWC'!$C$2:$C$4000=$AA179)*('2013 E Maize Soil VWC'!$E$2:$E$4000=$AB179)*('2013 E Maize Soil VWC'!$F$2:$F$4000=AS$5),'2013 E Maize Soil VWC'!$G$2:$G$4000)</f>
        <v>0.26629267514124294</v>
      </c>
      <c r="AT179" s="4" cm="1">
        <f t="array" ref="AT179">_xlfn.XLOOKUP(1,('2013 E Maize Soil VWC'!$C$2:$C$4000=$AA179)*('2013 E Maize Soil VWC'!$E$2:$E$4000=$AB179)*('2013 E Maize Soil VWC'!$F$2:$F$4000=AT$5),'2013 E Maize Soil VWC'!$G$2:$G$4000)</f>
        <v>0.27568848870056495</v>
      </c>
      <c r="AU179" s="4" cm="1">
        <f t="array" ref="AU179">_xlfn.XLOOKUP(1,('2013 E Maize Soil VWC'!$C$2:$C$4000=$AA179)*('2013 E Maize Soil VWC'!$E$2:$E$4000=$AB179)*('2013 E Maize Soil VWC'!$F$2:$F$4000=AU$5),'2013 E Maize Soil VWC'!$G$2:$G$4000)</f>
        <v>0.27041485805084742</v>
      </c>
      <c r="AV179" s="4" cm="1">
        <f t="array" ref="AV179">_xlfn.XLOOKUP(1,('2013 E Maize Soil VWC'!$C$2:$C$4000=$AA179)*('2013 E Maize Soil VWC'!$E$2:$E$4000=$AB179)*('2013 E Maize Soil VWC'!$F$2:$F$4000=AV$5),'2013 E Maize Soil VWC'!$G$2:$G$4000)</f>
        <v>0.26696051483050842</v>
      </c>
    </row>
    <row r="180" spans="25:64" x14ac:dyDescent="0.25">
      <c r="AA180" s="15">
        <f t="shared" si="27"/>
        <v>41543</v>
      </c>
      <c r="AB180" s="4">
        <f t="shared" si="28"/>
        <v>110</v>
      </c>
      <c r="AC180" s="4" cm="1">
        <f t="array" ref="AC180">_xlfn.XLOOKUP(1,('2013 E Maize Soil VWC'!$C$2:$C$4000=$AA180)*('2013 E Maize Soil VWC'!$E$2:$E$4000=$AB180)*('2013 E Maize Soil VWC'!$F$2:$F$4000=AC$5),'2013 E Maize Soil VWC'!$G$2:$G$4000)</f>
        <v>0.32531588629943503</v>
      </c>
      <c r="AD180" s="4" cm="1">
        <f t="array" ref="AD180">_xlfn.XLOOKUP(1,('2013 E Maize Soil VWC'!$C$2:$C$4000=$AA180)*('2013 E Maize Soil VWC'!$E$2:$E$4000=$AB180)*('2013 E Maize Soil VWC'!$F$2:$F$4000=AD$5),'2013 E Maize Soil VWC'!$G$2:$G$4000)</f>
        <v>0.30355352401129942</v>
      </c>
      <c r="AE180" s="4" cm="1">
        <f t="array" ref="AE180">_xlfn.XLOOKUP(1,('2013 E Maize Soil VWC'!$C$2:$C$4000=$AA180)*('2013 E Maize Soil VWC'!$E$2:$E$4000=$AB180)*('2013 E Maize Soil VWC'!$F$2:$F$4000=AE$5),'2013 E Maize Soil VWC'!$G$2:$G$4000)</f>
        <v>0.30099731002824859</v>
      </c>
      <c r="AF180" s="4" cm="1">
        <f t="array" ref="AF180">_xlfn.XLOOKUP(1,('2013 E Maize Soil VWC'!$C$2:$C$4000=$AA180)*('2013 E Maize Soil VWC'!$E$2:$E$4000=$AB180)*('2013 E Maize Soil VWC'!$F$2:$F$4000=AF$5),'2013 E Maize Soil VWC'!$G$2:$G$4000)</f>
        <v>0.31066947104519771</v>
      </c>
      <c r="AG180" s="4" cm="1">
        <f t="array" ref="AG180">_xlfn.XLOOKUP(1,('2013 E Maize Soil VWC'!$C$2:$C$4000=$AA180)*('2013 E Maize Soil VWC'!$E$2:$E$4000=$AB180)*('2013 E Maize Soil VWC'!$F$2:$F$4000=AG$5),'2013 E Maize Soil VWC'!$G$2:$G$4000)</f>
        <v>0.30330020550847459</v>
      </c>
      <c r="AH180" s="4" cm="1">
        <f t="array" ref="AH180">_xlfn.XLOOKUP(1,('2013 E Maize Soil VWC'!$C$2:$C$4000=$AA180)*('2013 E Maize Soil VWC'!$E$2:$E$4000=$AB180)*('2013 E Maize Soil VWC'!$F$2:$F$4000=AH$5),'2013 E Maize Soil VWC'!$G$2:$G$4000)</f>
        <v>0.3060406511299435</v>
      </c>
      <c r="AI180" s="4" cm="1">
        <f t="array" ref="AI180">_xlfn.XLOOKUP(1,('2013 E Maize Soil VWC'!$C$2:$C$4000=$AA180)*('2013 E Maize Soil VWC'!$E$2:$E$4000=$AB180)*('2013 E Maize Soil VWC'!$F$2:$F$4000=AI$5),'2013 E Maize Soil VWC'!$G$2:$G$4000)</f>
        <v>0.31753209957627115</v>
      </c>
      <c r="AJ180" s="4" cm="1">
        <f t="array" ref="AJ180">_xlfn.XLOOKUP(1,('2013 E Maize Soil VWC'!$C$2:$C$4000=$AA180)*('2013 E Maize Soil VWC'!$E$2:$E$4000=$AB180)*('2013 E Maize Soil VWC'!$F$2:$F$4000=AJ$5),'2013 E Maize Soil VWC'!$G$2:$G$4000)</f>
        <v>0.32607584180790961</v>
      </c>
      <c r="AK180" s="4" cm="1">
        <f t="array" ref="AK180">_xlfn.XLOOKUP(1,('2013 E Maize Soil VWC'!$C$2:$C$4000=$AA180)*('2013 E Maize Soil VWC'!$E$2:$E$4000=$AB180)*('2013 E Maize Soil VWC'!$F$2:$F$4000=AK$5),'2013 E Maize Soil VWC'!$G$2:$G$4000)</f>
        <v>0.31497588559322032</v>
      </c>
      <c r="AL180" s="4" cm="1">
        <f t="array" ref="AL180">_xlfn.XLOOKUP(1,('2013 E Maize Soil VWC'!$C$2:$C$4000=$AA180)*('2013 E Maize Soil VWC'!$E$2:$E$4000=$AB180)*('2013 E Maize Soil VWC'!$F$2:$F$4000=AL$5),'2013 E Maize Soil VWC'!$G$2:$G$4000)</f>
        <v>0.29401953672316383</v>
      </c>
      <c r="AM180" s="4" cm="1">
        <f t="array" ref="AM180">_xlfn.XLOOKUP(1,('2013 E Maize Soil VWC'!$C$2:$C$4000=$AA180)*('2013 E Maize Soil VWC'!$E$2:$E$4000=$AB180)*('2013 E Maize Soil VWC'!$F$2:$F$4000=AM$5),'2013 E Maize Soil VWC'!$G$2:$G$4000)</f>
        <v>0.28070880084745758</v>
      </c>
      <c r="AN180" s="4" cm="1">
        <f t="array" ref="AN180">_xlfn.XLOOKUP(1,('2013 E Maize Soil VWC'!$C$2:$C$4000=$AA180)*('2013 E Maize Soil VWC'!$E$2:$E$4000=$AB180)*('2013 E Maize Soil VWC'!$F$2:$F$4000=AN$5),'2013 E Maize Soil VWC'!$G$2:$G$4000)</f>
        <v>0.31433107485875705</v>
      </c>
      <c r="AO180" s="4" cm="1">
        <f t="array" ref="AO180">_xlfn.XLOOKUP(1,('2013 E Maize Soil VWC'!$C$2:$C$4000=$AA180)*('2013 E Maize Soil VWC'!$E$2:$E$4000=$AB180)*('2013 E Maize Soil VWC'!$F$2:$F$4000=AO$5),'2013 E Maize Soil VWC'!$G$2:$G$4000)</f>
        <v>0.30030644138418078</v>
      </c>
      <c r="AP180" s="4" cm="1">
        <f t="array" ref="AP180">_xlfn.XLOOKUP(1,('2013 E Maize Soil VWC'!$C$2:$C$4000=$AA180)*('2013 E Maize Soil VWC'!$E$2:$E$4000=$AB180)*('2013 E Maize Soil VWC'!$F$2:$F$4000=AP$5),'2013 E Maize Soil VWC'!$G$2:$G$4000)</f>
        <v>0.29597699788135595</v>
      </c>
      <c r="AQ180" s="4" cm="1">
        <f t="array" ref="AQ180">_xlfn.XLOOKUP(1,('2013 E Maize Soil VWC'!$C$2:$C$4000=$AA180)*('2013 E Maize Soil VWC'!$E$2:$E$4000=$AB180)*('2013 E Maize Soil VWC'!$F$2:$F$4000=AQ$5),'2013 E Maize Soil VWC'!$G$2:$G$4000)</f>
        <v>0.28879196398305085</v>
      </c>
      <c r="AR180" s="4" cm="1">
        <f t="array" ref="AR180">_xlfn.XLOOKUP(1,('2013 E Maize Soil VWC'!$C$2:$C$4000=$AA180)*('2013 E Maize Soil VWC'!$E$2:$E$4000=$AB180)*('2013 E Maize Soil VWC'!$F$2:$F$4000=AR$5),'2013 E Maize Soil VWC'!$G$2:$G$4000)</f>
        <v>0.2775308050847457</v>
      </c>
      <c r="AS180" s="4" cm="1">
        <f t="array" ref="AS180">_xlfn.XLOOKUP(1,('2013 E Maize Soil VWC'!$C$2:$C$4000=$AA180)*('2013 E Maize Soil VWC'!$E$2:$E$4000=$AB180)*('2013 E Maize Soil VWC'!$F$2:$F$4000=AS$5),'2013 E Maize Soil VWC'!$G$2:$G$4000)</f>
        <v>0.30138880225988701</v>
      </c>
      <c r="AT180" s="4" cm="1">
        <f t="array" ref="AT180">_xlfn.XLOOKUP(1,('2013 E Maize Soil VWC'!$C$2:$C$4000=$AA180)*('2013 E Maize Soil VWC'!$E$2:$E$4000=$AB180)*('2013 E Maize Soil VWC'!$F$2:$F$4000=AT$5),'2013 E Maize Soil VWC'!$G$2:$G$4000)</f>
        <v>0.3114985134180791</v>
      </c>
      <c r="AU180" s="4" cm="1">
        <f t="array" ref="AU180">_xlfn.XLOOKUP(1,('2013 E Maize Soil VWC'!$C$2:$C$4000=$AA180)*('2013 E Maize Soil VWC'!$E$2:$E$4000=$AB180)*('2013 E Maize Soil VWC'!$F$2:$F$4000=AU$5),'2013 E Maize Soil VWC'!$G$2:$G$4000)</f>
        <v>0.31198212146892651</v>
      </c>
      <c r="AV180" s="4" cm="1">
        <f t="array" ref="AV180">_xlfn.XLOOKUP(1,('2013 E Maize Soil VWC'!$C$2:$C$4000=$AA180)*('2013 E Maize Soil VWC'!$E$2:$E$4000=$AB180)*('2013 E Maize Soil VWC'!$F$2:$F$4000=AV$5),'2013 E Maize Soil VWC'!$G$2:$G$4000)</f>
        <v>0.27508973587570623</v>
      </c>
    </row>
    <row r="181" spans="25:64" x14ac:dyDescent="0.25">
      <c r="AA181" s="15">
        <f t="shared" si="27"/>
        <v>41543</v>
      </c>
      <c r="AB181" s="4">
        <f t="shared" si="28"/>
        <v>130</v>
      </c>
      <c r="AC181" s="4" cm="1">
        <f t="array" ref="AC181">_xlfn.XLOOKUP(1,('2013 E Maize Soil VWC'!$C$2:$C$4000=$AA181)*('2013 E Maize Soil VWC'!$E$2:$E$4000=$AB181)*('2013 E Maize Soil VWC'!$F$2:$F$4000=AC$5),'2013 E Maize Soil VWC'!$G$2:$G$4000)</f>
        <v>0.30090850353107346</v>
      </c>
      <c r="AD181" s="4" cm="1">
        <f t="array" ref="AD181">_xlfn.XLOOKUP(1,('2013 E Maize Soil VWC'!$C$2:$C$4000=$AA181)*('2013 E Maize Soil VWC'!$E$2:$E$4000=$AB181)*('2013 E Maize Soil VWC'!$F$2:$F$4000=AD$5),'2013 E Maize Soil VWC'!$G$2:$G$4000)</f>
        <v>0.29192331920903958</v>
      </c>
      <c r="AE181" s="4" cm="1">
        <f t="array" ref="AE181">_xlfn.XLOOKUP(1,('2013 E Maize Soil VWC'!$C$2:$C$4000=$AA181)*('2013 E Maize Soil VWC'!$E$2:$E$4000=$AB181)*('2013 E Maize Soil VWC'!$F$2:$F$4000=AE$5),'2013 E Maize Soil VWC'!$G$2:$G$4000)</f>
        <v>0.287792875</v>
      </c>
      <c r="AF181" s="4" cm="1">
        <f t="array" ref="AF181">_xlfn.XLOOKUP(1,('2013 E Maize Soil VWC'!$C$2:$C$4000=$AA181)*('2013 E Maize Soil VWC'!$E$2:$E$4000=$AB181)*('2013 E Maize Soil VWC'!$F$2:$F$4000=AF$5),'2013 E Maize Soil VWC'!$G$2:$G$4000)</f>
        <v>0.2913556278248588</v>
      </c>
      <c r="AG181" s="4" cm="1">
        <f t="array" ref="AG181">_xlfn.XLOOKUP(1,('2013 E Maize Soil VWC'!$C$2:$C$4000=$AA181)*('2013 E Maize Soil VWC'!$E$2:$E$4000=$AB181)*('2013 E Maize Soil VWC'!$F$2:$F$4000=AG$5),'2013 E Maize Soil VWC'!$G$2:$G$4000)</f>
        <v>0.31564890395480227</v>
      </c>
      <c r="AH181" s="4" cm="1">
        <f t="array" ref="AH181">_xlfn.XLOOKUP(1,('2013 E Maize Soil VWC'!$C$2:$C$4000=$AA181)*('2013 E Maize Soil VWC'!$E$2:$E$4000=$AB181)*('2013 E Maize Soil VWC'!$F$2:$F$4000=AH$5),'2013 E Maize Soil VWC'!$G$2:$G$4000)</f>
        <v>0.29456602048022601</v>
      </c>
      <c r="AI181" s="4" cm="1">
        <f t="array" ref="AI181">_xlfn.XLOOKUP(1,('2013 E Maize Soil VWC'!$C$2:$C$4000=$AA181)*('2013 E Maize Soil VWC'!$E$2:$E$4000=$AB181)*('2013 E Maize Soil VWC'!$F$2:$F$4000=AI$5),'2013 E Maize Soil VWC'!$G$2:$G$4000)</f>
        <v>0.30642881285310736</v>
      </c>
      <c r="AJ181" s="4" cm="1">
        <f t="array" ref="AJ181">_xlfn.XLOOKUP(1,('2013 E Maize Soil VWC'!$C$2:$C$4000=$AA181)*('2013 E Maize Soil VWC'!$E$2:$E$4000=$AB181)*('2013 E Maize Soil VWC'!$F$2:$F$4000=AJ$5),'2013 E Maize Soil VWC'!$G$2:$G$4000)</f>
        <v>0.34164525423728814</v>
      </c>
      <c r="AK181" s="4" cm="1">
        <f t="array" ref="AK181">_xlfn.XLOOKUP(1,('2013 E Maize Soil VWC'!$C$2:$C$4000=$AA181)*('2013 E Maize Soil VWC'!$E$2:$E$4000=$AB181)*('2013 E Maize Soil VWC'!$F$2:$F$4000=AK$5),'2013 E Maize Soil VWC'!$G$2:$G$4000)</f>
        <v>0.28585489406779663</v>
      </c>
      <c r="AL181" s="4" cm="1">
        <f t="array" ref="AL181">_xlfn.XLOOKUP(1,('2013 E Maize Soil VWC'!$C$2:$C$4000=$AA181)*('2013 E Maize Soil VWC'!$E$2:$E$4000=$AB181)*('2013 E Maize Soil VWC'!$F$2:$F$4000=AL$5),'2013 E Maize Soil VWC'!$G$2:$G$4000)</f>
        <v>0.2951728629943503</v>
      </c>
      <c r="AM181" s="4" cm="1">
        <f t="array" ref="AM181">_xlfn.XLOOKUP(1,('2013 E Maize Soil VWC'!$C$2:$C$4000=$AA181)*('2013 E Maize Soil VWC'!$E$2:$E$4000=$AB181)*('2013 E Maize Soil VWC'!$F$2:$F$4000=AM$5),'2013 E Maize Soil VWC'!$G$2:$G$4000)</f>
        <v>0.29051387853107341</v>
      </c>
      <c r="AN181" s="4" cm="1">
        <f t="array" ref="AN181">_xlfn.XLOOKUP(1,('2013 E Maize Soil VWC'!$C$2:$C$4000=$AA181)*('2013 E Maize Soil VWC'!$E$2:$E$4000=$AB181)*('2013 E Maize Soil VWC'!$F$2:$F$4000=AN$5),'2013 E Maize Soil VWC'!$G$2:$G$4000)</f>
        <v>0.27865108615819212</v>
      </c>
      <c r="AO181" s="4" cm="1">
        <f t="array" ref="AO181">_xlfn.XLOOKUP(1,('2013 E Maize Soil VWC'!$C$2:$C$4000=$AA181)*('2013 E Maize Soil VWC'!$E$2:$E$4000=$AB181)*('2013 E Maize Soil VWC'!$F$2:$F$4000=AO$5),'2013 E Maize Soil VWC'!$G$2:$G$4000)</f>
        <v>0.30965878107344635</v>
      </c>
      <c r="AP181" s="4" cm="1">
        <f t="array" ref="AP181">_xlfn.XLOOKUP(1,('2013 E Maize Soil VWC'!$C$2:$C$4000=$AA181)*('2013 E Maize Soil VWC'!$E$2:$E$4000=$AB181)*('2013 E Maize Soil VWC'!$F$2:$F$4000=AP$5),'2013 E Maize Soil VWC'!$G$2:$G$4000)</f>
        <v>0.30582197033898306</v>
      </c>
      <c r="AQ181" s="4" cm="1">
        <f t="array" ref="AQ181">_xlfn.XLOOKUP(1,('2013 E Maize Soil VWC'!$C$2:$C$4000=$AA181)*('2013 E Maize Soil VWC'!$E$2:$E$4000=$AB181)*('2013 E Maize Soil VWC'!$F$2:$F$4000=AQ$5),'2013 E Maize Soil VWC'!$G$2:$G$4000)</f>
        <v>0.2934893644067797</v>
      </c>
      <c r="AR181" s="4" cm="1">
        <f t="array" ref="AR181">_xlfn.XLOOKUP(1,('2013 E Maize Soil VWC'!$C$2:$C$4000=$AA181)*('2013 E Maize Soil VWC'!$E$2:$E$4000=$AB181)*('2013 E Maize Soil VWC'!$F$2:$F$4000=AR$5),'2013 E Maize Soil VWC'!$G$2:$G$4000)</f>
        <v>0.28712730579096046</v>
      </c>
      <c r="AS181" s="4" cm="1">
        <f t="array" ref="AS181">_xlfn.XLOOKUP(1,('2013 E Maize Soil VWC'!$C$2:$C$4000=$AA181)*('2013 E Maize Soil VWC'!$E$2:$E$4000=$AB181)*('2013 E Maize Soil VWC'!$F$2:$F$4000=AS$5),'2013 E Maize Soil VWC'!$G$2:$G$4000)</f>
        <v>0.29983184745762714</v>
      </c>
      <c r="AT181" s="4" cm="1">
        <f t="array" ref="AT181">_xlfn.XLOOKUP(1,('2013 E Maize Soil VWC'!$C$2:$C$4000=$AA181)*('2013 E Maize Soil VWC'!$E$2:$E$4000=$AB181)*('2013 E Maize Soil VWC'!$F$2:$F$4000=AT$5),'2013 E Maize Soil VWC'!$G$2:$G$4000)</f>
        <v>0.29724787288135596</v>
      </c>
      <c r="AU181" s="4" cm="1">
        <f t="array" ref="AU181">_xlfn.XLOOKUP(1,('2013 E Maize Soil VWC'!$C$2:$C$4000=$AA181)*('2013 E Maize Soil VWC'!$E$2:$E$4000=$AB181)*('2013 E Maize Soil VWC'!$F$2:$F$4000=AU$5),'2013 E Maize Soil VWC'!$G$2:$G$4000)</f>
        <v>0.29503583403954803</v>
      </c>
      <c r="AV181" s="4" cm="1">
        <f t="array" ref="AV181">_xlfn.XLOOKUP(1,('2013 E Maize Soil VWC'!$C$2:$C$4000=$AA181)*('2013 E Maize Soil VWC'!$E$2:$E$4000=$AB181)*('2013 E Maize Soil VWC'!$F$2:$F$4000=AV$5),'2013 E Maize Soil VWC'!$G$2:$G$4000)</f>
        <v>0.25290921822033896</v>
      </c>
    </row>
    <row r="182" spans="25:64" x14ac:dyDescent="0.25">
      <c r="AA182" s="15">
        <f t="shared" si="27"/>
        <v>41543</v>
      </c>
      <c r="AB182" s="4">
        <f t="shared" si="28"/>
        <v>150</v>
      </c>
      <c r="AC182" s="4" cm="1">
        <f t="array" ref="AC182">_xlfn.XLOOKUP(1,('2013 E Maize Soil VWC'!$C$2:$C$4000=$AA182)*('2013 E Maize Soil VWC'!$E$2:$E$4000=$AB182)*('2013 E Maize Soil VWC'!$F$2:$F$4000=AC$5),'2013 E Maize Soil VWC'!$G$2:$G$4000)</f>
        <v>0.31876141878531072</v>
      </c>
      <c r="AD182" s="4" cm="1">
        <f t="array" ref="AD182">_xlfn.XLOOKUP(1,('2013 E Maize Soil VWC'!$C$2:$C$4000=$AA182)*('2013 E Maize Soil VWC'!$E$2:$E$4000=$AB182)*('2013 E Maize Soil VWC'!$F$2:$F$4000=AD$5),'2013 E Maize Soil VWC'!$G$2:$G$4000)</f>
        <v>0.31120525070621474</v>
      </c>
      <c r="AE182" s="4" cm="1">
        <f t="array" ref="AE182">_xlfn.XLOOKUP(1,('2013 E Maize Soil VWC'!$C$2:$C$4000=$AA182)*('2013 E Maize Soil VWC'!$E$2:$E$4000=$AB182)*('2013 E Maize Soil VWC'!$F$2:$F$4000=AE$5),'2013 E Maize Soil VWC'!$G$2:$G$4000)</f>
        <v>0.28317304166666668</v>
      </c>
      <c r="AF182" s="4" cm="1">
        <f t="array" ref="AF182">_xlfn.XLOOKUP(1,('2013 E Maize Soil VWC'!$C$2:$C$4000=$AA182)*('2013 E Maize Soil VWC'!$E$2:$E$4000=$AB182)*('2013 E Maize Soil VWC'!$F$2:$F$4000=AF$5),'2013 E Maize Soil VWC'!$G$2:$G$4000)</f>
        <v>0.27438361299435027</v>
      </c>
      <c r="AG182" s="4" cm="1">
        <f t="array" ref="AG182">_xlfn.XLOOKUP(1,('2013 E Maize Soil VWC'!$C$2:$C$4000=$AA182)*('2013 E Maize Soil VWC'!$E$2:$E$4000=$AB182)*('2013 E Maize Soil VWC'!$F$2:$F$4000=AG$5),'2013 E Maize Soil VWC'!$G$2:$G$4000)</f>
        <v>0.3478115572033898</v>
      </c>
      <c r="AH182" s="4" cm="1">
        <f t="array" ref="AH182">_xlfn.XLOOKUP(1,('2013 E Maize Soil VWC'!$C$2:$C$4000=$AA182)*('2013 E Maize Soil VWC'!$E$2:$E$4000=$AB182)*('2013 E Maize Soil VWC'!$F$2:$F$4000=AH$5),'2013 E Maize Soil VWC'!$G$2:$G$4000)</f>
        <v>0.33757353672316387</v>
      </c>
      <c r="AI182" s="4" cm="1">
        <f t="array" ref="AI182">_xlfn.XLOOKUP(1,('2013 E Maize Soil VWC'!$C$2:$C$4000=$AA182)*('2013 E Maize Soil VWC'!$E$2:$E$4000=$AB182)*('2013 E Maize Soil VWC'!$F$2:$F$4000=AI$5),'2013 E Maize Soil VWC'!$G$2:$G$4000)</f>
        <v>0.31132270409604518</v>
      </c>
      <c r="AJ182" s="4" cm="1">
        <f t="array" ref="AJ182">_xlfn.XLOOKUP(1,('2013 E Maize Soil VWC'!$C$2:$C$4000=$AA182)*('2013 E Maize Soil VWC'!$E$2:$E$4000=$AB182)*('2013 E Maize Soil VWC'!$F$2:$F$4000=AJ$5),'2013 E Maize Soil VWC'!$G$2:$G$4000)</f>
        <v>0.31928995903954804</v>
      </c>
      <c r="AK182" s="4" cm="1">
        <f t="array" ref="AK182">_xlfn.XLOOKUP(1,('2013 E Maize Soil VWC'!$C$2:$C$4000=$AA182)*('2013 E Maize Soil VWC'!$E$2:$E$4000=$AB182)*('2013 E Maize Soil VWC'!$F$2:$F$4000=AK$5),'2013 E Maize Soil VWC'!$G$2:$G$4000)</f>
        <v>0.31326068502824861</v>
      </c>
      <c r="AL182" s="4" cm="1">
        <f t="array" ref="AL182">_xlfn.XLOOKUP(1,('2013 E Maize Soil VWC'!$C$2:$C$4000=$AA182)*('2013 E Maize Soil VWC'!$E$2:$E$4000=$AB182)*('2013 E Maize Soil VWC'!$F$2:$F$4000=AL$5),'2013 E Maize Soil VWC'!$G$2:$G$4000)</f>
        <v>0.32551498870056494</v>
      </c>
      <c r="AM182" s="4" cm="1">
        <f t="array" ref="AM182">_xlfn.XLOOKUP(1,('2013 E Maize Soil VWC'!$C$2:$C$4000=$AA182)*('2013 E Maize Soil VWC'!$E$2:$E$4000=$AB182)*('2013 E Maize Soil VWC'!$F$2:$F$4000=AM$5),'2013 E Maize Soil VWC'!$G$2:$G$4000)</f>
        <v>0.32571074435028252</v>
      </c>
      <c r="AN182" s="4" cm="1">
        <f t="array" ref="AN182">_xlfn.XLOOKUP(1,('2013 E Maize Soil VWC'!$C$2:$C$4000=$AA182)*('2013 E Maize Soil VWC'!$E$2:$E$4000=$AB182)*('2013 E Maize Soil VWC'!$F$2:$F$4000=AN$5),'2013 E Maize Soil VWC'!$G$2:$G$4000)</f>
        <v>0.32849047457627123</v>
      </c>
      <c r="AO182" s="4" cm="1">
        <f t="array" ref="AO182">_xlfn.XLOOKUP(1,('2013 E Maize Soil VWC'!$C$2:$C$4000=$AA182)*('2013 E Maize Soil VWC'!$E$2:$E$4000=$AB182)*('2013 E Maize Soil VWC'!$F$2:$F$4000=AO$5),'2013 E Maize Soil VWC'!$G$2:$G$4000)</f>
        <v>0.30357078036723167</v>
      </c>
      <c r="AP182" s="4" cm="1">
        <f t="array" ref="AP182">_xlfn.XLOOKUP(1,('2013 E Maize Soil VWC'!$C$2:$C$4000=$AA182)*('2013 E Maize Soil VWC'!$E$2:$E$4000=$AB182)*('2013 E Maize Soil VWC'!$F$2:$F$4000=AP$5),'2013 E Maize Soil VWC'!$G$2:$G$4000)</f>
        <v>0.2939200268361582</v>
      </c>
      <c r="AQ182" s="4" cm="1">
        <f t="array" ref="AQ182">_xlfn.XLOOKUP(1,('2013 E Maize Soil VWC'!$C$2:$C$4000=$AA182)*('2013 E Maize Soil VWC'!$E$2:$E$4000=$AB182)*('2013 E Maize Soil VWC'!$F$2:$F$4000=AQ$5),'2013 E Maize Soil VWC'!$G$2:$G$4000)</f>
        <v>0.33228813418079095</v>
      </c>
      <c r="AR182" s="4" cm="1">
        <f t="array" ref="AR182">_xlfn.XLOOKUP(1,('2013 E Maize Soil VWC'!$C$2:$C$4000=$AA182)*('2013 E Maize Soil VWC'!$E$2:$E$4000=$AB182)*('2013 E Maize Soil VWC'!$F$2:$F$4000=AR$5),'2013 E Maize Soil VWC'!$G$2:$G$4000)</f>
        <v>0.32265695621468926</v>
      </c>
      <c r="AS182" s="4" cm="1">
        <f t="array" ref="AS182">_xlfn.XLOOKUP(1,('2013 E Maize Soil VWC'!$C$2:$C$4000=$AA182)*('2013 E Maize Soil VWC'!$E$2:$E$4000=$AB182)*('2013 E Maize Soil VWC'!$F$2:$F$4000=AS$5),'2013 E Maize Soil VWC'!$G$2:$G$4000)</f>
        <v>0.30840594491525425</v>
      </c>
      <c r="AT182" s="4" cm="1">
        <f t="array" ref="AT182">_xlfn.XLOOKUP(1,('2013 E Maize Soil VWC'!$C$2:$C$4000=$AA182)*('2013 E Maize Soil VWC'!$E$2:$E$4000=$AB182)*('2013 E Maize Soil VWC'!$F$2:$F$4000=AT$5),'2013 E Maize Soil VWC'!$G$2:$G$4000)</f>
        <v>0.32361615889830508</v>
      </c>
      <c r="AU182" s="4" cm="1">
        <f t="array" ref="AU182">_xlfn.XLOOKUP(1,('2013 E Maize Soil VWC'!$C$2:$C$4000=$AA182)*('2013 E Maize Soil VWC'!$E$2:$E$4000=$AB182)*('2013 E Maize Soil VWC'!$F$2:$F$4000=AU$5),'2013 E Maize Soil VWC'!$G$2:$G$4000)</f>
        <v>0.3261218312146893</v>
      </c>
      <c r="AV182" s="4" cm="1">
        <f t="array" ref="AV182">_xlfn.XLOOKUP(1,('2013 E Maize Soil VWC'!$C$2:$C$4000=$AA182)*('2013 E Maize Soil VWC'!$E$2:$E$4000=$AB182)*('2013 E Maize Soil VWC'!$F$2:$F$4000=AV$5),'2013 E Maize Soil VWC'!$G$2:$G$4000)</f>
        <v>0.31995552824858758</v>
      </c>
    </row>
    <row r="183" spans="25:64" x14ac:dyDescent="0.25">
      <c r="AA183" s="15">
        <f t="shared" si="27"/>
        <v>41543</v>
      </c>
      <c r="AB183" s="4">
        <f t="shared" si="28"/>
        <v>170</v>
      </c>
      <c r="AC183" s="4" cm="1">
        <f t="array" ref="AC183">_xlfn.XLOOKUP(1,('2013 E Maize Soil VWC'!$C$2:$C$4000=$AA183)*('2013 E Maize Soil VWC'!$E$2:$E$4000=$AB183)*('2013 E Maize Soil VWC'!$F$2:$F$4000=AC$5),'2013 E Maize Soil VWC'!$G$2:$G$4000)</f>
        <v>0.26109180437853108</v>
      </c>
      <c r="AD183" s="4" cm="1">
        <f t="array" ref="AD183">_xlfn.XLOOKUP(1,('2013 E Maize Soil VWC'!$C$2:$C$4000=$AA183)*('2013 E Maize Soil VWC'!$E$2:$E$4000=$AB183)*('2013 E Maize Soil VWC'!$F$2:$F$4000=AD$5),'2013 E Maize Soil VWC'!$G$2:$G$4000)</f>
        <v>0.2481132048022599</v>
      </c>
      <c r="AE183" s="4" cm="1">
        <f t="array" ref="AE183">_xlfn.XLOOKUP(1,('2013 E Maize Soil VWC'!$C$2:$C$4000=$AA183)*('2013 E Maize Soil VWC'!$E$2:$E$4000=$AB183)*('2013 E Maize Soil VWC'!$F$2:$F$4000=AE$5),'2013 E Maize Soil VWC'!$G$2:$G$4000)</f>
        <v>0.27696758757062145</v>
      </c>
      <c r="AF183" s="4" cm="1">
        <f t="array" ref="AF183">_xlfn.XLOOKUP(1,('2013 E Maize Soil VWC'!$C$2:$C$4000=$AA183)*('2013 E Maize Soil VWC'!$E$2:$E$4000=$AB183)*('2013 E Maize Soil VWC'!$F$2:$F$4000=AF$5),'2013 E Maize Soil VWC'!$G$2:$G$4000)</f>
        <v>0.27935580649717517</v>
      </c>
      <c r="AG183" s="4" cm="1">
        <f t="array" ref="AG183">_xlfn.XLOOKUP(1,('2013 E Maize Soil VWC'!$C$2:$C$4000=$AA183)*('2013 E Maize Soil VWC'!$E$2:$E$4000=$AB183)*('2013 E Maize Soil VWC'!$F$2:$F$4000=AG$5),'2013 E Maize Soil VWC'!$G$2:$G$4000)</f>
        <v>0.32028831285310733</v>
      </c>
      <c r="AH183" s="4" cm="1">
        <f t="array" ref="AH183">_xlfn.XLOOKUP(1,('2013 E Maize Soil VWC'!$C$2:$C$4000=$AA183)*('2013 E Maize Soil VWC'!$E$2:$E$4000=$AB183)*('2013 E Maize Soil VWC'!$F$2:$F$4000=AH$5),'2013 E Maize Soil VWC'!$G$2:$G$4000)</f>
        <v>0.31273214477401129</v>
      </c>
      <c r="AI183" s="4" cm="1">
        <f t="array" ref="AI183">_xlfn.XLOOKUP(1,('2013 E Maize Soil VWC'!$C$2:$C$4000=$AA183)*('2013 E Maize Soil VWC'!$E$2:$E$4000=$AB183)*('2013 E Maize Soil VWC'!$F$2:$F$4000=AI$5),'2013 E Maize Soil VWC'!$G$2:$G$4000)</f>
        <v>0.28558083615819208</v>
      </c>
      <c r="AJ183" s="4" cm="1">
        <f t="array" ref="AJ183">_xlfn.XLOOKUP(1,('2013 E Maize Soil VWC'!$C$2:$C$4000=$AA183)*('2013 E Maize Soil VWC'!$E$2:$E$4000=$AB183)*('2013 E Maize Soil VWC'!$F$2:$F$4000=AJ$5),'2013 E Maize Soil VWC'!$G$2:$G$4000)</f>
        <v>0.29760023305084748</v>
      </c>
      <c r="AK183" s="4" cm="1">
        <f t="array" ref="AK183">_xlfn.XLOOKUP(1,('2013 E Maize Soil VWC'!$C$2:$C$4000=$AA183)*('2013 E Maize Soil VWC'!$E$2:$E$4000=$AB183)*('2013 E Maize Soil VWC'!$F$2:$F$4000=AK$5),'2013 E Maize Soil VWC'!$G$2:$G$4000)</f>
        <v>0.28655961440677968</v>
      </c>
      <c r="AL183" s="4" cm="1">
        <f t="array" ref="AL183">_xlfn.XLOOKUP(1,('2013 E Maize Soil VWC'!$C$2:$C$4000=$AA183)*('2013 E Maize Soil VWC'!$E$2:$E$4000=$AB183)*('2013 E Maize Soil VWC'!$F$2:$F$4000=AL$5),'2013 E Maize Soil VWC'!$G$2:$G$4000)</f>
        <v>0.29237355720338987</v>
      </c>
      <c r="AM183" s="4" cm="1">
        <f t="array" ref="AM183">_xlfn.XLOOKUP(1,('2013 E Maize Soil VWC'!$C$2:$C$4000=$AA183)*('2013 E Maize Soil VWC'!$E$2:$E$4000=$AB183)*('2013 E Maize Soil VWC'!$F$2:$F$4000=AM$5),'2013 E Maize Soil VWC'!$G$2:$G$4000)</f>
        <v>0.31382837641242939</v>
      </c>
      <c r="AN183" s="4" cm="1">
        <f t="array" ref="AN183">_xlfn.XLOOKUP(1,('2013 E Maize Soil VWC'!$C$2:$C$4000=$AA183)*('2013 E Maize Soil VWC'!$E$2:$E$4000=$AB183)*('2013 E Maize Soil VWC'!$F$2:$F$4000=AN$5),'2013 E Maize Soil VWC'!$G$2:$G$4000)</f>
        <v>0.32514305296610169</v>
      </c>
      <c r="AO183" s="4" cm="1">
        <f t="array" ref="AO183">_xlfn.XLOOKUP(1,('2013 E Maize Soil VWC'!$C$2:$C$4000=$AA183)*('2013 E Maize Soil VWC'!$E$2:$E$4000=$AB183)*('2013 E Maize Soil VWC'!$F$2:$F$4000=AO$5),'2013 E Maize Soil VWC'!$G$2:$G$4000)</f>
        <v>0.30043868997175138</v>
      </c>
      <c r="AP183" s="4" cm="1">
        <f t="array" ref="AP183">_xlfn.XLOOKUP(1,('2013 E Maize Soil VWC'!$C$2:$C$4000=$AA183)*('2013 E Maize Soil VWC'!$E$2:$E$4000=$AB183)*('2013 E Maize Soil VWC'!$F$2:$F$4000=AP$5),'2013 E Maize Soil VWC'!$G$2:$G$4000)</f>
        <v>0.31236020903954803</v>
      </c>
      <c r="AQ183" s="4" cm="1">
        <f t="array" ref="AQ183">_xlfn.XLOOKUP(1,('2013 E Maize Soil VWC'!$C$2:$C$4000=$AA183)*('2013 E Maize Soil VWC'!$E$2:$E$4000=$AB183)*('2013 E Maize Soil VWC'!$F$2:$F$4000=AQ$5),'2013 E Maize Soil VWC'!$G$2:$G$4000)</f>
        <v>0.32486899505649719</v>
      </c>
      <c r="AR183" s="4" cm="1">
        <f t="array" ref="AR183">_xlfn.XLOOKUP(1,('2013 E Maize Soil VWC'!$C$2:$C$4000=$AA183)*('2013 E Maize Soil VWC'!$E$2:$E$4000=$AB183)*('2013 E Maize Soil VWC'!$F$2:$F$4000=AR$5),'2013 E Maize Soil VWC'!$G$2:$G$4000)</f>
        <v>0.3220696892655367</v>
      </c>
      <c r="AS183" s="4" cm="1">
        <f t="array" ref="AS183">_xlfn.XLOOKUP(1,('2013 E Maize Soil VWC'!$C$2:$C$4000=$AA183)*('2013 E Maize Soil VWC'!$E$2:$E$4000=$AB183)*('2013 E Maize Soil VWC'!$F$2:$F$4000=AS$5),'2013 E Maize Soil VWC'!$G$2:$G$4000)</f>
        <v>0.31057883262711866</v>
      </c>
      <c r="AT183" s="4" cm="1">
        <f t="array" ref="AT183">_xlfn.XLOOKUP(1,('2013 E Maize Soil VWC'!$C$2:$C$4000=$AA183)*('2013 E Maize Soil VWC'!$E$2:$E$4000=$AB183)*('2013 E Maize Soil VWC'!$F$2:$F$4000=AT$5),'2013 E Maize Soil VWC'!$G$2:$G$4000)</f>
        <v>0.31823287853107346</v>
      </c>
      <c r="AU183" s="4" cm="1">
        <f t="array" ref="AU183">_xlfn.XLOOKUP(1,('2013 E Maize Soil VWC'!$C$2:$C$4000=$AA183)*('2013 E Maize Soil VWC'!$E$2:$E$4000=$AB183)*('2013 E Maize Soil VWC'!$F$2:$F$4000=AU$5),'2013 E Maize Soil VWC'!$G$2:$G$4000)</f>
        <v>0.30488234322033902</v>
      </c>
      <c r="AV183" s="4" cm="1">
        <f t="array" ref="AV183">_xlfn.XLOOKUP(1,('2013 E Maize Soil VWC'!$C$2:$C$4000=$AA183)*('2013 E Maize Soil VWC'!$E$2:$E$4000=$AB183)*('2013 E Maize Soil VWC'!$F$2:$F$4000=AV$5),'2013 E Maize Soil VWC'!$G$2:$G$4000)</f>
        <v>0.30566536581920906</v>
      </c>
    </row>
    <row r="184" spans="25:64" x14ac:dyDescent="0.25">
      <c r="AA184" s="15">
        <f t="shared" si="27"/>
        <v>41543</v>
      </c>
      <c r="AB184" s="4">
        <f t="shared" si="28"/>
        <v>190</v>
      </c>
      <c r="AC184" s="4" cm="1">
        <f t="array" ref="AC184">_xlfn.XLOOKUP(1,('2013 E Maize Soil VWC'!$C$2:$C$4000=$AA184)*('2013 E Maize Soil VWC'!$E$2:$E$4000=$AB184)*('2013 E Maize Soil VWC'!$F$2:$F$4000=AC$5),'2013 E Maize Soil VWC'!$G$2:$G$4000)</f>
        <v>0.27166260946327686</v>
      </c>
      <c r="AD184" s="4" cm="1">
        <f t="array" ref="AD184">_xlfn.XLOOKUP(1,('2013 E Maize Soil VWC'!$C$2:$C$4000=$AA184)*('2013 E Maize Soil VWC'!$E$2:$E$4000=$AB184)*('2013 E Maize Soil VWC'!$F$2:$F$4000=AD$5),'2013 E Maize Soil VWC'!$G$2:$G$4000)</f>
        <v>0.27397252612994349</v>
      </c>
      <c r="AE184" s="4" cm="1">
        <f t="array" ref="AE184">_xlfn.XLOOKUP(1,('2013 E Maize Soil VWC'!$C$2:$C$4000=$AA184)*('2013 E Maize Soil VWC'!$E$2:$E$4000=$AB184)*('2013 E Maize Soil VWC'!$F$2:$F$4000=AE$5),'2013 E Maize Soil VWC'!$G$2:$G$4000)</f>
        <v>0.26896118149717513</v>
      </c>
      <c r="AF184" s="4" cm="1">
        <f t="array" ref="AF184">_xlfn.XLOOKUP(1,('2013 E Maize Soil VWC'!$C$2:$C$4000=$AA184)*('2013 E Maize Soil VWC'!$E$2:$E$4000=$AB184)*('2013 E Maize Soil VWC'!$F$2:$F$4000=AF$5),'2013 E Maize Soil VWC'!$G$2:$G$4000)</f>
        <v>0.28088270056497178</v>
      </c>
      <c r="AG184" s="4" cm="1">
        <f t="array" ref="AG184">_xlfn.XLOOKUP(1,('2013 E Maize Soil VWC'!$C$2:$C$4000=$AA184)*('2013 E Maize Soil VWC'!$E$2:$E$4000=$AB184)*('2013 E Maize Soil VWC'!$F$2:$F$4000=AG$5),'2013 E Maize Soil VWC'!$G$2:$G$4000)</f>
        <v>0.3284121723163842</v>
      </c>
      <c r="AH184" s="4" cm="1">
        <f t="array" ref="AH184">_xlfn.XLOOKUP(1,('2013 E Maize Soil VWC'!$C$2:$C$4000=$AA184)*('2013 E Maize Soil VWC'!$E$2:$E$4000=$AB184)*('2013 E Maize Soil VWC'!$F$2:$F$4000=AH$5),'2013 E Maize Soil VWC'!$G$2:$G$4000)</f>
        <v>0.33375630155367231</v>
      </c>
      <c r="AI184" s="4" cm="1">
        <f t="array" ref="AI184">_xlfn.XLOOKUP(1,('2013 E Maize Soil VWC'!$C$2:$C$4000=$AA184)*('2013 E Maize Soil VWC'!$E$2:$E$4000=$AB184)*('2013 E Maize Soil VWC'!$F$2:$F$4000=AI$5),'2013 E Maize Soil VWC'!$G$2:$G$4000)</f>
        <v>0.26363662782485875</v>
      </c>
      <c r="AJ184" s="4" cm="1">
        <f t="array" ref="AJ184">_xlfn.XLOOKUP(1,('2013 E Maize Soil VWC'!$C$2:$C$4000=$AA184)*('2013 E Maize Soil VWC'!$E$2:$E$4000=$AB184)*('2013 E Maize Soil VWC'!$F$2:$F$4000=AJ$5),'2013 E Maize Soil VWC'!$G$2:$G$4000)</f>
        <v>0.28346667514124296</v>
      </c>
      <c r="AK184" s="4" cm="1">
        <f t="array" ref="AK184">_xlfn.XLOOKUP(1,('2013 E Maize Soil VWC'!$C$2:$C$4000=$AA184)*('2013 E Maize Soil VWC'!$E$2:$E$4000=$AB184)*('2013 E Maize Soil VWC'!$F$2:$F$4000=AK$5),'2013 E Maize Soil VWC'!$G$2:$G$4000)</f>
        <v>0.27322865466101692</v>
      </c>
      <c r="AL184" s="4" cm="1">
        <f t="array" ref="AL184">_xlfn.XLOOKUP(1,('2013 E Maize Soil VWC'!$C$2:$C$4000=$AA184)*('2013 E Maize Soil VWC'!$E$2:$E$4000=$AB184)*('2013 E Maize Soil VWC'!$F$2:$F$4000=AL$5),'2013 E Maize Soil VWC'!$G$2:$G$4000)</f>
        <v>0.27759400564971753</v>
      </c>
      <c r="AM184" s="4" cm="1">
        <f t="array" ref="AM184">_xlfn.XLOOKUP(1,('2013 E Maize Soil VWC'!$C$2:$C$4000=$AA184)*('2013 E Maize Soil VWC'!$E$2:$E$4000=$AB184)*('2013 E Maize Soil VWC'!$F$2:$F$4000=AM$5),'2013 E Maize Soil VWC'!$G$2:$G$4000)</f>
        <v>0.29897052259887003</v>
      </c>
      <c r="AN184" s="4" cm="1">
        <f t="array" ref="AN184">_xlfn.XLOOKUP(1,('2013 E Maize Soil VWC'!$C$2:$C$4000=$AA184)*('2013 E Maize Soil VWC'!$E$2:$E$4000=$AB184)*('2013 E Maize Soil VWC'!$F$2:$F$4000=AN$5),'2013 E Maize Soil VWC'!$G$2:$G$4000)</f>
        <v>0.30384483827683617</v>
      </c>
      <c r="AO184" s="4" cm="1">
        <f t="array" ref="AO184">_xlfn.XLOOKUP(1,('2013 E Maize Soil VWC'!$C$2:$C$4000=$AA184)*('2013 E Maize Soil VWC'!$E$2:$E$4000=$AB184)*('2013 E Maize Soil VWC'!$F$2:$F$4000=AO$5),'2013 E Maize Soil VWC'!$G$2:$G$4000)</f>
        <v>0.2950162584745763</v>
      </c>
      <c r="AP184" s="4" cm="1">
        <f t="array" ref="AP184">_xlfn.XLOOKUP(1,('2013 E Maize Soil VWC'!$C$2:$C$4000=$AA184)*('2013 E Maize Soil VWC'!$E$2:$E$4000=$AB184)*('2013 E Maize Soil VWC'!$F$2:$F$4000=AP$5),'2013 E Maize Soil VWC'!$G$2:$G$4000)</f>
        <v>0.29027897175141243</v>
      </c>
      <c r="AQ184" s="4" cm="1">
        <f t="array" ref="AQ184">_xlfn.XLOOKUP(1,('2013 E Maize Soil VWC'!$C$2:$C$4000=$AA184)*('2013 E Maize Soil VWC'!$E$2:$E$4000=$AB184)*('2013 E Maize Soil VWC'!$F$2:$F$4000=AQ$5),'2013 E Maize Soil VWC'!$G$2:$G$4000)</f>
        <v>0.32692442937853106</v>
      </c>
      <c r="AR184" s="4" cm="1">
        <f t="array" ref="AR184">_xlfn.XLOOKUP(1,('2013 E Maize Soil VWC'!$C$2:$C$4000=$AA184)*('2013 E Maize Soil VWC'!$E$2:$E$4000=$AB184)*('2013 E Maize Soil VWC'!$F$2:$F$4000=AR$5),'2013 E Maize Soil VWC'!$G$2:$G$4000)</f>
        <v>0.32833387005649722</v>
      </c>
      <c r="AS184" s="4" cm="1">
        <f t="array" ref="AS184">_xlfn.XLOOKUP(1,('2013 E Maize Soil VWC'!$C$2:$C$4000=$AA184)*('2013 E Maize Soil VWC'!$E$2:$E$4000=$AB184)*('2013 E Maize Soil VWC'!$F$2:$F$4000=AS$5),'2013 E Maize Soil VWC'!$G$2:$G$4000)</f>
        <v>0.31414158545197746</v>
      </c>
      <c r="AT184" s="4" cm="1">
        <f t="array" ref="AT184">_xlfn.XLOOKUP(1,('2013 E Maize Soil VWC'!$C$2:$C$4000=$AA184)*('2013 E Maize Soil VWC'!$E$2:$E$4000=$AB184)*('2013 E Maize Soil VWC'!$F$2:$F$4000=AT$5),'2013 E Maize Soil VWC'!$G$2:$G$4000)</f>
        <v>0.30529343008474574</v>
      </c>
      <c r="AU184" s="4" cm="1">
        <f t="array" ref="AU184">_xlfn.XLOOKUP(1,('2013 E Maize Soil VWC'!$C$2:$C$4000=$AA184)*('2013 E Maize Soil VWC'!$E$2:$E$4000=$AB184)*('2013 E Maize Soil VWC'!$F$2:$F$4000=AU$5),'2013 E Maize Soil VWC'!$G$2:$G$4000)</f>
        <v>0.29294124858757059</v>
      </c>
      <c r="AV184" s="4" cm="1">
        <f t="array" ref="AV184">_xlfn.XLOOKUP(1,('2013 E Maize Soil VWC'!$C$2:$C$4000=$AA184)*('2013 E Maize Soil VWC'!$E$2:$E$4000=$AB184)*('2013 E Maize Soil VWC'!$F$2:$F$4000=AV$5),'2013 E Maize Soil VWC'!$G$2:$G$4000)</f>
        <v>0.29045515183615822</v>
      </c>
    </row>
    <row r="185" spans="25:64" x14ac:dyDescent="0.25">
      <c r="AA185" s="15">
        <f t="shared" si="27"/>
        <v>41543</v>
      </c>
      <c r="AB185" s="4">
        <f t="shared" si="28"/>
        <v>210</v>
      </c>
      <c r="AC185" s="4" cm="1">
        <f t="array" ref="AC185">_xlfn.XLOOKUP(1,('2013 E Maize Soil VWC'!$C$2:$C$4000=$AA185)*('2013 E Maize Soil VWC'!$E$2:$E$4000=$AB185)*('2013 E Maize Soil VWC'!$F$2:$F$4000=AC$5),'2013 E Maize Soil VWC'!$G$2:$G$4000)</f>
        <v>0.29114029661016949</v>
      </c>
      <c r="AD185" s="4" cm="1">
        <f t="array" ref="AD185">_xlfn.XLOOKUP(1,('2013 E Maize Soil VWC'!$C$2:$C$4000=$AA185)*('2013 E Maize Soil VWC'!$E$2:$E$4000=$AB185)*('2013 E Maize Soil VWC'!$F$2:$F$4000=AD$5),'2013 E Maize Soil VWC'!$G$2:$G$4000)</f>
        <v>0.29115987217514122</v>
      </c>
      <c r="AE185" s="4" cm="1">
        <f t="array" ref="AE185">_xlfn.XLOOKUP(1,('2013 E Maize Soil VWC'!$C$2:$C$4000=$AA185)*('2013 E Maize Soil VWC'!$E$2:$E$4000=$AB185)*('2013 E Maize Soil VWC'!$F$2:$F$4000=AE$5),'2013 E Maize Soil VWC'!$G$2:$G$4000)</f>
        <v>0.25664815112994349</v>
      </c>
      <c r="AF185" s="4" cm="1">
        <f t="array" ref="AF185">_xlfn.XLOOKUP(1,('2013 E Maize Soil VWC'!$C$2:$C$4000=$AA185)*('2013 E Maize Soil VWC'!$E$2:$E$4000=$AB185)*('2013 E Maize Soil VWC'!$F$2:$F$4000=AF$5),'2013 E Maize Soil VWC'!$G$2:$G$4000)</f>
        <v>0.27651734957627117</v>
      </c>
      <c r="AG185" s="4" t="e" cm="1">
        <f t="array" ref="AG185">_xlfn.XLOOKUP(1,('2013 E Maize Soil VWC'!$C$2:$C$4000=$AA185)*('2013 E Maize Soil VWC'!$E$2:$E$4000=$AB185)*('2013 E Maize Soil VWC'!$F$2:$F$4000=AG$5),'2013 E Maize Soil VWC'!$G$2:$G$4000)</f>
        <v>#N/A</v>
      </c>
      <c r="AH185" s="4" t="e" cm="1">
        <f t="array" ref="AH185">_xlfn.XLOOKUP(1,('2013 E Maize Soil VWC'!$C$2:$C$4000=$AA185)*('2013 E Maize Soil VWC'!$E$2:$E$4000=$AB185)*('2013 E Maize Soil VWC'!$F$2:$F$4000=AH$5),'2013 E Maize Soil VWC'!$G$2:$G$4000)</f>
        <v>#N/A</v>
      </c>
      <c r="AI185" s="4" cm="1">
        <f t="array" ref="AI185">_xlfn.XLOOKUP(1,('2013 E Maize Soil VWC'!$C$2:$C$4000=$AA185)*('2013 E Maize Soil VWC'!$E$2:$E$4000=$AB185)*('2013 E Maize Soil VWC'!$F$2:$F$4000=AI$5),'2013 E Maize Soil VWC'!$G$2:$G$4000)</f>
        <v>0.25519955932203386</v>
      </c>
      <c r="AJ185" s="4" cm="1">
        <f t="array" ref="AJ185">_xlfn.XLOOKUP(1,('2013 E Maize Soil VWC'!$C$2:$C$4000=$AA185)*('2013 E Maize Soil VWC'!$E$2:$E$4000=$AB185)*('2013 E Maize Soil VWC'!$F$2:$F$4000=AJ$5),'2013 E Maize Soil VWC'!$G$2:$G$4000)</f>
        <v>0.29773726200564976</v>
      </c>
      <c r="AK185" s="4" cm="1">
        <f t="array" ref="AK185">_xlfn.XLOOKUP(1,('2013 E Maize Soil VWC'!$C$2:$C$4000=$AA185)*('2013 E Maize Soil VWC'!$E$2:$E$4000=$AB185)*('2013 E Maize Soil VWC'!$F$2:$F$4000=AK$5),'2013 E Maize Soil VWC'!$G$2:$G$4000)</f>
        <v>0.28873250211864404</v>
      </c>
      <c r="AL185" s="4" cm="1">
        <f t="array" ref="AL185">_xlfn.XLOOKUP(1,('2013 E Maize Soil VWC'!$C$2:$C$4000=$AA185)*('2013 E Maize Soil VWC'!$E$2:$E$4000=$AB185)*('2013 E Maize Soil VWC'!$F$2:$F$4000=AL$5),'2013 E Maize Soil VWC'!$G$2:$G$4000)</f>
        <v>0.24838726271186445</v>
      </c>
      <c r="AM185" s="4" cm="1">
        <f t="array" ref="AM185">_xlfn.XLOOKUP(1,('2013 E Maize Soil VWC'!$C$2:$C$4000=$AA185)*('2013 E Maize Soil VWC'!$E$2:$E$4000=$AB185)*('2013 E Maize Soil VWC'!$F$2:$F$4000=AM$5),'2013 E Maize Soil VWC'!$G$2:$G$4000)</f>
        <v>0.29734575070621466</v>
      </c>
      <c r="AN185" s="4" cm="1">
        <f t="array" ref="AN185">_xlfn.XLOOKUP(1,('2013 E Maize Soil VWC'!$C$2:$C$4000=$AA185)*('2013 E Maize Soil VWC'!$E$2:$E$4000=$AB185)*('2013 E Maize Soil VWC'!$F$2:$F$4000=AN$5),'2013 E Maize Soil VWC'!$G$2:$G$4000)</f>
        <v>0.29810919774011302</v>
      </c>
      <c r="AO185" s="4" cm="1">
        <f t="array" ref="AO185">_xlfn.XLOOKUP(1,('2013 E Maize Soil VWC'!$C$2:$C$4000=$AA185)*('2013 E Maize Soil VWC'!$E$2:$E$4000=$AB185)*('2013 E Maize Soil VWC'!$F$2:$F$4000=AO$5),'2013 E Maize Soil VWC'!$G$2:$G$4000)</f>
        <v>0.29701296610169492</v>
      </c>
      <c r="AP185" s="4" cm="1">
        <f t="array" ref="AP185">_xlfn.XLOOKUP(1,('2013 E Maize Soil VWC'!$C$2:$C$4000=$AA185)*('2013 E Maize Soil VWC'!$E$2:$E$4000=$AB185)*('2013 E Maize Soil VWC'!$F$2:$F$4000=AP$5),'2013 E Maize Soil VWC'!$G$2:$G$4000)</f>
        <v>0.26066114194915257</v>
      </c>
      <c r="AQ185" s="4" t="e" cm="1">
        <f t="array" ref="AQ185">_xlfn.XLOOKUP(1,('2013 E Maize Soil VWC'!$C$2:$C$4000=$AA185)*('2013 E Maize Soil VWC'!$E$2:$E$4000=$AB185)*('2013 E Maize Soil VWC'!$F$2:$F$4000=AQ$5),'2013 E Maize Soil VWC'!$G$2:$G$4000)</f>
        <v>#N/A</v>
      </c>
      <c r="AR185" s="4" t="e" cm="1">
        <f t="array" ref="AR185">_xlfn.XLOOKUP(1,('2013 E Maize Soil VWC'!$C$2:$C$4000=$AA185)*('2013 E Maize Soil VWC'!$E$2:$E$4000=$AB185)*('2013 E Maize Soil VWC'!$F$2:$F$4000=AR$5),'2013 E Maize Soil VWC'!$G$2:$G$4000)</f>
        <v>#N/A</v>
      </c>
      <c r="AS185" s="4" cm="1">
        <f t="array" ref="AS185">_xlfn.XLOOKUP(1,('2013 E Maize Soil VWC'!$C$2:$C$4000=$AA185)*('2013 E Maize Soil VWC'!$E$2:$E$4000=$AB185)*('2013 E Maize Soil VWC'!$F$2:$F$4000=AS$5),'2013 E Maize Soil VWC'!$G$2:$G$4000)</f>
        <v>0.29994930084745763</v>
      </c>
      <c r="AT185" s="4" cm="1">
        <f t="array" ref="AT185">_xlfn.XLOOKUP(1,('2013 E Maize Soil VWC'!$C$2:$C$4000=$AA185)*('2013 E Maize Soil VWC'!$E$2:$E$4000=$AB185)*('2013 E Maize Soil VWC'!$F$2:$F$4000=AT$5),'2013 E Maize Soil VWC'!$G$2:$G$4000)</f>
        <v>0.29734575070621466</v>
      </c>
      <c r="AU185" s="4" cm="1">
        <f t="array" ref="AU185">_xlfn.XLOOKUP(1,('2013 E Maize Soil VWC'!$C$2:$C$4000=$AA185)*('2013 E Maize Soil VWC'!$E$2:$E$4000=$AB185)*('2013 E Maize Soil VWC'!$F$2:$F$4000=AU$5),'2013 E Maize Soil VWC'!$G$2:$G$4000)</f>
        <v>0.28652046327683617</v>
      </c>
      <c r="AV185" s="4" cm="1">
        <f t="array" ref="AV185">_xlfn.XLOOKUP(1,('2013 E Maize Soil VWC'!$C$2:$C$4000=$AA185)*('2013 E Maize Soil VWC'!$E$2:$E$4000=$AB185)*('2013 E Maize Soil VWC'!$F$2:$F$4000=AV$5),'2013 E Maize Soil VWC'!$G$2:$G$4000)</f>
        <v>0.2873622125706215</v>
      </c>
    </row>
    <row r="186" spans="25:64" x14ac:dyDescent="0.25">
      <c r="AA186" s="15">
        <f t="shared" si="27"/>
        <v>41543</v>
      </c>
      <c r="AB186" s="4">
        <f t="shared" si="28"/>
        <v>230</v>
      </c>
      <c r="AC186" s="4" cm="1">
        <f t="array" ref="AC186">_xlfn.XLOOKUP(1,('2013 E Maize Soil VWC'!$C$2:$C$4000=$AA186)*('2013 E Maize Soil VWC'!$E$2:$E$4000=$AB186)*('2013 E Maize Soil VWC'!$F$2:$F$4000=AC$5),'2013 E Maize Soil VWC'!$G$2:$G$4000)</f>
        <v>0.29155138347457626</v>
      </c>
      <c r="AD186" s="4" cm="1">
        <f t="array" ref="AD186">_xlfn.XLOOKUP(1,('2013 E Maize Soil VWC'!$C$2:$C$4000=$AA186)*('2013 E Maize Soil VWC'!$E$2:$E$4000=$AB186)*('2013 E Maize Soil VWC'!$F$2:$F$4000=AD$5),'2013 E Maize Soil VWC'!$G$2:$G$4000)</f>
        <v>0.29262803954802258</v>
      </c>
      <c r="AE186" s="4" cm="1">
        <f t="array" ref="AE186">_xlfn.XLOOKUP(1,('2013 E Maize Soil VWC'!$C$2:$C$4000=$AA186)*('2013 E Maize Soil VWC'!$E$2:$E$4000=$AB186)*('2013 E Maize Soil VWC'!$F$2:$F$4000=AE$5),'2013 E Maize Soil VWC'!$G$2:$G$4000)</f>
        <v>0.2748925776836158</v>
      </c>
      <c r="AF186" s="4" cm="1">
        <f t="array" ref="AF186">_xlfn.XLOOKUP(1,('2013 E Maize Soil VWC'!$C$2:$C$4000=$AA186)*('2013 E Maize Soil VWC'!$E$2:$E$4000=$AB186)*('2013 E Maize Soil VWC'!$F$2:$F$4000=AF$5),'2013 E Maize Soil VWC'!$G$2:$G$4000)</f>
        <v>0.27097746468926553</v>
      </c>
      <c r="AG186" s="4" t="e" cm="1">
        <f t="array" ref="AG186">_xlfn.XLOOKUP(1,('2013 E Maize Soil VWC'!$C$2:$C$4000=$AA186)*('2013 E Maize Soil VWC'!$E$2:$E$4000=$AB186)*('2013 E Maize Soil VWC'!$F$2:$F$4000=AG$5),'2013 E Maize Soil VWC'!$G$2:$G$4000)</f>
        <v>#N/A</v>
      </c>
      <c r="AH186" s="4" t="e" cm="1">
        <f t="array" ref="AH186">_xlfn.XLOOKUP(1,('2013 E Maize Soil VWC'!$C$2:$C$4000=$AA186)*('2013 E Maize Soil VWC'!$E$2:$E$4000=$AB186)*('2013 E Maize Soil VWC'!$F$2:$F$4000=AH$5),'2013 E Maize Soil VWC'!$G$2:$G$4000)</f>
        <v>#N/A</v>
      </c>
      <c r="AI186" s="4" cm="1">
        <f t="array" ref="AI186">_xlfn.XLOOKUP(1,('2013 E Maize Soil VWC'!$C$2:$C$4000=$AA186)*('2013 E Maize Soil VWC'!$E$2:$E$4000=$AB186)*('2013 E Maize Soil VWC'!$F$2:$F$4000=AI$5),'2013 E Maize Soil VWC'!$G$2:$G$4000)</f>
        <v>0.26676871822033899</v>
      </c>
      <c r="AJ186" s="4" cm="1">
        <f t="array" ref="AJ186">_xlfn.XLOOKUP(1,('2013 E Maize Soil VWC'!$C$2:$C$4000=$AA186)*('2013 E Maize Soil VWC'!$E$2:$E$4000=$AB186)*('2013 E Maize Soil VWC'!$F$2:$F$4000=AJ$5),'2013 E Maize Soil VWC'!$G$2:$G$4000)</f>
        <v>0.31210572669491526</v>
      </c>
      <c r="AK186" s="4" cm="1">
        <f t="array" ref="AK186">_xlfn.XLOOKUP(1,('2013 E Maize Soil VWC'!$C$2:$C$4000=$AA186)*('2013 E Maize Soil VWC'!$E$2:$E$4000=$AB186)*('2013 E Maize Soil VWC'!$F$2:$F$4000=AK$5),'2013 E Maize Soil VWC'!$G$2:$G$4000)</f>
        <v>0.30247454872881357</v>
      </c>
      <c r="AL186" s="4" cm="1">
        <f t="array" ref="AL186">_xlfn.XLOOKUP(1,('2013 E Maize Soil VWC'!$C$2:$C$4000=$AA186)*('2013 E Maize Soil VWC'!$E$2:$E$4000=$AB186)*('2013 E Maize Soil VWC'!$F$2:$F$4000=AL$5),'2013 E Maize Soil VWC'!$G$2:$G$4000)</f>
        <v>0.25036439477401129</v>
      </c>
      <c r="AM186" s="4" cm="1">
        <f t="array" ref="AM186">_xlfn.XLOOKUP(1,('2013 E Maize Soil VWC'!$C$2:$C$4000=$AA186)*('2013 E Maize Soil VWC'!$E$2:$E$4000=$AB186)*('2013 E Maize Soil VWC'!$F$2:$F$4000=AM$5),'2013 E Maize Soil VWC'!$G$2:$G$4000)</f>
        <v>0.28918274011299433</v>
      </c>
      <c r="AN186" s="4" cm="1">
        <f t="array" ref="AN186">_xlfn.XLOOKUP(1,('2013 E Maize Soil VWC'!$C$2:$C$4000=$AA186)*('2013 E Maize Soil VWC'!$E$2:$E$4000=$AB186)*('2013 E Maize Soil VWC'!$F$2:$F$4000=AN$5),'2013 E Maize Soil VWC'!$G$2:$G$4000)</f>
        <v>0.28436715112994354</v>
      </c>
      <c r="AO186" s="4" cm="1">
        <f t="array" ref="AO186">_xlfn.XLOOKUP(1,('2013 E Maize Soil VWC'!$C$2:$C$4000=$AA186)*('2013 E Maize Soil VWC'!$E$2:$E$4000=$AB186)*('2013 E Maize Soil VWC'!$F$2:$F$4000=AO$5),'2013 E Maize Soil VWC'!$G$2:$G$4000)</f>
        <v>0.28460205790960452</v>
      </c>
      <c r="AP186" s="4" cm="1">
        <f t="array" ref="AP186">_xlfn.XLOOKUP(1,('2013 E Maize Soil VWC'!$C$2:$C$4000=$AA186)*('2013 E Maize Soil VWC'!$E$2:$E$4000=$AB186)*('2013 E Maize Soil VWC'!$F$2:$F$4000=AP$5),'2013 E Maize Soil VWC'!$G$2:$G$4000)</f>
        <v>0.28886953107344632</v>
      </c>
      <c r="AQ186" s="4" t="e" cm="1">
        <f t="array" ref="AQ186">_xlfn.XLOOKUP(1,('2013 E Maize Soil VWC'!$C$2:$C$4000=$AA186)*('2013 E Maize Soil VWC'!$E$2:$E$4000=$AB186)*('2013 E Maize Soil VWC'!$F$2:$F$4000=AQ$5),'2013 E Maize Soil VWC'!$G$2:$G$4000)</f>
        <v>#N/A</v>
      </c>
      <c r="AR186" s="4" t="e" cm="1">
        <f t="array" ref="AR186">_xlfn.XLOOKUP(1,('2013 E Maize Soil VWC'!$C$2:$C$4000=$AA186)*('2013 E Maize Soil VWC'!$E$2:$E$4000=$AB186)*('2013 E Maize Soil VWC'!$F$2:$F$4000=AR$5),'2013 E Maize Soil VWC'!$G$2:$G$4000)</f>
        <v>#N/A</v>
      </c>
      <c r="AS186" s="4" cm="1">
        <f t="array" ref="AS186">_xlfn.XLOOKUP(1,('2013 E Maize Soil VWC'!$C$2:$C$4000=$AA186)*('2013 E Maize Soil VWC'!$E$2:$E$4000=$AB186)*('2013 E Maize Soil VWC'!$F$2:$F$4000=AS$5),'2013 E Maize Soil VWC'!$G$2:$G$4000)</f>
        <v>0.28832141525423732</v>
      </c>
      <c r="AT186" s="4" cm="1">
        <f t="array" ref="AT186">_xlfn.XLOOKUP(1,('2013 E Maize Soil VWC'!$C$2:$C$4000=$AA186)*('2013 E Maize Soil VWC'!$E$2:$E$4000=$AB186)*('2013 E Maize Soil VWC'!$F$2:$F$4000=AT$5),'2013 E Maize Soil VWC'!$G$2:$G$4000)</f>
        <v>0.29002448940677966</v>
      </c>
      <c r="AU186" s="4" cm="1">
        <f t="array" ref="AU186">_xlfn.XLOOKUP(1,('2013 E Maize Soil VWC'!$C$2:$C$4000=$AA186)*('2013 E Maize Soil VWC'!$E$2:$E$4000=$AB186)*('2013 E Maize Soil VWC'!$F$2:$F$4000=AU$5),'2013 E Maize Soil VWC'!$G$2:$G$4000)</f>
        <v>0.27706546539548027</v>
      </c>
      <c r="AV186" s="4" cm="1">
        <f t="array" ref="AV186">_xlfn.XLOOKUP(1,('2013 E Maize Soil VWC'!$C$2:$C$4000=$AA186)*('2013 E Maize Soil VWC'!$E$2:$E$4000=$AB186)*('2013 E Maize Soil VWC'!$F$2:$F$4000=AV$5),'2013 E Maize Soil VWC'!$G$2:$G$4000)</f>
        <v>0.28890868220338983</v>
      </c>
    </row>
    <row r="188" spans="25:64" x14ac:dyDescent="0.25">
      <c r="Y188" s="4">
        <v>2013</v>
      </c>
      <c r="AA188" s="15">
        <f>DATE(Y188,1,Z188)</f>
        <v>41274</v>
      </c>
      <c r="AB188" s="4">
        <v>10</v>
      </c>
      <c r="AC188" s="4" t="e" cm="1">
        <f t="array" ref="AC188">_xlfn.XLOOKUP(1,('2013 E Maize Soil VWC'!$C$2:$C$4000=$AA188)*('2013 E Maize Soil VWC'!$E$2:$E$4000=$AB188)*('2013 E Maize Soil VWC'!$F$2:$F$4000=AC$5),'2013 E Maize Soil VWC'!$G$2:$G$4000)</f>
        <v>#N/A</v>
      </c>
      <c r="AD188" s="4" t="e" cm="1">
        <f t="array" ref="AD188">_xlfn.XLOOKUP(1,('2013 E Maize Soil VWC'!$C$2:$C$4000=$AA188)*('2013 E Maize Soil VWC'!$E$2:$E$4000=$AB188)*('2013 E Maize Soil VWC'!$F$2:$F$4000=AD$5),'2013 E Maize Soil VWC'!$G$2:$G$4000)</f>
        <v>#N/A</v>
      </c>
      <c r="AE188" s="4" t="e" cm="1">
        <f t="array" ref="AE188">_xlfn.XLOOKUP(1,('2013 E Maize Soil VWC'!$C$2:$C$4000=$AA188)*('2013 E Maize Soil VWC'!$E$2:$E$4000=$AB188)*('2013 E Maize Soil VWC'!$F$2:$F$4000=AE$5),'2013 E Maize Soil VWC'!$G$2:$G$4000)</f>
        <v>#N/A</v>
      </c>
      <c r="AF188" s="4" t="e" cm="1">
        <f t="array" ref="AF188">_xlfn.XLOOKUP(1,('2013 E Maize Soil VWC'!$C$2:$C$4000=$AA188)*('2013 E Maize Soil VWC'!$E$2:$E$4000=$AB188)*('2013 E Maize Soil VWC'!$F$2:$F$4000=AF$5),'2013 E Maize Soil VWC'!$G$2:$G$4000)</f>
        <v>#N/A</v>
      </c>
      <c r="AG188" s="4" t="e" cm="1">
        <f t="array" ref="AG188">_xlfn.XLOOKUP(1,('2013 E Maize Soil VWC'!$C$2:$C$4000=$AA188)*('2013 E Maize Soil VWC'!$E$2:$E$4000=$AB188)*('2013 E Maize Soil VWC'!$F$2:$F$4000=AG$5),'2013 E Maize Soil VWC'!$G$2:$G$4000)</f>
        <v>#N/A</v>
      </c>
      <c r="AH188" s="4" t="e" cm="1">
        <f t="array" ref="AH188">_xlfn.XLOOKUP(1,('2013 E Maize Soil VWC'!$C$2:$C$4000=$AA188)*('2013 E Maize Soil VWC'!$E$2:$E$4000=$AB188)*('2013 E Maize Soil VWC'!$F$2:$F$4000=AH$5),'2013 E Maize Soil VWC'!$G$2:$G$4000)</f>
        <v>#N/A</v>
      </c>
      <c r="AI188" s="4" t="e" cm="1">
        <f t="array" ref="AI188">_xlfn.XLOOKUP(1,('2013 E Maize Soil VWC'!$C$2:$C$4000=$AA188)*('2013 E Maize Soil VWC'!$E$2:$E$4000=$AB188)*('2013 E Maize Soil VWC'!$F$2:$F$4000=AI$5),'2013 E Maize Soil VWC'!$G$2:$G$4000)</f>
        <v>#N/A</v>
      </c>
      <c r="AJ188" s="4" t="e" cm="1">
        <f t="array" ref="AJ188">_xlfn.XLOOKUP(1,('2013 E Maize Soil VWC'!$C$2:$C$4000=$AA188)*('2013 E Maize Soil VWC'!$E$2:$E$4000=$AB188)*('2013 E Maize Soil VWC'!$F$2:$F$4000=AJ$5),'2013 E Maize Soil VWC'!$G$2:$G$4000)</f>
        <v>#N/A</v>
      </c>
      <c r="AK188" s="4" t="e" cm="1">
        <f t="array" ref="AK188">_xlfn.XLOOKUP(1,('2013 E Maize Soil VWC'!$C$2:$C$4000=$AA188)*('2013 E Maize Soil VWC'!$E$2:$E$4000=$AB188)*('2013 E Maize Soil VWC'!$F$2:$F$4000=AK$5),'2013 E Maize Soil VWC'!$G$2:$G$4000)</f>
        <v>#N/A</v>
      </c>
      <c r="AL188" s="4" t="e" cm="1">
        <f t="array" ref="AL188">_xlfn.XLOOKUP(1,('2013 E Maize Soil VWC'!$C$2:$C$4000=$AA188)*('2013 E Maize Soil VWC'!$E$2:$E$4000=$AB188)*('2013 E Maize Soil VWC'!$F$2:$F$4000=AL$5),'2013 E Maize Soil VWC'!$G$2:$G$4000)</f>
        <v>#N/A</v>
      </c>
      <c r="AM188" s="4" t="e" cm="1">
        <f t="array" ref="AM188">_xlfn.XLOOKUP(1,('2013 E Maize Soil VWC'!$C$2:$C$4000=$AA188)*('2013 E Maize Soil VWC'!$E$2:$E$4000=$AB188)*('2013 E Maize Soil VWC'!$F$2:$F$4000=AM$5),'2013 E Maize Soil VWC'!$G$2:$G$4000)</f>
        <v>#N/A</v>
      </c>
      <c r="AN188" s="4" t="e" cm="1">
        <f t="array" ref="AN188">_xlfn.XLOOKUP(1,('2013 E Maize Soil VWC'!$C$2:$C$4000=$AA188)*('2013 E Maize Soil VWC'!$E$2:$E$4000=$AB188)*('2013 E Maize Soil VWC'!$F$2:$F$4000=AN$5),'2013 E Maize Soil VWC'!$G$2:$G$4000)</f>
        <v>#N/A</v>
      </c>
      <c r="AO188" s="4" t="e" cm="1">
        <f t="array" ref="AO188">_xlfn.XLOOKUP(1,('2013 E Maize Soil VWC'!$C$2:$C$4000=$AA188)*('2013 E Maize Soil VWC'!$E$2:$E$4000=$AB188)*('2013 E Maize Soil VWC'!$F$2:$F$4000=AO$5),'2013 E Maize Soil VWC'!$G$2:$G$4000)</f>
        <v>#N/A</v>
      </c>
      <c r="AP188" s="4" t="e" cm="1">
        <f t="array" ref="AP188">_xlfn.XLOOKUP(1,('2013 E Maize Soil VWC'!$C$2:$C$4000=$AA188)*('2013 E Maize Soil VWC'!$E$2:$E$4000=$AB188)*('2013 E Maize Soil VWC'!$F$2:$F$4000=AP$5),'2013 E Maize Soil VWC'!$G$2:$G$4000)</f>
        <v>#N/A</v>
      </c>
      <c r="AQ188" s="4" t="e" cm="1">
        <f t="array" ref="AQ188">_xlfn.XLOOKUP(1,('2013 E Maize Soil VWC'!$C$2:$C$4000=$AA188)*('2013 E Maize Soil VWC'!$E$2:$E$4000=$AB188)*('2013 E Maize Soil VWC'!$F$2:$F$4000=AQ$5),'2013 E Maize Soil VWC'!$G$2:$G$4000)</f>
        <v>#N/A</v>
      </c>
      <c r="AR188" s="4" t="e" cm="1">
        <f t="array" ref="AR188">_xlfn.XLOOKUP(1,('2013 E Maize Soil VWC'!$C$2:$C$4000=$AA188)*('2013 E Maize Soil VWC'!$E$2:$E$4000=$AB188)*('2013 E Maize Soil VWC'!$F$2:$F$4000=AR$5),'2013 E Maize Soil VWC'!$G$2:$G$4000)</f>
        <v>#N/A</v>
      </c>
      <c r="AS188" s="4" t="e" cm="1">
        <f t="array" ref="AS188">_xlfn.XLOOKUP(1,('2013 E Maize Soil VWC'!$C$2:$C$4000=$AA188)*('2013 E Maize Soil VWC'!$E$2:$E$4000=$AB188)*('2013 E Maize Soil VWC'!$F$2:$F$4000=AS$5),'2013 E Maize Soil VWC'!$G$2:$G$4000)</f>
        <v>#N/A</v>
      </c>
      <c r="AT188" s="4" t="e" cm="1">
        <f t="array" ref="AT188">_xlfn.XLOOKUP(1,('2013 E Maize Soil VWC'!$C$2:$C$4000=$AA188)*('2013 E Maize Soil VWC'!$E$2:$E$4000=$AB188)*('2013 E Maize Soil VWC'!$F$2:$F$4000=AT$5),'2013 E Maize Soil VWC'!$G$2:$G$4000)</f>
        <v>#N/A</v>
      </c>
      <c r="AU188" s="4" t="e" cm="1">
        <f t="array" ref="AU188">_xlfn.XLOOKUP(1,('2013 E Maize Soil VWC'!$C$2:$C$4000=$AA188)*('2013 E Maize Soil VWC'!$E$2:$E$4000=$AB188)*('2013 E Maize Soil VWC'!$F$2:$F$4000=AU$5),'2013 E Maize Soil VWC'!$G$2:$G$4000)</f>
        <v>#N/A</v>
      </c>
      <c r="AV188" s="4" t="e" cm="1">
        <f t="array" ref="AV188">_xlfn.XLOOKUP(1,('2013 E Maize Soil VWC'!$C$2:$C$4000=$AA188)*('2013 E Maize Soil VWC'!$E$2:$E$4000=$AB188)*('2013 E Maize Soil VWC'!$F$2:$F$4000=AV$5),'2013 E Maize Soil VWC'!$G$2:$G$4000)</f>
        <v>#N/A</v>
      </c>
      <c r="AW188" s="22">
        <f>Z188</f>
        <v>0</v>
      </c>
      <c r="AX188" s="20">
        <f>AA188</f>
        <v>41274</v>
      </c>
      <c r="AY188" s="4" t="e">
        <f>1400*AVERAGE(AG188:AH194)+100*AVERAGE(AG195:AH195)</f>
        <v>#N/A</v>
      </c>
      <c r="AZ188" s="4" t="e">
        <f>1400*AVERAGE(AC188:AF194,AI188:AL194)+100*AVERAGE(AC195:AF195,AI195:AL195)</f>
        <v>#N/A</v>
      </c>
      <c r="BA188" s="4" t="e">
        <f>1400*AVERAGE(AQ188:AR194)+100*AVERAGE(AQ195:AR195)</f>
        <v>#N/A</v>
      </c>
      <c r="BB188" s="4" t="e">
        <f>1400*AVERAGE(AM188:AP194,AS188:AV194)+100*AVERAGE(AM195:AP195,AS195:AV195)</f>
        <v>#N/A</v>
      </c>
      <c r="BC188" s="4" t="e">
        <f>AVERAGE(AC188:AD199)*2400</f>
        <v>#N/A</v>
      </c>
      <c r="BD188" s="4" t="e">
        <f>AVERAGE(AE188:AF199)*2400</f>
        <v>#N/A</v>
      </c>
      <c r="BE188" s="4" t="e">
        <f>AVERAGE(AG188:AH197)*2000</f>
        <v>#N/A</v>
      </c>
      <c r="BF188" s="4" t="e">
        <f>AVERAGE(AI188:AJ199)*2400</f>
        <v>#N/A</v>
      </c>
      <c r="BG188" s="4" t="e">
        <f>AVERAGE(AK188:AL199)*2400</f>
        <v>#N/A</v>
      </c>
      <c r="BH188" s="4" t="e">
        <f>AVERAGE(AM188:AN199)*2400</f>
        <v>#N/A</v>
      </c>
      <c r="BI188" s="4" t="e">
        <f>AVERAGE(AO188:AP199)*2400</f>
        <v>#N/A</v>
      </c>
      <c r="BJ188" s="4" t="e">
        <f>AVERAGE(AQ188:AR197)*2000</f>
        <v>#N/A</v>
      </c>
      <c r="BK188" s="4" t="e">
        <f>AVERAGE(AS188:AT199)*2400</f>
        <v>#N/A</v>
      </c>
      <c r="BL188" s="4" t="e">
        <f>AVERAGE(AU188:AV199)*2400</f>
        <v>#N/A</v>
      </c>
    </row>
    <row r="189" spans="25:64" x14ac:dyDescent="0.25">
      <c r="AA189" s="15">
        <f t="shared" ref="AA189:AA199" si="29">AA188</f>
        <v>41274</v>
      </c>
      <c r="AB189" s="4">
        <f t="shared" ref="AB189:AB199" si="30">AB188+20</f>
        <v>30</v>
      </c>
      <c r="AC189" s="4" t="e" cm="1">
        <f t="array" ref="AC189">_xlfn.XLOOKUP(1,('2013 E Maize Soil VWC'!$C$2:$C$4000=$AA189)*('2013 E Maize Soil VWC'!$E$2:$E$4000=$AB189)*('2013 E Maize Soil VWC'!$F$2:$F$4000=AC$5),'2013 E Maize Soil VWC'!$G$2:$G$4000)</f>
        <v>#N/A</v>
      </c>
      <c r="AD189" s="4" t="e" cm="1">
        <f t="array" ref="AD189">_xlfn.XLOOKUP(1,('2013 E Maize Soil VWC'!$C$2:$C$4000=$AA189)*('2013 E Maize Soil VWC'!$E$2:$E$4000=$AB189)*('2013 E Maize Soil VWC'!$F$2:$F$4000=AD$5),'2013 E Maize Soil VWC'!$G$2:$G$4000)</f>
        <v>#N/A</v>
      </c>
      <c r="AE189" s="4" t="e" cm="1">
        <f t="array" ref="AE189">_xlfn.XLOOKUP(1,('2013 E Maize Soil VWC'!$C$2:$C$4000=$AA189)*('2013 E Maize Soil VWC'!$E$2:$E$4000=$AB189)*('2013 E Maize Soil VWC'!$F$2:$F$4000=AE$5),'2013 E Maize Soil VWC'!$G$2:$G$4000)</f>
        <v>#N/A</v>
      </c>
      <c r="AF189" s="4" t="e" cm="1">
        <f t="array" ref="AF189">_xlfn.XLOOKUP(1,('2013 E Maize Soil VWC'!$C$2:$C$4000=$AA189)*('2013 E Maize Soil VWC'!$E$2:$E$4000=$AB189)*('2013 E Maize Soil VWC'!$F$2:$F$4000=AF$5),'2013 E Maize Soil VWC'!$G$2:$G$4000)</f>
        <v>#N/A</v>
      </c>
      <c r="AG189" s="4" t="e" cm="1">
        <f t="array" ref="AG189">_xlfn.XLOOKUP(1,('2013 E Maize Soil VWC'!$C$2:$C$4000=$AA189)*('2013 E Maize Soil VWC'!$E$2:$E$4000=$AB189)*('2013 E Maize Soil VWC'!$F$2:$F$4000=AG$5),'2013 E Maize Soil VWC'!$G$2:$G$4000)</f>
        <v>#N/A</v>
      </c>
      <c r="AH189" s="4" t="e" cm="1">
        <f t="array" ref="AH189">_xlfn.XLOOKUP(1,('2013 E Maize Soil VWC'!$C$2:$C$4000=$AA189)*('2013 E Maize Soil VWC'!$E$2:$E$4000=$AB189)*('2013 E Maize Soil VWC'!$F$2:$F$4000=AH$5),'2013 E Maize Soil VWC'!$G$2:$G$4000)</f>
        <v>#N/A</v>
      </c>
      <c r="AI189" s="4" t="e" cm="1">
        <f t="array" ref="AI189">_xlfn.XLOOKUP(1,('2013 E Maize Soil VWC'!$C$2:$C$4000=$AA189)*('2013 E Maize Soil VWC'!$E$2:$E$4000=$AB189)*('2013 E Maize Soil VWC'!$F$2:$F$4000=AI$5),'2013 E Maize Soil VWC'!$G$2:$G$4000)</f>
        <v>#N/A</v>
      </c>
      <c r="AJ189" s="4" t="e" cm="1">
        <f t="array" ref="AJ189">_xlfn.XLOOKUP(1,('2013 E Maize Soil VWC'!$C$2:$C$4000=$AA189)*('2013 E Maize Soil VWC'!$E$2:$E$4000=$AB189)*('2013 E Maize Soil VWC'!$F$2:$F$4000=AJ$5),'2013 E Maize Soil VWC'!$G$2:$G$4000)</f>
        <v>#N/A</v>
      </c>
      <c r="AK189" s="4" t="e" cm="1">
        <f t="array" ref="AK189">_xlfn.XLOOKUP(1,('2013 E Maize Soil VWC'!$C$2:$C$4000=$AA189)*('2013 E Maize Soil VWC'!$E$2:$E$4000=$AB189)*('2013 E Maize Soil VWC'!$F$2:$F$4000=AK$5),'2013 E Maize Soil VWC'!$G$2:$G$4000)</f>
        <v>#N/A</v>
      </c>
      <c r="AL189" s="4" t="e" cm="1">
        <f t="array" ref="AL189">_xlfn.XLOOKUP(1,('2013 E Maize Soil VWC'!$C$2:$C$4000=$AA189)*('2013 E Maize Soil VWC'!$E$2:$E$4000=$AB189)*('2013 E Maize Soil VWC'!$F$2:$F$4000=AL$5),'2013 E Maize Soil VWC'!$G$2:$G$4000)</f>
        <v>#N/A</v>
      </c>
      <c r="AM189" s="4" t="e" cm="1">
        <f t="array" ref="AM189">_xlfn.XLOOKUP(1,('2013 E Maize Soil VWC'!$C$2:$C$4000=$AA189)*('2013 E Maize Soil VWC'!$E$2:$E$4000=$AB189)*('2013 E Maize Soil VWC'!$F$2:$F$4000=AM$5),'2013 E Maize Soil VWC'!$G$2:$G$4000)</f>
        <v>#N/A</v>
      </c>
      <c r="AN189" s="4" t="e" cm="1">
        <f t="array" ref="AN189">_xlfn.XLOOKUP(1,('2013 E Maize Soil VWC'!$C$2:$C$4000=$AA189)*('2013 E Maize Soil VWC'!$E$2:$E$4000=$AB189)*('2013 E Maize Soil VWC'!$F$2:$F$4000=AN$5),'2013 E Maize Soil VWC'!$G$2:$G$4000)</f>
        <v>#N/A</v>
      </c>
      <c r="AO189" s="4" t="e" cm="1">
        <f t="array" ref="AO189">_xlfn.XLOOKUP(1,('2013 E Maize Soil VWC'!$C$2:$C$4000=$AA189)*('2013 E Maize Soil VWC'!$E$2:$E$4000=$AB189)*('2013 E Maize Soil VWC'!$F$2:$F$4000=AO$5),'2013 E Maize Soil VWC'!$G$2:$G$4000)</f>
        <v>#N/A</v>
      </c>
      <c r="AP189" s="4" t="e" cm="1">
        <f t="array" ref="AP189">_xlfn.XLOOKUP(1,('2013 E Maize Soil VWC'!$C$2:$C$4000=$AA189)*('2013 E Maize Soil VWC'!$E$2:$E$4000=$AB189)*('2013 E Maize Soil VWC'!$F$2:$F$4000=AP$5),'2013 E Maize Soil VWC'!$G$2:$G$4000)</f>
        <v>#N/A</v>
      </c>
      <c r="AQ189" s="4" t="e" cm="1">
        <f t="array" ref="AQ189">_xlfn.XLOOKUP(1,('2013 E Maize Soil VWC'!$C$2:$C$4000=$AA189)*('2013 E Maize Soil VWC'!$E$2:$E$4000=$AB189)*('2013 E Maize Soil VWC'!$F$2:$F$4000=AQ$5),'2013 E Maize Soil VWC'!$G$2:$G$4000)</f>
        <v>#N/A</v>
      </c>
      <c r="AR189" s="4" t="e" cm="1">
        <f t="array" ref="AR189">_xlfn.XLOOKUP(1,('2013 E Maize Soil VWC'!$C$2:$C$4000=$AA189)*('2013 E Maize Soil VWC'!$E$2:$E$4000=$AB189)*('2013 E Maize Soil VWC'!$F$2:$F$4000=AR$5),'2013 E Maize Soil VWC'!$G$2:$G$4000)</f>
        <v>#N/A</v>
      </c>
      <c r="AS189" s="4" t="e" cm="1">
        <f t="array" ref="AS189">_xlfn.XLOOKUP(1,('2013 E Maize Soil VWC'!$C$2:$C$4000=$AA189)*('2013 E Maize Soil VWC'!$E$2:$E$4000=$AB189)*('2013 E Maize Soil VWC'!$F$2:$F$4000=AS$5),'2013 E Maize Soil VWC'!$G$2:$G$4000)</f>
        <v>#N/A</v>
      </c>
      <c r="AT189" s="4" t="e" cm="1">
        <f t="array" ref="AT189">_xlfn.XLOOKUP(1,('2013 E Maize Soil VWC'!$C$2:$C$4000=$AA189)*('2013 E Maize Soil VWC'!$E$2:$E$4000=$AB189)*('2013 E Maize Soil VWC'!$F$2:$F$4000=AT$5),'2013 E Maize Soil VWC'!$G$2:$G$4000)</f>
        <v>#N/A</v>
      </c>
      <c r="AU189" s="4" t="e" cm="1">
        <f t="array" ref="AU189">_xlfn.XLOOKUP(1,('2013 E Maize Soil VWC'!$C$2:$C$4000=$AA189)*('2013 E Maize Soil VWC'!$E$2:$E$4000=$AB189)*('2013 E Maize Soil VWC'!$F$2:$F$4000=AU$5),'2013 E Maize Soil VWC'!$G$2:$G$4000)</f>
        <v>#N/A</v>
      </c>
      <c r="AV189" s="4" t="e" cm="1">
        <f t="array" ref="AV189">_xlfn.XLOOKUP(1,('2013 E Maize Soil VWC'!$C$2:$C$4000=$AA189)*('2013 E Maize Soil VWC'!$E$2:$E$4000=$AB189)*('2013 E Maize Soil VWC'!$F$2:$F$4000=AV$5),'2013 E Maize Soil VWC'!$G$2:$G$4000)</f>
        <v>#N/A</v>
      </c>
      <c r="AW189" s="22"/>
      <c r="AX189" s="20"/>
    </row>
    <row r="190" spans="25:64" x14ac:dyDescent="0.25">
      <c r="AA190" s="15">
        <f t="shared" si="29"/>
        <v>41274</v>
      </c>
      <c r="AB190" s="4">
        <f t="shared" si="30"/>
        <v>50</v>
      </c>
      <c r="AC190" s="4" t="e" cm="1">
        <f t="array" ref="AC190">_xlfn.XLOOKUP(1,('2013 E Maize Soil VWC'!$C$2:$C$4000=$AA190)*('2013 E Maize Soil VWC'!$E$2:$E$4000=$AB190)*('2013 E Maize Soil VWC'!$F$2:$F$4000=AC$5),'2013 E Maize Soil VWC'!$G$2:$G$4000)</f>
        <v>#N/A</v>
      </c>
      <c r="AD190" s="4" t="e" cm="1">
        <f t="array" ref="AD190">_xlfn.XLOOKUP(1,('2013 E Maize Soil VWC'!$C$2:$C$4000=$AA190)*('2013 E Maize Soil VWC'!$E$2:$E$4000=$AB190)*('2013 E Maize Soil VWC'!$F$2:$F$4000=AD$5),'2013 E Maize Soil VWC'!$G$2:$G$4000)</f>
        <v>#N/A</v>
      </c>
      <c r="AE190" s="4" t="e" cm="1">
        <f t="array" ref="AE190">_xlfn.XLOOKUP(1,('2013 E Maize Soil VWC'!$C$2:$C$4000=$AA190)*('2013 E Maize Soil VWC'!$E$2:$E$4000=$AB190)*('2013 E Maize Soil VWC'!$F$2:$F$4000=AE$5),'2013 E Maize Soil VWC'!$G$2:$G$4000)</f>
        <v>#N/A</v>
      </c>
      <c r="AF190" s="4" t="e" cm="1">
        <f t="array" ref="AF190">_xlfn.XLOOKUP(1,('2013 E Maize Soil VWC'!$C$2:$C$4000=$AA190)*('2013 E Maize Soil VWC'!$E$2:$E$4000=$AB190)*('2013 E Maize Soil VWC'!$F$2:$F$4000=AF$5),'2013 E Maize Soil VWC'!$G$2:$G$4000)</f>
        <v>#N/A</v>
      </c>
      <c r="AG190" s="4" t="e" cm="1">
        <f t="array" ref="AG190">_xlfn.XLOOKUP(1,('2013 E Maize Soil VWC'!$C$2:$C$4000=$AA190)*('2013 E Maize Soil VWC'!$E$2:$E$4000=$AB190)*('2013 E Maize Soil VWC'!$F$2:$F$4000=AG$5),'2013 E Maize Soil VWC'!$G$2:$G$4000)</f>
        <v>#N/A</v>
      </c>
      <c r="AH190" s="4" t="e" cm="1">
        <f t="array" ref="AH190">_xlfn.XLOOKUP(1,('2013 E Maize Soil VWC'!$C$2:$C$4000=$AA190)*('2013 E Maize Soil VWC'!$E$2:$E$4000=$AB190)*('2013 E Maize Soil VWC'!$F$2:$F$4000=AH$5),'2013 E Maize Soil VWC'!$G$2:$G$4000)</f>
        <v>#N/A</v>
      </c>
      <c r="AI190" s="4" t="e" cm="1">
        <f t="array" ref="AI190">_xlfn.XLOOKUP(1,('2013 E Maize Soil VWC'!$C$2:$C$4000=$AA190)*('2013 E Maize Soil VWC'!$E$2:$E$4000=$AB190)*('2013 E Maize Soil VWC'!$F$2:$F$4000=AI$5),'2013 E Maize Soil VWC'!$G$2:$G$4000)</f>
        <v>#N/A</v>
      </c>
      <c r="AJ190" s="4" t="e" cm="1">
        <f t="array" ref="AJ190">_xlfn.XLOOKUP(1,('2013 E Maize Soil VWC'!$C$2:$C$4000=$AA190)*('2013 E Maize Soil VWC'!$E$2:$E$4000=$AB190)*('2013 E Maize Soil VWC'!$F$2:$F$4000=AJ$5),'2013 E Maize Soil VWC'!$G$2:$G$4000)</f>
        <v>#N/A</v>
      </c>
      <c r="AK190" s="4" t="e" cm="1">
        <f t="array" ref="AK190">_xlfn.XLOOKUP(1,('2013 E Maize Soil VWC'!$C$2:$C$4000=$AA190)*('2013 E Maize Soil VWC'!$E$2:$E$4000=$AB190)*('2013 E Maize Soil VWC'!$F$2:$F$4000=AK$5),'2013 E Maize Soil VWC'!$G$2:$G$4000)</f>
        <v>#N/A</v>
      </c>
      <c r="AL190" s="4" t="e" cm="1">
        <f t="array" ref="AL190">_xlfn.XLOOKUP(1,('2013 E Maize Soil VWC'!$C$2:$C$4000=$AA190)*('2013 E Maize Soil VWC'!$E$2:$E$4000=$AB190)*('2013 E Maize Soil VWC'!$F$2:$F$4000=AL$5),'2013 E Maize Soil VWC'!$G$2:$G$4000)</f>
        <v>#N/A</v>
      </c>
      <c r="AM190" s="4" t="e" cm="1">
        <f t="array" ref="AM190">_xlfn.XLOOKUP(1,('2013 E Maize Soil VWC'!$C$2:$C$4000=$AA190)*('2013 E Maize Soil VWC'!$E$2:$E$4000=$AB190)*('2013 E Maize Soil VWC'!$F$2:$F$4000=AM$5),'2013 E Maize Soil VWC'!$G$2:$G$4000)</f>
        <v>#N/A</v>
      </c>
      <c r="AN190" s="4" t="e" cm="1">
        <f t="array" ref="AN190">_xlfn.XLOOKUP(1,('2013 E Maize Soil VWC'!$C$2:$C$4000=$AA190)*('2013 E Maize Soil VWC'!$E$2:$E$4000=$AB190)*('2013 E Maize Soil VWC'!$F$2:$F$4000=AN$5),'2013 E Maize Soil VWC'!$G$2:$G$4000)</f>
        <v>#N/A</v>
      </c>
      <c r="AO190" s="4" t="e" cm="1">
        <f t="array" ref="AO190">_xlfn.XLOOKUP(1,('2013 E Maize Soil VWC'!$C$2:$C$4000=$AA190)*('2013 E Maize Soil VWC'!$E$2:$E$4000=$AB190)*('2013 E Maize Soil VWC'!$F$2:$F$4000=AO$5),'2013 E Maize Soil VWC'!$G$2:$G$4000)</f>
        <v>#N/A</v>
      </c>
      <c r="AP190" s="4" t="e" cm="1">
        <f t="array" ref="AP190">_xlfn.XLOOKUP(1,('2013 E Maize Soil VWC'!$C$2:$C$4000=$AA190)*('2013 E Maize Soil VWC'!$E$2:$E$4000=$AB190)*('2013 E Maize Soil VWC'!$F$2:$F$4000=AP$5),'2013 E Maize Soil VWC'!$G$2:$G$4000)</f>
        <v>#N/A</v>
      </c>
      <c r="AQ190" s="4" t="e" cm="1">
        <f t="array" ref="AQ190">_xlfn.XLOOKUP(1,('2013 E Maize Soil VWC'!$C$2:$C$4000=$AA190)*('2013 E Maize Soil VWC'!$E$2:$E$4000=$AB190)*('2013 E Maize Soil VWC'!$F$2:$F$4000=AQ$5),'2013 E Maize Soil VWC'!$G$2:$G$4000)</f>
        <v>#N/A</v>
      </c>
      <c r="AR190" s="4" t="e" cm="1">
        <f t="array" ref="AR190">_xlfn.XLOOKUP(1,('2013 E Maize Soil VWC'!$C$2:$C$4000=$AA190)*('2013 E Maize Soil VWC'!$E$2:$E$4000=$AB190)*('2013 E Maize Soil VWC'!$F$2:$F$4000=AR$5),'2013 E Maize Soil VWC'!$G$2:$G$4000)</f>
        <v>#N/A</v>
      </c>
      <c r="AS190" s="4" t="e" cm="1">
        <f t="array" ref="AS190">_xlfn.XLOOKUP(1,('2013 E Maize Soil VWC'!$C$2:$C$4000=$AA190)*('2013 E Maize Soil VWC'!$E$2:$E$4000=$AB190)*('2013 E Maize Soil VWC'!$F$2:$F$4000=AS$5),'2013 E Maize Soil VWC'!$G$2:$G$4000)</f>
        <v>#N/A</v>
      </c>
      <c r="AT190" s="4" t="e" cm="1">
        <f t="array" ref="AT190">_xlfn.XLOOKUP(1,('2013 E Maize Soil VWC'!$C$2:$C$4000=$AA190)*('2013 E Maize Soil VWC'!$E$2:$E$4000=$AB190)*('2013 E Maize Soil VWC'!$F$2:$F$4000=AT$5),'2013 E Maize Soil VWC'!$G$2:$G$4000)</f>
        <v>#N/A</v>
      </c>
      <c r="AU190" s="4" t="e" cm="1">
        <f t="array" ref="AU190">_xlfn.XLOOKUP(1,('2013 E Maize Soil VWC'!$C$2:$C$4000=$AA190)*('2013 E Maize Soil VWC'!$E$2:$E$4000=$AB190)*('2013 E Maize Soil VWC'!$F$2:$F$4000=AU$5),'2013 E Maize Soil VWC'!$G$2:$G$4000)</f>
        <v>#N/A</v>
      </c>
      <c r="AV190" s="4" t="e" cm="1">
        <f t="array" ref="AV190">_xlfn.XLOOKUP(1,('2013 E Maize Soil VWC'!$C$2:$C$4000=$AA190)*('2013 E Maize Soil VWC'!$E$2:$E$4000=$AB190)*('2013 E Maize Soil VWC'!$F$2:$F$4000=AV$5),'2013 E Maize Soil VWC'!$G$2:$G$4000)</f>
        <v>#N/A</v>
      </c>
      <c r="AW190" s="22"/>
      <c r="AX190" s="20"/>
    </row>
    <row r="191" spans="25:64" x14ac:dyDescent="0.25">
      <c r="AA191" s="15">
        <f t="shared" si="29"/>
        <v>41274</v>
      </c>
      <c r="AB191" s="4">
        <f t="shared" si="30"/>
        <v>70</v>
      </c>
      <c r="AC191" s="4" t="e" cm="1">
        <f t="array" ref="AC191">_xlfn.XLOOKUP(1,('2013 E Maize Soil VWC'!$C$2:$C$4000=$AA191)*('2013 E Maize Soil VWC'!$E$2:$E$4000=$AB191)*('2013 E Maize Soil VWC'!$F$2:$F$4000=AC$5),'2013 E Maize Soil VWC'!$G$2:$G$4000)</f>
        <v>#N/A</v>
      </c>
      <c r="AD191" s="4" t="e" cm="1">
        <f t="array" ref="AD191">_xlfn.XLOOKUP(1,('2013 E Maize Soil VWC'!$C$2:$C$4000=$AA191)*('2013 E Maize Soil VWC'!$E$2:$E$4000=$AB191)*('2013 E Maize Soil VWC'!$F$2:$F$4000=AD$5),'2013 E Maize Soil VWC'!$G$2:$G$4000)</f>
        <v>#N/A</v>
      </c>
      <c r="AE191" s="4" t="e" cm="1">
        <f t="array" ref="AE191">_xlfn.XLOOKUP(1,('2013 E Maize Soil VWC'!$C$2:$C$4000=$AA191)*('2013 E Maize Soil VWC'!$E$2:$E$4000=$AB191)*('2013 E Maize Soil VWC'!$F$2:$F$4000=AE$5),'2013 E Maize Soil VWC'!$G$2:$G$4000)</f>
        <v>#N/A</v>
      </c>
      <c r="AF191" s="4" t="e" cm="1">
        <f t="array" ref="AF191">_xlfn.XLOOKUP(1,('2013 E Maize Soil VWC'!$C$2:$C$4000=$AA191)*('2013 E Maize Soil VWC'!$E$2:$E$4000=$AB191)*('2013 E Maize Soil VWC'!$F$2:$F$4000=AF$5),'2013 E Maize Soil VWC'!$G$2:$G$4000)</f>
        <v>#N/A</v>
      </c>
      <c r="AG191" s="4" t="e" cm="1">
        <f t="array" ref="AG191">_xlfn.XLOOKUP(1,('2013 E Maize Soil VWC'!$C$2:$C$4000=$AA191)*('2013 E Maize Soil VWC'!$E$2:$E$4000=$AB191)*('2013 E Maize Soil VWC'!$F$2:$F$4000=AG$5),'2013 E Maize Soil VWC'!$G$2:$G$4000)</f>
        <v>#N/A</v>
      </c>
      <c r="AH191" s="4" t="e" cm="1">
        <f t="array" ref="AH191">_xlfn.XLOOKUP(1,('2013 E Maize Soil VWC'!$C$2:$C$4000=$AA191)*('2013 E Maize Soil VWC'!$E$2:$E$4000=$AB191)*('2013 E Maize Soil VWC'!$F$2:$F$4000=AH$5),'2013 E Maize Soil VWC'!$G$2:$G$4000)</f>
        <v>#N/A</v>
      </c>
      <c r="AI191" s="4" t="e" cm="1">
        <f t="array" ref="AI191">_xlfn.XLOOKUP(1,('2013 E Maize Soil VWC'!$C$2:$C$4000=$AA191)*('2013 E Maize Soil VWC'!$E$2:$E$4000=$AB191)*('2013 E Maize Soil VWC'!$F$2:$F$4000=AI$5),'2013 E Maize Soil VWC'!$G$2:$G$4000)</f>
        <v>#N/A</v>
      </c>
      <c r="AJ191" s="4" t="e" cm="1">
        <f t="array" ref="AJ191">_xlfn.XLOOKUP(1,('2013 E Maize Soil VWC'!$C$2:$C$4000=$AA191)*('2013 E Maize Soil VWC'!$E$2:$E$4000=$AB191)*('2013 E Maize Soil VWC'!$F$2:$F$4000=AJ$5),'2013 E Maize Soil VWC'!$G$2:$G$4000)</f>
        <v>#N/A</v>
      </c>
      <c r="AK191" s="4" t="e" cm="1">
        <f t="array" ref="AK191">_xlfn.XLOOKUP(1,('2013 E Maize Soil VWC'!$C$2:$C$4000=$AA191)*('2013 E Maize Soil VWC'!$E$2:$E$4000=$AB191)*('2013 E Maize Soil VWC'!$F$2:$F$4000=AK$5),'2013 E Maize Soil VWC'!$G$2:$G$4000)</f>
        <v>#N/A</v>
      </c>
      <c r="AL191" s="4" t="e" cm="1">
        <f t="array" ref="AL191">_xlfn.XLOOKUP(1,('2013 E Maize Soil VWC'!$C$2:$C$4000=$AA191)*('2013 E Maize Soil VWC'!$E$2:$E$4000=$AB191)*('2013 E Maize Soil VWC'!$F$2:$F$4000=AL$5),'2013 E Maize Soil VWC'!$G$2:$G$4000)</f>
        <v>#N/A</v>
      </c>
      <c r="AM191" s="4" t="e" cm="1">
        <f t="array" ref="AM191">_xlfn.XLOOKUP(1,('2013 E Maize Soil VWC'!$C$2:$C$4000=$AA191)*('2013 E Maize Soil VWC'!$E$2:$E$4000=$AB191)*('2013 E Maize Soil VWC'!$F$2:$F$4000=AM$5),'2013 E Maize Soil VWC'!$G$2:$G$4000)</f>
        <v>#N/A</v>
      </c>
      <c r="AN191" s="4" t="e" cm="1">
        <f t="array" ref="AN191">_xlfn.XLOOKUP(1,('2013 E Maize Soil VWC'!$C$2:$C$4000=$AA191)*('2013 E Maize Soil VWC'!$E$2:$E$4000=$AB191)*('2013 E Maize Soil VWC'!$F$2:$F$4000=AN$5),'2013 E Maize Soil VWC'!$G$2:$G$4000)</f>
        <v>#N/A</v>
      </c>
      <c r="AO191" s="4" t="e" cm="1">
        <f t="array" ref="AO191">_xlfn.XLOOKUP(1,('2013 E Maize Soil VWC'!$C$2:$C$4000=$AA191)*('2013 E Maize Soil VWC'!$E$2:$E$4000=$AB191)*('2013 E Maize Soil VWC'!$F$2:$F$4000=AO$5),'2013 E Maize Soil VWC'!$G$2:$G$4000)</f>
        <v>#N/A</v>
      </c>
      <c r="AP191" s="4" t="e" cm="1">
        <f t="array" ref="AP191">_xlfn.XLOOKUP(1,('2013 E Maize Soil VWC'!$C$2:$C$4000=$AA191)*('2013 E Maize Soil VWC'!$E$2:$E$4000=$AB191)*('2013 E Maize Soil VWC'!$F$2:$F$4000=AP$5),'2013 E Maize Soil VWC'!$G$2:$G$4000)</f>
        <v>#N/A</v>
      </c>
      <c r="AQ191" s="4" t="e" cm="1">
        <f t="array" ref="AQ191">_xlfn.XLOOKUP(1,('2013 E Maize Soil VWC'!$C$2:$C$4000=$AA191)*('2013 E Maize Soil VWC'!$E$2:$E$4000=$AB191)*('2013 E Maize Soil VWC'!$F$2:$F$4000=AQ$5),'2013 E Maize Soil VWC'!$G$2:$G$4000)</f>
        <v>#N/A</v>
      </c>
      <c r="AR191" s="4" t="e" cm="1">
        <f t="array" ref="AR191">_xlfn.XLOOKUP(1,('2013 E Maize Soil VWC'!$C$2:$C$4000=$AA191)*('2013 E Maize Soil VWC'!$E$2:$E$4000=$AB191)*('2013 E Maize Soil VWC'!$F$2:$F$4000=AR$5),'2013 E Maize Soil VWC'!$G$2:$G$4000)</f>
        <v>#N/A</v>
      </c>
      <c r="AS191" s="4" t="e" cm="1">
        <f t="array" ref="AS191">_xlfn.XLOOKUP(1,('2013 E Maize Soil VWC'!$C$2:$C$4000=$AA191)*('2013 E Maize Soil VWC'!$E$2:$E$4000=$AB191)*('2013 E Maize Soil VWC'!$F$2:$F$4000=AS$5),'2013 E Maize Soil VWC'!$G$2:$G$4000)</f>
        <v>#N/A</v>
      </c>
      <c r="AT191" s="4" t="e" cm="1">
        <f t="array" ref="AT191">_xlfn.XLOOKUP(1,('2013 E Maize Soil VWC'!$C$2:$C$4000=$AA191)*('2013 E Maize Soil VWC'!$E$2:$E$4000=$AB191)*('2013 E Maize Soil VWC'!$F$2:$F$4000=AT$5),'2013 E Maize Soil VWC'!$G$2:$G$4000)</f>
        <v>#N/A</v>
      </c>
      <c r="AU191" s="4" t="e" cm="1">
        <f t="array" ref="AU191">_xlfn.XLOOKUP(1,('2013 E Maize Soil VWC'!$C$2:$C$4000=$AA191)*('2013 E Maize Soil VWC'!$E$2:$E$4000=$AB191)*('2013 E Maize Soil VWC'!$F$2:$F$4000=AU$5),'2013 E Maize Soil VWC'!$G$2:$G$4000)</f>
        <v>#N/A</v>
      </c>
      <c r="AV191" s="4" t="e" cm="1">
        <f t="array" ref="AV191">_xlfn.XLOOKUP(1,('2013 E Maize Soil VWC'!$C$2:$C$4000=$AA191)*('2013 E Maize Soil VWC'!$E$2:$E$4000=$AB191)*('2013 E Maize Soil VWC'!$F$2:$F$4000=AV$5),'2013 E Maize Soil VWC'!$G$2:$G$4000)</f>
        <v>#N/A</v>
      </c>
      <c r="AW191" s="22"/>
      <c r="AX191" s="20"/>
    </row>
    <row r="192" spans="25:64" x14ac:dyDescent="0.25">
      <c r="AA192" s="15">
        <f t="shared" si="29"/>
        <v>41274</v>
      </c>
      <c r="AB192" s="4">
        <f t="shared" si="30"/>
        <v>90</v>
      </c>
      <c r="AC192" s="4" t="e" cm="1">
        <f t="array" ref="AC192">_xlfn.XLOOKUP(1,('2013 E Maize Soil VWC'!$C$2:$C$4000=$AA192)*('2013 E Maize Soil VWC'!$E$2:$E$4000=$AB192)*('2013 E Maize Soil VWC'!$F$2:$F$4000=AC$5),'2013 E Maize Soil VWC'!$G$2:$G$4000)</f>
        <v>#N/A</v>
      </c>
      <c r="AD192" s="4" t="e" cm="1">
        <f t="array" ref="AD192">_xlfn.XLOOKUP(1,('2013 E Maize Soil VWC'!$C$2:$C$4000=$AA192)*('2013 E Maize Soil VWC'!$E$2:$E$4000=$AB192)*('2013 E Maize Soil VWC'!$F$2:$F$4000=AD$5),'2013 E Maize Soil VWC'!$G$2:$G$4000)</f>
        <v>#N/A</v>
      </c>
      <c r="AE192" s="4" t="e" cm="1">
        <f t="array" ref="AE192">_xlfn.XLOOKUP(1,('2013 E Maize Soil VWC'!$C$2:$C$4000=$AA192)*('2013 E Maize Soil VWC'!$E$2:$E$4000=$AB192)*('2013 E Maize Soil VWC'!$F$2:$F$4000=AE$5),'2013 E Maize Soil VWC'!$G$2:$G$4000)</f>
        <v>#N/A</v>
      </c>
      <c r="AF192" s="4" t="e" cm="1">
        <f t="array" ref="AF192">_xlfn.XLOOKUP(1,('2013 E Maize Soil VWC'!$C$2:$C$4000=$AA192)*('2013 E Maize Soil VWC'!$E$2:$E$4000=$AB192)*('2013 E Maize Soil VWC'!$F$2:$F$4000=AF$5),'2013 E Maize Soil VWC'!$G$2:$G$4000)</f>
        <v>#N/A</v>
      </c>
      <c r="AG192" s="4" t="e" cm="1">
        <f t="array" ref="AG192">_xlfn.XLOOKUP(1,('2013 E Maize Soil VWC'!$C$2:$C$4000=$AA192)*('2013 E Maize Soil VWC'!$E$2:$E$4000=$AB192)*('2013 E Maize Soil VWC'!$F$2:$F$4000=AG$5),'2013 E Maize Soil VWC'!$G$2:$G$4000)</f>
        <v>#N/A</v>
      </c>
      <c r="AH192" s="4" t="e" cm="1">
        <f t="array" ref="AH192">_xlfn.XLOOKUP(1,('2013 E Maize Soil VWC'!$C$2:$C$4000=$AA192)*('2013 E Maize Soil VWC'!$E$2:$E$4000=$AB192)*('2013 E Maize Soil VWC'!$F$2:$F$4000=AH$5),'2013 E Maize Soil VWC'!$G$2:$G$4000)</f>
        <v>#N/A</v>
      </c>
      <c r="AI192" s="4" t="e" cm="1">
        <f t="array" ref="AI192">_xlfn.XLOOKUP(1,('2013 E Maize Soil VWC'!$C$2:$C$4000=$AA192)*('2013 E Maize Soil VWC'!$E$2:$E$4000=$AB192)*('2013 E Maize Soil VWC'!$F$2:$F$4000=AI$5),'2013 E Maize Soil VWC'!$G$2:$G$4000)</f>
        <v>#N/A</v>
      </c>
      <c r="AJ192" s="4" t="e" cm="1">
        <f t="array" ref="AJ192">_xlfn.XLOOKUP(1,('2013 E Maize Soil VWC'!$C$2:$C$4000=$AA192)*('2013 E Maize Soil VWC'!$E$2:$E$4000=$AB192)*('2013 E Maize Soil VWC'!$F$2:$F$4000=AJ$5),'2013 E Maize Soil VWC'!$G$2:$G$4000)</f>
        <v>#N/A</v>
      </c>
      <c r="AK192" s="4" t="e" cm="1">
        <f t="array" ref="AK192">_xlfn.XLOOKUP(1,('2013 E Maize Soil VWC'!$C$2:$C$4000=$AA192)*('2013 E Maize Soil VWC'!$E$2:$E$4000=$AB192)*('2013 E Maize Soil VWC'!$F$2:$F$4000=AK$5),'2013 E Maize Soil VWC'!$G$2:$G$4000)</f>
        <v>#N/A</v>
      </c>
      <c r="AL192" s="4" t="e" cm="1">
        <f t="array" ref="AL192">_xlfn.XLOOKUP(1,('2013 E Maize Soil VWC'!$C$2:$C$4000=$AA192)*('2013 E Maize Soil VWC'!$E$2:$E$4000=$AB192)*('2013 E Maize Soil VWC'!$F$2:$F$4000=AL$5),'2013 E Maize Soil VWC'!$G$2:$G$4000)</f>
        <v>#N/A</v>
      </c>
      <c r="AM192" s="4" t="e" cm="1">
        <f t="array" ref="AM192">_xlfn.XLOOKUP(1,('2013 E Maize Soil VWC'!$C$2:$C$4000=$AA192)*('2013 E Maize Soil VWC'!$E$2:$E$4000=$AB192)*('2013 E Maize Soil VWC'!$F$2:$F$4000=AM$5),'2013 E Maize Soil VWC'!$G$2:$G$4000)</f>
        <v>#N/A</v>
      </c>
      <c r="AN192" s="4" t="e" cm="1">
        <f t="array" ref="AN192">_xlfn.XLOOKUP(1,('2013 E Maize Soil VWC'!$C$2:$C$4000=$AA192)*('2013 E Maize Soil VWC'!$E$2:$E$4000=$AB192)*('2013 E Maize Soil VWC'!$F$2:$F$4000=AN$5),'2013 E Maize Soil VWC'!$G$2:$G$4000)</f>
        <v>#N/A</v>
      </c>
      <c r="AO192" s="4" t="e" cm="1">
        <f t="array" ref="AO192">_xlfn.XLOOKUP(1,('2013 E Maize Soil VWC'!$C$2:$C$4000=$AA192)*('2013 E Maize Soil VWC'!$E$2:$E$4000=$AB192)*('2013 E Maize Soil VWC'!$F$2:$F$4000=AO$5),'2013 E Maize Soil VWC'!$G$2:$G$4000)</f>
        <v>#N/A</v>
      </c>
      <c r="AP192" s="4" t="e" cm="1">
        <f t="array" ref="AP192">_xlfn.XLOOKUP(1,('2013 E Maize Soil VWC'!$C$2:$C$4000=$AA192)*('2013 E Maize Soil VWC'!$E$2:$E$4000=$AB192)*('2013 E Maize Soil VWC'!$F$2:$F$4000=AP$5),'2013 E Maize Soil VWC'!$G$2:$G$4000)</f>
        <v>#N/A</v>
      </c>
      <c r="AQ192" s="4" t="e" cm="1">
        <f t="array" ref="AQ192">_xlfn.XLOOKUP(1,('2013 E Maize Soil VWC'!$C$2:$C$4000=$AA192)*('2013 E Maize Soil VWC'!$E$2:$E$4000=$AB192)*('2013 E Maize Soil VWC'!$F$2:$F$4000=AQ$5),'2013 E Maize Soil VWC'!$G$2:$G$4000)</f>
        <v>#N/A</v>
      </c>
      <c r="AR192" s="4" t="e" cm="1">
        <f t="array" ref="AR192">_xlfn.XLOOKUP(1,('2013 E Maize Soil VWC'!$C$2:$C$4000=$AA192)*('2013 E Maize Soil VWC'!$E$2:$E$4000=$AB192)*('2013 E Maize Soil VWC'!$F$2:$F$4000=AR$5),'2013 E Maize Soil VWC'!$G$2:$G$4000)</f>
        <v>#N/A</v>
      </c>
      <c r="AS192" s="4" t="e" cm="1">
        <f t="array" ref="AS192">_xlfn.XLOOKUP(1,('2013 E Maize Soil VWC'!$C$2:$C$4000=$AA192)*('2013 E Maize Soil VWC'!$E$2:$E$4000=$AB192)*('2013 E Maize Soil VWC'!$F$2:$F$4000=AS$5),'2013 E Maize Soil VWC'!$G$2:$G$4000)</f>
        <v>#N/A</v>
      </c>
      <c r="AT192" s="4" t="e" cm="1">
        <f t="array" ref="AT192">_xlfn.XLOOKUP(1,('2013 E Maize Soil VWC'!$C$2:$C$4000=$AA192)*('2013 E Maize Soil VWC'!$E$2:$E$4000=$AB192)*('2013 E Maize Soil VWC'!$F$2:$F$4000=AT$5),'2013 E Maize Soil VWC'!$G$2:$G$4000)</f>
        <v>#N/A</v>
      </c>
      <c r="AU192" s="4" t="e" cm="1">
        <f t="array" ref="AU192">_xlfn.XLOOKUP(1,('2013 E Maize Soil VWC'!$C$2:$C$4000=$AA192)*('2013 E Maize Soil VWC'!$E$2:$E$4000=$AB192)*('2013 E Maize Soil VWC'!$F$2:$F$4000=AU$5),'2013 E Maize Soil VWC'!$G$2:$G$4000)</f>
        <v>#N/A</v>
      </c>
      <c r="AV192" s="4" t="e" cm="1">
        <f t="array" ref="AV192">_xlfn.XLOOKUP(1,('2013 E Maize Soil VWC'!$C$2:$C$4000=$AA192)*('2013 E Maize Soil VWC'!$E$2:$E$4000=$AB192)*('2013 E Maize Soil VWC'!$F$2:$F$4000=AV$5),'2013 E Maize Soil VWC'!$G$2:$G$4000)</f>
        <v>#N/A</v>
      </c>
    </row>
    <row r="193" spans="27:48" x14ac:dyDescent="0.25">
      <c r="AA193" s="15">
        <f t="shared" si="29"/>
        <v>41274</v>
      </c>
      <c r="AB193" s="4">
        <f t="shared" si="30"/>
        <v>110</v>
      </c>
      <c r="AC193" s="4" t="e" cm="1">
        <f t="array" ref="AC193">_xlfn.XLOOKUP(1,('2013 E Maize Soil VWC'!$C$2:$C$4000=$AA193)*('2013 E Maize Soil VWC'!$E$2:$E$4000=$AB193)*('2013 E Maize Soil VWC'!$F$2:$F$4000=AC$5),'2013 E Maize Soil VWC'!$G$2:$G$4000)</f>
        <v>#N/A</v>
      </c>
      <c r="AD193" s="4" t="e" cm="1">
        <f t="array" ref="AD193">_xlfn.XLOOKUP(1,('2013 E Maize Soil VWC'!$C$2:$C$4000=$AA193)*('2013 E Maize Soil VWC'!$E$2:$E$4000=$AB193)*('2013 E Maize Soil VWC'!$F$2:$F$4000=AD$5),'2013 E Maize Soil VWC'!$G$2:$G$4000)</f>
        <v>#N/A</v>
      </c>
      <c r="AE193" s="4" t="e" cm="1">
        <f t="array" ref="AE193">_xlfn.XLOOKUP(1,('2013 E Maize Soil VWC'!$C$2:$C$4000=$AA193)*('2013 E Maize Soil VWC'!$E$2:$E$4000=$AB193)*('2013 E Maize Soil VWC'!$F$2:$F$4000=AE$5),'2013 E Maize Soil VWC'!$G$2:$G$4000)</f>
        <v>#N/A</v>
      </c>
      <c r="AF193" s="4" t="e" cm="1">
        <f t="array" ref="AF193">_xlfn.XLOOKUP(1,('2013 E Maize Soil VWC'!$C$2:$C$4000=$AA193)*('2013 E Maize Soil VWC'!$E$2:$E$4000=$AB193)*('2013 E Maize Soil VWC'!$F$2:$F$4000=AF$5),'2013 E Maize Soil VWC'!$G$2:$G$4000)</f>
        <v>#N/A</v>
      </c>
      <c r="AG193" s="4" t="e" cm="1">
        <f t="array" ref="AG193">_xlfn.XLOOKUP(1,('2013 E Maize Soil VWC'!$C$2:$C$4000=$AA193)*('2013 E Maize Soil VWC'!$E$2:$E$4000=$AB193)*('2013 E Maize Soil VWC'!$F$2:$F$4000=AG$5),'2013 E Maize Soil VWC'!$G$2:$G$4000)</f>
        <v>#N/A</v>
      </c>
      <c r="AH193" s="4" t="e" cm="1">
        <f t="array" ref="AH193">_xlfn.XLOOKUP(1,('2013 E Maize Soil VWC'!$C$2:$C$4000=$AA193)*('2013 E Maize Soil VWC'!$E$2:$E$4000=$AB193)*('2013 E Maize Soil VWC'!$F$2:$F$4000=AH$5),'2013 E Maize Soil VWC'!$G$2:$G$4000)</f>
        <v>#N/A</v>
      </c>
      <c r="AI193" s="4" t="e" cm="1">
        <f t="array" ref="AI193">_xlfn.XLOOKUP(1,('2013 E Maize Soil VWC'!$C$2:$C$4000=$AA193)*('2013 E Maize Soil VWC'!$E$2:$E$4000=$AB193)*('2013 E Maize Soil VWC'!$F$2:$F$4000=AI$5),'2013 E Maize Soil VWC'!$G$2:$G$4000)</f>
        <v>#N/A</v>
      </c>
      <c r="AJ193" s="4" t="e" cm="1">
        <f t="array" ref="AJ193">_xlfn.XLOOKUP(1,('2013 E Maize Soil VWC'!$C$2:$C$4000=$AA193)*('2013 E Maize Soil VWC'!$E$2:$E$4000=$AB193)*('2013 E Maize Soil VWC'!$F$2:$F$4000=AJ$5),'2013 E Maize Soil VWC'!$G$2:$G$4000)</f>
        <v>#N/A</v>
      </c>
      <c r="AK193" s="4" t="e" cm="1">
        <f t="array" ref="AK193">_xlfn.XLOOKUP(1,('2013 E Maize Soil VWC'!$C$2:$C$4000=$AA193)*('2013 E Maize Soil VWC'!$E$2:$E$4000=$AB193)*('2013 E Maize Soil VWC'!$F$2:$F$4000=AK$5),'2013 E Maize Soil VWC'!$G$2:$G$4000)</f>
        <v>#N/A</v>
      </c>
      <c r="AL193" s="4" t="e" cm="1">
        <f t="array" ref="AL193">_xlfn.XLOOKUP(1,('2013 E Maize Soil VWC'!$C$2:$C$4000=$AA193)*('2013 E Maize Soil VWC'!$E$2:$E$4000=$AB193)*('2013 E Maize Soil VWC'!$F$2:$F$4000=AL$5),'2013 E Maize Soil VWC'!$G$2:$G$4000)</f>
        <v>#N/A</v>
      </c>
      <c r="AM193" s="4" t="e" cm="1">
        <f t="array" ref="AM193">_xlfn.XLOOKUP(1,('2013 E Maize Soil VWC'!$C$2:$C$4000=$AA193)*('2013 E Maize Soil VWC'!$E$2:$E$4000=$AB193)*('2013 E Maize Soil VWC'!$F$2:$F$4000=AM$5),'2013 E Maize Soil VWC'!$G$2:$G$4000)</f>
        <v>#N/A</v>
      </c>
      <c r="AN193" s="4" t="e" cm="1">
        <f t="array" ref="AN193">_xlfn.XLOOKUP(1,('2013 E Maize Soil VWC'!$C$2:$C$4000=$AA193)*('2013 E Maize Soil VWC'!$E$2:$E$4000=$AB193)*('2013 E Maize Soil VWC'!$F$2:$F$4000=AN$5),'2013 E Maize Soil VWC'!$G$2:$G$4000)</f>
        <v>#N/A</v>
      </c>
      <c r="AO193" s="4" t="e" cm="1">
        <f t="array" ref="AO193">_xlfn.XLOOKUP(1,('2013 E Maize Soil VWC'!$C$2:$C$4000=$AA193)*('2013 E Maize Soil VWC'!$E$2:$E$4000=$AB193)*('2013 E Maize Soil VWC'!$F$2:$F$4000=AO$5),'2013 E Maize Soil VWC'!$G$2:$G$4000)</f>
        <v>#N/A</v>
      </c>
      <c r="AP193" s="4" t="e" cm="1">
        <f t="array" ref="AP193">_xlfn.XLOOKUP(1,('2013 E Maize Soil VWC'!$C$2:$C$4000=$AA193)*('2013 E Maize Soil VWC'!$E$2:$E$4000=$AB193)*('2013 E Maize Soil VWC'!$F$2:$F$4000=AP$5),'2013 E Maize Soil VWC'!$G$2:$G$4000)</f>
        <v>#N/A</v>
      </c>
      <c r="AQ193" s="4" t="e" cm="1">
        <f t="array" ref="AQ193">_xlfn.XLOOKUP(1,('2013 E Maize Soil VWC'!$C$2:$C$4000=$AA193)*('2013 E Maize Soil VWC'!$E$2:$E$4000=$AB193)*('2013 E Maize Soil VWC'!$F$2:$F$4000=AQ$5),'2013 E Maize Soil VWC'!$G$2:$G$4000)</f>
        <v>#N/A</v>
      </c>
      <c r="AR193" s="4" t="e" cm="1">
        <f t="array" ref="AR193">_xlfn.XLOOKUP(1,('2013 E Maize Soil VWC'!$C$2:$C$4000=$AA193)*('2013 E Maize Soil VWC'!$E$2:$E$4000=$AB193)*('2013 E Maize Soil VWC'!$F$2:$F$4000=AR$5),'2013 E Maize Soil VWC'!$G$2:$G$4000)</f>
        <v>#N/A</v>
      </c>
      <c r="AS193" s="4" t="e" cm="1">
        <f t="array" ref="AS193">_xlfn.XLOOKUP(1,('2013 E Maize Soil VWC'!$C$2:$C$4000=$AA193)*('2013 E Maize Soil VWC'!$E$2:$E$4000=$AB193)*('2013 E Maize Soil VWC'!$F$2:$F$4000=AS$5),'2013 E Maize Soil VWC'!$G$2:$G$4000)</f>
        <v>#N/A</v>
      </c>
      <c r="AT193" s="4" t="e" cm="1">
        <f t="array" ref="AT193">_xlfn.XLOOKUP(1,('2013 E Maize Soil VWC'!$C$2:$C$4000=$AA193)*('2013 E Maize Soil VWC'!$E$2:$E$4000=$AB193)*('2013 E Maize Soil VWC'!$F$2:$F$4000=AT$5),'2013 E Maize Soil VWC'!$G$2:$G$4000)</f>
        <v>#N/A</v>
      </c>
      <c r="AU193" s="4" t="e" cm="1">
        <f t="array" ref="AU193">_xlfn.XLOOKUP(1,('2013 E Maize Soil VWC'!$C$2:$C$4000=$AA193)*('2013 E Maize Soil VWC'!$E$2:$E$4000=$AB193)*('2013 E Maize Soil VWC'!$F$2:$F$4000=AU$5),'2013 E Maize Soil VWC'!$G$2:$G$4000)</f>
        <v>#N/A</v>
      </c>
      <c r="AV193" s="4" t="e" cm="1">
        <f t="array" ref="AV193">_xlfn.XLOOKUP(1,('2013 E Maize Soil VWC'!$C$2:$C$4000=$AA193)*('2013 E Maize Soil VWC'!$E$2:$E$4000=$AB193)*('2013 E Maize Soil VWC'!$F$2:$F$4000=AV$5),'2013 E Maize Soil VWC'!$G$2:$G$4000)</f>
        <v>#N/A</v>
      </c>
    </row>
    <row r="194" spans="27:48" x14ac:dyDescent="0.25">
      <c r="AA194" s="15">
        <f t="shared" si="29"/>
        <v>41274</v>
      </c>
      <c r="AB194" s="4">
        <f t="shared" si="30"/>
        <v>130</v>
      </c>
      <c r="AC194" s="4" t="e" cm="1">
        <f t="array" ref="AC194">_xlfn.XLOOKUP(1,('2013 E Maize Soil VWC'!$C$2:$C$4000=$AA194)*('2013 E Maize Soil VWC'!$E$2:$E$4000=$AB194)*('2013 E Maize Soil VWC'!$F$2:$F$4000=AC$5),'2013 E Maize Soil VWC'!$G$2:$G$4000)</f>
        <v>#N/A</v>
      </c>
      <c r="AD194" s="4" t="e" cm="1">
        <f t="array" ref="AD194">_xlfn.XLOOKUP(1,('2013 E Maize Soil VWC'!$C$2:$C$4000=$AA194)*('2013 E Maize Soil VWC'!$E$2:$E$4000=$AB194)*('2013 E Maize Soil VWC'!$F$2:$F$4000=AD$5),'2013 E Maize Soil VWC'!$G$2:$G$4000)</f>
        <v>#N/A</v>
      </c>
      <c r="AE194" s="4" t="e" cm="1">
        <f t="array" ref="AE194">_xlfn.XLOOKUP(1,('2013 E Maize Soil VWC'!$C$2:$C$4000=$AA194)*('2013 E Maize Soil VWC'!$E$2:$E$4000=$AB194)*('2013 E Maize Soil VWC'!$F$2:$F$4000=AE$5),'2013 E Maize Soil VWC'!$G$2:$G$4000)</f>
        <v>#N/A</v>
      </c>
      <c r="AF194" s="4" t="e" cm="1">
        <f t="array" ref="AF194">_xlfn.XLOOKUP(1,('2013 E Maize Soil VWC'!$C$2:$C$4000=$AA194)*('2013 E Maize Soil VWC'!$E$2:$E$4000=$AB194)*('2013 E Maize Soil VWC'!$F$2:$F$4000=AF$5),'2013 E Maize Soil VWC'!$G$2:$G$4000)</f>
        <v>#N/A</v>
      </c>
      <c r="AG194" s="4" t="e" cm="1">
        <f t="array" ref="AG194">_xlfn.XLOOKUP(1,('2013 E Maize Soil VWC'!$C$2:$C$4000=$AA194)*('2013 E Maize Soil VWC'!$E$2:$E$4000=$AB194)*('2013 E Maize Soil VWC'!$F$2:$F$4000=AG$5),'2013 E Maize Soil VWC'!$G$2:$G$4000)</f>
        <v>#N/A</v>
      </c>
      <c r="AH194" s="4" t="e" cm="1">
        <f t="array" ref="AH194">_xlfn.XLOOKUP(1,('2013 E Maize Soil VWC'!$C$2:$C$4000=$AA194)*('2013 E Maize Soil VWC'!$E$2:$E$4000=$AB194)*('2013 E Maize Soil VWC'!$F$2:$F$4000=AH$5),'2013 E Maize Soil VWC'!$G$2:$G$4000)</f>
        <v>#N/A</v>
      </c>
      <c r="AI194" s="4" t="e" cm="1">
        <f t="array" ref="AI194">_xlfn.XLOOKUP(1,('2013 E Maize Soil VWC'!$C$2:$C$4000=$AA194)*('2013 E Maize Soil VWC'!$E$2:$E$4000=$AB194)*('2013 E Maize Soil VWC'!$F$2:$F$4000=AI$5),'2013 E Maize Soil VWC'!$G$2:$G$4000)</f>
        <v>#N/A</v>
      </c>
      <c r="AJ194" s="4" t="e" cm="1">
        <f t="array" ref="AJ194">_xlfn.XLOOKUP(1,('2013 E Maize Soil VWC'!$C$2:$C$4000=$AA194)*('2013 E Maize Soil VWC'!$E$2:$E$4000=$AB194)*('2013 E Maize Soil VWC'!$F$2:$F$4000=AJ$5),'2013 E Maize Soil VWC'!$G$2:$G$4000)</f>
        <v>#N/A</v>
      </c>
      <c r="AK194" s="4" t="e" cm="1">
        <f t="array" ref="AK194">_xlfn.XLOOKUP(1,('2013 E Maize Soil VWC'!$C$2:$C$4000=$AA194)*('2013 E Maize Soil VWC'!$E$2:$E$4000=$AB194)*('2013 E Maize Soil VWC'!$F$2:$F$4000=AK$5),'2013 E Maize Soil VWC'!$G$2:$G$4000)</f>
        <v>#N/A</v>
      </c>
      <c r="AL194" s="4" t="e" cm="1">
        <f t="array" ref="AL194">_xlfn.XLOOKUP(1,('2013 E Maize Soil VWC'!$C$2:$C$4000=$AA194)*('2013 E Maize Soil VWC'!$E$2:$E$4000=$AB194)*('2013 E Maize Soil VWC'!$F$2:$F$4000=AL$5),'2013 E Maize Soil VWC'!$G$2:$G$4000)</f>
        <v>#N/A</v>
      </c>
      <c r="AM194" s="4" t="e" cm="1">
        <f t="array" ref="AM194">_xlfn.XLOOKUP(1,('2013 E Maize Soil VWC'!$C$2:$C$4000=$AA194)*('2013 E Maize Soil VWC'!$E$2:$E$4000=$AB194)*('2013 E Maize Soil VWC'!$F$2:$F$4000=AM$5),'2013 E Maize Soil VWC'!$G$2:$G$4000)</f>
        <v>#N/A</v>
      </c>
      <c r="AN194" s="4" t="e" cm="1">
        <f t="array" ref="AN194">_xlfn.XLOOKUP(1,('2013 E Maize Soil VWC'!$C$2:$C$4000=$AA194)*('2013 E Maize Soil VWC'!$E$2:$E$4000=$AB194)*('2013 E Maize Soil VWC'!$F$2:$F$4000=AN$5),'2013 E Maize Soil VWC'!$G$2:$G$4000)</f>
        <v>#N/A</v>
      </c>
      <c r="AO194" s="4" t="e" cm="1">
        <f t="array" ref="AO194">_xlfn.XLOOKUP(1,('2013 E Maize Soil VWC'!$C$2:$C$4000=$AA194)*('2013 E Maize Soil VWC'!$E$2:$E$4000=$AB194)*('2013 E Maize Soil VWC'!$F$2:$F$4000=AO$5),'2013 E Maize Soil VWC'!$G$2:$G$4000)</f>
        <v>#N/A</v>
      </c>
      <c r="AP194" s="4" t="e" cm="1">
        <f t="array" ref="AP194">_xlfn.XLOOKUP(1,('2013 E Maize Soil VWC'!$C$2:$C$4000=$AA194)*('2013 E Maize Soil VWC'!$E$2:$E$4000=$AB194)*('2013 E Maize Soil VWC'!$F$2:$F$4000=AP$5),'2013 E Maize Soil VWC'!$G$2:$G$4000)</f>
        <v>#N/A</v>
      </c>
      <c r="AQ194" s="4" t="e" cm="1">
        <f t="array" ref="AQ194">_xlfn.XLOOKUP(1,('2013 E Maize Soil VWC'!$C$2:$C$4000=$AA194)*('2013 E Maize Soil VWC'!$E$2:$E$4000=$AB194)*('2013 E Maize Soil VWC'!$F$2:$F$4000=AQ$5),'2013 E Maize Soil VWC'!$G$2:$G$4000)</f>
        <v>#N/A</v>
      </c>
      <c r="AR194" s="4" t="e" cm="1">
        <f t="array" ref="AR194">_xlfn.XLOOKUP(1,('2013 E Maize Soil VWC'!$C$2:$C$4000=$AA194)*('2013 E Maize Soil VWC'!$E$2:$E$4000=$AB194)*('2013 E Maize Soil VWC'!$F$2:$F$4000=AR$5),'2013 E Maize Soil VWC'!$G$2:$G$4000)</f>
        <v>#N/A</v>
      </c>
      <c r="AS194" s="4" t="e" cm="1">
        <f t="array" ref="AS194">_xlfn.XLOOKUP(1,('2013 E Maize Soil VWC'!$C$2:$C$4000=$AA194)*('2013 E Maize Soil VWC'!$E$2:$E$4000=$AB194)*('2013 E Maize Soil VWC'!$F$2:$F$4000=AS$5),'2013 E Maize Soil VWC'!$G$2:$G$4000)</f>
        <v>#N/A</v>
      </c>
      <c r="AT194" s="4" t="e" cm="1">
        <f t="array" ref="AT194">_xlfn.XLOOKUP(1,('2013 E Maize Soil VWC'!$C$2:$C$4000=$AA194)*('2013 E Maize Soil VWC'!$E$2:$E$4000=$AB194)*('2013 E Maize Soil VWC'!$F$2:$F$4000=AT$5),'2013 E Maize Soil VWC'!$G$2:$G$4000)</f>
        <v>#N/A</v>
      </c>
      <c r="AU194" s="4" t="e" cm="1">
        <f t="array" ref="AU194">_xlfn.XLOOKUP(1,('2013 E Maize Soil VWC'!$C$2:$C$4000=$AA194)*('2013 E Maize Soil VWC'!$E$2:$E$4000=$AB194)*('2013 E Maize Soil VWC'!$F$2:$F$4000=AU$5),'2013 E Maize Soil VWC'!$G$2:$G$4000)</f>
        <v>#N/A</v>
      </c>
      <c r="AV194" s="4" t="e" cm="1">
        <f t="array" ref="AV194">_xlfn.XLOOKUP(1,('2013 E Maize Soil VWC'!$C$2:$C$4000=$AA194)*('2013 E Maize Soil VWC'!$E$2:$E$4000=$AB194)*('2013 E Maize Soil VWC'!$F$2:$F$4000=AV$5),'2013 E Maize Soil VWC'!$G$2:$G$4000)</f>
        <v>#N/A</v>
      </c>
    </row>
    <row r="195" spans="27:48" x14ac:dyDescent="0.25">
      <c r="AA195" s="15">
        <f t="shared" si="29"/>
        <v>41274</v>
      </c>
      <c r="AB195" s="4">
        <f t="shared" si="30"/>
        <v>150</v>
      </c>
      <c r="AC195" s="4" t="e" cm="1">
        <f t="array" ref="AC195">_xlfn.XLOOKUP(1,('2013 E Maize Soil VWC'!$C$2:$C$4000=$AA195)*('2013 E Maize Soil VWC'!$E$2:$E$4000=$AB195)*('2013 E Maize Soil VWC'!$F$2:$F$4000=AC$5),'2013 E Maize Soil VWC'!$G$2:$G$4000)</f>
        <v>#N/A</v>
      </c>
      <c r="AD195" s="4" t="e" cm="1">
        <f t="array" ref="AD195">_xlfn.XLOOKUP(1,('2013 E Maize Soil VWC'!$C$2:$C$4000=$AA195)*('2013 E Maize Soil VWC'!$E$2:$E$4000=$AB195)*('2013 E Maize Soil VWC'!$F$2:$F$4000=AD$5),'2013 E Maize Soil VWC'!$G$2:$G$4000)</f>
        <v>#N/A</v>
      </c>
      <c r="AE195" s="4" t="e" cm="1">
        <f t="array" ref="AE195">_xlfn.XLOOKUP(1,('2013 E Maize Soil VWC'!$C$2:$C$4000=$AA195)*('2013 E Maize Soil VWC'!$E$2:$E$4000=$AB195)*('2013 E Maize Soil VWC'!$F$2:$F$4000=AE$5),'2013 E Maize Soil VWC'!$G$2:$G$4000)</f>
        <v>#N/A</v>
      </c>
      <c r="AF195" s="4" t="e" cm="1">
        <f t="array" ref="AF195">_xlfn.XLOOKUP(1,('2013 E Maize Soil VWC'!$C$2:$C$4000=$AA195)*('2013 E Maize Soil VWC'!$E$2:$E$4000=$AB195)*('2013 E Maize Soil VWC'!$F$2:$F$4000=AF$5),'2013 E Maize Soil VWC'!$G$2:$G$4000)</f>
        <v>#N/A</v>
      </c>
      <c r="AG195" s="4" t="e" cm="1">
        <f t="array" ref="AG195">_xlfn.XLOOKUP(1,('2013 E Maize Soil VWC'!$C$2:$C$4000=$AA195)*('2013 E Maize Soil VWC'!$E$2:$E$4000=$AB195)*('2013 E Maize Soil VWC'!$F$2:$F$4000=AG$5),'2013 E Maize Soil VWC'!$G$2:$G$4000)</f>
        <v>#N/A</v>
      </c>
      <c r="AH195" s="4" t="e" cm="1">
        <f t="array" ref="AH195">_xlfn.XLOOKUP(1,('2013 E Maize Soil VWC'!$C$2:$C$4000=$AA195)*('2013 E Maize Soil VWC'!$E$2:$E$4000=$AB195)*('2013 E Maize Soil VWC'!$F$2:$F$4000=AH$5),'2013 E Maize Soil VWC'!$G$2:$G$4000)</f>
        <v>#N/A</v>
      </c>
      <c r="AI195" s="4" t="e" cm="1">
        <f t="array" ref="AI195">_xlfn.XLOOKUP(1,('2013 E Maize Soil VWC'!$C$2:$C$4000=$AA195)*('2013 E Maize Soil VWC'!$E$2:$E$4000=$AB195)*('2013 E Maize Soil VWC'!$F$2:$F$4000=AI$5),'2013 E Maize Soil VWC'!$G$2:$G$4000)</f>
        <v>#N/A</v>
      </c>
      <c r="AJ195" s="4" t="e" cm="1">
        <f t="array" ref="AJ195">_xlfn.XLOOKUP(1,('2013 E Maize Soil VWC'!$C$2:$C$4000=$AA195)*('2013 E Maize Soil VWC'!$E$2:$E$4000=$AB195)*('2013 E Maize Soil VWC'!$F$2:$F$4000=AJ$5),'2013 E Maize Soil VWC'!$G$2:$G$4000)</f>
        <v>#N/A</v>
      </c>
      <c r="AK195" s="4" t="e" cm="1">
        <f t="array" ref="AK195">_xlfn.XLOOKUP(1,('2013 E Maize Soil VWC'!$C$2:$C$4000=$AA195)*('2013 E Maize Soil VWC'!$E$2:$E$4000=$AB195)*('2013 E Maize Soil VWC'!$F$2:$F$4000=AK$5),'2013 E Maize Soil VWC'!$G$2:$G$4000)</f>
        <v>#N/A</v>
      </c>
      <c r="AL195" s="4" t="e" cm="1">
        <f t="array" ref="AL195">_xlfn.XLOOKUP(1,('2013 E Maize Soil VWC'!$C$2:$C$4000=$AA195)*('2013 E Maize Soil VWC'!$E$2:$E$4000=$AB195)*('2013 E Maize Soil VWC'!$F$2:$F$4000=AL$5),'2013 E Maize Soil VWC'!$G$2:$G$4000)</f>
        <v>#N/A</v>
      </c>
      <c r="AM195" s="4" t="e" cm="1">
        <f t="array" ref="AM195">_xlfn.XLOOKUP(1,('2013 E Maize Soil VWC'!$C$2:$C$4000=$AA195)*('2013 E Maize Soil VWC'!$E$2:$E$4000=$AB195)*('2013 E Maize Soil VWC'!$F$2:$F$4000=AM$5),'2013 E Maize Soil VWC'!$G$2:$G$4000)</f>
        <v>#N/A</v>
      </c>
      <c r="AN195" s="4" t="e" cm="1">
        <f t="array" ref="AN195">_xlfn.XLOOKUP(1,('2013 E Maize Soil VWC'!$C$2:$C$4000=$AA195)*('2013 E Maize Soil VWC'!$E$2:$E$4000=$AB195)*('2013 E Maize Soil VWC'!$F$2:$F$4000=AN$5),'2013 E Maize Soil VWC'!$G$2:$G$4000)</f>
        <v>#N/A</v>
      </c>
      <c r="AO195" s="4" t="e" cm="1">
        <f t="array" ref="AO195">_xlfn.XLOOKUP(1,('2013 E Maize Soil VWC'!$C$2:$C$4000=$AA195)*('2013 E Maize Soil VWC'!$E$2:$E$4000=$AB195)*('2013 E Maize Soil VWC'!$F$2:$F$4000=AO$5),'2013 E Maize Soil VWC'!$G$2:$G$4000)</f>
        <v>#N/A</v>
      </c>
      <c r="AP195" s="4" t="e" cm="1">
        <f t="array" ref="AP195">_xlfn.XLOOKUP(1,('2013 E Maize Soil VWC'!$C$2:$C$4000=$AA195)*('2013 E Maize Soil VWC'!$E$2:$E$4000=$AB195)*('2013 E Maize Soil VWC'!$F$2:$F$4000=AP$5),'2013 E Maize Soil VWC'!$G$2:$G$4000)</f>
        <v>#N/A</v>
      </c>
      <c r="AQ195" s="4" t="e" cm="1">
        <f t="array" ref="AQ195">_xlfn.XLOOKUP(1,('2013 E Maize Soil VWC'!$C$2:$C$4000=$AA195)*('2013 E Maize Soil VWC'!$E$2:$E$4000=$AB195)*('2013 E Maize Soil VWC'!$F$2:$F$4000=AQ$5),'2013 E Maize Soil VWC'!$G$2:$G$4000)</f>
        <v>#N/A</v>
      </c>
      <c r="AR195" s="4" t="e" cm="1">
        <f t="array" ref="AR195">_xlfn.XLOOKUP(1,('2013 E Maize Soil VWC'!$C$2:$C$4000=$AA195)*('2013 E Maize Soil VWC'!$E$2:$E$4000=$AB195)*('2013 E Maize Soil VWC'!$F$2:$F$4000=AR$5),'2013 E Maize Soil VWC'!$G$2:$G$4000)</f>
        <v>#N/A</v>
      </c>
      <c r="AS195" s="4" t="e" cm="1">
        <f t="array" ref="AS195">_xlfn.XLOOKUP(1,('2013 E Maize Soil VWC'!$C$2:$C$4000=$AA195)*('2013 E Maize Soil VWC'!$E$2:$E$4000=$AB195)*('2013 E Maize Soil VWC'!$F$2:$F$4000=AS$5),'2013 E Maize Soil VWC'!$G$2:$G$4000)</f>
        <v>#N/A</v>
      </c>
      <c r="AT195" s="4" t="e" cm="1">
        <f t="array" ref="AT195">_xlfn.XLOOKUP(1,('2013 E Maize Soil VWC'!$C$2:$C$4000=$AA195)*('2013 E Maize Soil VWC'!$E$2:$E$4000=$AB195)*('2013 E Maize Soil VWC'!$F$2:$F$4000=AT$5),'2013 E Maize Soil VWC'!$G$2:$G$4000)</f>
        <v>#N/A</v>
      </c>
      <c r="AU195" s="4" t="e" cm="1">
        <f t="array" ref="AU195">_xlfn.XLOOKUP(1,('2013 E Maize Soil VWC'!$C$2:$C$4000=$AA195)*('2013 E Maize Soil VWC'!$E$2:$E$4000=$AB195)*('2013 E Maize Soil VWC'!$F$2:$F$4000=AU$5),'2013 E Maize Soil VWC'!$G$2:$G$4000)</f>
        <v>#N/A</v>
      </c>
      <c r="AV195" s="4" t="e" cm="1">
        <f t="array" ref="AV195">_xlfn.XLOOKUP(1,('2013 E Maize Soil VWC'!$C$2:$C$4000=$AA195)*('2013 E Maize Soil VWC'!$E$2:$E$4000=$AB195)*('2013 E Maize Soil VWC'!$F$2:$F$4000=AV$5),'2013 E Maize Soil VWC'!$G$2:$G$4000)</f>
        <v>#N/A</v>
      </c>
    </row>
    <row r="196" spans="27:48" x14ac:dyDescent="0.25">
      <c r="AA196" s="15">
        <f t="shared" si="29"/>
        <v>41274</v>
      </c>
      <c r="AB196" s="4">
        <f t="shared" si="30"/>
        <v>170</v>
      </c>
      <c r="AC196" s="4" t="e" cm="1">
        <f t="array" ref="AC196">_xlfn.XLOOKUP(1,('2013 E Maize Soil VWC'!$C$2:$C$4000=$AA196)*('2013 E Maize Soil VWC'!$E$2:$E$4000=$AB196)*('2013 E Maize Soil VWC'!$F$2:$F$4000=AC$5),'2013 E Maize Soil VWC'!$G$2:$G$4000)</f>
        <v>#N/A</v>
      </c>
      <c r="AD196" s="4" t="e" cm="1">
        <f t="array" ref="AD196">_xlfn.XLOOKUP(1,('2013 E Maize Soil VWC'!$C$2:$C$4000=$AA196)*('2013 E Maize Soil VWC'!$E$2:$E$4000=$AB196)*('2013 E Maize Soil VWC'!$F$2:$F$4000=AD$5),'2013 E Maize Soil VWC'!$G$2:$G$4000)</f>
        <v>#N/A</v>
      </c>
      <c r="AE196" s="4" t="e" cm="1">
        <f t="array" ref="AE196">_xlfn.XLOOKUP(1,('2013 E Maize Soil VWC'!$C$2:$C$4000=$AA196)*('2013 E Maize Soil VWC'!$E$2:$E$4000=$AB196)*('2013 E Maize Soil VWC'!$F$2:$F$4000=AE$5),'2013 E Maize Soil VWC'!$G$2:$G$4000)</f>
        <v>#N/A</v>
      </c>
      <c r="AF196" s="4" t="e" cm="1">
        <f t="array" ref="AF196">_xlfn.XLOOKUP(1,('2013 E Maize Soil VWC'!$C$2:$C$4000=$AA196)*('2013 E Maize Soil VWC'!$E$2:$E$4000=$AB196)*('2013 E Maize Soil VWC'!$F$2:$F$4000=AF$5),'2013 E Maize Soil VWC'!$G$2:$G$4000)</f>
        <v>#N/A</v>
      </c>
      <c r="AG196" s="4" t="e" cm="1">
        <f t="array" ref="AG196">_xlfn.XLOOKUP(1,('2013 E Maize Soil VWC'!$C$2:$C$4000=$AA196)*('2013 E Maize Soil VWC'!$E$2:$E$4000=$AB196)*('2013 E Maize Soil VWC'!$F$2:$F$4000=AG$5),'2013 E Maize Soil VWC'!$G$2:$G$4000)</f>
        <v>#N/A</v>
      </c>
      <c r="AH196" s="4" t="e" cm="1">
        <f t="array" ref="AH196">_xlfn.XLOOKUP(1,('2013 E Maize Soil VWC'!$C$2:$C$4000=$AA196)*('2013 E Maize Soil VWC'!$E$2:$E$4000=$AB196)*('2013 E Maize Soil VWC'!$F$2:$F$4000=AH$5),'2013 E Maize Soil VWC'!$G$2:$G$4000)</f>
        <v>#N/A</v>
      </c>
      <c r="AI196" s="4" t="e" cm="1">
        <f t="array" ref="AI196">_xlfn.XLOOKUP(1,('2013 E Maize Soil VWC'!$C$2:$C$4000=$AA196)*('2013 E Maize Soil VWC'!$E$2:$E$4000=$AB196)*('2013 E Maize Soil VWC'!$F$2:$F$4000=AI$5),'2013 E Maize Soil VWC'!$G$2:$G$4000)</f>
        <v>#N/A</v>
      </c>
      <c r="AJ196" s="4" t="e" cm="1">
        <f t="array" ref="AJ196">_xlfn.XLOOKUP(1,('2013 E Maize Soil VWC'!$C$2:$C$4000=$AA196)*('2013 E Maize Soil VWC'!$E$2:$E$4000=$AB196)*('2013 E Maize Soil VWC'!$F$2:$F$4000=AJ$5),'2013 E Maize Soil VWC'!$G$2:$G$4000)</f>
        <v>#N/A</v>
      </c>
      <c r="AK196" s="4" t="e" cm="1">
        <f t="array" ref="AK196">_xlfn.XLOOKUP(1,('2013 E Maize Soil VWC'!$C$2:$C$4000=$AA196)*('2013 E Maize Soil VWC'!$E$2:$E$4000=$AB196)*('2013 E Maize Soil VWC'!$F$2:$F$4000=AK$5),'2013 E Maize Soil VWC'!$G$2:$G$4000)</f>
        <v>#N/A</v>
      </c>
      <c r="AL196" s="4" t="e" cm="1">
        <f t="array" ref="AL196">_xlfn.XLOOKUP(1,('2013 E Maize Soil VWC'!$C$2:$C$4000=$AA196)*('2013 E Maize Soil VWC'!$E$2:$E$4000=$AB196)*('2013 E Maize Soil VWC'!$F$2:$F$4000=AL$5),'2013 E Maize Soil VWC'!$G$2:$G$4000)</f>
        <v>#N/A</v>
      </c>
      <c r="AM196" s="4" t="e" cm="1">
        <f t="array" ref="AM196">_xlfn.XLOOKUP(1,('2013 E Maize Soil VWC'!$C$2:$C$4000=$AA196)*('2013 E Maize Soil VWC'!$E$2:$E$4000=$AB196)*('2013 E Maize Soil VWC'!$F$2:$F$4000=AM$5),'2013 E Maize Soil VWC'!$G$2:$G$4000)</f>
        <v>#N/A</v>
      </c>
      <c r="AN196" s="4" t="e" cm="1">
        <f t="array" ref="AN196">_xlfn.XLOOKUP(1,('2013 E Maize Soil VWC'!$C$2:$C$4000=$AA196)*('2013 E Maize Soil VWC'!$E$2:$E$4000=$AB196)*('2013 E Maize Soil VWC'!$F$2:$F$4000=AN$5),'2013 E Maize Soil VWC'!$G$2:$G$4000)</f>
        <v>#N/A</v>
      </c>
      <c r="AO196" s="4" t="e" cm="1">
        <f t="array" ref="AO196">_xlfn.XLOOKUP(1,('2013 E Maize Soil VWC'!$C$2:$C$4000=$AA196)*('2013 E Maize Soil VWC'!$E$2:$E$4000=$AB196)*('2013 E Maize Soil VWC'!$F$2:$F$4000=AO$5),'2013 E Maize Soil VWC'!$G$2:$G$4000)</f>
        <v>#N/A</v>
      </c>
      <c r="AP196" s="4" t="e" cm="1">
        <f t="array" ref="AP196">_xlfn.XLOOKUP(1,('2013 E Maize Soil VWC'!$C$2:$C$4000=$AA196)*('2013 E Maize Soil VWC'!$E$2:$E$4000=$AB196)*('2013 E Maize Soil VWC'!$F$2:$F$4000=AP$5),'2013 E Maize Soil VWC'!$G$2:$G$4000)</f>
        <v>#N/A</v>
      </c>
      <c r="AQ196" s="4" t="e" cm="1">
        <f t="array" ref="AQ196">_xlfn.XLOOKUP(1,('2013 E Maize Soil VWC'!$C$2:$C$4000=$AA196)*('2013 E Maize Soil VWC'!$E$2:$E$4000=$AB196)*('2013 E Maize Soil VWC'!$F$2:$F$4000=AQ$5),'2013 E Maize Soil VWC'!$G$2:$G$4000)</f>
        <v>#N/A</v>
      </c>
      <c r="AR196" s="4" t="e" cm="1">
        <f t="array" ref="AR196">_xlfn.XLOOKUP(1,('2013 E Maize Soil VWC'!$C$2:$C$4000=$AA196)*('2013 E Maize Soil VWC'!$E$2:$E$4000=$AB196)*('2013 E Maize Soil VWC'!$F$2:$F$4000=AR$5),'2013 E Maize Soil VWC'!$G$2:$G$4000)</f>
        <v>#N/A</v>
      </c>
      <c r="AS196" s="4" t="e" cm="1">
        <f t="array" ref="AS196">_xlfn.XLOOKUP(1,('2013 E Maize Soil VWC'!$C$2:$C$4000=$AA196)*('2013 E Maize Soil VWC'!$E$2:$E$4000=$AB196)*('2013 E Maize Soil VWC'!$F$2:$F$4000=AS$5),'2013 E Maize Soil VWC'!$G$2:$G$4000)</f>
        <v>#N/A</v>
      </c>
      <c r="AT196" s="4" t="e" cm="1">
        <f t="array" ref="AT196">_xlfn.XLOOKUP(1,('2013 E Maize Soil VWC'!$C$2:$C$4000=$AA196)*('2013 E Maize Soil VWC'!$E$2:$E$4000=$AB196)*('2013 E Maize Soil VWC'!$F$2:$F$4000=AT$5),'2013 E Maize Soil VWC'!$G$2:$G$4000)</f>
        <v>#N/A</v>
      </c>
      <c r="AU196" s="4" t="e" cm="1">
        <f t="array" ref="AU196">_xlfn.XLOOKUP(1,('2013 E Maize Soil VWC'!$C$2:$C$4000=$AA196)*('2013 E Maize Soil VWC'!$E$2:$E$4000=$AB196)*('2013 E Maize Soil VWC'!$F$2:$F$4000=AU$5),'2013 E Maize Soil VWC'!$G$2:$G$4000)</f>
        <v>#N/A</v>
      </c>
      <c r="AV196" s="4" t="e" cm="1">
        <f t="array" ref="AV196">_xlfn.XLOOKUP(1,('2013 E Maize Soil VWC'!$C$2:$C$4000=$AA196)*('2013 E Maize Soil VWC'!$E$2:$E$4000=$AB196)*('2013 E Maize Soil VWC'!$F$2:$F$4000=AV$5),'2013 E Maize Soil VWC'!$G$2:$G$4000)</f>
        <v>#N/A</v>
      </c>
    </row>
    <row r="197" spans="27:48" x14ac:dyDescent="0.25">
      <c r="AA197" s="15">
        <f t="shared" si="29"/>
        <v>41274</v>
      </c>
      <c r="AB197" s="4">
        <f t="shared" si="30"/>
        <v>190</v>
      </c>
      <c r="AC197" s="4" t="e" cm="1">
        <f t="array" ref="AC197">_xlfn.XLOOKUP(1,('2013 E Maize Soil VWC'!$C$2:$C$4000=$AA197)*('2013 E Maize Soil VWC'!$E$2:$E$4000=$AB197)*('2013 E Maize Soil VWC'!$F$2:$F$4000=AC$5),'2013 E Maize Soil VWC'!$G$2:$G$4000)</f>
        <v>#N/A</v>
      </c>
      <c r="AD197" s="4" t="e" cm="1">
        <f t="array" ref="AD197">_xlfn.XLOOKUP(1,('2013 E Maize Soil VWC'!$C$2:$C$4000=$AA197)*('2013 E Maize Soil VWC'!$E$2:$E$4000=$AB197)*('2013 E Maize Soil VWC'!$F$2:$F$4000=AD$5),'2013 E Maize Soil VWC'!$G$2:$G$4000)</f>
        <v>#N/A</v>
      </c>
      <c r="AE197" s="4" t="e" cm="1">
        <f t="array" ref="AE197">_xlfn.XLOOKUP(1,('2013 E Maize Soil VWC'!$C$2:$C$4000=$AA197)*('2013 E Maize Soil VWC'!$E$2:$E$4000=$AB197)*('2013 E Maize Soil VWC'!$F$2:$F$4000=AE$5),'2013 E Maize Soil VWC'!$G$2:$G$4000)</f>
        <v>#N/A</v>
      </c>
      <c r="AF197" s="4" t="e" cm="1">
        <f t="array" ref="AF197">_xlfn.XLOOKUP(1,('2013 E Maize Soil VWC'!$C$2:$C$4000=$AA197)*('2013 E Maize Soil VWC'!$E$2:$E$4000=$AB197)*('2013 E Maize Soil VWC'!$F$2:$F$4000=AF$5),'2013 E Maize Soil VWC'!$G$2:$G$4000)</f>
        <v>#N/A</v>
      </c>
      <c r="AG197" s="4" t="e" cm="1">
        <f t="array" ref="AG197">_xlfn.XLOOKUP(1,('2013 E Maize Soil VWC'!$C$2:$C$4000=$AA197)*('2013 E Maize Soil VWC'!$E$2:$E$4000=$AB197)*('2013 E Maize Soil VWC'!$F$2:$F$4000=AG$5),'2013 E Maize Soil VWC'!$G$2:$G$4000)</f>
        <v>#N/A</v>
      </c>
      <c r="AH197" s="4" t="e" cm="1">
        <f t="array" ref="AH197">_xlfn.XLOOKUP(1,('2013 E Maize Soil VWC'!$C$2:$C$4000=$AA197)*('2013 E Maize Soil VWC'!$E$2:$E$4000=$AB197)*('2013 E Maize Soil VWC'!$F$2:$F$4000=AH$5),'2013 E Maize Soil VWC'!$G$2:$G$4000)</f>
        <v>#N/A</v>
      </c>
      <c r="AI197" s="4" t="e" cm="1">
        <f t="array" ref="AI197">_xlfn.XLOOKUP(1,('2013 E Maize Soil VWC'!$C$2:$C$4000=$AA197)*('2013 E Maize Soil VWC'!$E$2:$E$4000=$AB197)*('2013 E Maize Soil VWC'!$F$2:$F$4000=AI$5),'2013 E Maize Soil VWC'!$G$2:$G$4000)</f>
        <v>#N/A</v>
      </c>
      <c r="AJ197" s="4" t="e" cm="1">
        <f t="array" ref="AJ197">_xlfn.XLOOKUP(1,('2013 E Maize Soil VWC'!$C$2:$C$4000=$AA197)*('2013 E Maize Soil VWC'!$E$2:$E$4000=$AB197)*('2013 E Maize Soil VWC'!$F$2:$F$4000=AJ$5),'2013 E Maize Soil VWC'!$G$2:$G$4000)</f>
        <v>#N/A</v>
      </c>
      <c r="AK197" s="4" t="e" cm="1">
        <f t="array" ref="AK197">_xlfn.XLOOKUP(1,('2013 E Maize Soil VWC'!$C$2:$C$4000=$AA197)*('2013 E Maize Soil VWC'!$E$2:$E$4000=$AB197)*('2013 E Maize Soil VWC'!$F$2:$F$4000=AK$5),'2013 E Maize Soil VWC'!$G$2:$G$4000)</f>
        <v>#N/A</v>
      </c>
      <c r="AL197" s="4" t="e" cm="1">
        <f t="array" ref="AL197">_xlfn.XLOOKUP(1,('2013 E Maize Soil VWC'!$C$2:$C$4000=$AA197)*('2013 E Maize Soil VWC'!$E$2:$E$4000=$AB197)*('2013 E Maize Soil VWC'!$F$2:$F$4000=AL$5),'2013 E Maize Soil VWC'!$G$2:$G$4000)</f>
        <v>#N/A</v>
      </c>
      <c r="AM197" s="4" t="e" cm="1">
        <f t="array" ref="AM197">_xlfn.XLOOKUP(1,('2013 E Maize Soil VWC'!$C$2:$C$4000=$AA197)*('2013 E Maize Soil VWC'!$E$2:$E$4000=$AB197)*('2013 E Maize Soil VWC'!$F$2:$F$4000=AM$5),'2013 E Maize Soil VWC'!$G$2:$G$4000)</f>
        <v>#N/A</v>
      </c>
      <c r="AN197" s="4" t="e" cm="1">
        <f t="array" ref="AN197">_xlfn.XLOOKUP(1,('2013 E Maize Soil VWC'!$C$2:$C$4000=$AA197)*('2013 E Maize Soil VWC'!$E$2:$E$4000=$AB197)*('2013 E Maize Soil VWC'!$F$2:$F$4000=AN$5),'2013 E Maize Soil VWC'!$G$2:$G$4000)</f>
        <v>#N/A</v>
      </c>
      <c r="AO197" s="4" t="e" cm="1">
        <f t="array" ref="AO197">_xlfn.XLOOKUP(1,('2013 E Maize Soil VWC'!$C$2:$C$4000=$AA197)*('2013 E Maize Soil VWC'!$E$2:$E$4000=$AB197)*('2013 E Maize Soil VWC'!$F$2:$F$4000=AO$5),'2013 E Maize Soil VWC'!$G$2:$G$4000)</f>
        <v>#N/A</v>
      </c>
      <c r="AP197" s="4" t="e" cm="1">
        <f t="array" ref="AP197">_xlfn.XLOOKUP(1,('2013 E Maize Soil VWC'!$C$2:$C$4000=$AA197)*('2013 E Maize Soil VWC'!$E$2:$E$4000=$AB197)*('2013 E Maize Soil VWC'!$F$2:$F$4000=AP$5),'2013 E Maize Soil VWC'!$G$2:$G$4000)</f>
        <v>#N/A</v>
      </c>
      <c r="AQ197" s="4" t="e" cm="1">
        <f t="array" ref="AQ197">_xlfn.XLOOKUP(1,('2013 E Maize Soil VWC'!$C$2:$C$4000=$AA197)*('2013 E Maize Soil VWC'!$E$2:$E$4000=$AB197)*('2013 E Maize Soil VWC'!$F$2:$F$4000=AQ$5),'2013 E Maize Soil VWC'!$G$2:$G$4000)</f>
        <v>#N/A</v>
      </c>
      <c r="AR197" s="4" t="e" cm="1">
        <f t="array" ref="AR197">_xlfn.XLOOKUP(1,('2013 E Maize Soil VWC'!$C$2:$C$4000=$AA197)*('2013 E Maize Soil VWC'!$E$2:$E$4000=$AB197)*('2013 E Maize Soil VWC'!$F$2:$F$4000=AR$5),'2013 E Maize Soil VWC'!$G$2:$G$4000)</f>
        <v>#N/A</v>
      </c>
      <c r="AS197" s="4" t="e" cm="1">
        <f t="array" ref="AS197">_xlfn.XLOOKUP(1,('2013 E Maize Soil VWC'!$C$2:$C$4000=$AA197)*('2013 E Maize Soil VWC'!$E$2:$E$4000=$AB197)*('2013 E Maize Soil VWC'!$F$2:$F$4000=AS$5),'2013 E Maize Soil VWC'!$G$2:$G$4000)</f>
        <v>#N/A</v>
      </c>
      <c r="AT197" s="4" t="e" cm="1">
        <f t="array" ref="AT197">_xlfn.XLOOKUP(1,('2013 E Maize Soil VWC'!$C$2:$C$4000=$AA197)*('2013 E Maize Soil VWC'!$E$2:$E$4000=$AB197)*('2013 E Maize Soil VWC'!$F$2:$F$4000=AT$5),'2013 E Maize Soil VWC'!$G$2:$G$4000)</f>
        <v>#N/A</v>
      </c>
      <c r="AU197" s="4" t="e" cm="1">
        <f t="array" ref="AU197">_xlfn.XLOOKUP(1,('2013 E Maize Soil VWC'!$C$2:$C$4000=$AA197)*('2013 E Maize Soil VWC'!$E$2:$E$4000=$AB197)*('2013 E Maize Soil VWC'!$F$2:$F$4000=AU$5),'2013 E Maize Soil VWC'!$G$2:$G$4000)</f>
        <v>#N/A</v>
      </c>
      <c r="AV197" s="4" t="e" cm="1">
        <f t="array" ref="AV197">_xlfn.XLOOKUP(1,('2013 E Maize Soil VWC'!$C$2:$C$4000=$AA197)*('2013 E Maize Soil VWC'!$E$2:$E$4000=$AB197)*('2013 E Maize Soil VWC'!$F$2:$F$4000=AV$5),'2013 E Maize Soil VWC'!$G$2:$G$4000)</f>
        <v>#N/A</v>
      </c>
    </row>
    <row r="198" spans="27:48" x14ac:dyDescent="0.25">
      <c r="AA198" s="15">
        <f t="shared" si="29"/>
        <v>41274</v>
      </c>
      <c r="AB198" s="4">
        <f t="shared" si="30"/>
        <v>210</v>
      </c>
      <c r="AC198" s="4" t="e" cm="1">
        <f t="array" ref="AC198">_xlfn.XLOOKUP(1,('2013 E Maize Soil VWC'!$C$2:$C$4000=$AA198)*('2013 E Maize Soil VWC'!$E$2:$E$4000=$AB198)*('2013 E Maize Soil VWC'!$F$2:$F$4000=AC$5),'2013 E Maize Soil VWC'!$G$2:$G$4000)</f>
        <v>#N/A</v>
      </c>
      <c r="AD198" s="4" t="e" cm="1">
        <f t="array" ref="AD198">_xlfn.XLOOKUP(1,('2013 E Maize Soil VWC'!$C$2:$C$4000=$AA198)*('2013 E Maize Soil VWC'!$E$2:$E$4000=$AB198)*('2013 E Maize Soil VWC'!$F$2:$F$4000=AD$5),'2013 E Maize Soil VWC'!$G$2:$G$4000)</f>
        <v>#N/A</v>
      </c>
      <c r="AE198" s="4" t="e" cm="1">
        <f t="array" ref="AE198">_xlfn.XLOOKUP(1,('2013 E Maize Soil VWC'!$C$2:$C$4000=$AA198)*('2013 E Maize Soil VWC'!$E$2:$E$4000=$AB198)*('2013 E Maize Soil VWC'!$F$2:$F$4000=AE$5),'2013 E Maize Soil VWC'!$G$2:$G$4000)</f>
        <v>#N/A</v>
      </c>
      <c r="AF198" s="4" t="e" cm="1">
        <f t="array" ref="AF198">_xlfn.XLOOKUP(1,('2013 E Maize Soil VWC'!$C$2:$C$4000=$AA198)*('2013 E Maize Soil VWC'!$E$2:$E$4000=$AB198)*('2013 E Maize Soil VWC'!$F$2:$F$4000=AF$5),'2013 E Maize Soil VWC'!$G$2:$G$4000)</f>
        <v>#N/A</v>
      </c>
      <c r="AG198" s="4" t="e" cm="1">
        <f t="array" ref="AG198">_xlfn.XLOOKUP(1,('2013 E Maize Soil VWC'!$C$2:$C$4000=$AA198)*('2013 E Maize Soil VWC'!$E$2:$E$4000=$AB198)*('2013 E Maize Soil VWC'!$F$2:$F$4000=AG$5),'2013 E Maize Soil VWC'!$G$2:$G$4000)</f>
        <v>#N/A</v>
      </c>
      <c r="AH198" s="4" t="e" cm="1">
        <f t="array" ref="AH198">_xlfn.XLOOKUP(1,('2013 E Maize Soil VWC'!$C$2:$C$4000=$AA198)*('2013 E Maize Soil VWC'!$E$2:$E$4000=$AB198)*('2013 E Maize Soil VWC'!$F$2:$F$4000=AH$5),'2013 E Maize Soil VWC'!$G$2:$G$4000)</f>
        <v>#N/A</v>
      </c>
      <c r="AI198" s="4" t="e" cm="1">
        <f t="array" ref="AI198">_xlfn.XLOOKUP(1,('2013 E Maize Soil VWC'!$C$2:$C$4000=$AA198)*('2013 E Maize Soil VWC'!$E$2:$E$4000=$AB198)*('2013 E Maize Soil VWC'!$F$2:$F$4000=AI$5),'2013 E Maize Soil VWC'!$G$2:$G$4000)</f>
        <v>#N/A</v>
      </c>
      <c r="AJ198" s="4" t="e" cm="1">
        <f t="array" ref="AJ198">_xlfn.XLOOKUP(1,('2013 E Maize Soil VWC'!$C$2:$C$4000=$AA198)*('2013 E Maize Soil VWC'!$E$2:$E$4000=$AB198)*('2013 E Maize Soil VWC'!$F$2:$F$4000=AJ$5),'2013 E Maize Soil VWC'!$G$2:$G$4000)</f>
        <v>#N/A</v>
      </c>
      <c r="AK198" s="4" t="e" cm="1">
        <f t="array" ref="AK198">_xlfn.XLOOKUP(1,('2013 E Maize Soil VWC'!$C$2:$C$4000=$AA198)*('2013 E Maize Soil VWC'!$E$2:$E$4000=$AB198)*('2013 E Maize Soil VWC'!$F$2:$F$4000=AK$5),'2013 E Maize Soil VWC'!$G$2:$G$4000)</f>
        <v>#N/A</v>
      </c>
      <c r="AL198" s="4" t="e" cm="1">
        <f t="array" ref="AL198">_xlfn.XLOOKUP(1,('2013 E Maize Soil VWC'!$C$2:$C$4000=$AA198)*('2013 E Maize Soil VWC'!$E$2:$E$4000=$AB198)*('2013 E Maize Soil VWC'!$F$2:$F$4000=AL$5),'2013 E Maize Soil VWC'!$G$2:$G$4000)</f>
        <v>#N/A</v>
      </c>
      <c r="AM198" s="4" t="e" cm="1">
        <f t="array" ref="AM198">_xlfn.XLOOKUP(1,('2013 E Maize Soil VWC'!$C$2:$C$4000=$AA198)*('2013 E Maize Soil VWC'!$E$2:$E$4000=$AB198)*('2013 E Maize Soil VWC'!$F$2:$F$4000=AM$5),'2013 E Maize Soil VWC'!$G$2:$G$4000)</f>
        <v>#N/A</v>
      </c>
      <c r="AN198" s="4" t="e" cm="1">
        <f t="array" ref="AN198">_xlfn.XLOOKUP(1,('2013 E Maize Soil VWC'!$C$2:$C$4000=$AA198)*('2013 E Maize Soil VWC'!$E$2:$E$4000=$AB198)*('2013 E Maize Soil VWC'!$F$2:$F$4000=AN$5),'2013 E Maize Soil VWC'!$G$2:$G$4000)</f>
        <v>#N/A</v>
      </c>
      <c r="AO198" s="4" t="e" cm="1">
        <f t="array" ref="AO198">_xlfn.XLOOKUP(1,('2013 E Maize Soil VWC'!$C$2:$C$4000=$AA198)*('2013 E Maize Soil VWC'!$E$2:$E$4000=$AB198)*('2013 E Maize Soil VWC'!$F$2:$F$4000=AO$5),'2013 E Maize Soil VWC'!$G$2:$G$4000)</f>
        <v>#N/A</v>
      </c>
      <c r="AP198" s="4" t="e" cm="1">
        <f t="array" ref="AP198">_xlfn.XLOOKUP(1,('2013 E Maize Soil VWC'!$C$2:$C$4000=$AA198)*('2013 E Maize Soil VWC'!$E$2:$E$4000=$AB198)*('2013 E Maize Soil VWC'!$F$2:$F$4000=AP$5),'2013 E Maize Soil VWC'!$G$2:$G$4000)</f>
        <v>#N/A</v>
      </c>
      <c r="AQ198" s="4" t="e" cm="1">
        <f t="array" ref="AQ198">_xlfn.XLOOKUP(1,('2013 E Maize Soil VWC'!$C$2:$C$4000=$AA198)*('2013 E Maize Soil VWC'!$E$2:$E$4000=$AB198)*('2013 E Maize Soil VWC'!$F$2:$F$4000=AQ$5),'2013 E Maize Soil VWC'!$G$2:$G$4000)</f>
        <v>#N/A</v>
      </c>
      <c r="AR198" s="4" t="e" cm="1">
        <f t="array" ref="AR198">_xlfn.XLOOKUP(1,('2013 E Maize Soil VWC'!$C$2:$C$4000=$AA198)*('2013 E Maize Soil VWC'!$E$2:$E$4000=$AB198)*('2013 E Maize Soil VWC'!$F$2:$F$4000=AR$5),'2013 E Maize Soil VWC'!$G$2:$G$4000)</f>
        <v>#N/A</v>
      </c>
      <c r="AS198" s="4" t="e" cm="1">
        <f t="array" ref="AS198">_xlfn.XLOOKUP(1,('2013 E Maize Soil VWC'!$C$2:$C$4000=$AA198)*('2013 E Maize Soil VWC'!$E$2:$E$4000=$AB198)*('2013 E Maize Soil VWC'!$F$2:$F$4000=AS$5),'2013 E Maize Soil VWC'!$G$2:$G$4000)</f>
        <v>#N/A</v>
      </c>
      <c r="AT198" s="4" t="e" cm="1">
        <f t="array" ref="AT198">_xlfn.XLOOKUP(1,('2013 E Maize Soil VWC'!$C$2:$C$4000=$AA198)*('2013 E Maize Soil VWC'!$E$2:$E$4000=$AB198)*('2013 E Maize Soil VWC'!$F$2:$F$4000=AT$5),'2013 E Maize Soil VWC'!$G$2:$G$4000)</f>
        <v>#N/A</v>
      </c>
      <c r="AU198" s="4" t="e" cm="1">
        <f t="array" ref="AU198">_xlfn.XLOOKUP(1,('2013 E Maize Soil VWC'!$C$2:$C$4000=$AA198)*('2013 E Maize Soil VWC'!$E$2:$E$4000=$AB198)*('2013 E Maize Soil VWC'!$F$2:$F$4000=AU$5),'2013 E Maize Soil VWC'!$G$2:$G$4000)</f>
        <v>#N/A</v>
      </c>
      <c r="AV198" s="4" t="e" cm="1">
        <f t="array" ref="AV198">_xlfn.XLOOKUP(1,('2013 E Maize Soil VWC'!$C$2:$C$4000=$AA198)*('2013 E Maize Soil VWC'!$E$2:$E$4000=$AB198)*('2013 E Maize Soil VWC'!$F$2:$F$4000=AV$5),'2013 E Maize Soil VWC'!$G$2:$G$4000)</f>
        <v>#N/A</v>
      </c>
    </row>
    <row r="199" spans="27:48" x14ac:dyDescent="0.25">
      <c r="AA199" s="15">
        <f t="shared" si="29"/>
        <v>41274</v>
      </c>
      <c r="AB199" s="4">
        <f t="shared" si="30"/>
        <v>230</v>
      </c>
      <c r="AC199" s="4" t="e" cm="1">
        <f t="array" ref="AC199">_xlfn.XLOOKUP(1,('2013 E Maize Soil VWC'!$C$2:$C$4000=$AA199)*('2013 E Maize Soil VWC'!$E$2:$E$4000=$AB199)*('2013 E Maize Soil VWC'!$F$2:$F$4000=AC$5),'2013 E Maize Soil VWC'!$G$2:$G$4000)</f>
        <v>#N/A</v>
      </c>
      <c r="AD199" s="4" t="e" cm="1">
        <f t="array" ref="AD199">_xlfn.XLOOKUP(1,('2013 E Maize Soil VWC'!$C$2:$C$4000=$AA199)*('2013 E Maize Soil VWC'!$E$2:$E$4000=$AB199)*('2013 E Maize Soil VWC'!$F$2:$F$4000=AD$5),'2013 E Maize Soil VWC'!$G$2:$G$4000)</f>
        <v>#N/A</v>
      </c>
      <c r="AE199" s="4" t="e" cm="1">
        <f t="array" ref="AE199">_xlfn.XLOOKUP(1,('2013 E Maize Soil VWC'!$C$2:$C$4000=$AA199)*('2013 E Maize Soil VWC'!$E$2:$E$4000=$AB199)*('2013 E Maize Soil VWC'!$F$2:$F$4000=AE$5),'2013 E Maize Soil VWC'!$G$2:$G$4000)</f>
        <v>#N/A</v>
      </c>
      <c r="AF199" s="4" t="e" cm="1">
        <f t="array" ref="AF199">_xlfn.XLOOKUP(1,('2013 E Maize Soil VWC'!$C$2:$C$4000=$AA199)*('2013 E Maize Soil VWC'!$E$2:$E$4000=$AB199)*('2013 E Maize Soil VWC'!$F$2:$F$4000=AF$5),'2013 E Maize Soil VWC'!$G$2:$G$4000)</f>
        <v>#N/A</v>
      </c>
      <c r="AG199" s="4" t="e" cm="1">
        <f t="array" ref="AG199">_xlfn.XLOOKUP(1,('2013 E Maize Soil VWC'!$C$2:$C$4000=$AA199)*('2013 E Maize Soil VWC'!$E$2:$E$4000=$AB199)*('2013 E Maize Soil VWC'!$F$2:$F$4000=AG$5),'2013 E Maize Soil VWC'!$G$2:$G$4000)</f>
        <v>#N/A</v>
      </c>
      <c r="AH199" s="4" t="e" cm="1">
        <f t="array" ref="AH199">_xlfn.XLOOKUP(1,('2013 E Maize Soil VWC'!$C$2:$C$4000=$AA199)*('2013 E Maize Soil VWC'!$E$2:$E$4000=$AB199)*('2013 E Maize Soil VWC'!$F$2:$F$4000=AH$5),'2013 E Maize Soil VWC'!$G$2:$G$4000)</f>
        <v>#N/A</v>
      </c>
      <c r="AI199" s="4" t="e" cm="1">
        <f t="array" ref="AI199">_xlfn.XLOOKUP(1,('2013 E Maize Soil VWC'!$C$2:$C$4000=$AA199)*('2013 E Maize Soil VWC'!$E$2:$E$4000=$AB199)*('2013 E Maize Soil VWC'!$F$2:$F$4000=AI$5),'2013 E Maize Soil VWC'!$G$2:$G$4000)</f>
        <v>#N/A</v>
      </c>
      <c r="AJ199" s="4" t="e" cm="1">
        <f t="array" ref="AJ199">_xlfn.XLOOKUP(1,('2013 E Maize Soil VWC'!$C$2:$C$4000=$AA199)*('2013 E Maize Soil VWC'!$E$2:$E$4000=$AB199)*('2013 E Maize Soil VWC'!$F$2:$F$4000=AJ$5),'2013 E Maize Soil VWC'!$G$2:$G$4000)</f>
        <v>#N/A</v>
      </c>
      <c r="AK199" s="4" t="e" cm="1">
        <f t="array" ref="AK199">_xlfn.XLOOKUP(1,('2013 E Maize Soil VWC'!$C$2:$C$4000=$AA199)*('2013 E Maize Soil VWC'!$E$2:$E$4000=$AB199)*('2013 E Maize Soil VWC'!$F$2:$F$4000=AK$5),'2013 E Maize Soil VWC'!$G$2:$G$4000)</f>
        <v>#N/A</v>
      </c>
      <c r="AL199" s="4" t="e" cm="1">
        <f t="array" ref="AL199">_xlfn.XLOOKUP(1,('2013 E Maize Soil VWC'!$C$2:$C$4000=$AA199)*('2013 E Maize Soil VWC'!$E$2:$E$4000=$AB199)*('2013 E Maize Soil VWC'!$F$2:$F$4000=AL$5),'2013 E Maize Soil VWC'!$G$2:$G$4000)</f>
        <v>#N/A</v>
      </c>
      <c r="AM199" s="4" t="e" cm="1">
        <f t="array" ref="AM199">_xlfn.XLOOKUP(1,('2013 E Maize Soil VWC'!$C$2:$C$4000=$AA199)*('2013 E Maize Soil VWC'!$E$2:$E$4000=$AB199)*('2013 E Maize Soil VWC'!$F$2:$F$4000=AM$5),'2013 E Maize Soil VWC'!$G$2:$G$4000)</f>
        <v>#N/A</v>
      </c>
      <c r="AN199" s="4" t="e" cm="1">
        <f t="array" ref="AN199">_xlfn.XLOOKUP(1,('2013 E Maize Soil VWC'!$C$2:$C$4000=$AA199)*('2013 E Maize Soil VWC'!$E$2:$E$4000=$AB199)*('2013 E Maize Soil VWC'!$F$2:$F$4000=AN$5),'2013 E Maize Soil VWC'!$G$2:$G$4000)</f>
        <v>#N/A</v>
      </c>
      <c r="AO199" s="4" t="e" cm="1">
        <f t="array" ref="AO199">_xlfn.XLOOKUP(1,('2013 E Maize Soil VWC'!$C$2:$C$4000=$AA199)*('2013 E Maize Soil VWC'!$E$2:$E$4000=$AB199)*('2013 E Maize Soil VWC'!$F$2:$F$4000=AO$5),'2013 E Maize Soil VWC'!$G$2:$G$4000)</f>
        <v>#N/A</v>
      </c>
      <c r="AP199" s="4" t="e" cm="1">
        <f t="array" ref="AP199">_xlfn.XLOOKUP(1,('2013 E Maize Soil VWC'!$C$2:$C$4000=$AA199)*('2013 E Maize Soil VWC'!$E$2:$E$4000=$AB199)*('2013 E Maize Soil VWC'!$F$2:$F$4000=AP$5),'2013 E Maize Soil VWC'!$G$2:$G$4000)</f>
        <v>#N/A</v>
      </c>
      <c r="AQ199" s="4" t="e" cm="1">
        <f t="array" ref="AQ199">_xlfn.XLOOKUP(1,('2013 E Maize Soil VWC'!$C$2:$C$4000=$AA199)*('2013 E Maize Soil VWC'!$E$2:$E$4000=$AB199)*('2013 E Maize Soil VWC'!$F$2:$F$4000=AQ$5),'2013 E Maize Soil VWC'!$G$2:$G$4000)</f>
        <v>#N/A</v>
      </c>
      <c r="AR199" s="4" t="e" cm="1">
        <f t="array" ref="AR199">_xlfn.XLOOKUP(1,('2013 E Maize Soil VWC'!$C$2:$C$4000=$AA199)*('2013 E Maize Soil VWC'!$E$2:$E$4000=$AB199)*('2013 E Maize Soil VWC'!$F$2:$F$4000=AR$5),'2013 E Maize Soil VWC'!$G$2:$G$4000)</f>
        <v>#N/A</v>
      </c>
      <c r="AS199" s="4" t="e" cm="1">
        <f t="array" ref="AS199">_xlfn.XLOOKUP(1,('2013 E Maize Soil VWC'!$C$2:$C$4000=$AA199)*('2013 E Maize Soil VWC'!$E$2:$E$4000=$AB199)*('2013 E Maize Soil VWC'!$F$2:$F$4000=AS$5),'2013 E Maize Soil VWC'!$G$2:$G$4000)</f>
        <v>#N/A</v>
      </c>
      <c r="AT199" s="4" t="e" cm="1">
        <f t="array" ref="AT199">_xlfn.XLOOKUP(1,('2013 E Maize Soil VWC'!$C$2:$C$4000=$AA199)*('2013 E Maize Soil VWC'!$E$2:$E$4000=$AB199)*('2013 E Maize Soil VWC'!$F$2:$F$4000=AT$5),'2013 E Maize Soil VWC'!$G$2:$G$4000)</f>
        <v>#N/A</v>
      </c>
      <c r="AU199" s="4" t="e" cm="1">
        <f t="array" ref="AU199">_xlfn.XLOOKUP(1,('2013 E Maize Soil VWC'!$C$2:$C$4000=$AA199)*('2013 E Maize Soil VWC'!$E$2:$E$4000=$AB199)*('2013 E Maize Soil VWC'!$F$2:$F$4000=AU$5),'2013 E Maize Soil VWC'!$G$2:$G$4000)</f>
        <v>#N/A</v>
      </c>
      <c r="AV199" s="4" t="e" cm="1">
        <f t="array" ref="AV199">_xlfn.XLOOKUP(1,('2013 E Maize Soil VWC'!$C$2:$C$4000=$AA199)*('2013 E Maize Soil VWC'!$E$2:$E$4000=$AB199)*('2013 E Maize Soil VWC'!$F$2:$F$4000=AV$5),'2013 E Maize Soil VWC'!$G$2:$G$4000)</f>
        <v>#N/A</v>
      </c>
    </row>
  </sheetData>
  <sortState xmlns:xlrd2="http://schemas.microsoft.com/office/spreadsheetml/2017/richdata2" ref="BM6:BN31">
    <sortCondition ref="BN6:BN31"/>
  </sortState>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2013 E Maize VWC Introduction</vt:lpstr>
      <vt:lpstr>DIc. 2013 E Maize Profile WC</vt:lpstr>
      <vt:lpstr>2013 E Maize Profile WC</vt:lpstr>
      <vt:lpstr>Dic. 2013 E Maize Soil VWC</vt:lpstr>
      <vt:lpstr>2013 E Maize Soil VWC</vt:lpstr>
      <vt:lpstr>Dic. 2013 E Maize Tube Map</vt:lpstr>
      <vt:lpstr>2013 E Maize Tube Map</vt:lpstr>
      <vt:lpstr>2013 E Maize VWC Graphs</vt:lpstr>
    </vt:vector>
  </TitlesOfParts>
  <Company>USDA-ARS-CPRL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Steven R. Evett</dc:creator>
  <cp:lastModifiedBy>Evett, Steve</cp:lastModifiedBy>
  <cp:lastPrinted>2011-04-11T18:57:59Z</cp:lastPrinted>
  <dcterms:created xsi:type="dcterms:W3CDTF">2008-07-02T13:34:31Z</dcterms:created>
  <dcterms:modified xsi:type="dcterms:W3CDTF">2021-12-14T21:39:43Z</dcterms:modified>
</cp:coreProperties>
</file>