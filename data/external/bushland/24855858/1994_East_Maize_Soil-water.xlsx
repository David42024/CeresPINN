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19B9D33F-F841-4D1F-8DDF-F286E3A04660}" xr6:coauthVersionLast="46" xr6:coauthVersionMax="46" xr10:uidLastSave="{00000000-0000-0000-0000-000000000000}"/>
  <bookViews>
    <workbookView xWindow="-108" yWindow="-108" windowWidth="23256" windowHeight="13404" tabRatio="949" xr2:uid="{00000000-000D-0000-FFFF-FFFF00000000}"/>
  </bookViews>
  <sheets>
    <sheet name="1994 E Maize VWC Introduction" sheetId="38" r:id="rId1"/>
    <sheet name="Dic. 1994 E Maize Profile WC" sheetId="39" r:id="rId2"/>
    <sheet name="1994 E Maize Profile WC" sheetId="40" r:id="rId3"/>
    <sheet name="Dic. 1994 E Maize Soil VWC" sheetId="41" r:id="rId4"/>
    <sheet name="1994 E Maize Soil VWC" sheetId="42" r:id="rId5"/>
    <sheet name="DIc. 1994 E Maize Tube Map" sheetId="45" r:id="rId6"/>
    <sheet name="1994 E Maize Tube Map" sheetId="44" r:id="rId7"/>
    <sheet name="1994 E Maize Graphs" sheetId="4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3" i="43" l="1"/>
  <c r="AY6" i="43"/>
  <c r="AT6" i="43"/>
  <c r="B11" i="40"/>
  <c r="B10" i="40"/>
  <c r="B9" i="40"/>
  <c r="B8" i="40"/>
  <c r="B7" i="40"/>
  <c r="B6" i="40"/>
  <c r="B5" i="40"/>
  <c r="B4" i="40"/>
  <c r="B3" i="40"/>
  <c r="AO28" i="43"/>
  <c r="AO27" i="43"/>
  <c r="AO26" i="43"/>
  <c r="AO25" i="43"/>
  <c r="AO24" i="43"/>
  <c r="AO23" i="43"/>
  <c r="AO22" i="43"/>
  <c r="AO21" i="43"/>
  <c r="AO20" i="43"/>
  <c r="AO19" i="43"/>
  <c r="AO18" i="43"/>
  <c r="AO17" i="43"/>
  <c r="AO16" i="43"/>
  <c r="AO15" i="43"/>
  <c r="AO14" i="43"/>
  <c r="AO13" i="43"/>
  <c r="AO12" i="43"/>
  <c r="AO11" i="43"/>
  <c r="AO10" i="43"/>
  <c r="AO9" i="43"/>
  <c r="AO8" i="43"/>
  <c r="AO7" i="43"/>
  <c r="AO6" i="43"/>
  <c r="B2" i="40"/>
  <c r="AB293" i="43"/>
  <c r="AB294" i="43" s="1"/>
  <c r="AB295" i="43" s="1"/>
  <c r="AB296" i="43" s="1"/>
  <c r="AB297" i="43" s="1"/>
  <c r="AB298" i="43" s="1"/>
  <c r="AB299" i="43" s="1"/>
  <c r="AB300" i="43" s="1"/>
  <c r="AB301" i="43" s="1"/>
  <c r="AB302" i="43" s="1"/>
  <c r="AB303" i="43" s="1"/>
  <c r="AB280" i="43"/>
  <c r="AB281" i="43" s="1"/>
  <c r="AB282" i="43" s="1"/>
  <c r="AB283" i="43" s="1"/>
  <c r="AB284" i="43" s="1"/>
  <c r="AB285" i="43" s="1"/>
  <c r="AB286" i="43" s="1"/>
  <c r="AB287" i="43" s="1"/>
  <c r="AB288" i="43" s="1"/>
  <c r="AB289" i="43" s="1"/>
  <c r="AB290" i="43" s="1"/>
  <c r="AB267" i="43"/>
  <c r="AB268" i="43" s="1"/>
  <c r="AB269" i="43" s="1"/>
  <c r="AB270" i="43" s="1"/>
  <c r="AB271" i="43" s="1"/>
  <c r="AB272" i="43" s="1"/>
  <c r="AB273" i="43" s="1"/>
  <c r="AB274" i="43" s="1"/>
  <c r="AB275" i="43" s="1"/>
  <c r="AB276" i="43" s="1"/>
  <c r="AB277" i="43" s="1"/>
  <c r="AB254" i="43"/>
  <c r="AB255" i="43" s="1"/>
  <c r="AB256" i="43" s="1"/>
  <c r="AB257" i="43" s="1"/>
  <c r="AB258" i="43" s="1"/>
  <c r="AB259" i="43" s="1"/>
  <c r="AB260" i="43" s="1"/>
  <c r="AB261" i="43" s="1"/>
  <c r="AB262" i="43" s="1"/>
  <c r="AB263" i="43" s="1"/>
  <c r="AB264" i="43" s="1"/>
  <c r="AB242" i="43"/>
  <c r="AB243" i="43" s="1"/>
  <c r="AB244" i="43" s="1"/>
  <c r="AB245" i="43" s="1"/>
  <c r="AB246" i="43" s="1"/>
  <c r="AB247" i="43" s="1"/>
  <c r="AB248" i="43" s="1"/>
  <c r="AB249" i="43" s="1"/>
  <c r="AB250" i="43" s="1"/>
  <c r="AB251" i="43" s="1"/>
  <c r="AB241" i="43"/>
  <c r="AB228" i="43"/>
  <c r="AB229" i="43" s="1"/>
  <c r="AB230" i="43" s="1"/>
  <c r="AB231" i="43" s="1"/>
  <c r="AB232" i="43" s="1"/>
  <c r="AB233" i="43" s="1"/>
  <c r="AB234" i="43" s="1"/>
  <c r="AB235" i="43" s="1"/>
  <c r="AB236" i="43" s="1"/>
  <c r="AB237" i="43" s="1"/>
  <c r="AB238" i="43" s="1"/>
  <c r="AB216" i="43"/>
  <c r="AB217" i="43" s="1"/>
  <c r="AB218" i="43" s="1"/>
  <c r="AB219" i="43" s="1"/>
  <c r="AB220" i="43" s="1"/>
  <c r="AB221" i="43" s="1"/>
  <c r="AB222" i="43" s="1"/>
  <c r="AB223" i="43" s="1"/>
  <c r="AB224" i="43" s="1"/>
  <c r="AB225" i="43" s="1"/>
  <c r="AB215" i="43"/>
  <c r="AB204" i="43"/>
  <c r="AB205" i="43" s="1"/>
  <c r="AB206" i="43" s="1"/>
  <c r="AB207" i="43" s="1"/>
  <c r="AB208" i="43" s="1"/>
  <c r="AB209" i="43" s="1"/>
  <c r="AB210" i="43" s="1"/>
  <c r="AB211" i="43" s="1"/>
  <c r="AB212" i="43" s="1"/>
  <c r="AB202" i="43"/>
  <c r="AB203" i="43" s="1"/>
  <c r="AB191" i="43"/>
  <c r="AB192" i="43" s="1"/>
  <c r="AB193" i="43" s="1"/>
  <c r="AB194" i="43" s="1"/>
  <c r="AB195" i="43" s="1"/>
  <c r="AB196" i="43" s="1"/>
  <c r="AB197" i="43" s="1"/>
  <c r="AB198" i="43" s="1"/>
  <c r="AB199" i="43" s="1"/>
  <c r="AB189" i="43"/>
  <c r="AB190" i="43" s="1"/>
  <c r="AB178" i="43"/>
  <c r="AB179" i="43" s="1"/>
  <c r="AB180" i="43" s="1"/>
  <c r="AB181" i="43" s="1"/>
  <c r="AB182" i="43" s="1"/>
  <c r="AB183" i="43" s="1"/>
  <c r="AB184" i="43" s="1"/>
  <c r="AB185" i="43" s="1"/>
  <c r="AB186" i="43" s="1"/>
  <c r="AB176" i="43"/>
  <c r="AB177" i="43" s="1"/>
  <c r="AB166" i="43"/>
  <c r="AB167" i="43" s="1"/>
  <c r="AB168" i="43" s="1"/>
  <c r="AB169" i="43" s="1"/>
  <c r="AB170" i="43" s="1"/>
  <c r="AB171" i="43" s="1"/>
  <c r="AB172" i="43" s="1"/>
  <c r="AB173" i="43" s="1"/>
  <c r="AB164" i="43"/>
  <c r="AB165" i="43" s="1"/>
  <c r="AB163" i="43"/>
  <c r="AB151" i="43"/>
  <c r="AB152" i="43" s="1"/>
  <c r="AB153" i="43" s="1"/>
  <c r="AB154" i="43" s="1"/>
  <c r="AB155" i="43" s="1"/>
  <c r="AB156" i="43" s="1"/>
  <c r="AB157" i="43" s="1"/>
  <c r="AB158" i="43" s="1"/>
  <c r="AB159" i="43" s="1"/>
  <c r="AB160" i="43" s="1"/>
  <c r="AB150" i="43"/>
  <c r="AB138" i="43"/>
  <c r="AB139" i="43" s="1"/>
  <c r="AB140" i="43" s="1"/>
  <c r="AB141" i="43" s="1"/>
  <c r="AB142" i="43" s="1"/>
  <c r="AB143" i="43" s="1"/>
  <c r="AB144" i="43" s="1"/>
  <c r="AB145" i="43" s="1"/>
  <c r="AB146" i="43" s="1"/>
  <c r="AB147" i="43" s="1"/>
  <c r="AB137" i="43"/>
  <c r="AB125" i="43"/>
  <c r="AB126" i="43" s="1"/>
  <c r="AB127" i="43" s="1"/>
  <c r="AB128" i="43" s="1"/>
  <c r="AB129" i="43" s="1"/>
  <c r="AB130" i="43" s="1"/>
  <c r="AB131" i="43" s="1"/>
  <c r="AB132" i="43" s="1"/>
  <c r="AB133" i="43" s="1"/>
  <c r="AB134" i="43" s="1"/>
  <c r="AB124" i="43"/>
  <c r="AB114" i="43"/>
  <c r="AB115" i="43" s="1"/>
  <c r="AB116" i="43" s="1"/>
  <c r="AB117" i="43" s="1"/>
  <c r="AB118" i="43" s="1"/>
  <c r="AB119" i="43" s="1"/>
  <c r="AB120" i="43" s="1"/>
  <c r="AB121" i="43" s="1"/>
  <c r="AB112" i="43"/>
  <c r="AB113" i="43" s="1"/>
  <c r="AB111" i="43"/>
  <c r="AB99" i="43"/>
  <c r="AB100" i="43" s="1"/>
  <c r="AB101" i="43" s="1"/>
  <c r="AB102" i="43" s="1"/>
  <c r="AB103" i="43" s="1"/>
  <c r="AB104" i="43" s="1"/>
  <c r="AB105" i="43" s="1"/>
  <c r="AB106" i="43" s="1"/>
  <c r="AB107" i="43" s="1"/>
  <c r="AB108" i="43" s="1"/>
  <c r="AB98" i="43"/>
  <c r="AB86" i="43"/>
  <c r="AB87" i="43" s="1"/>
  <c r="AB88" i="43" s="1"/>
  <c r="AB89" i="43" s="1"/>
  <c r="AB90" i="43" s="1"/>
  <c r="AB91" i="43" s="1"/>
  <c r="AB92" i="43" s="1"/>
  <c r="AB93" i="43" s="1"/>
  <c r="AB94" i="43" s="1"/>
  <c r="AB95" i="43" s="1"/>
  <c r="AB85" i="43"/>
  <c r="AB73" i="43"/>
  <c r="AB74" i="43" s="1"/>
  <c r="AB75" i="43" s="1"/>
  <c r="AB76" i="43" s="1"/>
  <c r="AB77" i="43" s="1"/>
  <c r="AB78" i="43" s="1"/>
  <c r="AB79" i="43" s="1"/>
  <c r="AB80" i="43" s="1"/>
  <c r="AB81" i="43" s="1"/>
  <c r="AB82" i="43" s="1"/>
  <c r="AB72" i="43"/>
  <c r="AB60" i="43"/>
  <c r="AB61" i="43" s="1"/>
  <c r="AB62" i="43" s="1"/>
  <c r="AB63" i="43" s="1"/>
  <c r="AB64" i="43" s="1"/>
  <c r="AB65" i="43" s="1"/>
  <c r="AB66" i="43" s="1"/>
  <c r="AB67" i="43" s="1"/>
  <c r="AB68" i="43" s="1"/>
  <c r="AB69" i="43" s="1"/>
  <c r="AB59" i="43"/>
  <c r="AB46" i="43"/>
  <c r="AB47" i="43" s="1"/>
  <c r="AB48" i="43" s="1"/>
  <c r="AB49" i="43" s="1"/>
  <c r="AB50" i="43" s="1"/>
  <c r="AB51" i="43" s="1"/>
  <c r="AB52" i="43" s="1"/>
  <c r="AB53" i="43" s="1"/>
  <c r="AB54" i="43" s="1"/>
  <c r="AB55" i="43" s="1"/>
  <c r="AB56" i="43" s="1"/>
  <c r="AB33" i="43"/>
  <c r="AB34" i="43" s="1"/>
  <c r="AB35" i="43" s="1"/>
  <c r="AB36" i="43" s="1"/>
  <c r="AB37" i="43" s="1"/>
  <c r="AB38" i="43" s="1"/>
  <c r="AB39" i="43" s="1"/>
  <c r="AB40" i="43" s="1"/>
  <c r="AB41" i="43" s="1"/>
  <c r="AB42" i="43" s="1"/>
  <c r="AB43" i="43" s="1"/>
  <c r="AU28" i="43"/>
  <c r="AU27" i="43"/>
  <c r="AU26" i="43"/>
  <c r="AU25" i="43"/>
  <c r="AU24" i="43"/>
  <c r="AU23" i="43"/>
  <c r="AU22" i="43"/>
  <c r="AU21" i="43"/>
  <c r="AU20" i="43"/>
  <c r="AB20" i="43"/>
  <c r="AB21" i="43" s="1"/>
  <c r="AB22" i="43" s="1"/>
  <c r="AB23" i="43" s="1"/>
  <c r="AB24" i="43" s="1"/>
  <c r="AB25" i="43" s="1"/>
  <c r="AB26" i="43" s="1"/>
  <c r="AB27" i="43" s="1"/>
  <c r="AB28" i="43" s="1"/>
  <c r="AB29" i="43" s="1"/>
  <c r="AB30" i="43" s="1"/>
  <c r="AU19" i="43"/>
  <c r="Y19" i="43"/>
  <c r="Y32" i="43" s="1"/>
  <c r="AU18" i="43"/>
  <c r="AU17" i="43"/>
  <c r="AU16" i="43"/>
  <c r="AU15" i="43"/>
  <c r="AU14" i="43"/>
  <c r="AU13" i="43"/>
  <c r="AU12" i="43"/>
  <c r="AU11" i="43"/>
  <c r="AU10" i="43"/>
  <c r="AU9" i="43"/>
  <c r="AU8" i="43"/>
  <c r="AU7" i="43"/>
  <c r="AB7" i="43"/>
  <c r="AB8" i="43" s="1"/>
  <c r="AB9" i="43" s="1"/>
  <c r="AB10" i="43" s="1"/>
  <c r="AB11" i="43" s="1"/>
  <c r="AB12" i="43" s="1"/>
  <c r="AB13" i="43" s="1"/>
  <c r="AB14" i="43" s="1"/>
  <c r="AB15" i="43" s="1"/>
  <c r="AB16" i="43" s="1"/>
  <c r="AB17" i="43" s="1"/>
  <c r="AU6" i="43"/>
  <c r="AA6" i="43"/>
  <c r="AL6" i="43" s="1" a="1"/>
  <c r="AL6" i="43" s="1"/>
  <c r="AE6" i="43" l="1" a="1"/>
  <c r="AE6" i="43" s="1"/>
  <c r="AI6" i="43" a="1"/>
  <c r="AI6" i="43" s="1"/>
  <c r="AM6" i="43" a="1"/>
  <c r="AM6" i="43" s="1"/>
  <c r="AA7" i="43"/>
  <c r="AD7" i="43" s="1" a="1"/>
  <c r="AD7" i="43" s="1"/>
  <c r="AF6" i="43" a="1"/>
  <c r="AF6" i="43" s="1"/>
  <c r="AJ6" i="43" a="1"/>
  <c r="AJ6" i="43" s="1"/>
  <c r="AN6" i="43" a="1"/>
  <c r="AN6" i="43" s="1"/>
  <c r="AC6" i="43" a="1"/>
  <c r="AC6" i="43" s="1"/>
  <c r="AG6" i="43" a="1"/>
  <c r="AG6" i="43" s="1"/>
  <c r="AK6" i="43" a="1"/>
  <c r="AK6" i="43" s="1"/>
  <c r="AP6" i="43"/>
  <c r="AD6" i="43" a="1"/>
  <c r="AD6" i="43" s="1"/>
  <c r="AH6" i="43" a="1"/>
  <c r="AH6" i="43" s="1"/>
  <c r="AA32" i="43"/>
  <c r="Y45" i="43"/>
  <c r="AA19" i="43"/>
  <c r="AH7" i="43" a="1"/>
  <c r="AH7" i="43" s="1"/>
  <c r="AF7" i="43" a="1"/>
  <c r="AF7" i="43" s="1"/>
  <c r="AJ7" i="43" a="1"/>
  <c r="AJ7" i="43" s="1"/>
  <c r="AN7" i="43" l="1" a="1"/>
  <c r="AN7" i="43" s="1"/>
  <c r="AA8" i="43"/>
  <c r="AE7" i="43" a="1"/>
  <c r="AE7" i="43" s="1"/>
  <c r="AC7" i="43" a="1"/>
  <c r="AC7" i="43" s="1"/>
  <c r="AI7" i="43" a="1"/>
  <c r="AI7" i="43" s="1"/>
  <c r="AG7" i="43" a="1"/>
  <c r="AG7" i="43" s="1"/>
  <c r="AM7" i="43" a="1"/>
  <c r="AM7" i="43" s="1"/>
  <c r="AL7" i="43" a="1"/>
  <c r="AL7" i="43" s="1"/>
  <c r="AK7" i="43" a="1"/>
  <c r="AK7" i="43" s="1"/>
  <c r="Y58" i="43"/>
  <c r="AA45" i="43"/>
  <c r="AK32" i="43" a="1"/>
  <c r="AK32" i="43" s="1"/>
  <c r="AH32" i="43" a="1"/>
  <c r="AH32" i="43" s="1"/>
  <c r="AC32" i="43" a="1"/>
  <c r="AC32" i="43" s="1"/>
  <c r="AM32" i="43" a="1"/>
  <c r="AM32" i="43" s="1"/>
  <c r="AJ32" i="43" a="1"/>
  <c r="AJ32" i="43" s="1"/>
  <c r="AE32" i="43" a="1"/>
  <c r="AE32" i="43" s="1"/>
  <c r="AA33" i="43"/>
  <c r="AL32" i="43" a="1"/>
  <c r="AL32" i="43" s="1"/>
  <c r="AG32" i="43" a="1"/>
  <c r="AG32" i="43" s="1"/>
  <c r="AD32" i="43" a="1"/>
  <c r="AD32" i="43" s="1"/>
  <c r="AP8" i="43"/>
  <c r="AN32" i="43" a="1"/>
  <c r="AN32" i="43" s="1"/>
  <c r="AI32" i="43" a="1"/>
  <c r="AI32" i="43" s="1"/>
  <c r="AF32" i="43" a="1"/>
  <c r="AF32" i="43" s="1"/>
  <c r="AL19" i="43" a="1"/>
  <c r="AL19" i="43" s="1"/>
  <c r="AH19" i="43" a="1"/>
  <c r="AH19" i="43" s="1"/>
  <c r="AF19" i="43" a="1"/>
  <c r="AF19" i="43" s="1"/>
  <c r="AP7" i="43"/>
  <c r="AA20" i="43"/>
  <c r="AM19" i="43" a="1"/>
  <c r="AM19" i="43" s="1"/>
  <c r="AI19" i="43" a="1"/>
  <c r="AI19" i="43" s="1"/>
  <c r="AC19" i="43" a="1"/>
  <c r="AC19" i="43" s="1"/>
  <c r="AK19" i="43" a="1"/>
  <c r="AK19" i="43" s="1"/>
  <c r="AG19" i="43" a="1"/>
  <c r="AG19" i="43" s="1"/>
  <c r="AE19" i="43" a="1"/>
  <c r="AE19" i="43" s="1"/>
  <c r="AN19" i="43" a="1"/>
  <c r="AN19" i="43" s="1"/>
  <c r="AJ19" i="43" a="1"/>
  <c r="AJ19" i="43" s="1"/>
  <c r="AD19" i="43" a="1"/>
  <c r="AD19" i="43" s="1"/>
  <c r="AF8" i="43" l="1" a="1"/>
  <c r="AF8" i="43" s="1"/>
  <c r="AE8" i="43" a="1"/>
  <c r="AE8" i="43" s="1"/>
  <c r="AL8" i="43" a="1"/>
  <c r="AL8" i="43" s="1"/>
  <c r="AA9" i="43"/>
  <c r="AK8" i="43" a="1"/>
  <c r="AK8" i="43" s="1"/>
  <c r="AH8" i="43" a="1"/>
  <c r="AH8" i="43" s="1"/>
  <c r="AN8" i="43" a="1"/>
  <c r="AN8" i="43" s="1"/>
  <c r="AM8" i="43" a="1"/>
  <c r="AM8" i="43" s="1"/>
  <c r="AG8" i="43" a="1"/>
  <c r="AG8" i="43" s="1"/>
  <c r="AD8" i="43" a="1"/>
  <c r="AD8" i="43" s="1"/>
  <c r="AJ8" i="43" a="1"/>
  <c r="AJ8" i="43" s="1"/>
  <c r="AI8" i="43" a="1"/>
  <c r="AI8" i="43" s="1"/>
  <c r="AC8" i="43" a="1"/>
  <c r="AC8" i="43" s="1"/>
  <c r="AA46" i="43"/>
  <c r="AL45" i="43" a="1"/>
  <c r="AL45" i="43" s="1"/>
  <c r="AG45" i="43" a="1"/>
  <c r="AG45" i="43" s="1"/>
  <c r="AD45" i="43" a="1"/>
  <c r="AD45" i="43" s="1"/>
  <c r="AN45" i="43" a="1"/>
  <c r="AN45" i="43" s="1"/>
  <c r="AI45" i="43" a="1"/>
  <c r="AI45" i="43" s="1"/>
  <c r="AF45" i="43" a="1"/>
  <c r="AF45" i="43" s="1"/>
  <c r="AK45" i="43" a="1"/>
  <c r="AK45" i="43" s="1"/>
  <c r="AH45" i="43" a="1"/>
  <c r="AH45" i="43" s="1"/>
  <c r="AC45" i="43" a="1"/>
  <c r="AC45" i="43" s="1"/>
  <c r="AM45" i="43" a="1"/>
  <c r="AM45" i="43" s="1"/>
  <c r="AJ45" i="43" a="1"/>
  <c r="AJ45" i="43" s="1"/>
  <c r="AE45" i="43" a="1"/>
  <c r="AE45" i="43" s="1"/>
  <c r="AP9" i="43"/>
  <c r="AA21" i="43"/>
  <c r="AK20" i="43" a="1"/>
  <c r="AK20" i="43" s="1"/>
  <c r="AI20" i="43" a="1"/>
  <c r="AI20" i="43" s="1"/>
  <c r="AC20" i="43" a="1"/>
  <c r="AC20" i="43" s="1"/>
  <c r="AL20" i="43" a="1"/>
  <c r="AL20" i="43" s="1"/>
  <c r="AJ20" i="43" a="1"/>
  <c r="AJ20" i="43" s="1"/>
  <c r="AF20" i="43" a="1"/>
  <c r="AF20" i="43" s="1"/>
  <c r="AN20" i="43" a="1"/>
  <c r="AN20" i="43" s="1"/>
  <c r="AH20" i="43" a="1"/>
  <c r="AH20" i="43" s="1"/>
  <c r="AD20" i="43" a="1"/>
  <c r="AD20" i="43" s="1"/>
  <c r="AM20" i="43" a="1"/>
  <c r="AM20" i="43" s="1"/>
  <c r="AG20" i="43" a="1"/>
  <c r="AG20" i="43" s="1"/>
  <c r="AE20" i="43" a="1"/>
  <c r="AE20" i="43" s="1"/>
  <c r="AN33" i="43" a="1"/>
  <c r="AN33" i="43" s="1"/>
  <c r="AK33" i="43" a="1"/>
  <c r="AK33" i="43" s="1"/>
  <c r="AF33" i="43" a="1"/>
  <c r="AF33" i="43" s="1"/>
  <c r="AC33" i="43" a="1"/>
  <c r="AC33" i="43" s="1"/>
  <c r="AM33" i="43" a="1"/>
  <c r="AM33" i="43" s="1"/>
  <c r="AH33" i="43" a="1"/>
  <c r="AH33" i="43" s="1"/>
  <c r="AE33" i="43" a="1"/>
  <c r="AE33" i="43" s="1"/>
  <c r="AA34" i="43"/>
  <c r="AJ33" i="43" a="1"/>
  <c r="AJ33" i="43" s="1"/>
  <c r="AG33" i="43" a="1"/>
  <c r="AG33" i="43" s="1"/>
  <c r="AL33" i="43" a="1"/>
  <c r="AL33" i="43" s="1"/>
  <c r="AI33" i="43" a="1"/>
  <c r="AI33" i="43" s="1"/>
  <c r="AD33" i="43" a="1"/>
  <c r="AD33" i="43" s="1"/>
  <c r="AA58" i="43"/>
  <c r="Y71" i="43"/>
  <c r="AA10" i="43" l="1"/>
  <c r="AN9" i="43" a="1"/>
  <c r="AN9" i="43" s="1"/>
  <c r="AH9" i="43" a="1"/>
  <c r="AH9" i="43" s="1"/>
  <c r="AE9" i="43" a="1"/>
  <c r="AE9" i="43" s="1"/>
  <c r="AM9" i="43" a="1"/>
  <c r="AM9" i="43" s="1"/>
  <c r="AJ9" i="43" a="1"/>
  <c r="AJ9" i="43" s="1"/>
  <c r="AD9" i="43" a="1"/>
  <c r="AD9" i="43" s="1"/>
  <c r="AI9" i="43" a="1"/>
  <c r="AI9" i="43" s="1"/>
  <c r="AF9" i="43" a="1"/>
  <c r="AF9" i="43" s="1"/>
  <c r="AK9" i="43" a="1"/>
  <c r="AK9" i="43" s="1"/>
  <c r="AC9" i="43" a="1"/>
  <c r="AC9" i="43" s="1"/>
  <c r="AL9" i="43" a="1"/>
  <c r="AL9" i="43" s="1"/>
  <c r="AG9" i="43" a="1"/>
  <c r="AG9" i="43" s="1"/>
  <c r="AA47" i="43"/>
  <c r="AJ46" i="43" a="1"/>
  <c r="AJ46" i="43" s="1"/>
  <c r="AG46" i="43" a="1"/>
  <c r="AG46" i="43" s="1"/>
  <c r="AL46" i="43" a="1"/>
  <c r="AL46" i="43" s="1"/>
  <c r="AI46" i="43" a="1"/>
  <c r="AI46" i="43" s="1"/>
  <c r="AD46" i="43" a="1"/>
  <c r="AD46" i="43" s="1"/>
  <c r="AN46" i="43" a="1"/>
  <c r="AN46" i="43" s="1"/>
  <c r="AK46" i="43" a="1"/>
  <c r="AK46" i="43" s="1"/>
  <c r="AF46" i="43" a="1"/>
  <c r="AF46" i="43" s="1"/>
  <c r="AC46" i="43" a="1"/>
  <c r="AC46" i="43" s="1"/>
  <c r="AM46" i="43" a="1"/>
  <c r="AM46" i="43" s="1"/>
  <c r="AH46" i="43" a="1"/>
  <c r="AH46" i="43" s="1"/>
  <c r="AE46" i="43" a="1"/>
  <c r="AE46" i="43" s="1"/>
  <c r="AA71" i="43"/>
  <c r="Y84" i="43"/>
  <c r="AM58" i="43" a="1"/>
  <c r="AM58" i="43" s="1"/>
  <c r="AH58" i="43" a="1"/>
  <c r="AH58" i="43" s="1"/>
  <c r="AE58" i="43" a="1"/>
  <c r="AE58" i="43" s="1"/>
  <c r="AA59" i="43"/>
  <c r="AJ58" i="43" a="1"/>
  <c r="AJ58" i="43" s="1"/>
  <c r="AG58" i="43" a="1"/>
  <c r="AG58" i="43" s="1"/>
  <c r="AL58" i="43" a="1"/>
  <c r="AL58" i="43" s="1"/>
  <c r="AI58" i="43" a="1"/>
  <c r="AI58" i="43" s="1"/>
  <c r="AD58" i="43" a="1"/>
  <c r="AD58" i="43" s="1"/>
  <c r="AN58" i="43" a="1"/>
  <c r="AN58" i="43" s="1"/>
  <c r="AK58" i="43" a="1"/>
  <c r="AK58" i="43" s="1"/>
  <c r="AF58" i="43" a="1"/>
  <c r="AF58" i="43" s="1"/>
  <c r="AC58" i="43" a="1"/>
  <c r="AC58" i="43" s="1"/>
  <c r="AP10" i="43"/>
  <c r="AN34" i="43" a="1"/>
  <c r="AN34" i="43" s="1"/>
  <c r="AI34" i="43" a="1"/>
  <c r="AI34" i="43" s="1"/>
  <c r="AF34" i="43" a="1"/>
  <c r="AF34" i="43" s="1"/>
  <c r="AK34" i="43" a="1"/>
  <c r="AK34" i="43" s="1"/>
  <c r="AH34" i="43" a="1"/>
  <c r="AH34" i="43" s="1"/>
  <c r="AC34" i="43" a="1"/>
  <c r="AC34" i="43" s="1"/>
  <c r="AM34" i="43" a="1"/>
  <c r="AM34" i="43" s="1"/>
  <c r="AJ34" i="43" a="1"/>
  <c r="AJ34" i="43" s="1"/>
  <c r="AE34" i="43" a="1"/>
  <c r="AE34" i="43" s="1"/>
  <c r="AA35" i="43"/>
  <c r="AL34" i="43" a="1"/>
  <c r="AL34" i="43" s="1"/>
  <c r="AG34" i="43" a="1"/>
  <c r="AG34" i="43" s="1"/>
  <c r="AD34" i="43" a="1"/>
  <c r="AD34" i="43" s="1"/>
  <c r="AN21" i="43" a="1"/>
  <c r="AN21" i="43" s="1"/>
  <c r="AJ21" i="43" a="1"/>
  <c r="AJ21" i="43" s="1"/>
  <c r="AF21" i="43" a="1"/>
  <c r="AF21" i="43" s="1"/>
  <c r="AM21" i="43" a="1"/>
  <c r="AM21" i="43" s="1"/>
  <c r="AG21" i="43" a="1"/>
  <c r="AG21" i="43" s="1"/>
  <c r="AC21" i="43" a="1"/>
  <c r="AC21" i="43" s="1"/>
  <c r="AA22" i="43"/>
  <c r="AK21" i="43" a="1"/>
  <c r="AK21" i="43" s="1"/>
  <c r="AI21" i="43" a="1"/>
  <c r="AI21" i="43" s="1"/>
  <c r="AE21" i="43" a="1"/>
  <c r="AE21" i="43" s="1"/>
  <c r="AL21" i="43" a="1"/>
  <c r="AL21" i="43" s="1"/>
  <c r="AH21" i="43" a="1"/>
  <c r="AH21" i="43" s="1"/>
  <c r="AD21" i="43" a="1"/>
  <c r="AD21" i="43" s="1"/>
  <c r="AK10" i="43" l="1" a="1"/>
  <c r="AK10" i="43" s="1"/>
  <c r="AM10" i="43" a="1"/>
  <c r="AM10" i="43" s="1"/>
  <c r="AH10" i="43" a="1"/>
  <c r="AH10" i="43" s="1"/>
  <c r="AN10" i="43" a="1"/>
  <c r="AN10" i="43" s="1"/>
  <c r="AG10" i="43" a="1"/>
  <c r="AG10" i="43" s="1"/>
  <c r="AI10" i="43" a="1"/>
  <c r="AI10" i="43" s="1"/>
  <c r="AF10" i="43" a="1"/>
  <c r="AF10" i="43" s="1"/>
  <c r="AJ10" i="43" a="1"/>
  <c r="AJ10" i="43" s="1"/>
  <c r="AE10" i="43" a="1"/>
  <c r="AE10" i="43" s="1"/>
  <c r="AC10" i="43" a="1"/>
  <c r="AC10" i="43" s="1"/>
  <c r="AD10" i="43" a="1"/>
  <c r="AD10" i="43" s="1"/>
  <c r="AA11" i="43"/>
  <c r="AL10" i="43" a="1"/>
  <c r="AL10" i="43" s="1"/>
  <c r="AA23" i="43"/>
  <c r="AM22" i="43" a="1"/>
  <c r="AM22" i="43" s="1"/>
  <c r="AG22" i="43" a="1"/>
  <c r="AG22" i="43" s="1"/>
  <c r="AE22" i="43" a="1"/>
  <c r="AE22" i="43" s="1"/>
  <c r="AL22" i="43" a="1"/>
  <c r="AL22" i="43" s="1"/>
  <c r="AJ22" i="43" a="1"/>
  <c r="AJ22" i="43" s="1"/>
  <c r="AF22" i="43" a="1"/>
  <c r="AF22" i="43" s="1"/>
  <c r="AN22" i="43" a="1"/>
  <c r="AN22" i="43" s="1"/>
  <c r="AH22" i="43" a="1"/>
  <c r="AH22" i="43" s="1"/>
  <c r="AD22" i="43" a="1"/>
  <c r="AD22" i="43" s="1"/>
  <c r="AK22" i="43" a="1"/>
  <c r="AK22" i="43" s="1"/>
  <c r="AI22" i="43" a="1"/>
  <c r="AI22" i="43" s="1"/>
  <c r="AC22" i="43" a="1"/>
  <c r="AC22" i="43" s="1"/>
  <c r="AL35" i="43" a="1"/>
  <c r="AL35" i="43" s="1"/>
  <c r="AI35" i="43" a="1"/>
  <c r="AI35" i="43" s="1"/>
  <c r="AD35" i="43" a="1"/>
  <c r="AD35" i="43" s="1"/>
  <c r="AN35" i="43" a="1"/>
  <c r="AN35" i="43" s="1"/>
  <c r="AK35" i="43" a="1"/>
  <c r="AK35" i="43" s="1"/>
  <c r="AF35" i="43" a="1"/>
  <c r="AF35" i="43" s="1"/>
  <c r="AC35" i="43" a="1"/>
  <c r="AC35" i="43" s="1"/>
  <c r="AM35" i="43" a="1"/>
  <c r="AM35" i="43" s="1"/>
  <c r="AH35" i="43" a="1"/>
  <c r="AH35" i="43" s="1"/>
  <c r="AE35" i="43" a="1"/>
  <c r="AE35" i="43" s="1"/>
  <c r="AA36" i="43"/>
  <c r="AJ35" i="43" a="1"/>
  <c r="AJ35" i="43" s="1"/>
  <c r="AG35" i="43" a="1"/>
  <c r="AG35" i="43" s="1"/>
  <c r="AM59" i="43" a="1"/>
  <c r="AM59" i="43" s="1"/>
  <c r="AJ59" i="43" a="1"/>
  <c r="AJ59" i="43" s="1"/>
  <c r="AE59" i="43" a="1"/>
  <c r="AE59" i="43" s="1"/>
  <c r="AA60" i="43"/>
  <c r="AL59" i="43" a="1"/>
  <c r="AL59" i="43" s="1"/>
  <c r="AG59" i="43" a="1"/>
  <c r="AG59" i="43" s="1"/>
  <c r="AD59" i="43" a="1"/>
  <c r="AD59" i="43" s="1"/>
  <c r="AN59" i="43" a="1"/>
  <c r="AN59" i="43" s="1"/>
  <c r="AI59" i="43" a="1"/>
  <c r="AI59" i="43" s="1"/>
  <c r="AF59" i="43" a="1"/>
  <c r="AF59" i="43" s="1"/>
  <c r="AK59" i="43" a="1"/>
  <c r="AK59" i="43" s="1"/>
  <c r="AH59" i="43" a="1"/>
  <c r="AH59" i="43" s="1"/>
  <c r="AC59" i="43" a="1"/>
  <c r="AC59" i="43" s="1"/>
  <c r="Y97" i="43"/>
  <c r="AA84" i="43"/>
  <c r="AM47" i="43" a="1"/>
  <c r="AM47" i="43" s="1"/>
  <c r="AJ47" i="43" a="1"/>
  <c r="AJ47" i="43" s="1"/>
  <c r="AE47" i="43" a="1"/>
  <c r="AE47" i="43" s="1"/>
  <c r="AA48" i="43"/>
  <c r="AL47" i="43" a="1"/>
  <c r="AL47" i="43" s="1"/>
  <c r="AG47" i="43" a="1"/>
  <c r="AG47" i="43" s="1"/>
  <c r="AD47" i="43" a="1"/>
  <c r="AD47" i="43" s="1"/>
  <c r="AN47" i="43" a="1"/>
  <c r="AN47" i="43" s="1"/>
  <c r="AI47" i="43" a="1"/>
  <c r="AI47" i="43" s="1"/>
  <c r="AF47" i="43" a="1"/>
  <c r="AF47" i="43" s="1"/>
  <c r="AK47" i="43" a="1"/>
  <c r="AK47" i="43" s="1"/>
  <c r="AH47" i="43" a="1"/>
  <c r="AH47" i="43" s="1"/>
  <c r="AC47" i="43" a="1"/>
  <c r="AC47" i="43" s="1"/>
  <c r="AN71" i="43" a="1"/>
  <c r="AN71" i="43" s="1"/>
  <c r="AK71" i="43" a="1"/>
  <c r="AK71" i="43" s="1"/>
  <c r="AF71" i="43" a="1"/>
  <c r="AF71" i="43" s="1"/>
  <c r="AC71" i="43" a="1"/>
  <c r="AC71" i="43" s="1"/>
  <c r="AM71" i="43" a="1"/>
  <c r="AM71" i="43" s="1"/>
  <c r="AH71" i="43" a="1"/>
  <c r="AH71" i="43" s="1"/>
  <c r="AE71" i="43" a="1"/>
  <c r="AE71" i="43" s="1"/>
  <c r="AA72" i="43"/>
  <c r="AJ71" i="43" a="1"/>
  <c r="AJ71" i="43" s="1"/>
  <c r="AG71" i="43" a="1"/>
  <c r="AG71" i="43" s="1"/>
  <c r="AL71" i="43" a="1"/>
  <c r="AL71" i="43" s="1"/>
  <c r="AI71" i="43" a="1"/>
  <c r="AI71" i="43" s="1"/>
  <c r="AD71" i="43" a="1"/>
  <c r="AD71" i="43" s="1"/>
  <c r="AP11" i="43"/>
  <c r="AK11" i="43" l="1" a="1"/>
  <c r="AK11" i="43" s="1"/>
  <c r="AJ11" i="43" a="1"/>
  <c r="AJ11" i="43" s="1"/>
  <c r="AC11" i="43" a="1"/>
  <c r="AC11" i="43" s="1"/>
  <c r="AI11" i="43" a="1"/>
  <c r="AI11" i="43" s="1"/>
  <c r="AD11" i="43" a="1"/>
  <c r="AD11" i="43" s="1"/>
  <c r="AA12" i="43"/>
  <c r="AE11" i="43" a="1"/>
  <c r="AE11" i="43" s="1"/>
  <c r="AL11" i="43" a="1"/>
  <c r="AL11" i="43" s="1"/>
  <c r="AM11" i="43" a="1"/>
  <c r="AM11" i="43" s="1"/>
  <c r="AF11" i="43" a="1"/>
  <c r="AF11" i="43" s="1"/>
  <c r="AN11" i="43" a="1"/>
  <c r="AN11" i="43" s="1"/>
  <c r="AH11" i="43" a="1"/>
  <c r="AH11" i="43" s="1"/>
  <c r="AG11" i="43" a="1"/>
  <c r="AG11" i="43" s="1"/>
  <c r="AK72" i="43" a="1"/>
  <c r="AK72" i="43" s="1"/>
  <c r="AH72" i="43" a="1"/>
  <c r="AH72" i="43" s="1"/>
  <c r="AC72" i="43" a="1"/>
  <c r="AC72" i="43" s="1"/>
  <c r="AM72" i="43" a="1"/>
  <c r="AM72" i="43" s="1"/>
  <c r="AJ72" i="43" a="1"/>
  <c r="AJ72" i="43" s="1"/>
  <c r="AE72" i="43" a="1"/>
  <c r="AE72" i="43" s="1"/>
  <c r="AA73" i="43"/>
  <c r="AL72" i="43" a="1"/>
  <c r="AL72" i="43" s="1"/>
  <c r="AG72" i="43" a="1"/>
  <c r="AG72" i="43" s="1"/>
  <c r="AD72" i="43" a="1"/>
  <c r="AD72" i="43" s="1"/>
  <c r="AN72" i="43" a="1"/>
  <c r="AN72" i="43" s="1"/>
  <c r="AI72" i="43" a="1"/>
  <c r="AI72" i="43" s="1"/>
  <c r="AF72" i="43" a="1"/>
  <c r="AF72" i="43" s="1"/>
  <c r="AL84" i="43" a="1"/>
  <c r="AL84" i="43" s="1"/>
  <c r="AI84" i="43" a="1"/>
  <c r="AI84" i="43" s="1"/>
  <c r="AD84" i="43" a="1"/>
  <c r="AD84" i="43" s="1"/>
  <c r="AN84" i="43" a="1"/>
  <c r="AN84" i="43" s="1"/>
  <c r="AK84" i="43" a="1"/>
  <c r="AK84" i="43" s="1"/>
  <c r="AF84" i="43" a="1"/>
  <c r="AF84" i="43" s="1"/>
  <c r="AC84" i="43" a="1"/>
  <c r="AC84" i="43" s="1"/>
  <c r="AM84" i="43" a="1"/>
  <c r="AM84" i="43" s="1"/>
  <c r="AH84" i="43" a="1"/>
  <c r="AH84" i="43" s="1"/>
  <c r="AE84" i="43" a="1"/>
  <c r="AE84" i="43" s="1"/>
  <c r="AA85" i="43"/>
  <c r="AJ84" i="43" a="1"/>
  <c r="AJ84" i="43" s="1"/>
  <c r="AG84" i="43" a="1"/>
  <c r="AG84" i="43" s="1"/>
  <c r="AP12" i="43"/>
  <c r="AA97" i="43"/>
  <c r="Y110" i="43"/>
  <c r="AA37" i="43"/>
  <c r="AL36" i="43" a="1"/>
  <c r="AL36" i="43" s="1"/>
  <c r="AG36" i="43" a="1"/>
  <c r="AG36" i="43" s="1"/>
  <c r="AD36" i="43" a="1"/>
  <c r="AD36" i="43" s="1"/>
  <c r="AN36" i="43" a="1"/>
  <c r="AN36" i="43" s="1"/>
  <c r="AI36" i="43" a="1"/>
  <c r="AI36" i="43" s="1"/>
  <c r="AF36" i="43" a="1"/>
  <c r="AF36" i="43" s="1"/>
  <c r="AK36" i="43" a="1"/>
  <c r="AK36" i="43" s="1"/>
  <c r="AH36" i="43" a="1"/>
  <c r="AH36" i="43" s="1"/>
  <c r="AC36" i="43" a="1"/>
  <c r="AC36" i="43" s="1"/>
  <c r="AM36" i="43" a="1"/>
  <c r="AM36" i="43" s="1"/>
  <c r="AJ36" i="43" a="1"/>
  <c r="AJ36" i="43" s="1"/>
  <c r="AE36" i="43" a="1"/>
  <c r="AE36" i="43" s="1"/>
  <c r="AN23" i="43" a="1"/>
  <c r="AN23" i="43" s="1"/>
  <c r="AH23" i="43" a="1"/>
  <c r="AH23" i="43" s="1"/>
  <c r="AD23" i="43" a="1"/>
  <c r="AD23" i="43" s="1"/>
  <c r="AA24" i="43"/>
  <c r="AM23" i="43" a="1"/>
  <c r="AM23" i="43" s="1"/>
  <c r="AG23" i="43" a="1"/>
  <c r="AG23" i="43" s="1"/>
  <c r="AC23" i="43" a="1"/>
  <c r="AC23" i="43" s="1"/>
  <c r="AK23" i="43" a="1"/>
  <c r="AK23" i="43" s="1"/>
  <c r="AI23" i="43" a="1"/>
  <c r="AI23" i="43" s="1"/>
  <c r="AE23" i="43" a="1"/>
  <c r="AE23" i="43" s="1"/>
  <c r="AL23" i="43" a="1"/>
  <c r="AL23" i="43" s="1"/>
  <c r="AJ23" i="43" a="1"/>
  <c r="AJ23" i="43" s="1"/>
  <c r="AF23" i="43" a="1"/>
  <c r="AF23" i="43" s="1"/>
  <c r="AM48" i="43" a="1"/>
  <c r="AM48" i="43" s="1"/>
  <c r="AH48" i="43" a="1"/>
  <c r="AH48" i="43" s="1"/>
  <c r="AE48" i="43" a="1"/>
  <c r="AE48" i="43" s="1"/>
  <c r="AA49" i="43"/>
  <c r="AJ48" i="43" a="1"/>
  <c r="AJ48" i="43" s="1"/>
  <c r="AG48" i="43" a="1"/>
  <c r="AG48" i="43" s="1"/>
  <c r="AL48" i="43" a="1"/>
  <c r="AL48" i="43" s="1"/>
  <c r="AI48" i="43" a="1"/>
  <c r="AI48" i="43" s="1"/>
  <c r="AD48" i="43" a="1"/>
  <c r="AD48" i="43" s="1"/>
  <c r="AN48" i="43" a="1"/>
  <c r="AN48" i="43" s="1"/>
  <c r="AK48" i="43" a="1"/>
  <c r="AK48" i="43" s="1"/>
  <c r="AF48" i="43" a="1"/>
  <c r="AF48" i="43" s="1"/>
  <c r="AC48" i="43" a="1"/>
  <c r="AC48" i="43" s="1"/>
  <c r="AM60" i="43" a="1"/>
  <c r="AM60" i="43" s="1"/>
  <c r="AH60" i="43" a="1"/>
  <c r="AH60" i="43" s="1"/>
  <c r="AE60" i="43" a="1"/>
  <c r="AE60" i="43" s="1"/>
  <c r="AA61" i="43"/>
  <c r="AJ60" i="43" a="1"/>
  <c r="AJ60" i="43" s="1"/>
  <c r="AG60" i="43" a="1"/>
  <c r="AG60" i="43" s="1"/>
  <c r="AL60" i="43" a="1"/>
  <c r="AL60" i="43" s="1"/>
  <c r="AI60" i="43" a="1"/>
  <c r="AI60" i="43" s="1"/>
  <c r="AD60" i="43" a="1"/>
  <c r="AD60" i="43" s="1"/>
  <c r="AN60" i="43" a="1"/>
  <c r="AN60" i="43" s="1"/>
  <c r="AK60" i="43" a="1"/>
  <c r="AK60" i="43" s="1"/>
  <c r="AF60" i="43" a="1"/>
  <c r="AF60" i="43" s="1"/>
  <c r="AC60" i="43" a="1"/>
  <c r="AC60" i="43" s="1"/>
  <c r="AA13" i="43" l="1"/>
  <c r="AM12" i="43" a="1"/>
  <c r="AM12" i="43" s="1"/>
  <c r="AH12" i="43" a="1"/>
  <c r="AH12" i="43" s="1"/>
  <c r="AN12" i="43" a="1"/>
  <c r="AN12" i="43" s="1"/>
  <c r="AK12" i="43" a="1"/>
  <c r="AK12" i="43" s="1"/>
  <c r="AI12" i="43" a="1"/>
  <c r="AI12" i="43" s="1"/>
  <c r="AD12" i="43" a="1"/>
  <c r="AD12" i="43" s="1"/>
  <c r="AJ12" i="43" a="1"/>
  <c r="AJ12" i="43" s="1"/>
  <c r="AG12" i="43" a="1"/>
  <c r="AG12" i="43" s="1"/>
  <c r="AC12" i="43" a="1"/>
  <c r="AC12" i="43" s="1"/>
  <c r="AF12" i="43" a="1"/>
  <c r="AF12" i="43" s="1"/>
  <c r="AE12" i="43" a="1"/>
  <c r="AE12" i="43" s="1"/>
  <c r="AL12" i="43" a="1"/>
  <c r="AL12" i="43" s="1"/>
  <c r="AK61" i="43" a="1"/>
  <c r="AK61" i="43" s="1"/>
  <c r="AH61" i="43" a="1"/>
  <c r="AH61" i="43" s="1"/>
  <c r="AC61" i="43" a="1"/>
  <c r="AC61" i="43" s="1"/>
  <c r="AM61" i="43" a="1"/>
  <c r="AM61" i="43" s="1"/>
  <c r="AJ61" i="43" a="1"/>
  <c r="AJ61" i="43" s="1"/>
  <c r="AE61" i="43" a="1"/>
  <c r="AE61" i="43" s="1"/>
  <c r="AA62" i="43"/>
  <c r="AL61" i="43" a="1"/>
  <c r="AL61" i="43" s="1"/>
  <c r="AG61" i="43" a="1"/>
  <c r="AG61" i="43" s="1"/>
  <c r="AD61" i="43" a="1"/>
  <c r="AD61" i="43" s="1"/>
  <c r="AN61" i="43" a="1"/>
  <c r="AN61" i="43" s="1"/>
  <c r="AI61" i="43" a="1"/>
  <c r="AI61" i="43" s="1"/>
  <c r="AF61" i="43" a="1"/>
  <c r="AF61" i="43" s="1"/>
  <c r="Y123" i="43"/>
  <c r="AA110" i="43"/>
  <c r="AK49" i="43" a="1"/>
  <c r="AK49" i="43" s="1"/>
  <c r="AH49" i="43" a="1"/>
  <c r="AH49" i="43" s="1"/>
  <c r="AC49" i="43" a="1"/>
  <c r="AC49" i="43" s="1"/>
  <c r="AM49" i="43" a="1"/>
  <c r="AM49" i="43" s="1"/>
  <c r="AJ49" i="43" a="1"/>
  <c r="AJ49" i="43" s="1"/>
  <c r="AE49" i="43" a="1"/>
  <c r="AE49" i="43" s="1"/>
  <c r="AA50" i="43"/>
  <c r="AL49" i="43" a="1"/>
  <c r="AL49" i="43" s="1"/>
  <c r="AG49" i="43" a="1"/>
  <c r="AG49" i="43" s="1"/>
  <c r="AD49" i="43" a="1"/>
  <c r="AD49" i="43" s="1"/>
  <c r="AN49" i="43" a="1"/>
  <c r="AN49" i="43" s="1"/>
  <c r="AI49" i="43" a="1"/>
  <c r="AI49" i="43" s="1"/>
  <c r="AF49" i="43" a="1"/>
  <c r="AF49" i="43" s="1"/>
  <c r="AM24" i="43" a="1"/>
  <c r="AM24" i="43" s="1"/>
  <c r="AI24" i="43" a="1"/>
  <c r="AI24" i="43" s="1"/>
  <c r="AE24" i="43" a="1"/>
  <c r="AE24" i="43" s="1"/>
  <c r="AN24" i="43" a="1"/>
  <c r="AN24" i="43" s="1"/>
  <c r="AJ24" i="43" a="1"/>
  <c r="AJ24" i="43" s="1"/>
  <c r="AF24" i="43" a="1"/>
  <c r="AF24" i="43" s="1"/>
  <c r="AL24" i="43" a="1"/>
  <c r="AL24" i="43" s="1"/>
  <c r="AH24" i="43" a="1"/>
  <c r="AH24" i="43" s="1"/>
  <c r="AD24" i="43" a="1"/>
  <c r="AD24" i="43" s="1"/>
  <c r="AA25" i="43"/>
  <c r="AK24" i="43" a="1"/>
  <c r="AK24" i="43" s="1"/>
  <c r="AG24" i="43" a="1"/>
  <c r="AG24" i="43" s="1"/>
  <c r="AC24" i="43" a="1"/>
  <c r="AC24" i="43" s="1"/>
  <c r="AA38" i="43"/>
  <c r="AJ37" i="43" a="1"/>
  <c r="AJ37" i="43" s="1"/>
  <c r="AG37" i="43" a="1"/>
  <c r="AG37" i="43" s="1"/>
  <c r="AL37" i="43" a="1"/>
  <c r="AL37" i="43" s="1"/>
  <c r="AI37" i="43" a="1"/>
  <c r="AI37" i="43" s="1"/>
  <c r="AD37" i="43" a="1"/>
  <c r="AD37" i="43" s="1"/>
  <c r="AN37" i="43" a="1"/>
  <c r="AN37" i="43" s="1"/>
  <c r="AK37" i="43" a="1"/>
  <c r="AK37" i="43" s="1"/>
  <c r="AF37" i="43" a="1"/>
  <c r="AF37" i="43" s="1"/>
  <c r="AC37" i="43" a="1"/>
  <c r="AC37" i="43" s="1"/>
  <c r="AM37" i="43" a="1"/>
  <c r="AM37" i="43" s="1"/>
  <c r="AH37" i="43" a="1"/>
  <c r="AH37" i="43" s="1"/>
  <c r="AE37" i="43" a="1"/>
  <c r="AE37" i="43" s="1"/>
  <c r="AN97" i="43" a="1"/>
  <c r="AN97" i="43" s="1"/>
  <c r="AK97" i="43" a="1"/>
  <c r="AK97" i="43" s="1"/>
  <c r="AF97" i="43" a="1"/>
  <c r="AF97" i="43" s="1"/>
  <c r="AC97" i="43" a="1"/>
  <c r="AC97" i="43" s="1"/>
  <c r="AM97" i="43" a="1"/>
  <c r="AM97" i="43" s="1"/>
  <c r="AH97" i="43" a="1"/>
  <c r="AH97" i="43" s="1"/>
  <c r="AE97" i="43" a="1"/>
  <c r="AE97" i="43" s="1"/>
  <c r="AA98" i="43"/>
  <c r="AJ97" i="43" a="1"/>
  <c r="AJ97" i="43" s="1"/>
  <c r="AG97" i="43" a="1"/>
  <c r="AG97" i="43" s="1"/>
  <c r="AD97" i="43" a="1"/>
  <c r="AD97" i="43" s="1"/>
  <c r="AL97" i="43" a="1"/>
  <c r="AL97" i="43" s="1"/>
  <c r="AI97" i="43" a="1"/>
  <c r="AI97" i="43" s="1"/>
  <c r="AP13" i="43"/>
  <c r="AN73" i="43" a="1"/>
  <c r="AN73" i="43" s="1"/>
  <c r="AK73" i="43" a="1"/>
  <c r="AK73" i="43" s="1"/>
  <c r="AF73" i="43" a="1"/>
  <c r="AF73" i="43" s="1"/>
  <c r="AC73" i="43" a="1"/>
  <c r="AC73" i="43" s="1"/>
  <c r="AM73" i="43" a="1"/>
  <c r="AM73" i="43" s="1"/>
  <c r="AH73" i="43" a="1"/>
  <c r="AH73" i="43" s="1"/>
  <c r="AE73" i="43" a="1"/>
  <c r="AE73" i="43" s="1"/>
  <c r="AA74" i="43"/>
  <c r="AJ73" i="43" a="1"/>
  <c r="AJ73" i="43" s="1"/>
  <c r="AG73" i="43" a="1"/>
  <c r="AG73" i="43" s="1"/>
  <c r="AL73" i="43" a="1"/>
  <c r="AL73" i="43" s="1"/>
  <c r="AI73" i="43" a="1"/>
  <c r="AI73" i="43" s="1"/>
  <c r="AD73" i="43" a="1"/>
  <c r="AD73" i="43" s="1"/>
  <c r="AN85" i="43" a="1"/>
  <c r="AN85" i="43" s="1"/>
  <c r="AI85" i="43" a="1"/>
  <c r="AI85" i="43" s="1"/>
  <c r="AF85" i="43" a="1"/>
  <c r="AF85" i="43" s="1"/>
  <c r="AK85" i="43" a="1"/>
  <c r="AK85" i="43" s="1"/>
  <c r="AH85" i="43" a="1"/>
  <c r="AH85" i="43" s="1"/>
  <c r="AC85" i="43" a="1"/>
  <c r="AC85" i="43" s="1"/>
  <c r="AM85" i="43" a="1"/>
  <c r="AM85" i="43" s="1"/>
  <c r="AJ85" i="43" a="1"/>
  <c r="AJ85" i="43" s="1"/>
  <c r="AE85" i="43" a="1"/>
  <c r="AE85" i="43" s="1"/>
  <c r="AA86" i="43"/>
  <c r="AL85" i="43" a="1"/>
  <c r="AL85" i="43" s="1"/>
  <c r="AG85" i="43" a="1"/>
  <c r="AG85" i="43" s="1"/>
  <c r="AD85" i="43" a="1"/>
  <c r="AD85" i="43" s="1"/>
  <c r="AC13" i="43" l="1" a="1"/>
  <c r="AC13" i="43" s="1"/>
  <c r="AN13" i="43" a="1"/>
  <c r="AN13" i="43" s="1"/>
  <c r="AG13" i="43" a="1"/>
  <c r="AG13" i="43" s="1"/>
  <c r="AA14" i="43"/>
  <c r="AL13" i="43" a="1"/>
  <c r="AL13" i="43" s="1"/>
  <c r="AH13" i="43" a="1"/>
  <c r="AH13" i="43" s="1"/>
  <c r="AE13" i="43" a="1"/>
  <c r="AE13" i="43" s="1"/>
  <c r="AK13" i="43" a="1"/>
  <c r="AK13" i="43" s="1"/>
  <c r="AJ13" i="43" a="1"/>
  <c r="AJ13" i="43" s="1"/>
  <c r="AF13" i="43" a="1"/>
  <c r="AF13" i="43" s="1"/>
  <c r="AI13" i="43" a="1"/>
  <c r="AI13" i="43" s="1"/>
  <c r="AD13" i="43" a="1"/>
  <c r="AD13" i="43" s="1"/>
  <c r="AM13" i="43" a="1"/>
  <c r="AM13" i="43" s="1"/>
  <c r="AS6" i="43" s="1"/>
  <c r="AN50" i="43" a="1"/>
  <c r="AN50" i="43" s="1"/>
  <c r="AK50" i="43" a="1"/>
  <c r="AK50" i="43" s="1"/>
  <c r="AF50" i="43" a="1"/>
  <c r="AF50" i="43" s="1"/>
  <c r="AC50" i="43" a="1"/>
  <c r="AC50" i="43" s="1"/>
  <c r="AM50" i="43" a="1"/>
  <c r="AM50" i="43" s="1"/>
  <c r="AH50" i="43" a="1"/>
  <c r="AH50" i="43" s="1"/>
  <c r="AE50" i="43" a="1"/>
  <c r="AE50" i="43" s="1"/>
  <c r="AA51" i="43"/>
  <c r="AJ50" i="43" a="1"/>
  <c r="AJ50" i="43" s="1"/>
  <c r="AG50" i="43" a="1"/>
  <c r="AG50" i="43" s="1"/>
  <c r="AL50" i="43" a="1"/>
  <c r="AL50" i="43" s="1"/>
  <c r="AI50" i="43" a="1"/>
  <c r="AI50" i="43" s="1"/>
  <c r="AD50" i="43" a="1"/>
  <c r="AD50" i="43" s="1"/>
  <c r="AN62" i="43" a="1"/>
  <c r="AN62" i="43" s="1"/>
  <c r="AK62" i="43" a="1"/>
  <c r="AK62" i="43" s="1"/>
  <c r="AF62" i="43" a="1"/>
  <c r="AF62" i="43" s="1"/>
  <c r="AC62" i="43" a="1"/>
  <c r="AC62" i="43" s="1"/>
  <c r="AM62" i="43" a="1"/>
  <c r="AM62" i="43" s="1"/>
  <c r="AH62" i="43" a="1"/>
  <c r="AH62" i="43" s="1"/>
  <c r="AE62" i="43" a="1"/>
  <c r="AE62" i="43" s="1"/>
  <c r="AA63" i="43"/>
  <c r="AJ62" i="43" a="1"/>
  <c r="AJ62" i="43" s="1"/>
  <c r="AG62" i="43" a="1"/>
  <c r="AG62" i="43" s="1"/>
  <c r="AL62" i="43" a="1"/>
  <c r="AL62" i="43" s="1"/>
  <c r="AI62" i="43" a="1"/>
  <c r="AI62" i="43" s="1"/>
  <c r="AD62" i="43" a="1"/>
  <c r="AD62" i="43" s="1"/>
  <c r="AL86" i="43" a="1"/>
  <c r="AL86" i="43" s="1"/>
  <c r="AI86" i="43" a="1"/>
  <c r="AI86" i="43" s="1"/>
  <c r="AD86" i="43" a="1"/>
  <c r="AD86" i="43" s="1"/>
  <c r="AN86" i="43" a="1"/>
  <c r="AN86" i="43" s="1"/>
  <c r="AK86" i="43" a="1"/>
  <c r="AK86" i="43" s="1"/>
  <c r="AF86" i="43" a="1"/>
  <c r="AF86" i="43" s="1"/>
  <c r="AC86" i="43" a="1"/>
  <c r="AC86" i="43" s="1"/>
  <c r="AM86" i="43" a="1"/>
  <c r="AM86" i="43" s="1"/>
  <c r="AH86" i="43" a="1"/>
  <c r="AH86" i="43" s="1"/>
  <c r="AE86" i="43" a="1"/>
  <c r="AE86" i="43" s="1"/>
  <c r="AA87" i="43"/>
  <c r="AJ86" i="43" a="1"/>
  <c r="AJ86" i="43" s="1"/>
  <c r="AG86" i="43" a="1"/>
  <c r="AG86" i="43" s="1"/>
  <c r="AN74" i="43" a="1"/>
  <c r="AN74" i="43" s="1"/>
  <c r="AI74" i="43" a="1"/>
  <c r="AI74" i="43" s="1"/>
  <c r="AF74" i="43" a="1"/>
  <c r="AF74" i="43" s="1"/>
  <c r="AK74" i="43" a="1"/>
  <c r="AK74" i="43" s="1"/>
  <c r="AH74" i="43" a="1"/>
  <c r="AH74" i="43" s="1"/>
  <c r="AC74" i="43" a="1"/>
  <c r="AC74" i="43" s="1"/>
  <c r="AM74" i="43" a="1"/>
  <c r="AM74" i="43" s="1"/>
  <c r="AJ74" i="43" a="1"/>
  <c r="AJ74" i="43" s="1"/>
  <c r="AE74" i="43" a="1"/>
  <c r="AE74" i="43" s="1"/>
  <c r="AA75" i="43"/>
  <c r="AL74" i="43" a="1"/>
  <c r="AL74" i="43" s="1"/>
  <c r="AG74" i="43" a="1"/>
  <c r="AG74" i="43" s="1"/>
  <c r="AD74" i="43" a="1"/>
  <c r="AD74" i="43" s="1"/>
  <c r="AL110" i="43" a="1"/>
  <c r="AL110" i="43" s="1"/>
  <c r="AI110" i="43" a="1"/>
  <c r="AI110" i="43" s="1"/>
  <c r="AD110" i="43" a="1"/>
  <c r="AD110" i="43" s="1"/>
  <c r="AN110" i="43" a="1"/>
  <c r="AN110" i="43" s="1"/>
  <c r="AK110" i="43" a="1"/>
  <c r="AK110" i="43" s="1"/>
  <c r="AF110" i="43" a="1"/>
  <c r="AF110" i="43" s="1"/>
  <c r="AC110" i="43" a="1"/>
  <c r="AC110" i="43" s="1"/>
  <c r="AM110" i="43" a="1"/>
  <c r="AM110" i="43" s="1"/>
  <c r="AH110" i="43" a="1"/>
  <c r="AH110" i="43" s="1"/>
  <c r="AE110" i="43" a="1"/>
  <c r="AE110" i="43" s="1"/>
  <c r="AJ110" i="43" a="1"/>
  <c r="AJ110" i="43" s="1"/>
  <c r="AG110" i="43" a="1"/>
  <c r="AG110" i="43" s="1"/>
  <c r="AA111" i="43"/>
  <c r="AP14" i="43"/>
  <c r="AK98" i="43" a="1"/>
  <c r="AK98" i="43" s="1"/>
  <c r="AH98" i="43" a="1"/>
  <c r="AH98" i="43" s="1"/>
  <c r="AC98" i="43" a="1"/>
  <c r="AC98" i="43" s="1"/>
  <c r="AM98" i="43" a="1"/>
  <c r="AM98" i="43" s="1"/>
  <c r="AJ98" i="43" a="1"/>
  <c r="AJ98" i="43" s="1"/>
  <c r="AE98" i="43" a="1"/>
  <c r="AE98" i="43" s="1"/>
  <c r="AA99" i="43"/>
  <c r="AL98" i="43" a="1"/>
  <c r="AL98" i="43" s="1"/>
  <c r="AG98" i="43" a="1"/>
  <c r="AG98" i="43" s="1"/>
  <c r="AD98" i="43" a="1"/>
  <c r="AD98" i="43" s="1"/>
  <c r="AI98" i="43" a="1"/>
  <c r="AI98" i="43" s="1"/>
  <c r="AF98" i="43" a="1"/>
  <c r="AF98" i="43" s="1"/>
  <c r="AN98" i="43" a="1"/>
  <c r="AN98" i="43" s="1"/>
  <c r="AM38" i="43" a="1"/>
  <c r="AM38" i="43" s="1"/>
  <c r="AJ38" i="43" a="1"/>
  <c r="AJ38" i="43" s="1"/>
  <c r="AE38" i="43" a="1"/>
  <c r="AE38" i="43" s="1"/>
  <c r="AA39" i="43"/>
  <c r="AL38" i="43" a="1"/>
  <c r="AL38" i="43" s="1"/>
  <c r="AG38" i="43" a="1"/>
  <c r="AG38" i="43" s="1"/>
  <c r="AD38" i="43" a="1"/>
  <c r="AD38" i="43" s="1"/>
  <c r="AN38" i="43" a="1"/>
  <c r="AN38" i="43" s="1"/>
  <c r="AI38" i="43" a="1"/>
  <c r="AI38" i="43" s="1"/>
  <c r="AF38" i="43" a="1"/>
  <c r="AF38" i="43" s="1"/>
  <c r="AK38" i="43" a="1"/>
  <c r="AK38" i="43" s="1"/>
  <c r="AH38" i="43" a="1"/>
  <c r="AH38" i="43" s="1"/>
  <c r="AC38" i="43" a="1"/>
  <c r="AC38" i="43" s="1"/>
  <c r="AN25" i="43" a="1"/>
  <c r="AN25" i="43" s="1"/>
  <c r="AJ25" i="43" a="1"/>
  <c r="AJ25" i="43" s="1"/>
  <c r="AF25" i="43" a="1"/>
  <c r="AF25" i="43" s="1"/>
  <c r="AA26" i="43"/>
  <c r="AM25" i="43" a="1"/>
  <c r="AM25" i="43" s="1"/>
  <c r="AI25" i="43" a="1"/>
  <c r="AI25" i="43" s="1"/>
  <c r="AE25" i="43" a="1"/>
  <c r="AE25" i="43" s="1"/>
  <c r="AK25" i="43" a="1"/>
  <c r="AK25" i="43" s="1"/>
  <c r="AG25" i="43" a="1"/>
  <c r="AG25" i="43" s="1"/>
  <c r="AC25" i="43" a="1"/>
  <c r="AC25" i="43" s="1"/>
  <c r="AL25" i="43" a="1"/>
  <c r="AL25" i="43" s="1"/>
  <c r="AH25" i="43" a="1"/>
  <c r="AH25" i="43" s="1"/>
  <c r="AD25" i="43" a="1"/>
  <c r="AD25" i="43" s="1"/>
  <c r="Y136" i="43"/>
  <c r="AA123" i="43"/>
  <c r="AQ6" i="43" l="1"/>
  <c r="AR6" i="43"/>
  <c r="AA15" i="43"/>
  <c r="AK14" i="43" a="1"/>
  <c r="AK14" i="43" s="1"/>
  <c r="AJ14" i="43" a="1"/>
  <c r="AJ14" i="43" s="1"/>
  <c r="AL14" i="43" a="1"/>
  <c r="AL14" i="43" s="1"/>
  <c r="AM14" i="43" a="1"/>
  <c r="AM14" i="43" s="1"/>
  <c r="AG14" i="43" a="1"/>
  <c r="AG14" i="43" s="1"/>
  <c r="AD14" i="43" a="1"/>
  <c r="AD14" i="43" s="1"/>
  <c r="AH14" i="43" a="1"/>
  <c r="AH14" i="43" s="1"/>
  <c r="AI14" i="43" a="1"/>
  <c r="AI14" i="43" s="1"/>
  <c r="AC14" i="43" a="1"/>
  <c r="AC14" i="43" s="1"/>
  <c r="AF14" i="43" a="1"/>
  <c r="AF14" i="43" s="1"/>
  <c r="AE14" i="43" a="1"/>
  <c r="AE14" i="43" s="1"/>
  <c r="AN14" i="43" a="1"/>
  <c r="AN14" i="43" s="1"/>
  <c r="AM26" i="43" a="1"/>
  <c r="AM26" i="43" s="1"/>
  <c r="AI26" i="43" a="1"/>
  <c r="AI26" i="43" s="1"/>
  <c r="AE26" i="43" a="1"/>
  <c r="AE26" i="43" s="1"/>
  <c r="AL26" i="43" a="1"/>
  <c r="AL26" i="43" s="1"/>
  <c r="AH26" i="43" a="1"/>
  <c r="AH26" i="43" s="1"/>
  <c r="AF26" i="43" a="1"/>
  <c r="AF26" i="43" s="1"/>
  <c r="AN26" i="43" a="1"/>
  <c r="AN26" i="43" s="1"/>
  <c r="AJ26" i="43" a="1"/>
  <c r="AJ26" i="43" s="1"/>
  <c r="AD26" i="43" a="1"/>
  <c r="AD26" i="43" s="1"/>
  <c r="AA27" i="43"/>
  <c r="AK26" i="43" a="1"/>
  <c r="AK26" i="43" s="1"/>
  <c r="AG26" i="43" a="1"/>
  <c r="AG26" i="43" s="1"/>
  <c r="AC26" i="43" a="1"/>
  <c r="AC26" i="43" s="1"/>
  <c r="AA124" i="43"/>
  <c r="AJ123" i="43" a="1"/>
  <c r="AJ123" i="43" s="1"/>
  <c r="AG123" i="43" a="1"/>
  <c r="AG123" i="43" s="1"/>
  <c r="AL123" i="43" a="1"/>
  <c r="AL123" i="43" s="1"/>
  <c r="AI123" i="43" a="1"/>
  <c r="AI123" i="43" s="1"/>
  <c r="AD123" i="43" a="1"/>
  <c r="AD123" i="43" s="1"/>
  <c r="AN123" i="43" a="1"/>
  <c r="AN123" i="43" s="1"/>
  <c r="AK123" i="43" a="1"/>
  <c r="AK123" i="43" s="1"/>
  <c r="AF123" i="43" a="1"/>
  <c r="AF123" i="43" s="1"/>
  <c r="AC123" i="43" a="1"/>
  <c r="AC123" i="43" s="1"/>
  <c r="AM123" i="43" a="1"/>
  <c r="AM123" i="43" s="1"/>
  <c r="AH123" i="43" a="1"/>
  <c r="AH123" i="43" s="1"/>
  <c r="AE123" i="43" a="1"/>
  <c r="AE123" i="43" s="1"/>
  <c r="AP15" i="43"/>
  <c r="AM39" i="43" a="1"/>
  <c r="AM39" i="43" s="1"/>
  <c r="AH39" i="43" a="1"/>
  <c r="AH39" i="43" s="1"/>
  <c r="AE39" i="43" a="1"/>
  <c r="AE39" i="43" s="1"/>
  <c r="AA40" i="43"/>
  <c r="AJ39" i="43" a="1"/>
  <c r="AJ39" i="43" s="1"/>
  <c r="AG39" i="43" a="1"/>
  <c r="AG39" i="43" s="1"/>
  <c r="AQ8" i="43" s="1"/>
  <c r="AL39" i="43" a="1"/>
  <c r="AL39" i="43" s="1"/>
  <c r="AI39" i="43" a="1"/>
  <c r="AI39" i="43" s="1"/>
  <c r="AD39" i="43" a="1"/>
  <c r="AD39" i="43" s="1"/>
  <c r="AN39" i="43" a="1"/>
  <c r="AN39" i="43" s="1"/>
  <c r="AK39" i="43" a="1"/>
  <c r="AK39" i="43" s="1"/>
  <c r="AF39" i="43" a="1"/>
  <c r="AF39" i="43" s="1"/>
  <c r="AC39" i="43" a="1"/>
  <c r="AC39" i="43" s="1"/>
  <c r="AR8" i="43" s="1"/>
  <c r="AN99" i="43" a="1"/>
  <c r="AN99" i="43" s="1"/>
  <c r="AK99" i="43" a="1"/>
  <c r="AK99" i="43" s="1"/>
  <c r="AF99" i="43" a="1"/>
  <c r="AF99" i="43" s="1"/>
  <c r="AC99" i="43" a="1"/>
  <c r="AC99" i="43" s="1"/>
  <c r="AM99" i="43" a="1"/>
  <c r="AM99" i="43" s="1"/>
  <c r="AH99" i="43" a="1"/>
  <c r="AH99" i="43" s="1"/>
  <c r="AE99" i="43" a="1"/>
  <c r="AE99" i="43" s="1"/>
  <c r="AA100" i="43"/>
  <c r="AJ99" i="43" a="1"/>
  <c r="AJ99" i="43" s="1"/>
  <c r="AG99" i="43" a="1"/>
  <c r="AG99" i="43" s="1"/>
  <c r="AD99" i="43" a="1"/>
  <c r="AD99" i="43" s="1"/>
  <c r="AL99" i="43" a="1"/>
  <c r="AL99" i="43" s="1"/>
  <c r="AI99" i="43" a="1"/>
  <c r="AI99" i="43" s="1"/>
  <c r="AL75" i="43" a="1"/>
  <c r="AL75" i="43" s="1"/>
  <c r="AI75" i="43" a="1"/>
  <c r="AI75" i="43" s="1"/>
  <c r="AD75" i="43" a="1"/>
  <c r="AD75" i="43" s="1"/>
  <c r="AN75" i="43" a="1"/>
  <c r="AN75" i="43" s="1"/>
  <c r="AK75" i="43" a="1"/>
  <c r="AK75" i="43" s="1"/>
  <c r="AF75" i="43" a="1"/>
  <c r="AF75" i="43" s="1"/>
  <c r="AC75" i="43" a="1"/>
  <c r="AC75" i="43" s="1"/>
  <c r="AM75" i="43" a="1"/>
  <c r="AM75" i="43" s="1"/>
  <c r="AH75" i="43" a="1"/>
  <c r="AH75" i="43" s="1"/>
  <c r="AE75" i="43" a="1"/>
  <c r="AE75" i="43" s="1"/>
  <c r="AA76" i="43"/>
  <c r="AJ75" i="43" a="1"/>
  <c r="AJ75" i="43" s="1"/>
  <c r="AG75" i="43" a="1"/>
  <c r="AG75" i="43" s="1"/>
  <c r="AA88" i="43"/>
  <c r="AL87" i="43" a="1"/>
  <c r="AL87" i="43" s="1"/>
  <c r="AG87" i="43" a="1"/>
  <c r="AG87" i="43" s="1"/>
  <c r="AD87" i="43" a="1"/>
  <c r="AD87" i="43" s="1"/>
  <c r="AN87" i="43" a="1"/>
  <c r="AN87" i="43" s="1"/>
  <c r="AI87" i="43" a="1"/>
  <c r="AI87" i="43" s="1"/>
  <c r="AF87" i="43" a="1"/>
  <c r="AF87" i="43" s="1"/>
  <c r="AK87" i="43" a="1"/>
  <c r="AK87" i="43" s="1"/>
  <c r="AH87" i="43" a="1"/>
  <c r="AH87" i="43" s="1"/>
  <c r="AC87" i="43" a="1"/>
  <c r="AC87" i="43" s="1"/>
  <c r="AM87" i="43" a="1"/>
  <c r="AM87" i="43" s="1"/>
  <c r="AJ87" i="43" a="1"/>
  <c r="AJ87" i="43" s="1"/>
  <c r="AE87" i="43" a="1"/>
  <c r="AE87" i="43" s="1"/>
  <c r="AN63" i="43" a="1"/>
  <c r="AN63" i="43" s="1"/>
  <c r="AI63" i="43" a="1"/>
  <c r="AI63" i="43" s="1"/>
  <c r="AF63" i="43" a="1"/>
  <c r="AF63" i="43" s="1"/>
  <c r="AK63" i="43" a="1"/>
  <c r="AK63" i="43" s="1"/>
  <c r="AH63" i="43" a="1"/>
  <c r="AH63" i="43" s="1"/>
  <c r="AC63" i="43" a="1"/>
  <c r="AC63" i="43" s="1"/>
  <c r="AM63" i="43" a="1"/>
  <c r="AM63" i="43" s="1"/>
  <c r="AJ63" i="43" a="1"/>
  <c r="AJ63" i="43" s="1"/>
  <c r="AE63" i="43" a="1"/>
  <c r="AE63" i="43" s="1"/>
  <c r="AA64" i="43"/>
  <c r="AL63" i="43" a="1"/>
  <c r="AL63" i="43" s="1"/>
  <c r="AG63" i="43" a="1"/>
  <c r="AG63" i="43" s="1"/>
  <c r="AD63" i="43" a="1"/>
  <c r="AD63" i="43" s="1"/>
  <c r="AA136" i="43"/>
  <c r="Y149" i="43"/>
  <c r="AN111" i="43" a="1"/>
  <c r="AN111" i="43" s="1"/>
  <c r="AI111" i="43" a="1"/>
  <c r="AI111" i="43" s="1"/>
  <c r="AF111" i="43" a="1"/>
  <c r="AF111" i="43" s="1"/>
  <c r="AK111" i="43" a="1"/>
  <c r="AK111" i="43" s="1"/>
  <c r="AH111" i="43" a="1"/>
  <c r="AH111" i="43" s="1"/>
  <c r="AC111" i="43" a="1"/>
  <c r="AC111" i="43" s="1"/>
  <c r="AM111" i="43" a="1"/>
  <c r="AM111" i="43" s="1"/>
  <c r="AJ111" i="43" a="1"/>
  <c r="AJ111" i="43" s="1"/>
  <c r="AE111" i="43" a="1"/>
  <c r="AE111" i="43" s="1"/>
  <c r="AG111" i="43" a="1"/>
  <c r="AG111" i="43" s="1"/>
  <c r="AA112" i="43"/>
  <c r="AD111" i="43" a="1"/>
  <c r="AD111" i="43" s="1"/>
  <c r="AL111" i="43" a="1"/>
  <c r="AL111" i="43" s="1"/>
  <c r="AN51" i="43" a="1"/>
  <c r="AN51" i="43" s="1"/>
  <c r="AI51" i="43" a="1"/>
  <c r="AI51" i="43" s="1"/>
  <c r="AF51" i="43" a="1"/>
  <c r="AF51" i="43" s="1"/>
  <c r="AK51" i="43" a="1"/>
  <c r="AK51" i="43" s="1"/>
  <c r="AH51" i="43" a="1"/>
  <c r="AH51" i="43" s="1"/>
  <c r="AC51" i="43" a="1"/>
  <c r="AC51" i="43" s="1"/>
  <c r="AM51" i="43" a="1"/>
  <c r="AM51" i="43" s="1"/>
  <c r="AJ51" i="43" a="1"/>
  <c r="AJ51" i="43" s="1"/>
  <c r="AE51" i="43" a="1"/>
  <c r="AE51" i="43" s="1"/>
  <c r="AA52" i="43"/>
  <c r="AL51" i="43" a="1"/>
  <c r="AL51" i="43" s="1"/>
  <c r="AG51" i="43" a="1"/>
  <c r="AG51" i="43" s="1"/>
  <c r="AD51" i="43" a="1"/>
  <c r="AD51" i="43" s="1"/>
  <c r="AS7" i="43"/>
  <c r="AS8" i="43" l="1"/>
  <c r="AT8" i="43"/>
  <c r="AR7" i="43"/>
  <c r="AQ7" i="43"/>
  <c r="AT7" i="43"/>
  <c r="AL15" i="43" a="1"/>
  <c r="AL15" i="43" s="1"/>
  <c r="AJ15" i="43" a="1"/>
  <c r="AJ15" i="43" s="1"/>
  <c r="AG15" i="43" a="1"/>
  <c r="AG15" i="43" s="1"/>
  <c r="AK15" i="43" a="1"/>
  <c r="AK15" i="43" s="1"/>
  <c r="AH15" i="43" a="1"/>
  <c r="AH15" i="43" s="1"/>
  <c r="AX6" i="43" s="1"/>
  <c r="AD15" i="43" a="1"/>
  <c r="AD15" i="43" s="1"/>
  <c r="AE15" i="43" a="1"/>
  <c r="AE15" i="43" s="1"/>
  <c r="AI15" i="43" a="1"/>
  <c r="AI15" i="43" s="1"/>
  <c r="AF15" i="43" a="1"/>
  <c r="AF15" i="43" s="1"/>
  <c r="AA16" i="43"/>
  <c r="AC15" i="43" a="1"/>
  <c r="AC15" i="43" s="1"/>
  <c r="AN15" i="43" a="1"/>
  <c r="AN15" i="43" s="1"/>
  <c r="AM15" i="43" a="1"/>
  <c r="AM15" i="43" s="1"/>
  <c r="AL52" i="43" a="1"/>
  <c r="AL52" i="43" s="1"/>
  <c r="AI52" i="43" a="1"/>
  <c r="AI52" i="43" s="1"/>
  <c r="AD52" i="43" a="1"/>
  <c r="AD52" i="43" s="1"/>
  <c r="AN52" i="43" a="1"/>
  <c r="AN52" i="43" s="1"/>
  <c r="AK52" i="43" a="1"/>
  <c r="AK52" i="43" s="1"/>
  <c r="AF52" i="43" a="1"/>
  <c r="AF52" i="43" s="1"/>
  <c r="AC52" i="43" a="1"/>
  <c r="AC52" i="43" s="1"/>
  <c r="AM52" i="43" a="1"/>
  <c r="AM52" i="43" s="1"/>
  <c r="AS9" i="43" s="1"/>
  <c r="AH52" i="43" a="1"/>
  <c r="AH52" i="43" s="1"/>
  <c r="AE52" i="43" a="1"/>
  <c r="AE52" i="43" s="1"/>
  <c r="AA53" i="43"/>
  <c r="AJ52" i="43" a="1"/>
  <c r="AJ52" i="43" s="1"/>
  <c r="AG52" i="43" a="1"/>
  <c r="AG52" i="43" s="1"/>
  <c r="AQ9" i="43" s="1"/>
  <c r="AL112" i="43" a="1"/>
  <c r="AL112" i="43" s="1"/>
  <c r="AI112" i="43" a="1"/>
  <c r="AI112" i="43" s="1"/>
  <c r="AD112" i="43" a="1"/>
  <c r="AD112" i="43" s="1"/>
  <c r="AN112" i="43" a="1"/>
  <c r="AN112" i="43" s="1"/>
  <c r="AK112" i="43" a="1"/>
  <c r="AK112" i="43" s="1"/>
  <c r="AF112" i="43" a="1"/>
  <c r="AF112" i="43" s="1"/>
  <c r="AC112" i="43" a="1"/>
  <c r="AC112" i="43" s="1"/>
  <c r="AM112" i="43" a="1"/>
  <c r="AM112" i="43" s="1"/>
  <c r="AH112" i="43" a="1"/>
  <c r="AH112" i="43" s="1"/>
  <c r="AE112" i="43" a="1"/>
  <c r="AE112" i="43" s="1"/>
  <c r="AJ112" i="43" a="1"/>
  <c r="AJ112" i="43" s="1"/>
  <c r="AG112" i="43" a="1"/>
  <c r="AG112" i="43" s="1"/>
  <c r="AA113" i="43"/>
  <c r="AA149" i="43"/>
  <c r="Y162" i="43"/>
  <c r="AN100" i="43" a="1"/>
  <c r="AN100" i="43" s="1"/>
  <c r="AI100" i="43" a="1"/>
  <c r="AI100" i="43" s="1"/>
  <c r="AF100" i="43" a="1"/>
  <c r="AF100" i="43" s="1"/>
  <c r="AK100" i="43" a="1"/>
  <c r="AK100" i="43" s="1"/>
  <c r="AH100" i="43" a="1"/>
  <c r="AH100" i="43" s="1"/>
  <c r="AC100" i="43" a="1"/>
  <c r="AC100" i="43" s="1"/>
  <c r="AM100" i="43" a="1"/>
  <c r="AM100" i="43" s="1"/>
  <c r="AJ100" i="43" a="1"/>
  <c r="AJ100" i="43" s="1"/>
  <c r="AE100" i="43" a="1"/>
  <c r="AE100" i="43" s="1"/>
  <c r="AL100" i="43" a="1"/>
  <c r="AL100" i="43" s="1"/>
  <c r="AG100" i="43" a="1"/>
  <c r="AG100" i="43" s="1"/>
  <c r="AA101" i="43"/>
  <c r="AD100" i="43" a="1"/>
  <c r="AD100" i="43" s="1"/>
  <c r="AM136" i="43" a="1"/>
  <c r="AM136" i="43" s="1"/>
  <c r="AH136" i="43" a="1"/>
  <c r="AH136" i="43" s="1"/>
  <c r="AE136" i="43" a="1"/>
  <c r="AE136" i="43" s="1"/>
  <c r="AW16" i="43" s="1"/>
  <c r="AA137" i="43"/>
  <c r="AJ136" i="43" a="1"/>
  <c r="AJ136" i="43" s="1"/>
  <c r="AG136" i="43" a="1"/>
  <c r="AG136" i="43" s="1"/>
  <c r="AL136" i="43" a="1"/>
  <c r="AL136" i="43" s="1"/>
  <c r="AI136" i="43" a="1"/>
  <c r="AI136" i="43" s="1"/>
  <c r="AD136" i="43" a="1"/>
  <c r="AD136" i="43" s="1"/>
  <c r="AN136" i="43" a="1"/>
  <c r="AN136" i="43" s="1"/>
  <c r="AK136" i="43" a="1"/>
  <c r="AK136" i="43" s="1"/>
  <c r="AZ16" i="43" s="1"/>
  <c r="AF136" i="43" a="1"/>
  <c r="AF136" i="43" s="1"/>
  <c r="AC136" i="43" a="1"/>
  <c r="AC136" i="43" s="1"/>
  <c r="AP16" i="43"/>
  <c r="AL64" i="43" a="1"/>
  <c r="AL64" i="43" s="1"/>
  <c r="AI64" i="43" a="1"/>
  <c r="AI64" i="43" s="1"/>
  <c r="AD64" i="43" a="1"/>
  <c r="AD64" i="43" s="1"/>
  <c r="AN64" i="43" a="1"/>
  <c r="AN64" i="43" s="1"/>
  <c r="AK64" i="43" a="1"/>
  <c r="AK64" i="43" s="1"/>
  <c r="AF64" i="43" a="1"/>
  <c r="AF64" i="43" s="1"/>
  <c r="AC64" i="43" a="1"/>
  <c r="AC64" i="43" s="1"/>
  <c r="AM64" i="43" a="1"/>
  <c r="AM64" i="43" s="1"/>
  <c r="AH64" i="43" a="1"/>
  <c r="AH64" i="43" s="1"/>
  <c r="AE64" i="43" a="1"/>
  <c r="AE64" i="43" s="1"/>
  <c r="AA65" i="43"/>
  <c r="AJ64" i="43" a="1"/>
  <c r="AJ64" i="43" s="1"/>
  <c r="AG64" i="43" a="1"/>
  <c r="AG64" i="43" s="1"/>
  <c r="AK40" i="43" a="1"/>
  <c r="AK40" i="43" s="1"/>
  <c r="AH40" i="43" a="1"/>
  <c r="AH40" i="43" s="1"/>
  <c r="AC40" i="43" a="1"/>
  <c r="AC40" i="43" s="1"/>
  <c r="AM40" i="43" a="1"/>
  <c r="AM40" i="43" s="1"/>
  <c r="AJ40" i="43" a="1"/>
  <c r="AJ40" i="43" s="1"/>
  <c r="AE40" i="43" a="1"/>
  <c r="AE40" i="43" s="1"/>
  <c r="AA41" i="43"/>
  <c r="AL40" i="43" a="1"/>
  <c r="AL40" i="43" s="1"/>
  <c r="AG40" i="43" a="1"/>
  <c r="AG40" i="43" s="1"/>
  <c r="AD40" i="43" a="1"/>
  <c r="AD40" i="43" s="1"/>
  <c r="AN40" i="43" a="1"/>
  <c r="AN40" i="43" s="1"/>
  <c r="AI40" i="43" a="1"/>
  <c r="AI40" i="43" s="1"/>
  <c r="AF40" i="43" a="1"/>
  <c r="AF40" i="43" s="1"/>
  <c r="AA77" i="43"/>
  <c r="AL76" i="43" a="1"/>
  <c r="AL76" i="43" s="1"/>
  <c r="AG76" i="43" a="1"/>
  <c r="AG76" i="43" s="1"/>
  <c r="AD76" i="43" a="1"/>
  <c r="AD76" i="43" s="1"/>
  <c r="AN76" i="43" a="1"/>
  <c r="AN76" i="43" s="1"/>
  <c r="AI76" i="43" a="1"/>
  <c r="AI76" i="43" s="1"/>
  <c r="AF76" i="43" a="1"/>
  <c r="AF76" i="43" s="1"/>
  <c r="AK76" i="43" a="1"/>
  <c r="AK76" i="43" s="1"/>
  <c r="AH76" i="43" a="1"/>
  <c r="AH76" i="43" s="1"/>
  <c r="AC76" i="43" a="1"/>
  <c r="AC76" i="43" s="1"/>
  <c r="AM76" i="43" a="1"/>
  <c r="AM76" i="43" s="1"/>
  <c r="AJ76" i="43" a="1"/>
  <c r="AJ76" i="43" s="1"/>
  <c r="AE76" i="43" a="1"/>
  <c r="AE76" i="43" s="1"/>
  <c r="AA125" i="43"/>
  <c r="AL124" i="43" a="1"/>
  <c r="AL124" i="43" s="1"/>
  <c r="AG124" i="43" a="1"/>
  <c r="AG124" i="43" s="1"/>
  <c r="AD124" i="43" a="1"/>
  <c r="AD124" i="43" s="1"/>
  <c r="AN124" i="43" a="1"/>
  <c r="AN124" i="43" s="1"/>
  <c r="AI124" i="43" a="1"/>
  <c r="AI124" i="43" s="1"/>
  <c r="AF124" i="43" a="1"/>
  <c r="AF124" i="43" s="1"/>
  <c r="AK124" i="43" a="1"/>
  <c r="AK124" i="43" s="1"/>
  <c r="AH124" i="43" a="1"/>
  <c r="AH124" i="43" s="1"/>
  <c r="AC124" i="43" a="1"/>
  <c r="AC124" i="43" s="1"/>
  <c r="AM124" i="43" a="1"/>
  <c r="AM124" i="43" s="1"/>
  <c r="AJ124" i="43" a="1"/>
  <c r="AJ124" i="43" s="1"/>
  <c r="AE124" i="43" a="1"/>
  <c r="AE124" i="43" s="1"/>
  <c r="AL27" i="43" a="1"/>
  <c r="AL27" i="43" s="1"/>
  <c r="AJ27" i="43" a="1"/>
  <c r="AJ27" i="43" s="1"/>
  <c r="AF27" i="43" a="1"/>
  <c r="AF27" i="43" s="1"/>
  <c r="AM27" i="43" a="1"/>
  <c r="AM27" i="43" s="1"/>
  <c r="AG27" i="43" a="1"/>
  <c r="AG27" i="43" s="1"/>
  <c r="AC27" i="43" a="1"/>
  <c r="AC27" i="43" s="1"/>
  <c r="AA28" i="43"/>
  <c r="AK27" i="43" a="1"/>
  <c r="AK27" i="43" s="1"/>
  <c r="AI27" i="43" a="1"/>
  <c r="AI27" i="43" s="1"/>
  <c r="AE27" i="43" a="1"/>
  <c r="AE27" i="43" s="1"/>
  <c r="AN27" i="43" a="1"/>
  <c r="AN27" i="43" s="1"/>
  <c r="AH27" i="43" a="1"/>
  <c r="AH27" i="43" s="1"/>
  <c r="AD27" i="43" a="1"/>
  <c r="AD27" i="43" s="1"/>
  <c r="AA89" i="43"/>
  <c r="AJ88" i="43" a="1"/>
  <c r="AJ88" i="43" s="1"/>
  <c r="AG88" i="43" a="1"/>
  <c r="AG88" i="43" s="1"/>
  <c r="AL88" i="43" a="1"/>
  <c r="AL88" i="43" s="1"/>
  <c r="AI88" i="43" a="1"/>
  <c r="AI88" i="43" s="1"/>
  <c r="AD88" i="43" a="1"/>
  <c r="AD88" i="43" s="1"/>
  <c r="AN88" i="43" a="1"/>
  <c r="AN88" i="43" s="1"/>
  <c r="AK88" i="43" a="1"/>
  <c r="AK88" i="43" s="1"/>
  <c r="AF88" i="43" a="1"/>
  <c r="AF88" i="43" s="1"/>
  <c r="AC88" i="43" a="1"/>
  <c r="AC88" i="43" s="1"/>
  <c r="AM88" i="43" a="1"/>
  <c r="AM88" i="43" s="1"/>
  <c r="AH88" i="43" a="1"/>
  <c r="AH88" i="43" s="1"/>
  <c r="AE88" i="43" a="1"/>
  <c r="AE88" i="43" s="1"/>
  <c r="AR9" i="43" l="1"/>
  <c r="AT9" i="43"/>
  <c r="BA6" i="43"/>
  <c r="AH16" i="43" a="1"/>
  <c r="AH16" i="43" s="1"/>
  <c r="AC16" i="43" a="1"/>
  <c r="AC16" i="43" s="1"/>
  <c r="AE16" i="43" a="1"/>
  <c r="AE16" i="43" s="1"/>
  <c r="AN16" i="43" a="1"/>
  <c r="AN16" i="43" s="1"/>
  <c r="AG16" i="43" a="1"/>
  <c r="AG16" i="43" s="1"/>
  <c r="AI16" i="43" a="1"/>
  <c r="AI16" i="43" s="1"/>
  <c r="AF16" i="43" a="1"/>
  <c r="AF16" i="43" s="1"/>
  <c r="AA17" i="43"/>
  <c r="AL16" i="43" a="1"/>
  <c r="AL16" i="43" s="1"/>
  <c r="AM16" i="43" a="1"/>
  <c r="AM16" i="43" s="1"/>
  <c r="AK16" i="43" a="1"/>
  <c r="AK16" i="43" s="1"/>
  <c r="AJ16" i="43" a="1"/>
  <c r="AJ16" i="43" s="1"/>
  <c r="AD16" i="43" a="1"/>
  <c r="AD16" i="43" s="1"/>
  <c r="AA78" i="43"/>
  <c r="AJ77" i="43" a="1"/>
  <c r="AJ77" i="43" s="1"/>
  <c r="AG77" i="43" a="1"/>
  <c r="AG77" i="43" s="1"/>
  <c r="AL77" i="43" a="1"/>
  <c r="AL77" i="43" s="1"/>
  <c r="AI77" i="43" a="1"/>
  <c r="AI77" i="43" s="1"/>
  <c r="AD77" i="43" a="1"/>
  <c r="AD77" i="43" s="1"/>
  <c r="AN77" i="43" a="1"/>
  <c r="AN77" i="43" s="1"/>
  <c r="AK77" i="43" a="1"/>
  <c r="AK77" i="43" s="1"/>
  <c r="AF77" i="43" a="1"/>
  <c r="AF77" i="43" s="1"/>
  <c r="AC77" i="43" a="1"/>
  <c r="AC77" i="43" s="1"/>
  <c r="AM77" i="43" a="1"/>
  <c r="AM77" i="43" s="1"/>
  <c r="AH77" i="43" a="1"/>
  <c r="AH77" i="43" s="1"/>
  <c r="AE77" i="43" a="1"/>
  <c r="AE77" i="43" s="1"/>
  <c r="AL101" i="43" a="1"/>
  <c r="AL101" i="43" s="1"/>
  <c r="AI101" i="43" a="1"/>
  <c r="AI101" i="43" s="1"/>
  <c r="AD101" i="43" a="1"/>
  <c r="AD101" i="43" s="1"/>
  <c r="AN101" i="43" a="1"/>
  <c r="AN101" i="43" s="1"/>
  <c r="AK101" i="43" a="1"/>
  <c r="AK101" i="43" s="1"/>
  <c r="AF101" i="43" a="1"/>
  <c r="AF101" i="43" s="1"/>
  <c r="AC101" i="43" a="1"/>
  <c r="AC101" i="43" s="1"/>
  <c r="AM101" i="43" a="1"/>
  <c r="AM101" i="43" s="1"/>
  <c r="AH101" i="43" a="1"/>
  <c r="AH101" i="43" s="1"/>
  <c r="AE101" i="43" a="1"/>
  <c r="AE101" i="43" s="1"/>
  <c r="AJ101" i="43" a="1"/>
  <c r="AJ101" i="43" s="1"/>
  <c r="AG101" i="43" a="1"/>
  <c r="AG101" i="43" s="1"/>
  <c r="AA102" i="43"/>
  <c r="Y175" i="43"/>
  <c r="AA162" i="43"/>
  <c r="AA126" i="43"/>
  <c r="AJ125" i="43" a="1"/>
  <c r="AJ125" i="43" s="1"/>
  <c r="AG125" i="43" a="1"/>
  <c r="AG125" i="43" s="1"/>
  <c r="AL125" i="43" a="1"/>
  <c r="AL125" i="43" s="1"/>
  <c r="AI125" i="43" a="1"/>
  <c r="AI125" i="43" s="1"/>
  <c r="AD125" i="43" a="1"/>
  <c r="AD125" i="43" s="1"/>
  <c r="AN125" i="43" a="1"/>
  <c r="AN125" i="43" s="1"/>
  <c r="AK125" i="43" a="1"/>
  <c r="AK125" i="43" s="1"/>
  <c r="AF125" i="43" a="1"/>
  <c r="AF125" i="43" s="1"/>
  <c r="AC125" i="43" a="1"/>
  <c r="AC125" i="43" s="1"/>
  <c r="AM125" i="43" a="1"/>
  <c r="AM125" i="43" s="1"/>
  <c r="AH125" i="43" a="1"/>
  <c r="AH125" i="43" s="1"/>
  <c r="AE125" i="43" a="1"/>
  <c r="AE125" i="43" s="1"/>
  <c r="AN41" i="43" a="1"/>
  <c r="AN41" i="43" s="1"/>
  <c r="AK41" i="43" a="1"/>
  <c r="AK41" i="43" s="1"/>
  <c r="AF41" i="43" a="1"/>
  <c r="AF41" i="43" s="1"/>
  <c r="AC41" i="43" a="1"/>
  <c r="AC41" i="43" s="1"/>
  <c r="AM41" i="43" a="1"/>
  <c r="AM41" i="43" s="1"/>
  <c r="AH41" i="43" a="1"/>
  <c r="AH41" i="43" s="1"/>
  <c r="AE41" i="43" a="1"/>
  <c r="AE41" i="43" s="1"/>
  <c r="AA42" i="43"/>
  <c r="AJ41" i="43" a="1"/>
  <c r="AJ41" i="43" s="1"/>
  <c r="AG41" i="43" a="1"/>
  <c r="AG41" i="43" s="1"/>
  <c r="AL41" i="43" a="1"/>
  <c r="AL41" i="43" s="1"/>
  <c r="AI41" i="43" a="1"/>
  <c r="AI41" i="43" s="1"/>
  <c r="AD41" i="43" a="1"/>
  <c r="AD41" i="43" s="1"/>
  <c r="AX16" i="43"/>
  <c r="AN149" i="43" a="1"/>
  <c r="AN149" i="43" s="1"/>
  <c r="AK149" i="43" a="1"/>
  <c r="AK149" i="43" s="1"/>
  <c r="AZ17" i="43" s="1"/>
  <c r="AF149" i="43" a="1"/>
  <c r="AF149" i="43" s="1"/>
  <c r="AC149" i="43" a="1"/>
  <c r="AC149" i="43" s="1"/>
  <c r="AM149" i="43" a="1"/>
  <c r="AM149" i="43" s="1"/>
  <c r="AH149" i="43" a="1"/>
  <c r="AH149" i="43" s="1"/>
  <c r="AE149" i="43" a="1"/>
  <c r="AE149" i="43" s="1"/>
  <c r="AW17" i="43" s="1"/>
  <c r="AA150" i="43"/>
  <c r="AJ149" i="43" a="1"/>
  <c r="AJ149" i="43" s="1"/>
  <c r="AG149" i="43" a="1"/>
  <c r="AG149" i="43" s="1"/>
  <c r="AL149" i="43" a="1"/>
  <c r="AL149" i="43" s="1"/>
  <c r="AI149" i="43" a="1"/>
  <c r="AI149" i="43" s="1"/>
  <c r="AD149" i="43" a="1"/>
  <c r="AD149" i="43" s="1"/>
  <c r="AP17" i="43"/>
  <c r="AA54" i="43"/>
  <c r="AL53" i="43" a="1"/>
  <c r="AL53" i="43" s="1"/>
  <c r="AG53" i="43" a="1"/>
  <c r="AG53" i="43" s="1"/>
  <c r="AD53" i="43" a="1"/>
  <c r="AD53" i="43" s="1"/>
  <c r="AN53" i="43" a="1"/>
  <c r="AN53" i="43" s="1"/>
  <c r="AI53" i="43" a="1"/>
  <c r="AI53" i="43" s="1"/>
  <c r="AF53" i="43" a="1"/>
  <c r="AF53" i="43" s="1"/>
  <c r="AK53" i="43" a="1"/>
  <c r="AK53" i="43" s="1"/>
  <c r="AH53" i="43" a="1"/>
  <c r="AH53" i="43" s="1"/>
  <c r="AC53" i="43" a="1"/>
  <c r="AC53" i="43" s="1"/>
  <c r="AM53" i="43" a="1"/>
  <c r="AM53" i="43" s="1"/>
  <c r="AJ53" i="43" a="1"/>
  <c r="AJ53" i="43" s="1"/>
  <c r="AE53" i="43" a="1"/>
  <c r="AE53" i="43" s="1"/>
  <c r="AM28" i="43" a="1"/>
  <c r="AM28" i="43" s="1"/>
  <c r="AG28" i="43" a="1"/>
  <c r="AG28" i="43" s="1"/>
  <c r="AC28" i="43" a="1"/>
  <c r="AC28" i="43" s="1"/>
  <c r="AL28" i="43" a="1"/>
  <c r="AL28" i="43" s="1"/>
  <c r="AH28" i="43" a="1"/>
  <c r="AH28" i="43" s="1"/>
  <c r="AF28" i="43" a="1"/>
  <c r="AF28" i="43" s="1"/>
  <c r="AN28" i="43" a="1"/>
  <c r="AN28" i="43" s="1"/>
  <c r="BA7" i="43" s="1"/>
  <c r="AJ28" i="43" a="1"/>
  <c r="AJ28" i="43" s="1"/>
  <c r="AD28" i="43" a="1"/>
  <c r="AD28" i="43" s="1"/>
  <c r="AA29" i="43"/>
  <c r="AK28" i="43" a="1"/>
  <c r="AK28" i="43" s="1"/>
  <c r="AI28" i="43" a="1"/>
  <c r="AI28" i="43" s="1"/>
  <c r="AE28" i="43" a="1"/>
  <c r="AE28" i="43" s="1"/>
  <c r="AA66" i="43"/>
  <c r="AL65" i="43" a="1"/>
  <c r="AL65" i="43" s="1"/>
  <c r="AG65" i="43" a="1"/>
  <c r="AG65" i="43" s="1"/>
  <c r="AD65" i="43" a="1"/>
  <c r="AD65" i="43" s="1"/>
  <c r="AN65" i="43" a="1"/>
  <c r="AN65" i="43" s="1"/>
  <c r="AI65" i="43" a="1"/>
  <c r="AI65" i="43" s="1"/>
  <c r="AF65" i="43" a="1"/>
  <c r="AF65" i="43" s="1"/>
  <c r="AK65" i="43" a="1"/>
  <c r="AK65" i="43" s="1"/>
  <c r="AH65" i="43" a="1"/>
  <c r="AH65" i="43" s="1"/>
  <c r="AC65" i="43" a="1"/>
  <c r="AC65" i="43" s="1"/>
  <c r="AR10" i="43" s="1"/>
  <c r="AM65" i="43" a="1"/>
  <c r="AM65" i="43" s="1"/>
  <c r="AS10" i="43" s="1"/>
  <c r="AJ65" i="43" a="1"/>
  <c r="AJ65" i="43" s="1"/>
  <c r="AT10" i="43" s="1"/>
  <c r="AE65" i="43" a="1"/>
  <c r="AE65" i="43" s="1"/>
  <c r="AV16" i="43"/>
  <c r="BA16" i="43"/>
  <c r="AA114" i="43"/>
  <c r="AL113" i="43" a="1"/>
  <c r="AL113" i="43" s="1"/>
  <c r="AG113" i="43" a="1"/>
  <c r="AG113" i="43" s="1"/>
  <c r="AD113" i="43" a="1"/>
  <c r="AD113" i="43" s="1"/>
  <c r="AN113" i="43" a="1"/>
  <c r="AN113" i="43" s="1"/>
  <c r="AI113" i="43" a="1"/>
  <c r="AI113" i="43" s="1"/>
  <c r="AF113" i="43" a="1"/>
  <c r="AF113" i="43" s="1"/>
  <c r="AK113" i="43" a="1"/>
  <c r="AK113" i="43" s="1"/>
  <c r="AH113" i="43" a="1"/>
  <c r="AH113" i="43" s="1"/>
  <c r="AC113" i="43" a="1"/>
  <c r="AC113" i="43" s="1"/>
  <c r="AM113" i="43" a="1"/>
  <c r="AM113" i="43" s="1"/>
  <c r="AJ113" i="43" a="1"/>
  <c r="AJ113" i="43" s="1"/>
  <c r="AE113" i="43" a="1"/>
  <c r="AE113" i="43" s="1"/>
  <c r="AM89" i="43" a="1"/>
  <c r="AM89" i="43" s="1"/>
  <c r="AJ89" i="43" a="1"/>
  <c r="AJ89" i="43" s="1"/>
  <c r="AE89" i="43" a="1"/>
  <c r="AE89" i="43" s="1"/>
  <c r="AA90" i="43"/>
  <c r="AL89" i="43" a="1"/>
  <c r="AL89" i="43" s="1"/>
  <c r="AG89" i="43" a="1"/>
  <c r="AG89" i="43" s="1"/>
  <c r="AD89" i="43" a="1"/>
  <c r="AD89" i="43" s="1"/>
  <c r="AN89" i="43" a="1"/>
  <c r="AN89" i="43" s="1"/>
  <c r="AI89" i="43" a="1"/>
  <c r="AI89" i="43" s="1"/>
  <c r="AF89" i="43" a="1"/>
  <c r="AF89" i="43" s="1"/>
  <c r="AK89" i="43" a="1"/>
  <c r="AK89" i="43" s="1"/>
  <c r="AH89" i="43" a="1"/>
  <c r="AH89" i="43" s="1"/>
  <c r="AC89" i="43" a="1"/>
  <c r="AC89" i="43" s="1"/>
  <c r="AY16" i="43"/>
  <c r="AM137" i="43" a="1"/>
  <c r="AM137" i="43" s="1"/>
  <c r="AJ137" i="43" a="1"/>
  <c r="AJ137" i="43" s="1"/>
  <c r="AE137" i="43" a="1"/>
  <c r="AE137" i="43" s="1"/>
  <c r="AA138" i="43"/>
  <c r="AL137" i="43" a="1"/>
  <c r="AL137" i="43" s="1"/>
  <c r="AG137" i="43" a="1"/>
  <c r="AG137" i="43" s="1"/>
  <c r="AD137" i="43" a="1"/>
  <c r="AD137" i="43" s="1"/>
  <c r="AN137" i="43" a="1"/>
  <c r="AN137" i="43" s="1"/>
  <c r="AI137" i="43" a="1"/>
  <c r="AI137" i="43" s="1"/>
  <c r="AF137" i="43" a="1"/>
  <c r="AF137" i="43" s="1"/>
  <c r="AK137" i="43" a="1"/>
  <c r="AK137" i="43" s="1"/>
  <c r="AH137" i="43" a="1"/>
  <c r="AH137" i="43" s="1"/>
  <c r="AC137" i="43" a="1"/>
  <c r="AC137" i="43" s="1"/>
  <c r="AQ10" i="43" l="1"/>
  <c r="AN17" i="43" a="1"/>
  <c r="AN17" i="43" s="1"/>
  <c r="AJ17" i="43" a="1"/>
  <c r="AJ17" i="43" s="1"/>
  <c r="AC17" i="43" a="1"/>
  <c r="AC17" i="43" s="1"/>
  <c r="AK17" i="43" a="1"/>
  <c r="AK17" i="43" s="1"/>
  <c r="AH17" i="43" a="1"/>
  <c r="AH17" i="43" s="1"/>
  <c r="AD17" i="43" a="1"/>
  <c r="AD17" i="43" s="1"/>
  <c r="AV6" i="43" s="1"/>
  <c r="AG17" i="43" a="1"/>
  <c r="AG17" i="43" s="1"/>
  <c r="AF17" i="43" a="1"/>
  <c r="AF17" i="43" s="1"/>
  <c r="AM17" i="43" a="1"/>
  <c r="AM17" i="43" s="1"/>
  <c r="AE17" i="43" a="1"/>
  <c r="AE17" i="43" s="1"/>
  <c r="AL17" i="43" a="1"/>
  <c r="AL17" i="43" s="1"/>
  <c r="AZ6" i="43" s="1"/>
  <c r="AI17" i="43" a="1"/>
  <c r="AI17" i="43" s="1"/>
  <c r="AM138" i="43" a="1"/>
  <c r="AM138" i="43" s="1"/>
  <c r="AH138" i="43" a="1"/>
  <c r="AH138" i="43" s="1"/>
  <c r="AE138" i="43" a="1"/>
  <c r="AE138" i="43" s="1"/>
  <c r="AA139" i="43"/>
  <c r="AJ138" i="43" a="1"/>
  <c r="AJ138" i="43" s="1"/>
  <c r="AG138" i="43" a="1"/>
  <c r="AG138" i="43" s="1"/>
  <c r="AL138" i="43" a="1"/>
  <c r="AL138" i="43" s="1"/>
  <c r="AI138" i="43" a="1"/>
  <c r="AI138" i="43" s="1"/>
  <c r="AD138" i="43" a="1"/>
  <c r="AD138" i="43" s="1"/>
  <c r="AN138" i="43" a="1"/>
  <c r="AN138" i="43" s="1"/>
  <c r="AK138" i="43" a="1"/>
  <c r="AK138" i="43" s="1"/>
  <c r="AF138" i="43" a="1"/>
  <c r="AF138" i="43" s="1"/>
  <c r="AC138" i="43" a="1"/>
  <c r="AC138" i="43" s="1"/>
  <c r="AX7" i="43"/>
  <c r="AY17" i="43"/>
  <c r="AK150" i="43" a="1"/>
  <c r="AK150" i="43" s="1"/>
  <c r="AH150" i="43" a="1"/>
  <c r="AH150" i="43" s="1"/>
  <c r="AC150" i="43" a="1"/>
  <c r="AC150" i="43" s="1"/>
  <c r="AM150" i="43" a="1"/>
  <c r="AM150" i="43" s="1"/>
  <c r="AJ150" i="43" a="1"/>
  <c r="AJ150" i="43" s="1"/>
  <c r="AE150" i="43" a="1"/>
  <c r="AE150" i="43" s="1"/>
  <c r="AA151" i="43"/>
  <c r="AL150" i="43" a="1"/>
  <c r="AL150" i="43" s="1"/>
  <c r="AG150" i="43" a="1"/>
  <c r="AG150" i="43" s="1"/>
  <c r="AD150" i="43" a="1"/>
  <c r="AD150" i="43" s="1"/>
  <c r="AN150" i="43" a="1"/>
  <c r="AN150" i="43" s="1"/>
  <c r="AI150" i="43" a="1"/>
  <c r="AI150" i="43" s="1"/>
  <c r="AF150" i="43" a="1"/>
  <c r="AF150" i="43" s="1"/>
  <c r="AV17" i="43"/>
  <c r="AL162" i="43" a="1"/>
  <c r="AL162" i="43" s="1"/>
  <c r="AI162" i="43" a="1"/>
  <c r="AI162" i="43" s="1"/>
  <c r="AD162" i="43" a="1"/>
  <c r="AD162" i="43" s="1"/>
  <c r="AN162" i="43" a="1"/>
  <c r="AN162" i="43" s="1"/>
  <c r="AK162" i="43" a="1"/>
  <c r="AK162" i="43" s="1"/>
  <c r="AZ18" i="43" s="1"/>
  <c r="AF162" i="43" a="1"/>
  <c r="AF162" i="43" s="1"/>
  <c r="AC162" i="43" a="1"/>
  <c r="AC162" i="43" s="1"/>
  <c r="AM162" i="43" a="1"/>
  <c r="AM162" i="43" s="1"/>
  <c r="AH162" i="43" a="1"/>
  <c r="AH162" i="43" s="1"/>
  <c r="AE162" i="43" a="1"/>
  <c r="AE162" i="43" s="1"/>
  <c r="AW18" i="43" s="1"/>
  <c r="AA163" i="43"/>
  <c r="AJ162" i="43" a="1"/>
  <c r="AJ162" i="43" s="1"/>
  <c r="AG162" i="43" a="1"/>
  <c r="AG162" i="43" s="1"/>
  <c r="AP18" i="43"/>
  <c r="AA55" i="43"/>
  <c r="AJ54" i="43" a="1"/>
  <c r="AJ54" i="43" s="1"/>
  <c r="AG54" i="43" a="1"/>
  <c r="AG54" i="43" s="1"/>
  <c r="AL54" i="43" a="1"/>
  <c r="AL54" i="43" s="1"/>
  <c r="AI54" i="43" a="1"/>
  <c r="AI54" i="43" s="1"/>
  <c r="AD54" i="43" a="1"/>
  <c r="AD54" i="43" s="1"/>
  <c r="AN54" i="43" a="1"/>
  <c r="AN54" i="43" s="1"/>
  <c r="AK54" i="43" a="1"/>
  <c r="AK54" i="43" s="1"/>
  <c r="AF54" i="43" a="1"/>
  <c r="AF54" i="43" s="1"/>
  <c r="AC54" i="43" a="1"/>
  <c r="AC54" i="43" s="1"/>
  <c r="AM54" i="43" a="1"/>
  <c r="AM54" i="43" s="1"/>
  <c r="AH54" i="43" a="1"/>
  <c r="AH54" i="43" s="1"/>
  <c r="AX9" i="43" s="1"/>
  <c r="AE54" i="43" a="1"/>
  <c r="AE54" i="43" s="1"/>
  <c r="AX8" i="43"/>
  <c r="AA175" i="43"/>
  <c r="Y188" i="43"/>
  <c r="AM90" i="43" a="1"/>
  <c r="AM90" i="43" s="1"/>
  <c r="AH90" i="43" a="1"/>
  <c r="AH90" i="43" s="1"/>
  <c r="AE90" i="43" a="1"/>
  <c r="AE90" i="43" s="1"/>
  <c r="AA91" i="43"/>
  <c r="AJ90" i="43" a="1"/>
  <c r="AJ90" i="43" s="1"/>
  <c r="AG90" i="43" a="1"/>
  <c r="AG90" i="43" s="1"/>
  <c r="AL90" i="43" a="1"/>
  <c r="AL90" i="43" s="1"/>
  <c r="AI90" i="43" a="1"/>
  <c r="AI90" i="43" s="1"/>
  <c r="AD90" i="43" a="1"/>
  <c r="AD90" i="43" s="1"/>
  <c r="AN90" i="43" a="1"/>
  <c r="AN90" i="43" s="1"/>
  <c r="AK90" i="43" a="1"/>
  <c r="AK90" i="43" s="1"/>
  <c r="AF90" i="43" a="1"/>
  <c r="AF90" i="43" s="1"/>
  <c r="AC90" i="43" a="1"/>
  <c r="AC90" i="43" s="1"/>
  <c r="AA115" i="43"/>
  <c r="AJ114" i="43" a="1"/>
  <c r="AJ114" i="43" s="1"/>
  <c r="AG114" i="43" a="1"/>
  <c r="AG114" i="43" s="1"/>
  <c r="AL114" i="43" a="1"/>
  <c r="AL114" i="43" s="1"/>
  <c r="AI114" i="43" a="1"/>
  <c r="AI114" i="43" s="1"/>
  <c r="AD114" i="43" a="1"/>
  <c r="AD114" i="43" s="1"/>
  <c r="AN114" i="43" a="1"/>
  <c r="AN114" i="43" s="1"/>
  <c r="AK114" i="43" a="1"/>
  <c r="AK114" i="43" s="1"/>
  <c r="AF114" i="43" a="1"/>
  <c r="AF114" i="43" s="1"/>
  <c r="AC114" i="43" a="1"/>
  <c r="AC114" i="43" s="1"/>
  <c r="AM114" i="43" a="1"/>
  <c r="AM114" i="43" s="1"/>
  <c r="AH114" i="43" a="1"/>
  <c r="AH114" i="43" s="1"/>
  <c r="AE114" i="43" a="1"/>
  <c r="AE114" i="43" s="1"/>
  <c r="AX17" i="43"/>
  <c r="BA8" i="43"/>
  <c r="AA103" i="43"/>
  <c r="AL102" i="43" a="1"/>
  <c r="AL102" i="43" s="1"/>
  <c r="AG102" i="43" a="1"/>
  <c r="AG102" i="43" s="1"/>
  <c r="AD102" i="43" a="1"/>
  <c r="AD102" i="43" s="1"/>
  <c r="AN102" i="43" a="1"/>
  <c r="AN102" i="43" s="1"/>
  <c r="AI102" i="43" a="1"/>
  <c r="AI102" i="43" s="1"/>
  <c r="AF102" i="43" a="1"/>
  <c r="AF102" i="43" s="1"/>
  <c r="AK102" i="43" a="1"/>
  <c r="AK102" i="43" s="1"/>
  <c r="AH102" i="43" a="1"/>
  <c r="AH102" i="43" s="1"/>
  <c r="AC102" i="43" a="1"/>
  <c r="AC102" i="43" s="1"/>
  <c r="AE102" i="43" a="1"/>
  <c r="AE102" i="43" s="1"/>
  <c r="AM102" i="43" a="1"/>
  <c r="AM102" i="43" s="1"/>
  <c r="AJ102" i="43" a="1"/>
  <c r="AJ102" i="43" s="1"/>
  <c r="AA67" i="43"/>
  <c r="AJ66" i="43" a="1"/>
  <c r="AJ66" i="43" s="1"/>
  <c r="AG66" i="43" a="1"/>
  <c r="AG66" i="43" s="1"/>
  <c r="AL66" i="43" a="1"/>
  <c r="AL66" i="43" s="1"/>
  <c r="AI66" i="43" a="1"/>
  <c r="AI66" i="43" s="1"/>
  <c r="AD66" i="43" a="1"/>
  <c r="AD66" i="43" s="1"/>
  <c r="AN66" i="43" a="1"/>
  <c r="AN66" i="43" s="1"/>
  <c r="AK66" i="43" a="1"/>
  <c r="AK66" i="43" s="1"/>
  <c r="AF66" i="43" a="1"/>
  <c r="AF66" i="43" s="1"/>
  <c r="AC66" i="43" a="1"/>
  <c r="AC66" i="43" s="1"/>
  <c r="AM66" i="43" a="1"/>
  <c r="AM66" i="43" s="1"/>
  <c r="AH66" i="43" a="1"/>
  <c r="AH66" i="43" s="1"/>
  <c r="AE66" i="43" a="1"/>
  <c r="AE66" i="43" s="1"/>
  <c r="AN29" i="43" a="1"/>
  <c r="AN29" i="43" s="1"/>
  <c r="AH29" i="43" a="1"/>
  <c r="AH29" i="43" s="1"/>
  <c r="AD29" i="43" a="1"/>
  <c r="AD29" i="43" s="1"/>
  <c r="AK29" i="43" a="1"/>
  <c r="AK29" i="43" s="1"/>
  <c r="AG29" i="43" a="1"/>
  <c r="AG29" i="43" s="1"/>
  <c r="AC29" i="43" a="1"/>
  <c r="AC29" i="43" s="1"/>
  <c r="AA30" i="43"/>
  <c r="AM29" i="43" a="1"/>
  <c r="AM29" i="43" s="1"/>
  <c r="AI29" i="43" a="1"/>
  <c r="AI29" i="43" s="1"/>
  <c r="AE29" i="43" a="1"/>
  <c r="AE29" i="43" s="1"/>
  <c r="AL29" i="43" a="1"/>
  <c r="AL29" i="43" s="1"/>
  <c r="AJ29" i="43" a="1"/>
  <c r="AJ29" i="43" s="1"/>
  <c r="AF29" i="43" a="1"/>
  <c r="AF29" i="43" s="1"/>
  <c r="BA17" i="43"/>
  <c r="AN42" i="43" a="1"/>
  <c r="AN42" i="43" s="1"/>
  <c r="AI42" i="43" a="1"/>
  <c r="AI42" i="43" s="1"/>
  <c r="AF42" i="43" a="1"/>
  <c r="AF42" i="43" s="1"/>
  <c r="AK42" i="43" a="1"/>
  <c r="AK42" i="43" s="1"/>
  <c r="AH42" i="43" a="1"/>
  <c r="AH42" i="43" s="1"/>
  <c r="AC42" i="43" a="1"/>
  <c r="AC42" i="43" s="1"/>
  <c r="AM42" i="43" a="1"/>
  <c r="AM42" i="43" s="1"/>
  <c r="AJ42" i="43" a="1"/>
  <c r="AJ42" i="43" s="1"/>
  <c r="AE42" i="43" a="1"/>
  <c r="AE42" i="43" s="1"/>
  <c r="AA43" i="43"/>
  <c r="AL42" i="43" a="1"/>
  <c r="AL42" i="43" s="1"/>
  <c r="AG42" i="43" a="1"/>
  <c r="AG42" i="43" s="1"/>
  <c r="AD42" i="43" a="1"/>
  <c r="AD42" i="43" s="1"/>
  <c r="AM126" i="43" a="1"/>
  <c r="AM126" i="43" s="1"/>
  <c r="AJ126" i="43" a="1"/>
  <c r="AJ126" i="43" s="1"/>
  <c r="AE126" i="43" a="1"/>
  <c r="AE126" i="43" s="1"/>
  <c r="AA127" i="43"/>
  <c r="AL126" i="43" a="1"/>
  <c r="AL126" i="43" s="1"/>
  <c r="AG126" i="43" a="1"/>
  <c r="AG126" i="43" s="1"/>
  <c r="AD126" i="43" a="1"/>
  <c r="AD126" i="43" s="1"/>
  <c r="AN126" i="43" a="1"/>
  <c r="AN126" i="43" s="1"/>
  <c r="AI126" i="43" a="1"/>
  <c r="AI126" i="43" s="1"/>
  <c r="AF126" i="43" a="1"/>
  <c r="AF126" i="43" s="1"/>
  <c r="AK126" i="43" a="1"/>
  <c r="AK126" i="43" s="1"/>
  <c r="AH126" i="43" a="1"/>
  <c r="AH126" i="43" s="1"/>
  <c r="AC126" i="43" a="1"/>
  <c r="AC126" i="43" s="1"/>
  <c r="AM78" i="43" a="1"/>
  <c r="AM78" i="43" s="1"/>
  <c r="AJ78" i="43" a="1"/>
  <c r="AJ78" i="43" s="1"/>
  <c r="AE78" i="43" a="1"/>
  <c r="AE78" i="43" s="1"/>
  <c r="AA79" i="43"/>
  <c r="AL78" i="43" a="1"/>
  <c r="AL78" i="43" s="1"/>
  <c r="AG78" i="43" a="1"/>
  <c r="AG78" i="43" s="1"/>
  <c r="AQ11" i="43" s="1"/>
  <c r="AD78" i="43" a="1"/>
  <c r="AD78" i="43" s="1"/>
  <c r="AN78" i="43" a="1"/>
  <c r="AN78" i="43" s="1"/>
  <c r="AI78" i="43" a="1"/>
  <c r="AI78" i="43" s="1"/>
  <c r="AF78" i="43" a="1"/>
  <c r="AF78" i="43" s="1"/>
  <c r="AK78" i="43" a="1"/>
  <c r="AK78" i="43" s="1"/>
  <c r="AH78" i="43" a="1"/>
  <c r="AH78" i="43" s="1"/>
  <c r="AC78" i="43" a="1"/>
  <c r="AC78" i="43" s="1"/>
  <c r="AR11" i="43" s="1"/>
  <c r="AT11" i="43" l="1"/>
  <c r="AS11" i="43"/>
  <c r="BA9" i="43"/>
  <c r="AW6" i="43"/>
  <c r="AM67" i="43" a="1"/>
  <c r="AM67" i="43" s="1"/>
  <c r="AJ67" i="43" a="1"/>
  <c r="AJ67" i="43" s="1"/>
  <c r="AE67" i="43" a="1"/>
  <c r="AE67" i="43" s="1"/>
  <c r="AA68" i="43"/>
  <c r="AL67" i="43" a="1"/>
  <c r="AL67" i="43" s="1"/>
  <c r="AG67" i="43" a="1"/>
  <c r="AG67" i="43" s="1"/>
  <c r="AD67" i="43" a="1"/>
  <c r="AD67" i="43" s="1"/>
  <c r="AN67" i="43" a="1"/>
  <c r="AN67" i="43" s="1"/>
  <c r="BA10" i="43" s="1"/>
  <c r="AI67" i="43" a="1"/>
  <c r="AI67" i="43" s="1"/>
  <c r="AF67" i="43" a="1"/>
  <c r="AF67" i="43" s="1"/>
  <c r="AK67" i="43" a="1"/>
  <c r="AK67" i="43" s="1"/>
  <c r="AH67" i="43" a="1"/>
  <c r="AH67" i="43" s="1"/>
  <c r="AC67" i="43" a="1"/>
  <c r="AC67" i="43" s="1"/>
  <c r="AK175" i="43" a="1"/>
  <c r="AK175" i="43" s="1"/>
  <c r="AZ19" i="43" s="1"/>
  <c r="AM175" i="43" a="1"/>
  <c r="AM175" i="43" s="1"/>
  <c r="AJ175" i="43" a="1"/>
  <c r="AJ175" i="43" s="1"/>
  <c r="AE175" i="43" a="1"/>
  <c r="AE175" i="43" s="1"/>
  <c r="AW19" i="43" s="1"/>
  <c r="AA176" i="43"/>
  <c r="AL175" i="43" a="1"/>
  <c r="AL175" i="43" s="1"/>
  <c r="AG175" i="43" a="1"/>
  <c r="AG175" i="43" s="1"/>
  <c r="AD175" i="43" a="1"/>
  <c r="AD175" i="43" s="1"/>
  <c r="AN175" i="43" a="1"/>
  <c r="AN175" i="43" s="1"/>
  <c r="AI175" i="43" a="1"/>
  <c r="AI175" i="43" s="1"/>
  <c r="AF175" i="43" a="1"/>
  <c r="AF175" i="43" s="1"/>
  <c r="AC175" i="43" a="1"/>
  <c r="AC175" i="43" s="1"/>
  <c r="AH175" i="43" a="1"/>
  <c r="AH175" i="43" s="1"/>
  <c r="AP19" i="43"/>
  <c r="AX18" i="43"/>
  <c r="AK139" i="43" a="1"/>
  <c r="AK139" i="43" s="1"/>
  <c r="AH139" i="43" a="1"/>
  <c r="AH139" i="43" s="1"/>
  <c r="AC139" i="43" a="1"/>
  <c r="AC139" i="43" s="1"/>
  <c r="AM139" i="43" a="1"/>
  <c r="AM139" i="43" s="1"/>
  <c r="AJ139" i="43" a="1"/>
  <c r="AJ139" i="43" s="1"/>
  <c r="AE139" i="43" a="1"/>
  <c r="AE139" i="43" s="1"/>
  <c r="AA140" i="43"/>
  <c r="AL139" i="43" a="1"/>
  <c r="AL139" i="43" s="1"/>
  <c r="AG139" i="43" a="1"/>
  <c r="AG139" i="43" s="1"/>
  <c r="AD139" i="43" a="1"/>
  <c r="AD139" i="43" s="1"/>
  <c r="AN139" i="43" a="1"/>
  <c r="AN139" i="43" s="1"/>
  <c r="AI139" i="43" a="1"/>
  <c r="AI139" i="43" s="1"/>
  <c r="AF139" i="43" a="1"/>
  <c r="AF139" i="43" s="1"/>
  <c r="AM127" i="43" a="1"/>
  <c r="AM127" i="43" s="1"/>
  <c r="AH127" i="43" a="1"/>
  <c r="AH127" i="43" s="1"/>
  <c r="AE127" i="43" a="1"/>
  <c r="AE127" i="43" s="1"/>
  <c r="AA128" i="43"/>
  <c r="AJ127" i="43" a="1"/>
  <c r="AJ127" i="43" s="1"/>
  <c r="AG127" i="43" a="1"/>
  <c r="AG127" i="43" s="1"/>
  <c r="AL127" i="43" a="1"/>
  <c r="AL127" i="43" s="1"/>
  <c r="AI127" i="43" a="1"/>
  <c r="AI127" i="43" s="1"/>
  <c r="AD127" i="43" a="1"/>
  <c r="AD127" i="43" s="1"/>
  <c r="AN127" i="43" a="1"/>
  <c r="AN127" i="43" s="1"/>
  <c r="AK127" i="43" a="1"/>
  <c r="AK127" i="43" s="1"/>
  <c r="AF127" i="43" a="1"/>
  <c r="AF127" i="43" s="1"/>
  <c r="AC127" i="43" a="1"/>
  <c r="AC127" i="43" s="1"/>
  <c r="AM30" i="43" a="1"/>
  <c r="AM30" i="43" s="1"/>
  <c r="AH30" i="43" a="1"/>
  <c r="AH30" i="43" s="1"/>
  <c r="AE30" i="43" a="1"/>
  <c r="AE30" i="43" s="1"/>
  <c r="AJ30" i="43" a="1"/>
  <c r="AJ30" i="43" s="1"/>
  <c r="AY7" i="43" s="1"/>
  <c r="AG30" i="43" a="1"/>
  <c r="AG30" i="43" s="1"/>
  <c r="AL30" i="43" a="1"/>
  <c r="AL30" i="43" s="1"/>
  <c r="AI30" i="43" a="1"/>
  <c r="AI30" i="43" s="1"/>
  <c r="AD30" i="43" a="1"/>
  <c r="AD30" i="43" s="1"/>
  <c r="AN30" i="43" a="1"/>
  <c r="AN30" i="43" s="1"/>
  <c r="AK30" i="43" a="1"/>
  <c r="AK30" i="43" s="1"/>
  <c r="AF30" i="43" a="1"/>
  <c r="AF30" i="43" s="1"/>
  <c r="AW7" i="43" s="1"/>
  <c r="AC30" i="43" a="1"/>
  <c r="AC30" i="43" s="1"/>
  <c r="AA104" i="43"/>
  <c r="AJ103" i="43" a="1"/>
  <c r="AJ103" i="43" s="1"/>
  <c r="AG103" i="43" a="1"/>
  <c r="AG103" i="43" s="1"/>
  <c r="AL103" i="43" a="1"/>
  <c r="AL103" i="43" s="1"/>
  <c r="AI103" i="43" a="1"/>
  <c r="AI103" i="43" s="1"/>
  <c r="AD103" i="43" a="1"/>
  <c r="AD103" i="43" s="1"/>
  <c r="AN103" i="43" a="1"/>
  <c r="AN103" i="43" s="1"/>
  <c r="AK103" i="43" a="1"/>
  <c r="AK103" i="43" s="1"/>
  <c r="AF103" i="43" a="1"/>
  <c r="AF103" i="43" s="1"/>
  <c r="AC103" i="43" a="1"/>
  <c r="AC103" i="43" s="1"/>
  <c r="AE103" i="43" a="1"/>
  <c r="AE103" i="43" s="1"/>
  <c r="AM103" i="43" a="1"/>
  <c r="AM103" i="43" s="1"/>
  <c r="AH103" i="43" a="1"/>
  <c r="AH103" i="43" s="1"/>
  <c r="AM115" i="43" a="1"/>
  <c r="AM115" i="43" s="1"/>
  <c r="AJ115" i="43" a="1"/>
  <c r="AJ115" i="43" s="1"/>
  <c r="AE115" i="43" a="1"/>
  <c r="AE115" i="43" s="1"/>
  <c r="AA116" i="43"/>
  <c r="AL115" i="43" a="1"/>
  <c r="AL115" i="43" s="1"/>
  <c r="AG115" i="43" a="1"/>
  <c r="AG115" i="43" s="1"/>
  <c r="AD115" i="43" a="1"/>
  <c r="AD115" i="43" s="1"/>
  <c r="AN115" i="43" a="1"/>
  <c r="AN115" i="43" s="1"/>
  <c r="AI115" i="43" a="1"/>
  <c r="AI115" i="43" s="1"/>
  <c r="AF115" i="43" a="1"/>
  <c r="AF115" i="43" s="1"/>
  <c r="AK115" i="43" a="1"/>
  <c r="AK115" i="43" s="1"/>
  <c r="AH115" i="43" a="1"/>
  <c r="AH115" i="43" s="1"/>
  <c r="AC115" i="43" a="1"/>
  <c r="AC115" i="43" s="1"/>
  <c r="BA18" i="43"/>
  <c r="AN151" i="43" a="1"/>
  <c r="AN151" i="43" s="1"/>
  <c r="AK151" i="43" a="1"/>
  <c r="AK151" i="43" s="1"/>
  <c r="AF151" i="43" a="1"/>
  <c r="AF151" i="43" s="1"/>
  <c r="AC151" i="43" a="1"/>
  <c r="AC151" i="43" s="1"/>
  <c r="AM151" i="43" a="1"/>
  <c r="AM151" i="43" s="1"/>
  <c r="AH151" i="43" a="1"/>
  <c r="AH151" i="43" s="1"/>
  <c r="AE151" i="43" a="1"/>
  <c r="AE151" i="43" s="1"/>
  <c r="AA152" i="43"/>
  <c r="AJ151" i="43" a="1"/>
  <c r="AJ151" i="43" s="1"/>
  <c r="AG151" i="43" a="1"/>
  <c r="AG151" i="43" s="1"/>
  <c r="AL151" i="43" a="1"/>
  <c r="AL151" i="43" s="1"/>
  <c r="AI151" i="43" a="1"/>
  <c r="AI151" i="43" s="1"/>
  <c r="AD151" i="43" a="1"/>
  <c r="AD151" i="43" s="1"/>
  <c r="AM55" i="43" a="1"/>
  <c r="AM55" i="43" s="1"/>
  <c r="AN55" i="43" a="1"/>
  <c r="AN55" i="43" s="1"/>
  <c r="AJ55" i="43" a="1"/>
  <c r="AJ55" i="43" s="1"/>
  <c r="AE55" i="43" a="1"/>
  <c r="AE55" i="43" s="1"/>
  <c r="AG55" i="43" a="1"/>
  <c r="AG55" i="43" s="1"/>
  <c r="AD55" i="43" a="1"/>
  <c r="AD55" i="43" s="1"/>
  <c r="AA56" i="43"/>
  <c r="AL55" i="43" a="1"/>
  <c r="AL55" i="43" s="1"/>
  <c r="AI55" i="43" a="1"/>
  <c r="AI55" i="43" s="1"/>
  <c r="AF55" i="43" a="1"/>
  <c r="AF55" i="43" s="1"/>
  <c r="AK55" i="43" a="1"/>
  <c r="AK55" i="43" s="1"/>
  <c r="AH55" i="43" a="1"/>
  <c r="AH55" i="43" s="1"/>
  <c r="AC55" i="43" a="1"/>
  <c r="AC55" i="43" s="1"/>
  <c r="AN163" i="43" a="1"/>
  <c r="AN163" i="43" s="1"/>
  <c r="AI163" i="43" a="1"/>
  <c r="AI163" i="43" s="1"/>
  <c r="AF163" i="43" a="1"/>
  <c r="AF163" i="43" s="1"/>
  <c r="AK163" i="43" a="1"/>
  <c r="AK163" i="43" s="1"/>
  <c r="AH163" i="43" a="1"/>
  <c r="AH163" i="43" s="1"/>
  <c r="AC163" i="43" a="1"/>
  <c r="AC163" i="43" s="1"/>
  <c r="AM163" i="43" a="1"/>
  <c r="AM163" i="43" s="1"/>
  <c r="AJ163" i="43" a="1"/>
  <c r="AJ163" i="43" s="1"/>
  <c r="AE163" i="43" a="1"/>
  <c r="AE163" i="43" s="1"/>
  <c r="AA164" i="43"/>
  <c r="AL163" i="43" a="1"/>
  <c r="AL163" i="43" s="1"/>
  <c r="AG163" i="43" a="1"/>
  <c r="AG163" i="43" s="1"/>
  <c r="AD163" i="43" a="1"/>
  <c r="AD163" i="43" s="1"/>
  <c r="AV18" i="43"/>
  <c r="AM79" i="43" a="1"/>
  <c r="AM79" i="43" s="1"/>
  <c r="AH79" i="43" a="1"/>
  <c r="AH79" i="43" s="1"/>
  <c r="AE79" i="43" a="1"/>
  <c r="AE79" i="43" s="1"/>
  <c r="AA80" i="43"/>
  <c r="AJ79" i="43" a="1"/>
  <c r="AJ79" i="43" s="1"/>
  <c r="AG79" i="43" a="1"/>
  <c r="AG79" i="43" s="1"/>
  <c r="AL79" i="43" a="1"/>
  <c r="AL79" i="43" s="1"/>
  <c r="AI79" i="43" a="1"/>
  <c r="AI79" i="43" s="1"/>
  <c r="AD79" i="43" a="1"/>
  <c r="AD79" i="43" s="1"/>
  <c r="AN79" i="43" a="1"/>
  <c r="AN79" i="43" s="1"/>
  <c r="AK79" i="43" a="1"/>
  <c r="AK79" i="43" s="1"/>
  <c r="AF79" i="43" a="1"/>
  <c r="AF79" i="43" s="1"/>
  <c r="AC79" i="43" a="1"/>
  <c r="AC79" i="43" s="1"/>
  <c r="AL43" i="43" a="1"/>
  <c r="AL43" i="43" s="1"/>
  <c r="AI43" i="43" a="1"/>
  <c r="AI43" i="43" s="1"/>
  <c r="AD43" i="43" a="1"/>
  <c r="AD43" i="43" s="1"/>
  <c r="AN43" i="43" a="1"/>
  <c r="AN43" i="43" s="1"/>
  <c r="AK43" i="43" a="1"/>
  <c r="AK43" i="43" s="1"/>
  <c r="AF43" i="43" a="1"/>
  <c r="AF43" i="43" s="1"/>
  <c r="AC43" i="43" a="1"/>
  <c r="AC43" i="43" s="1"/>
  <c r="AM43" i="43" a="1"/>
  <c r="AM43" i="43" s="1"/>
  <c r="AH43" i="43" a="1"/>
  <c r="AH43" i="43" s="1"/>
  <c r="AE43" i="43" a="1"/>
  <c r="AE43" i="43" s="1"/>
  <c r="AJ43" i="43" a="1"/>
  <c r="AJ43" i="43" s="1"/>
  <c r="AG43" i="43" a="1"/>
  <c r="AG43" i="43" s="1"/>
  <c r="AK91" i="43" a="1"/>
  <c r="AK91" i="43" s="1"/>
  <c r="AH91" i="43" a="1"/>
  <c r="AH91" i="43" s="1"/>
  <c r="AC91" i="43" a="1"/>
  <c r="AC91" i="43" s="1"/>
  <c r="AM91" i="43" a="1"/>
  <c r="AM91" i="43" s="1"/>
  <c r="AJ91" i="43" a="1"/>
  <c r="AJ91" i="43" s="1"/>
  <c r="AT12" i="43" s="1"/>
  <c r="AE91" i="43" a="1"/>
  <c r="AE91" i="43" s="1"/>
  <c r="AA92" i="43"/>
  <c r="AL91" i="43" a="1"/>
  <c r="AL91" i="43" s="1"/>
  <c r="AG91" i="43" a="1"/>
  <c r="AG91" i="43" s="1"/>
  <c r="AQ12" i="43" s="1"/>
  <c r="AD91" i="43" a="1"/>
  <c r="AD91" i="43" s="1"/>
  <c r="AN91" i="43" a="1"/>
  <c r="AN91" i="43" s="1"/>
  <c r="AI91" i="43" a="1"/>
  <c r="AI91" i="43" s="1"/>
  <c r="AF91" i="43" a="1"/>
  <c r="AF91" i="43" s="1"/>
  <c r="AA188" i="43"/>
  <c r="Y201" i="43"/>
  <c r="AY18" i="43"/>
  <c r="AR12" i="43" l="1"/>
  <c r="AS12" i="43"/>
  <c r="AX10" i="43"/>
  <c r="AA201" i="43"/>
  <c r="Y214" i="43"/>
  <c r="AA93" i="43"/>
  <c r="AJ92" i="43" a="1"/>
  <c r="AJ92" i="43" s="1"/>
  <c r="AG92" i="43" a="1"/>
  <c r="AG92" i="43" s="1"/>
  <c r="AL92" i="43" a="1"/>
  <c r="AL92" i="43" s="1"/>
  <c r="AI92" i="43" a="1"/>
  <c r="AI92" i="43" s="1"/>
  <c r="AN92" i="43" a="1"/>
  <c r="AN92" i="43" s="1"/>
  <c r="AK92" i="43" a="1"/>
  <c r="AK92" i="43" s="1"/>
  <c r="AM92" i="43" a="1"/>
  <c r="AM92" i="43" s="1"/>
  <c r="AC92" i="43" a="1"/>
  <c r="AC92" i="43" s="1"/>
  <c r="AF92" i="43" a="1"/>
  <c r="AF92" i="43" s="1"/>
  <c r="AE92" i="43" a="1"/>
  <c r="AE92" i="43" s="1"/>
  <c r="AH92" i="43" a="1"/>
  <c r="AH92" i="43" s="1"/>
  <c r="AD92" i="43" a="1"/>
  <c r="AD92" i="43" s="1"/>
  <c r="AY8" i="43"/>
  <c r="AV8" i="43"/>
  <c r="AK80" i="43" a="1"/>
  <c r="AK80" i="43" s="1"/>
  <c r="AH80" i="43" a="1"/>
  <c r="AH80" i="43" s="1"/>
  <c r="AC80" i="43" a="1"/>
  <c r="AC80" i="43" s="1"/>
  <c r="AM80" i="43" a="1"/>
  <c r="AM80" i="43" s="1"/>
  <c r="AJ80" i="43" a="1"/>
  <c r="AJ80" i="43" s="1"/>
  <c r="AE80" i="43" a="1"/>
  <c r="AE80" i="43" s="1"/>
  <c r="AA81" i="43"/>
  <c r="AL80" i="43" a="1"/>
  <c r="AL80" i="43" s="1"/>
  <c r="AG80" i="43" a="1"/>
  <c r="AG80" i="43" s="1"/>
  <c r="AD80" i="43" a="1"/>
  <c r="AD80" i="43" s="1"/>
  <c r="AN80" i="43" a="1"/>
  <c r="AN80" i="43" s="1"/>
  <c r="BA11" i="43" s="1"/>
  <c r="AI80" i="43" a="1"/>
  <c r="AI80" i="43" s="1"/>
  <c r="AF80" i="43" a="1"/>
  <c r="AF80" i="43" s="1"/>
  <c r="AM116" i="43" a="1"/>
  <c r="AM116" i="43" s="1"/>
  <c r="AH116" i="43" a="1"/>
  <c r="AH116" i="43" s="1"/>
  <c r="AE116" i="43" a="1"/>
  <c r="AE116" i="43" s="1"/>
  <c r="AA117" i="43"/>
  <c r="AJ116" i="43" a="1"/>
  <c r="AJ116" i="43" s="1"/>
  <c r="AG116" i="43" a="1"/>
  <c r="AG116" i="43" s="1"/>
  <c r="AL116" i="43" a="1"/>
  <c r="AL116" i="43" s="1"/>
  <c r="AI116" i="43" a="1"/>
  <c r="AI116" i="43" s="1"/>
  <c r="AD116" i="43" a="1"/>
  <c r="AD116" i="43" s="1"/>
  <c r="AN116" i="43" a="1"/>
  <c r="AN116" i="43" s="1"/>
  <c r="AK116" i="43" a="1"/>
  <c r="AK116" i="43" s="1"/>
  <c r="AF116" i="43" a="1"/>
  <c r="AF116" i="43" s="1"/>
  <c r="AC116" i="43" a="1"/>
  <c r="AC116" i="43" s="1"/>
  <c r="AM104" i="43" a="1"/>
  <c r="AM104" i="43" s="1"/>
  <c r="AJ104" i="43" a="1"/>
  <c r="AJ104" i="43" s="1"/>
  <c r="AT13" i="43" s="1"/>
  <c r="AE104" i="43" a="1"/>
  <c r="AE104" i="43" s="1"/>
  <c r="AA105" i="43"/>
  <c r="AL104" i="43" a="1"/>
  <c r="AL104" i="43" s="1"/>
  <c r="AG104" i="43" a="1"/>
  <c r="AG104" i="43" s="1"/>
  <c r="AD104" i="43" a="1"/>
  <c r="AD104" i="43" s="1"/>
  <c r="AN104" i="43" a="1"/>
  <c r="AN104" i="43" s="1"/>
  <c r="AI104" i="43" a="1"/>
  <c r="AI104" i="43" s="1"/>
  <c r="AF104" i="43" a="1"/>
  <c r="AF104" i="43" s="1"/>
  <c r="AC104" i="43" a="1"/>
  <c r="AC104" i="43" s="1"/>
  <c r="AK104" i="43" a="1"/>
  <c r="AK104" i="43" s="1"/>
  <c r="AH104" i="43" a="1"/>
  <c r="AH104" i="43" s="1"/>
  <c r="AN140" i="43" a="1"/>
  <c r="AN140" i="43" s="1"/>
  <c r="AK140" i="43" a="1"/>
  <c r="AK140" i="43" s="1"/>
  <c r="AF140" i="43" a="1"/>
  <c r="AF140" i="43" s="1"/>
  <c r="AC140" i="43" a="1"/>
  <c r="AC140" i="43" s="1"/>
  <c r="AM140" i="43" a="1"/>
  <c r="AM140" i="43" s="1"/>
  <c r="AH140" i="43" a="1"/>
  <c r="AH140" i="43" s="1"/>
  <c r="AE140" i="43" a="1"/>
  <c r="AE140" i="43" s="1"/>
  <c r="AA141" i="43"/>
  <c r="AJ140" i="43" a="1"/>
  <c r="AJ140" i="43" s="1"/>
  <c r="AG140" i="43" a="1"/>
  <c r="AG140" i="43" s="1"/>
  <c r="AL140" i="43" a="1"/>
  <c r="AL140" i="43" s="1"/>
  <c r="AI140" i="43" a="1"/>
  <c r="AI140" i="43" s="1"/>
  <c r="AD140" i="43" a="1"/>
  <c r="AD140" i="43" s="1"/>
  <c r="AX19" i="43"/>
  <c r="AM68" i="43" a="1"/>
  <c r="AM68" i="43" s="1"/>
  <c r="AH68" i="43" a="1"/>
  <c r="AH68" i="43" s="1"/>
  <c r="AE68" i="43" a="1"/>
  <c r="AE68" i="43" s="1"/>
  <c r="AA69" i="43"/>
  <c r="AJ68" i="43" a="1"/>
  <c r="AJ68" i="43" s="1"/>
  <c r="AG68" i="43" a="1"/>
  <c r="AG68" i="43" s="1"/>
  <c r="AL68" i="43" a="1"/>
  <c r="AL68" i="43" s="1"/>
  <c r="AI68" i="43" a="1"/>
  <c r="AI68" i="43" s="1"/>
  <c r="AD68" i="43" a="1"/>
  <c r="AD68" i="43" s="1"/>
  <c r="AN68" i="43" a="1"/>
  <c r="AN68" i="43" s="1"/>
  <c r="AK68" i="43" a="1"/>
  <c r="AK68" i="43" s="1"/>
  <c r="AF68" i="43" a="1"/>
  <c r="AF68" i="43" s="1"/>
  <c r="AC68" i="43" a="1"/>
  <c r="AC68" i="43" s="1"/>
  <c r="AA189" i="43"/>
  <c r="AL188" i="43" a="1"/>
  <c r="AL188" i="43" s="1"/>
  <c r="AG188" i="43" a="1"/>
  <c r="AG188" i="43" s="1"/>
  <c r="AD188" i="43" a="1"/>
  <c r="AD188" i="43" s="1"/>
  <c r="AN188" i="43" a="1"/>
  <c r="AN188" i="43" s="1"/>
  <c r="AI188" i="43" a="1"/>
  <c r="AI188" i="43" s="1"/>
  <c r="AF188" i="43" a="1"/>
  <c r="AF188" i="43" s="1"/>
  <c r="AK188" i="43" a="1"/>
  <c r="AK188" i="43" s="1"/>
  <c r="AZ20" i="43" s="1"/>
  <c r="AH188" i="43" a="1"/>
  <c r="AH188" i="43" s="1"/>
  <c r="AC188" i="43" a="1"/>
  <c r="AC188" i="43" s="1"/>
  <c r="AM188" i="43" a="1"/>
  <c r="AM188" i="43" s="1"/>
  <c r="AJ188" i="43" a="1"/>
  <c r="AJ188" i="43" s="1"/>
  <c r="AE188" i="43" a="1"/>
  <c r="AE188" i="43" s="1"/>
  <c r="AW20" i="43" s="1"/>
  <c r="AP20" i="43"/>
  <c r="AW8" i="43"/>
  <c r="AL164" i="43" a="1"/>
  <c r="AL164" i="43" s="1"/>
  <c r="AI164" i="43" a="1"/>
  <c r="AI164" i="43" s="1"/>
  <c r="AD164" i="43" a="1"/>
  <c r="AD164" i="43" s="1"/>
  <c r="AN164" i="43" a="1"/>
  <c r="AN164" i="43" s="1"/>
  <c r="AK164" i="43" a="1"/>
  <c r="AK164" i="43" s="1"/>
  <c r="AF164" i="43" a="1"/>
  <c r="AF164" i="43" s="1"/>
  <c r="AC164" i="43" a="1"/>
  <c r="AC164" i="43" s="1"/>
  <c r="AM164" i="43" a="1"/>
  <c r="AM164" i="43" s="1"/>
  <c r="AH164" i="43" a="1"/>
  <c r="AH164" i="43" s="1"/>
  <c r="AE164" i="43" a="1"/>
  <c r="AE164" i="43" s="1"/>
  <c r="AA165" i="43"/>
  <c r="AJ164" i="43" a="1"/>
  <c r="AJ164" i="43" s="1"/>
  <c r="AG164" i="43" a="1"/>
  <c r="AG164" i="43" s="1"/>
  <c r="AM56" i="43" a="1"/>
  <c r="AM56" i="43" s="1"/>
  <c r="AJ56" i="43" a="1"/>
  <c r="AJ56" i="43" s="1"/>
  <c r="AL56" i="43" a="1"/>
  <c r="AL56" i="43" s="1"/>
  <c r="AG56" i="43" a="1"/>
  <c r="AG56" i="43" s="1"/>
  <c r="AD56" i="43" a="1"/>
  <c r="AD56" i="43" s="1"/>
  <c r="AN56" i="43" a="1"/>
  <c r="AN56" i="43" s="1"/>
  <c r="AI56" i="43" a="1"/>
  <c r="AI56" i="43" s="1"/>
  <c r="AF56" i="43" a="1"/>
  <c r="AF56" i="43" s="1"/>
  <c r="AK56" i="43" a="1"/>
  <c r="AK56" i="43" s="1"/>
  <c r="AH56" i="43" a="1"/>
  <c r="AH56" i="43" s="1"/>
  <c r="AC56" i="43" a="1"/>
  <c r="AC56" i="43" s="1"/>
  <c r="AE56" i="43" a="1"/>
  <c r="AE56" i="43" s="1"/>
  <c r="AN152" i="43" a="1"/>
  <c r="AN152" i="43" s="1"/>
  <c r="AI152" i="43" a="1"/>
  <c r="AI152" i="43" s="1"/>
  <c r="AF152" i="43" a="1"/>
  <c r="AF152" i="43" s="1"/>
  <c r="AK152" i="43" a="1"/>
  <c r="AK152" i="43" s="1"/>
  <c r="AH152" i="43" a="1"/>
  <c r="AH152" i="43" s="1"/>
  <c r="AC152" i="43" a="1"/>
  <c r="AC152" i="43" s="1"/>
  <c r="AM152" i="43" a="1"/>
  <c r="AM152" i="43" s="1"/>
  <c r="AJ152" i="43" a="1"/>
  <c r="AJ152" i="43" s="1"/>
  <c r="AE152" i="43" a="1"/>
  <c r="AE152" i="43" s="1"/>
  <c r="AA153" i="43"/>
  <c r="AL152" i="43" a="1"/>
  <c r="AL152" i="43" s="1"/>
  <c r="AG152" i="43" a="1"/>
  <c r="AG152" i="43" s="1"/>
  <c r="AD152" i="43" a="1"/>
  <c r="AD152" i="43" s="1"/>
  <c r="AV7" i="43"/>
  <c r="AY19" i="43"/>
  <c r="BA19" i="43"/>
  <c r="AZ8" i="43"/>
  <c r="AK128" i="43" a="1"/>
  <c r="AK128" i="43" s="1"/>
  <c r="AH128" i="43" a="1"/>
  <c r="AH128" i="43" s="1"/>
  <c r="AC128" i="43" a="1"/>
  <c r="AC128" i="43" s="1"/>
  <c r="AM128" i="43" a="1"/>
  <c r="AM128" i="43" s="1"/>
  <c r="AJ128" i="43" a="1"/>
  <c r="AJ128" i="43" s="1"/>
  <c r="AE128" i="43" a="1"/>
  <c r="AE128" i="43" s="1"/>
  <c r="AA129" i="43"/>
  <c r="AL128" i="43" a="1"/>
  <c r="AL128" i="43" s="1"/>
  <c r="AG128" i="43" a="1"/>
  <c r="AG128" i="43" s="1"/>
  <c r="AD128" i="43" a="1"/>
  <c r="AD128" i="43" s="1"/>
  <c r="AN128" i="43" a="1"/>
  <c r="AN128" i="43" s="1"/>
  <c r="AI128" i="43" a="1"/>
  <c r="AI128" i="43" s="1"/>
  <c r="AF128" i="43" a="1"/>
  <c r="AF128" i="43" s="1"/>
  <c r="AN176" i="43" a="1"/>
  <c r="AN176" i="43" s="1"/>
  <c r="AK176" i="43" a="1"/>
  <c r="AK176" i="43" s="1"/>
  <c r="AF176" i="43" a="1"/>
  <c r="AF176" i="43" s="1"/>
  <c r="AC176" i="43" a="1"/>
  <c r="AC176" i="43" s="1"/>
  <c r="AM176" i="43" a="1"/>
  <c r="AM176" i="43" s="1"/>
  <c r="AH176" i="43" a="1"/>
  <c r="AH176" i="43" s="1"/>
  <c r="AE176" i="43" a="1"/>
  <c r="AE176" i="43" s="1"/>
  <c r="AA177" i="43"/>
  <c r="AJ176" i="43" a="1"/>
  <c r="AJ176" i="43" s="1"/>
  <c r="AG176" i="43" a="1"/>
  <c r="AG176" i="43" s="1"/>
  <c r="AL176" i="43" a="1"/>
  <c r="AL176" i="43" s="1"/>
  <c r="AI176" i="43" a="1"/>
  <c r="AI176" i="43" s="1"/>
  <c r="AD176" i="43" a="1"/>
  <c r="AD176" i="43" s="1"/>
  <c r="AZ7" i="43"/>
  <c r="AV19" i="43"/>
  <c r="AR13" i="43" l="1"/>
  <c r="AQ13" i="43"/>
  <c r="AS13" i="43"/>
  <c r="AX11" i="43"/>
  <c r="AY9" i="43"/>
  <c r="AV9" i="43"/>
  <c r="AW9" i="43"/>
  <c r="AZ9" i="43"/>
  <c r="AN81" i="43" a="1"/>
  <c r="AN81" i="43" s="1"/>
  <c r="AK81" i="43" a="1"/>
  <c r="AK81" i="43" s="1"/>
  <c r="AF81" i="43" a="1"/>
  <c r="AF81" i="43" s="1"/>
  <c r="AC81" i="43" a="1"/>
  <c r="AC81" i="43" s="1"/>
  <c r="AM81" i="43" a="1"/>
  <c r="AM81" i="43" s="1"/>
  <c r="AH81" i="43" a="1"/>
  <c r="AH81" i="43" s="1"/>
  <c r="AE81" i="43" a="1"/>
  <c r="AE81" i="43" s="1"/>
  <c r="AA82" i="43"/>
  <c r="AJ81" i="43" a="1"/>
  <c r="AJ81" i="43" s="1"/>
  <c r="AG81" i="43" a="1"/>
  <c r="AG81" i="43" s="1"/>
  <c r="AL81" i="43" a="1"/>
  <c r="AL81" i="43" s="1"/>
  <c r="AI81" i="43" a="1"/>
  <c r="AI81" i="43" s="1"/>
  <c r="AD81" i="43" a="1"/>
  <c r="AD81" i="43" s="1"/>
  <c r="BA20" i="43"/>
  <c r="AX20" i="43"/>
  <c r="AK69" i="43" a="1"/>
  <c r="AK69" i="43" s="1"/>
  <c r="AH69" i="43" a="1"/>
  <c r="AH69" i="43" s="1"/>
  <c r="AC69" i="43" a="1"/>
  <c r="AC69" i="43" s="1"/>
  <c r="AM69" i="43" a="1"/>
  <c r="AM69" i="43" s="1"/>
  <c r="AJ69" i="43" a="1"/>
  <c r="AJ69" i="43" s="1"/>
  <c r="AE69" i="43" a="1"/>
  <c r="AE69" i="43" s="1"/>
  <c r="AL69" i="43" a="1"/>
  <c r="AL69" i="43" s="1"/>
  <c r="AZ10" i="43" s="1"/>
  <c r="AG69" i="43" a="1"/>
  <c r="AG69" i="43" s="1"/>
  <c r="AD69" i="43" a="1"/>
  <c r="AD69" i="43" s="1"/>
  <c r="AV10" i="43" s="1"/>
  <c r="AN69" i="43" a="1"/>
  <c r="AN69" i="43" s="1"/>
  <c r="AI69" i="43" a="1"/>
  <c r="AI69" i="43" s="1"/>
  <c r="AF69" i="43" a="1"/>
  <c r="AF69" i="43" s="1"/>
  <c r="AW10" i="43" s="1"/>
  <c r="AM105" i="43" a="1"/>
  <c r="AM105" i="43" s="1"/>
  <c r="AH105" i="43" a="1"/>
  <c r="AH105" i="43" s="1"/>
  <c r="AE105" i="43" a="1"/>
  <c r="AE105" i="43" s="1"/>
  <c r="AA106" i="43"/>
  <c r="AJ105" i="43" a="1"/>
  <c r="AJ105" i="43" s="1"/>
  <c r="AG105" i="43" a="1"/>
  <c r="AG105" i="43" s="1"/>
  <c r="AL105" i="43" a="1"/>
  <c r="AL105" i="43" s="1"/>
  <c r="AI105" i="43" a="1"/>
  <c r="AI105" i="43" s="1"/>
  <c r="AD105" i="43" a="1"/>
  <c r="AD105" i="43" s="1"/>
  <c r="AK105" i="43" a="1"/>
  <c r="AK105" i="43" s="1"/>
  <c r="AF105" i="43" a="1"/>
  <c r="AF105" i="43" s="1"/>
  <c r="AN105" i="43" a="1"/>
  <c r="AN105" i="43" s="1"/>
  <c r="AC105" i="43" a="1"/>
  <c r="AC105" i="43" s="1"/>
  <c r="AM93" i="43" a="1"/>
  <c r="AM93" i="43" s="1"/>
  <c r="AJ93" i="43" a="1"/>
  <c r="AJ93" i="43" s="1"/>
  <c r="AE93" i="43" a="1"/>
  <c r="AE93" i="43" s="1"/>
  <c r="AA94" i="43"/>
  <c r="AL93" i="43" a="1"/>
  <c r="AL93" i="43" s="1"/>
  <c r="AG93" i="43" a="1"/>
  <c r="AG93" i="43" s="1"/>
  <c r="AD93" i="43" a="1"/>
  <c r="AD93" i="43" s="1"/>
  <c r="AN93" i="43" a="1"/>
  <c r="AN93" i="43" s="1"/>
  <c r="BA12" i="43" s="1"/>
  <c r="AI93" i="43" a="1"/>
  <c r="AI93" i="43" s="1"/>
  <c r="AF93" i="43" a="1"/>
  <c r="AF93" i="43" s="1"/>
  <c r="AK93" i="43" a="1"/>
  <c r="AK93" i="43" s="1"/>
  <c r="AH93" i="43" a="1"/>
  <c r="AH93" i="43" s="1"/>
  <c r="AC93" i="43" a="1"/>
  <c r="AC93" i="43" s="1"/>
  <c r="AN177" i="43" a="1"/>
  <c r="AN177" i="43" s="1"/>
  <c r="AI177" i="43" a="1"/>
  <c r="AI177" i="43" s="1"/>
  <c r="AF177" i="43" a="1"/>
  <c r="AF177" i="43" s="1"/>
  <c r="AK177" i="43" a="1"/>
  <c r="AK177" i="43" s="1"/>
  <c r="AH177" i="43" a="1"/>
  <c r="AH177" i="43" s="1"/>
  <c r="AC177" i="43" a="1"/>
  <c r="AC177" i="43" s="1"/>
  <c r="AM177" i="43" a="1"/>
  <c r="AM177" i="43" s="1"/>
  <c r="AJ177" i="43" a="1"/>
  <c r="AJ177" i="43" s="1"/>
  <c r="AE177" i="43" a="1"/>
  <c r="AE177" i="43" s="1"/>
  <c r="AA178" i="43"/>
  <c r="AL177" i="43" a="1"/>
  <c r="AL177" i="43" s="1"/>
  <c r="AG177" i="43" a="1"/>
  <c r="AG177" i="43" s="1"/>
  <c r="AD177" i="43" a="1"/>
  <c r="AD177" i="43" s="1"/>
  <c r="AN141" i="43" a="1"/>
  <c r="AN141" i="43" s="1"/>
  <c r="AI141" i="43" a="1"/>
  <c r="AI141" i="43" s="1"/>
  <c r="AF141" i="43" a="1"/>
  <c r="AF141" i="43" s="1"/>
  <c r="AK141" i="43" a="1"/>
  <c r="AK141" i="43" s="1"/>
  <c r="AH141" i="43" a="1"/>
  <c r="AH141" i="43" s="1"/>
  <c r="AC141" i="43" a="1"/>
  <c r="AC141" i="43" s="1"/>
  <c r="AM141" i="43" a="1"/>
  <c r="AM141" i="43" s="1"/>
  <c r="AJ141" i="43" a="1"/>
  <c r="AJ141" i="43" s="1"/>
  <c r="AE141" i="43" a="1"/>
  <c r="AE141" i="43" s="1"/>
  <c r="AA142" i="43"/>
  <c r="AL141" i="43" a="1"/>
  <c r="AL141" i="43" s="1"/>
  <c r="AG141" i="43" a="1"/>
  <c r="AG141" i="43" s="1"/>
  <c r="AD141" i="43" a="1"/>
  <c r="AD141" i="43" s="1"/>
  <c r="AN129" i="43" a="1"/>
  <c r="AN129" i="43" s="1"/>
  <c r="AK129" i="43" a="1"/>
  <c r="AK129" i="43" s="1"/>
  <c r="AF129" i="43" a="1"/>
  <c r="AF129" i="43" s="1"/>
  <c r="AC129" i="43" a="1"/>
  <c r="AC129" i="43" s="1"/>
  <c r="AM129" i="43" a="1"/>
  <c r="AM129" i="43" s="1"/>
  <c r="AH129" i="43" a="1"/>
  <c r="AH129" i="43" s="1"/>
  <c r="AE129" i="43" a="1"/>
  <c r="AE129" i="43" s="1"/>
  <c r="AA130" i="43"/>
  <c r="AJ129" i="43" a="1"/>
  <c r="AJ129" i="43" s="1"/>
  <c r="AG129" i="43" a="1"/>
  <c r="AG129" i="43" s="1"/>
  <c r="AL129" i="43" a="1"/>
  <c r="AL129" i="43" s="1"/>
  <c r="AI129" i="43" a="1"/>
  <c r="AI129" i="43" s="1"/>
  <c r="AD129" i="43" a="1"/>
  <c r="AD129" i="43" s="1"/>
  <c r="AL153" i="43" a="1"/>
  <c r="AL153" i="43" s="1"/>
  <c r="AI153" i="43" a="1"/>
  <c r="AI153" i="43" s="1"/>
  <c r="AD153" i="43" a="1"/>
  <c r="AD153" i="43" s="1"/>
  <c r="AN153" i="43" a="1"/>
  <c r="AN153" i="43" s="1"/>
  <c r="AK153" i="43" a="1"/>
  <c r="AK153" i="43" s="1"/>
  <c r="AF153" i="43" a="1"/>
  <c r="AF153" i="43" s="1"/>
  <c r="AC153" i="43" a="1"/>
  <c r="AC153" i="43" s="1"/>
  <c r="AM153" i="43" a="1"/>
  <c r="AM153" i="43" s="1"/>
  <c r="AH153" i="43" a="1"/>
  <c r="AH153" i="43" s="1"/>
  <c r="AE153" i="43" a="1"/>
  <c r="AE153" i="43" s="1"/>
  <c r="AA154" i="43"/>
  <c r="AJ153" i="43" a="1"/>
  <c r="AJ153" i="43" s="1"/>
  <c r="AG153" i="43" a="1"/>
  <c r="AG153" i="43" s="1"/>
  <c r="AA166" i="43"/>
  <c r="AL165" i="43" a="1"/>
  <c r="AL165" i="43" s="1"/>
  <c r="AG165" i="43" a="1"/>
  <c r="AG165" i="43" s="1"/>
  <c r="AD165" i="43" a="1"/>
  <c r="AD165" i="43" s="1"/>
  <c r="AN165" i="43" a="1"/>
  <c r="AN165" i="43" s="1"/>
  <c r="AI165" i="43" a="1"/>
  <c r="AI165" i="43" s="1"/>
  <c r="AF165" i="43" a="1"/>
  <c r="AF165" i="43" s="1"/>
  <c r="AK165" i="43" a="1"/>
  <c r="AK165" i="43" s="1"/>
  <c r="AH165" i="43" a="1"/>
  <c r="AH165" i="43" s="1"/>
  <c r="AC165" i="43" a="1"/>
  <c r="AC165" i="43" s="1"/>
  <c r="AM165" i="43" a="1"/>
  <c r="AM165" i="43" s="1"/>
  <c r="AJ165" i="43" a="1"/>
  <c r="AJ165" i="43" s="1"/>
  <c r="AE165" i="43" a="1"/>
  <c r="AE165" i="43" s="1"/>
  <c r="AV20" i="43"/>
  <c r="AY20" i="43"/>
  <c r="AK117" i="43" a="1"/>
  <c r="AK117" i="43" s="1"/>
  <c r="AH117" i="43" a="1"/>
  <c r="AH117" i="43" s="1"/>
  <c r="AC117" i="43" a="1"/>
  <c r="AC117" i="43" s="1"/>
  <c r="AM117" i="43" a="1"/>
  <c r="AM117" i="43" s="1"/>
  <c r="AJ117" i="43" a="1"/>
  <c r="AJ117" i="43" s="1"/>
  <c r="AE117" i="43" a="1"/>
  <c r="AE117" i="43" s="1"/>
  <c r="AA118" i="43"/>
  <c r="AL117" i="43" a="1"/>
  <c r="AL117" i="43" s="1"/>
  <c r="AG117" i="43" a="1"/>
  <c r="AG117" i="43" s="1"/>
  <c r="AQ14" i="43" s="1"/>
  <c r="AD117" i="43" a="1"/>
  <c r="AD117" i="43" s="1"/>
  <c r="AN117" i="43" a="1"/>
  <c r="AN117" i="43" s="1"/>
  <c r="AI117" i="43" a="1"/>
  <c r="AI117" i="43" s="1"/>
  <c r="AT14" i="43" s="1"/>
  <c r="AF117" i="43" a="1"/>
  <c r="AF117" i="43" s="1"/>
  <c r="AA214" i="43"/>
  <c r="Y227" i="43"/>
  <c r="AA190" i="43"/>
  <c r="AJ189" i="43" a="1"/>
  <c r="AJ189" i="43" s="1"/>
  <c r="AG189" i="43" a="1"/>
  <c r="AG189" i="43" s="1"/>
  <c r="AL189" i="43" a="1"/>
  <c r="AL189" i="43" s="1"/>
  <c r="AI189" i="43" a="1"/>
  <c r="AI189" i="43" s="1"/>
  <c r="AD189" i="43" a="1"/>
  <c r="AD189" i="43" s="1"/>
  <c r="AN189" i="43" a="1"/>
  <c r="AN189" i="43" s="1"/>
  <c r="AK189" i="43" a="1"/>
  <c r="AK189" i="43" s="1"/>
  <c r="AF189" i="43" a="1"/>
  <c r="AF189" i="43" s="1"/>
  <c r="AC189" i="43" a="1"/>
  <c r="AC189" i="43" s="1"/>
  <c r="AM189" i="43" a="1"/>
  <c r="AM189" i="43" s="1"/>
  <c r="AH189" i="43" a="1"/>
  <c r="AH189" i="43" s="1"/>
  <c r="AE189" i="43" a="1"/>
  <c r="AE189" i="43" s="1"/>
  <c r="AK201" i="43" a="1"/>
  <c r="AK201" i="43" s="1"/>
  <c r="AZ21" i="43" s="1"/>
  <c r="AH201" i="43" a="1"/>
  <c r="AH201" i="43" s="1"/>
  <c r="AC201" i="43" a="1"/>
  <c r="AC201" i="43" s="1"/>
  <c r="AM201" i="43" a="1"/>
  <c r="AM201" i="43" s="1"/>
  <c r="AJ201" i="43" a="1"/>
  <c r="AJ201" i="43" s="1"/>
  <c r="AE201" i="43" a="1"/>
  <c r="AE201" i="43" s="1"/>
  <c r="AW21" i="43" s="1"/>
  <c r="AA202" i="43"/>
  <c r="AL201" i="43" a="1"/>
  <c r="AL201" i="43" s="1"/>
  <c r="AG201" i="43" a="1"/>
  <c r="AG201" i="43" s="1"/>
  <c r="AD201" i="43" a="1"/>
  <c r="AD201" i="43" s="1"/>
  <c r="AN201" i="43" a="1"/>
  <c r="AN201" i="43" s="1"/>
  <c r="AI201" i="43" a="1"/>
  <c r="AI201" i="43" s="1"/>
  <c r="AF201" i="43" a="1"/>
  <c r="AF201" i="43" s="1"/>
  <c r="AP21" i="43"/>
  <c r="AS14" i="43" l="1"/>
  <c r="AR14" i="43"/>
  <c r="AX12" i="43"/>
  <c r="AY10" i="43"/>
  <c r="AY21" i="43"/>
  <c r="BA21" i="43"/>
  <c r="AM190" i="43" a="1"/>
  <c r="AM190" i="43" s="1"/>
  <c r="AJ190" i="43" a="1"/>
  <c r="AJ190" i="43" s="1"/>
  <c r="AE190" i="43" a="1"/>
  <c r="AE190" i="43" s="1"/>
  <c r="AA191" i="43"/>
  <c r="AL190" i="43" a="1"/>
  <c r="AL190" i="43" s="1"/>
  <c r="AG190" i="43" a="1"/>
  <c r="AG190" i="43" s="1"/>
  <c r="AD190" i="43" a="1"/>
  <c r="AD190" i="43" s="1"/>
  <c r="AN190" i="43" a="1"/>
  <c r="AN190" i="43" s="1"/>
  <c r="AI190" i="43" a="1"/>
  <c r="AI190" i="43" s="1"/>
  <c r="AF190" i="43" a="1"/>
  <c r="AF190" i="43" s="1"/>
  <c r="AK190" i="43" a="1"/>
  <c r="AK190" i="43" s="1"/>
  <c r="AH190" i="43" a="1"/>
  <c r="AH190" i="43" s="1"/>
  <c r="AC190" i="43" a="1"/>
  <c r="AC190" i="43" s="1"/>
  <c r="AA167" i="43"/>
  <c r="AJ166" i="43" a="1"/>
  <c r="AJ166" i="43" s="1"/>
  <c r="AG166" i="43" a="1"/>
  <c r="AG166" i="43" s="1"/>
  <c r="AL166" i="43" a="1"/>
  <c r="AL166" i="43" s="1"/>
  <c r="AI166" i="43" a="1"/>
  <c r="AI166" i="43" s="1"/>
  <c r="AD166" i="43" a="1"/>
  <c r="AD166" i="43" s="1"/>
  <c r="AN166" i="43" a="1"/>
  <c r="AN166" i="43" s="1"/>
  <c r="AK166" i="43" a="1"/>
  <c r="AK166" i="43" s="1"/>
  <c r="AF166" i="43" a="1"/>
  <c r="AF166" i="43" s="1"/>
  <c r="AC166" i="43" a="1"/>
  <c r="AC166" i="43" s="1"/>
  <c r="AM166" i="43" a="1"/>
  <c r="AM166" i="43" s="1"/>
  <c r="AH166" i="43" a="1"/>
  <c r="AH166" i="43" s="1"/>
  <c r="AE166" i="43" a="1"/>
  <c r="AE166" i="43" s="1"/>
  <c r="AN82" i="43" a="1"/>
  <c r="AN82" i="43" s="1"/>
  <c r="AI82" i="43" a="1"/>
  <c r="AI82" i="43" s="1"/>
  <c r="AF82" i="43" a="1"/>
  <c r="AF82" i="43" s="1"/>
  <c r="AK82" i="43" a="1"/>
  <c r="AK82" i="43" s="1"/>
  <c r="AH82" i="43" a="1"/>
  <c r="AH82" i="43" s="1"/>
  <c r="AC82" i="43" a="1"/>
  <c r="AC82" i="43" s="1"/>
  <c r="AM82" i="43" a="1"/>
  <c r="AM82" i="43" s="1"/>
  <c r="AJ82" i="43" a="1"/>
  <c r="AJ82" i="43" s="1"/>
  <c r="AY11" i="43" s="1"/>
  <c r="AE82" i="43" a="1"/>
  <c r="AE82" i="43" s="1"/>
  <c r="AL82" i="43" a="1"/>
  <c r="AL82" i="43" s="1"/>
  <c r="AZ11" i="43" s="1"/>
  <c r="AG82" i="43" a="1"/>
  <c r="AG82" i="43" s="1"/>
  <c r="AD82" i="43" a="1"/>
  <c r="AD82" i="43" s="1"/>
  <c r="AV11" i="43" s="1"/>
  <c r="AN202" i="43" a="1"/>
  <c r="AN202" i="43" s="1"/>
  <c r="AK202" i="43" a="1"/>
  <c r="AK202" i="43" s="1"/>
  <c r="AF202" i="43" a="1"/>
  <c r="AF202" i="43" s="1"/>
  <c r="AC202" i="43" a="1"/>
  <c r="AC202" i="43" s="1"/>
  <c r="AM202" i="43" a="1"/>
  <c r="AM202" i="43" s="1"/>
  <c r="AH202" i="43" a="1"/>
  <c r="AH202" i="43" s="1"/>
  <c r="AE202" i="43" a="1"/>
  <c r="AE202" i="43" s="1"/>
  <c r="AA203" i="43"/>
  <c r="AJ202" i="43" a="1"/>
  <c r="AJ202" i="43" s="1"/>
  <c r="AG202" i="43" a="1"/>
  <c r="AG202" i="43" s="1"/>
  <c r="AL202" i="43" a="1"/>
  <c r="AL202" i="43" s="1"/>
  <c r="AI202" i="43" a="1"/>
  <c r="AI202" i="43" s="1"/>
  <c r="AD202" i="43" a="1"/>
  <c r="AD202" i="43" s="1"/>
  <c r="AV21" i="43"/>
  <c r="Y240" i="43"/>
  <c r="AA227" i="43"/>
  <c r="AN118" i="43" a="1"/>
  <c r="AN118" i="43" s="1"/>
  <c r="AK118" i="43" a="1"/>
  <c r="AK118" i="43" s="1"/>
  <c r="AF118" i="43" a="1"/>
  <c r="AF118" i="43" s="1"/>
  <c r="AC118" i="43" a="1"/>
  <c r="AC118" i="43" s="1"/>
  <c r="AM118" i="43" a="1"/>
  <c r="AM118" i="43" s="1"/>
  <c r="AH118" i="43" a="1"/>
  <c r="AH118" i="43" s="1"/>
  <c r="AE118" i="43" a="1"/>
  <c r="AE118" i="43" s="1"/>
  <c r="AA119" i="43"/>
  <c r="AJ118" i="43" a="1"/>
  <c r="AJ118" i="43" s="1"/>
  <c r="AG118" i="43" a="1"/>
  <c r="AG118" i="43" s="1"/>
  <c r="AL118" i="43" a="1"/>
  <c r="AL118" i="43" s="1"/>
  <c r="AI118" i="43" a="1"/>
  <c r="AI118" i="43" s="1"/>
  <c r="AD118" i="43" a="1"/>
  <c r="AD118" i="43" s="1"/>
  <c r="AN214" i="43" a="1"/>
  <c r="AN214" i="43" s="1"/>
  <c r="AK214" i="43" a="1"/>
  <c r="AK214" i="43" s="1"/>
  <c r="AZ22" i="43" s="1"/>
  <c r="AF214" i="43" a="1"/>
  <c r="AF214" i="43" s="1"/>
  <c r="AC214" i="43" a="1"/>
  <c r="AC214" i="43" s="1"/>
  <c r="AM214" i="43" a="1"/>
  <c r="AM214" i="43" s="1"/>
  <c r="AH214" i="43" a="1"/>
  <c r="AH214" i="43" s="1"/>
  <c r="AE214" i="43" a="1"/>
  <c r="AE214" i="43" s="1"/>
  <c r="AW22" i="43" s="1"/>
  <c r="AA215" i="43"/>
  <c r="AJ214" i="43" a="1"/>
  <c r="AJ214" i="43" s="1"/>
  <c r="AG214" i="43" a="1"/>
  <c r="AG214" i="43" s="1"/>
  <c r="AL214" i="43" a="1"/>
  <c r="AL214" i="43" s="1"/>
  <c r="AI214" i="43" a="1"/>
  <c r="AI214" i="43" s="1"/>
  <c r="AD214" i="43" a="1"/>
  <c r="AD214" i="43" s="1"/>
  <c r="AP22" i="43"/>
  <c r="AL142" i="43" a="1"/>
  <c r="AL142" i="43" s="1"/>
  <c r="AI142" i="43" a="1"/>
  <c r="AI142" i="43" s="1"/>
  <c r="AD142" i="43" a="1"/>
  <c r="AD142" i="43" s="1"/>
  <c r="AN142" i="43" a="1"/>
  <c r="AN142" i="43" s="1"/>
  <c r="AK142" i="43" a="1"/>
  <c r="AK142" i="43" s="1"/>
  <c r="AF142" i="43" a="1"/>
  <c r="AF142" i="43" s="1"/>
  <c r="AC142" i="43" a="1"/>
  <c r="AC142" i="43" s="1"/>
  <c r="AM142" i="43" a="1"/>
  <c r="AM142" i="43" s="1"/>
  <c r="AH142" i="43" a="1"/>
  <c r="AH142" i="43" s="1"/>
  <c r="AE142" i="43" a="1"/>
  <c r="AE142" i="43" s="1"/>
  <c r="AA143" i="43"/>
  <c r="AJ142" i="43" a="1"/>
  <c r="AJ142" i="43" s="1"/>
  <c r="AG142" i="43" a="1"/>
  <c r="AG142" i="43" s="1"/>
  <c r="AM94" i="43" a="1"/>
  <c r="AM94" i="43" s="1"/>
  <c r="AH94" i="43" a="1"/>
  <c r="AH94" i="43" s="1"/>
  <c r="AE94" i="43" a="1"/>
  <c r="AE94" i="43" s="1"/>
  <c r="AA95" i="43"/>
  <c r="AJ94" i="43" a="1"/>
  <c r="AJ94" i="43" s="1"/>
  <c r="AG94" i="43" a="1"/>
  <c r="AG94" i="43" s="1"/>
  <c r="AL94" i="43" a="1"/>
  <c r="AL94" i="43" s="1"/>
  <c r="AI94" i="43" a="1"/>
  <c r="AI94" i="43" s="1"/>
  <c r="AD94" i="43" a="1"/>
  <c r="AD94" i="43" s="1"/>
  <c r="AF94" i="43" a="1"/>
  <c r="AF94" i="43" s="1"/>
  <c r="AN94" i="43" a="1"/>
  <c r="AN94" i="43" s="1"/>
  <c r="AC94" i="43" a="1"/>
  <c r="AC94" i="43" s="1"/>
  <c r="AK94" i="43" a="1"/>
  <c r="AK94" i="43" s="1"/>
  <c r="AX21" i="43"/>
  <c r="AA155" i="43"/>
  <c r="AL154" i="43" a="1"/>
  <c r="AL154" i="43" s="1"/>
  <c r="AG154" i="43" a="1"/>
  <c r="AG154" i="43" s="1"/>
  <c r="AD154" i="43" a="1"/>
  <c r="AD154" i="43" s="1"/>
  <c r="AN154" i="43" a="1"/>
  <c r="AN154" i="43" s="1"/>
  <c r="AI154" i="43" a="1"/>
  <c r="AI154" i="43" s="1"/>
  <c r="AF154" i="43" a="1"/>
  <c r="AF154" i="43" s="1"/>
  <c r="AK154" i="43" a="1"/>
  <c r="AK154" i="43" s="1"/>
  <c r="AH154" i="43" a="1"/>
  <c r="AH154" i="43" s="1"/>
  <c r="AC154" i="43" a="1"/>
  <c r="AC154" i="43" s="1"/>
  <c r="AM154" i="43" a="1"/>
  <c r="AM154" i="43" s="1"/>
  <c r="AJ154" i="43" a="1"/>
  <c r="AJ154" i="43" s="1"/>
  <c r="AE154" i="43" a="1"/>
  <c r="AE154" i="43" s="1"/>
  <c r="AN130" i="43" a="1"/>
  <c r="AN130" i="43" s="1"/>
  <c r="AI130" i="43" a="1"/>
  <c r="AI130" i="43" s="1"/>
  <c r="AF130" i="43" a="1"/>
  <c r="AF130" i="43" s="1"/>
  <c r="AK130" i="43" a="1"/>
  <c r="AK130" i="43" s="1"/>
  <c r="AH130" i="43" a="1"/>
  <c r="AH130" i="43" s="1"/>
  <c r="AC130" i="43" a="1"/>
  <c r="AC130" i="43" s="1"/>
  <c r="AM130" i="43" a="1"/>
  <c r="AM130" i="43" s="1"/>
  <c r="AS15" i="43" s="1"/>
  <c r="AJ130" i="43" a="1"/>
  <c r="AJ130" i="43" s="1"/>
  <c r="AE130" i="43" a="1"/>
  <c r="AE130" i="43" s="1"/>
  <c r="AA131" i="43"/>
  <c r="AL130" i="43" a="1"/>
  <c r="AL130" i="43" s="1"/>
  <c r="AG130" i="43" a="1"/>
  <c r="AG130" i="43" s="1"/>
  <c r="AQ15" i="43" s="1"/>
  <c r="AD130" i="43" a="1"/>
  <c r="AD130" i="43" s="1"/>
  <c r="AL178" i="43" a="1"/>
  <c r="AL178" i="43" s="1"/>
  <c r="AI178" i="43" a="1"/>
  <c r="AI178" i="43" s="1"/>
  <c r="AD178" i="43" a="1"/>
  <c r="AD178" i="43" s="1"/>
  <c r="AN178" i="43" a="1"/>
  <c r="AN178" i="43" s="1"/>
  <c r="AK178" i="43" a="1"/>
  <c r="AK178" i="43" s="1"/>
  <c r="AF178" i="43" a="1"/>
  <c r="AF178" i="43" s="1"/>
  <c r="AC178" i="43" a="1"/>
  <c r="AC178" i="43" s="1"/>
  <c r="AM178" i="43" a="1"/>
  <c r="AM178" i="43" s="1"/>
  <c r="AH178" i="43" a="1"/>
  <c r="AH178" i="43" s="1"/>
  <c r="AE178" i="43" a="1"/>
  <c r="AE178" i="43" s="1"/>
  <c r="AA179" i="43"/>
  <c r="AJ178" i="43" a="1"/>
  <c r="AJ178" i="43" s="1"/>
  <c r="AG178" i="43" a="1"/>
  <c r="AG178" i="43" s="1"/>
  <c r="AK106" i="43" a="1"/>
  <c r="AK106" i="43" s="1"/>
  <c r="AH106" i="43" a="1"/>
  <c r="AH106" i="43" s="1"/>
  <c r="AC106" i="43" a="1"/>
  <c r="AC106" i="43" s="1"/>
  <c r="AM106" i="43" a="1"/>
  <c r="AM106" i="43" s="1"/>
  <c r="AJ106" i="43" a="1"/>
  <c r="AJ106" i="43" s="1"/>
  <c r="AE106" i="43" a="1"/>
  <c r="AE106" i="43" s="1"/>
  <c r="AA107" i="43"/>
  <c r="AL106" i="43" a="1"/>
  <c r="AL106" i="43" s="1"/>
  <c r="AG106" i="43" a="1"/>
  <c r="AG106" i="43" s="1"/>
  <c r="AD106" i="43" a="1"/>
  <c r="AD106" i="43" s="1"/>
  <c r="AI106" i="43" a="1"/>
  <c r="AI106" i="43" s="1"/>
  <c r="AF106" i="43" a="1"/>
  <c r="AF106" i="43" s="1"/>
  <c r="AN106" i="43" a="1"/>
  <c r="AN106" i="43" s="1"/>
  <c r="BA13" i="43" s="1"/>
  <c r="AR15" i="43" l="1"/>
  <c r="AT15" i="43"/>
  <c r="AX13" i="43"/>
  <c r="AW11" i="43"/>
  <c r="AV22" i="43"/>
  <c r="AM191" i="43" a="1"/>
  <c r="AM191" i="43" s="1"/>
  <c r="AH191" i="43" a="1"/>
  <c r="AH191" i="43" s="1"/>
  <c r="AE191" i="43" a="1"/>
  <c r="AE191" i="43" s="1"/>
  <c r="AA192" i="43"/>
  <c r="AJ191" i="43" a="1"/>
  <c r="AJ191" i="43" s="1"/>
  <c r="AG191" i="43" a="1"/>
  <c r="AG191" i="43" s="1"/>
  <c r="AL191" i="43" a="1"/>
  <c r="AL191" i="43" s="1"/>
  <c r="AI191" i="43" a="1"/>
  <c r="AI191" i="43" s="1"/>
  <c r="AD191" i="43" a="1"/>
  <c r="AD191" i="43" s="1"/>
  <c r="AN191" i="43" a="1"/>
  <c r="AN191" i="43" s="1"/>
  <c r="AK191" i="43" a="1"/>
  <c r="AK191" i="43" s="1"/>
  <c r="AF191" i="43" a="1"/>
  <c r="AF191" i="43" s="1"/>
  <c r="AC191" i="43" a="1"/>
  <c r="AC191" i="43" s="1"/>
  <c r="AY22" i="43"/>
  <c r="AK215" i="43" a="1"/>
  <c r="AK215" i="43" s="1"/>
  <c r="AH215" i="43" a="1"/>
  <c r="AH215" i="43" s="1"/>
  <c r="AC215" i="43" a="1"/>
  <c r="AC215" i="43" s="1"/>
  <c r="AM215" i="43" a="1"/>
  <c r="AM215" i="43" s="1"/>
  <c r="AJ215" i="43" a="1"/>
  <c r="AJ215" i="43" s="1"/>
  <c r="AE215" i="43" a="1"/>
  <c r="AE215" i="43" s="1"/>
  <c r="AA216" i="43"/>
  <c r="AL215" i="43" a="1"/>
  <c r="AL215" i="43" s="1"/>
  <c r="AG215" i="43" a="1"/>
  <c r="AG215" i="43" s="1"/>
  <c r="AD215" i="43" a="1"/>
  <c r="AD215" i="43" s="1"/>
  <c r="AN215" i="43" a="1"/>
  <c r="AN215" i="43" s="1"/>
  <c r="AI215" i="43" a="1"/>
  <c r="AI215" i="43" s="1"/>
  <c r="AF215" i="43" a="1"/>
  <c r="AF215" i="43" s="1"/>
  <c r="AA180" i="43"/>
  <c r="AL179" i="43" a="1"/>
  <c r="AL179" i="43" s="1"/>
  <c r="AG179" i="43" a="1"/>
  <c r="AG179" i="43" s="1"/>
  <c r="AD179" i="43" a="1"/>
  <c r="AD179" i="43" s="1"/>
  <c r="AN179" i="43" a="1"/>
  <c r="AN179" i="43" s="1"/>
  <c r="AI179" i="43" a="1"/>
  <c r="AI179" i="43" s="1"/>
  <c r="AF179" i="43" a="1"/>
  <c r="AF179" i="43" s="1"/>
  <c r="AK179" i="43" a="1"/>
  <c r="AK179" i="43" s="1"/>
  <c r="AH179" i="43" a="1"/>
  <c r="AH179" i="43" s="1"/>
  <c r="AC179" i="43" a="1"/>
  <c r="AC179" i="43" s="1"/>
  <c r="AM179" i="43" a="1"/>
  <c r="AM179" i="43" s="1"/>
  <c r="AJ179" i="43" a="1"/>
  <c r="AJ179" i="43" s="1"/>
  <c r="AE179" i="43" a="1"/>
  <c r="AE179" i="43" s="1"/>
  <c r="AA156" i="43"/>
  <c r="AJ155" i="43" a="1"/>
  <c r="AJ155" i="43" s="1"/>
  <c r="AG155" i="43" a="1"/>
  <c r="AG155" i="43" s="1"/>
  <c r="AL155" i="43" a="1"/>
  <c r="AL155" i="43" s="1"/>
  <c r="AI155" i="43" a="1"/>
  <c r="AI155" i="43" s="1"/>
  <c r="AD155" i="43" a="1"/>
  <c r="AD155" i="43" s="1"/>
  <c r="AN155" i="43" a="1"/>
  <c r="AN155" i="43" s="1"/>
  <c r="AK155" i="43" a="1"/>
  <c r="AK155" i="43" s="1"/>
  <c r="AF155" i="43" a="1"/>
  <c r="AF155" i="43" s="1"/>
  <c r="AC155" i="43" a="1"/>
  <c r="AC155" i="43" s="1"/>
  <c r="AM155" i="43" a="1"/>
  <c r="AM155" i="43" s="1"/>
  <c r="AH155" i="43" a="1"/>
  <c r="AH155" i="43" s="1"/>
  <c r="AE155" i="43" a="1"/>
  <c r="AE155" i="43" s="1"/>
  <c r="AK95" i="43" a="1"/>
  <c r="AK95" i="43" s="1"/>
  <c r="AH95" i="43" a="1"/>
  <c r="AH95" i="43" s="1"/>
  <c r="AC95" i="43" a="1"/>
  <c r="AC95" i="43" s="1"/>
  <c r="AM95" i="43" a="1"/>
  <c r="AM95" i="43" s="1"/>
  <c r="AJ95" i="43" a="1"/>
  <c r="AJ95" i="43" s="1"/>
  <c r="AE95" i="43" a="1"/>
  <c r="AE95" i="43" s="1"/>
  <c r="AL95" i="43" a="1"/>
  <c r="AL95" i="43" s="1"/>
  <c r="AZ12" i="43" s="1"/>
  <c r="AG95" i="43" a="1"/>
  <c r="AG95" i="43" s="1"/>
  <c r="AD95" i="43" a="1"/>
  <c r="AD95" i="43" s="1"/>
  <c r="AV12" i="43" s="1"/>
  <c r="AF95" i="43" a="1"/>
  <c r="AF95" i="43" s="1"/>
  <c r="AW12" i="43" s="1"/>
  <c r="AN95" i="43" a="1"/>
  <c r="AN95" i="43" s="1"/>
  <c r="AI95" i="43" a="1"/>
  <c r="AI95" i="43" s="1"/>
  <c r="AN119" i="43" a="1"/>
  <c r="AN119" i="43" s="1"/>
  <c r="AI119" i="43" a="1"/>
  <c r="AI119" i="43" s="1"/>
  <c r="AF119" i="43" a="1"/>
  <c r="AF119" i="43" s="1"/>
  <c r="AK119" i="43" a="1"/>
  <c r="AK119" i="43" s="1"/>
  <c r="AH119" i="43" a="1"/>
  <c r="AH119" i="43" s="1"/>
  <c r="AC119" i="43" a="1"/>
  <c r="AC119" i="43" s="1"/>
  <c r="AM119" i="43" a="1"/>
  <c r="AM119" i="43" s="1"/>
  <c r="AJ119" i="43" a="1"/>
  <c r="AJ119" i="43" s="1"/>
  <c r="AE119" i="43" a="1"/>
  <c r="AE119" i="43" s="1"/>
  <c r="AA120" i="43"/>
  <c r="AL119" i="43" a="1"/>
  <c r="AL119" i="43" s="1"/>
  <c r="AG119" i="43" a="1"/>
  <c r="AG119" i="43" s="1"/>
  <c r="AD119" i="43" a="1"/>
  <c r="AD119" i="43" s="1"/>
  <c r="AN227" i="43" a="1"/>
  <c r="AN227" i="43" s="1"/>
  <c r="AL227" i="43" a="1"/>
  <c r="AL227" i="43" s="1"/>
  <c r="AA228" i="43"/>
  <c r="AM227" i="43" a="1"/>
  <c r="AM227" i="43" s="1"/>
  <c r="AK227" i="43" a="1"/>
  <c r="AK227" i="43" s="1"/>
  <c r="AZ23" i="43" s="1"/>
  <c r="AI227" i="43" a="1"/>
  <c r="AI227" i="43" s="1"/>
  <c r="AG227" i="43" a="1"/>
  <c r="AG227" i="43" s="1"/>
  <c r="AD227" i="43" a="1"/>
  <c r="AD227" i="43" s="1"/>
  <c r="AJ227" i="43" a="1"/>
  <c r="AJ227" i="43" s="1"/>
  <c r="AF227" i="43" a="1"/>
  <c r="AF227" i="43" s="1"/>
  <c r="AC227" i="43" a="1"/>
  <c r="AC227" i="43" s="1"/>
  <c r="AE227" i="43" a="1"/>
  <c r="AE227" i="43" s="1"/>
  <c r="AW23" i="43" s="1"/>
  <c r="AH227" i="43" a="1"/>
  <c r="AH227" i="43" s="1"/>
  <c r="AP23" i="43"/>
  <c r="AN107" i="43" a="1"/>
  <c r="AN107" i="43" s="1"/>
  <c r="AK107" i="43" a="1"/>
  <c r="AK107" i="43" s="1"/>
  <c r="AF107" i="43" a="1"/>
  <c r="AF107" i="43" s="1"/>
  <c r="AC107" i="43" a="1"/>
  <c r="AC107" i="43" s="1"/>
  <c r="AM107" i="43" a="1"/>
  <c r="AM107" i="43" s="1"/>
  <c r="AH107" i="43" a="1"/>
  <c r="AH107" i="43" s="1"/>
  <c r="AE107" i="43" a="1"/>
  <c r="AE107" i="43" s="1"/>
  <c r="AA108" i="43"/>
  <c r="AJ107" i="43" a="1"/>
  <c r="AJ107" i="43" s="1"/>
  <c r="AG107" i="43" a="1"/>
  <c r="AG107" i="43" s="1"/>
  <c r="AD107" i="43" a="1"/>
  <c r="AD107" i="43" s="1"/>
  <c r="AL107" i="43" a="1"/>
  <c r="AL107" i="43" s="1"/>
  <c r="AI107" i="43" a="1"/>
  <c r="AI107" i="43" s="1"/>
  <c r="AX22" i="43"/>
  <c r="Y253" i="43"/>
  <c r="AA240" i="43"/>
  <c r="AN203" i="43" a="1"/>
  <c r="AN203" i="43" s="1"/>
  <c r="AI203" i="43" a="1"/>
  <c r="AI203" i="43" s="1"/>
  <c r="AF203" i="43" a="1"/>
  <c r="AF203" i="43" s="1"/>
  <c r="AK203" i="43" a="1"/>
  <c r="AK203" i="43" s="1"/>
  <c r="AH203" i="43" a="1"/>
  <c r="AH203" i="43" s="1"/>
  <c r="AC203" i="43" a="1"/>
  <c r="AC203" i="43" s="1"/>
  <c r="AM203" i="43" a="1"/>
  <c r="AM203" i="43" s="1"/>
  <c r="AJ203" i="43" a="1"/>
  <c r="AJ203" i="43" s="1"/>
  <c r="AE203" i="43" a="1"/>
  <c r="AE203" i="43" s="1"/>
  <c r="AA204" i="43"/>
  <c r="AL203" i="43" a="1"/>
  <c r="AL203" i="43" s="1"/>
  <c r="AG203" i="43" a="1"/>
  <c r="AG203" i="43" s="1"/>
  <c r="AD203" i="43" a="1"/>
  <c r="AD203" i="43" s="1"/>
  <c r="AA168" i="43"/>
  <c r="AM167" i="43" a="1"/>
  <c r="AM167" i="43" s="1"/>
  <c r="AK167" i="43" a="1"/>
  <c r="AK167" i="43" s="1"/>
  <c r="AN167" i="43" a="1"/>
  <c r="AN167" i="43" s="1"/>
  <c r="AL167" i="43" a="1"/>
  <c r="AL167" i="43" s="1"/>
  <c r="AJ167" i="43" a="1"/>
  <c r="AJ167" i="43" s="1"/>
  <c r="AE167" i="43" a="1"/>
  <c r="AE167" i="43" s="1"/>
  <c r="AG167" i="43" a="1"/>
  <c r="AG167" i="43" s="1"/>
  <c r="AD167" i="43" a="1"/>
  <c r="AD167" i="43" s="1"/>
  <c r="AI167" i="43" a="1"/>
  <c r="AI167" i="43" s="1"/>
  <c r="AF167" i="43" a="1"/>
  <c r="AF167" i="43" s="1"/>
  <c r="AH167" i="43" a="1"/>
  <c r="AH167" i="43" s="1"/>
  <c r="AC167" i="43" a="1"/>
  <c r="AC167" i="43" s="1"/>
  <c r="AL131" i="43" a="1"/>
  <c r="AL131" i="43" s="1"/>
  <c r="AI131" i="43" a="1"/>
  <c r="AI131" i="43" s="1"/>
  <c r="AD131" i="43" a="1"/>
  <c r="AD131" i="43" s="1"/>
  <c r="AN131" i="43" a="1"/>
  <c r="AN131" i="43" s="1"/>
  <c r="AK131" i="43" a="1"/>
  <c r="AK131" i="43" s="1"/>
  <c r="AF131" i="43" a="1"/>
  <c r="AF131" i="43" s="1"/>
  <c r="AC131" i="43" a="1"/>
  <c r="AC131" i="43" s="1"/>
  <c r="AM131" i="43" a="1"/>
  <c r="AM131" i="43" s="1"/>
  <c r="AH131" i="43" a="1"/>
  <c r="AH131" i="43" s="1"/>
  <c r="AE131" i="43" a="1"/>
  <c r="AE131" i="43" s="1"/>
  <c r="AA132" i="43"/>
  <c r="AJ131" i="43" a="1"/>
  <c r="AJ131" i="43" s="1"/>
  <c r="AG131" i="43" a="1"/>
  <c r="AG131" i="43" s="1"/>
  <c r="AA144" i="43"/>
  <c r="AL143" i="43" a="1"/>
  <c r="AL143" i="43" s="1"/>
  <c r="AG143" i="43" a="1"/>
  <c r="AG143" i="43" s="1"/>
  <c r="AQ16" i="43" s="1"/>
  <c r="AD143" i="43" a="1"/>
  <c r="AD143" i="43" s="1"/>
  <c r="AN143" i="43" a="1"/>
  <c r="AN143" i="43" s="1"/>
  <c r="AI143" i="43" a="1"/>
  <c r="AI143" i="43" s="1"/>
  <c r="AT16" i="43" s="1"/>
  <c r="AF143" i="43" a="1"/>
  <c r="AF143" i="43" s="1"/>
  <c r="AK143" i="43" a="1"/>
  <c r="AK143" i="43" s="1"/>
  <c r="AH143" i="43" a="1"/>
  <c r="AH143" i="43" s="1"/>
  <c r="AC143" i="43" a="1"/>
  <c r="AC143" i="43" s="1"/>
  <c r="AR16" i="43" s="1"/>
  <c r="AM143" i="43" a="1"/>
  <c r="AM143" i="43" s="1"/>
  <c r="AS16" i="43" s="1"/>
  <c r="AJ143" i="43" a="1"/>
  <c r="AJ143" i="43" s="1"/>
  <c r="AE143" i="43" a="1"/>
  <c r="AE143" i="43" s="1"/>
  <c r="BA22" i="43"/>
  <c r="AX14" i="43" l="1"/>
  <c r="BA14" i="43"/>
  <c r="AY12" i="43"/>
  <c r="AA145" i="43"/>
  <c r="AJ144" i="43" a="1"/>
  <c r="AJ144" i="43" s="1"/>
  <c r="AG144" i="43" a="1"/>
  <c r="AG144" i="43" s="1"/>
  <c r="AL144" i="43" a="1"/>
  <c r="AL144" i="43" s="1"/>
  <c r="AI144" i="43" a="1"/>
  <c r="AI144" i="43" s="1"/>
  <c r="AD144" i="43" a="1"/>
  <c r="AD144" i="43" s="1"/>
  <c r="AN144" i="43" a="1"/>
  <c r="AN144" i="43" s="1"/>
  <c r="AK144" i="43" a="1"/>
  <c r="AK144" i="43" s="1"/>
  <c r="AF144" i="43" a="1"/>
  <c r="AF144" i="43" s="1"/>
  <c r="AC144" i="43" a="1"/>
  <c r="AC144" i="43" s="1"/>
  <c r="AM144" i="43" a="1"/>
  <c r="AM144" i="43" s="1"/>
  <c r="AH144" i="43" a="1"/>
  <c r="AH144" i="43" s="1"/>
  <c r="AE144" i="43" a="1"/>
  <c r="AE144" i="43" s="1"/>
  <c r="AA241" i="43"/>
  <c r="AK240" i="43" a="1"/>
  <c r="AK240" i="43" s="1"/>
  <c r="AZ24" i="43" s="1"/>
  <c r="AG240" i="43" a="1"/>
  <c r="AG240" i="43" s="1"/>
  <c r="AC240" i="43" a="1"/>
  <c r="AC240" i="43" s="1"/>
  <c r="AN240" i="43" a="1"/>
  <c r="AN240" i="43" s="1"/>
  <c r="AJ240" i="43" a="1"/>
  <c r="AJ240" i="43" s="1"/>
  <c r="AF240" i="43" a="1"/>
  <c r="AF240" i="43" s="1"/>
  <c r="AM240" i="43" a="1"/>
  <c r="AM240" i="43" s="1"/>
  <c r="AI240" i="43" a="1"/>
  <c r="AI240" i="43" s="1"/>
  <c r="AE240" i="43" a="1"/>
  <c r="AE240" i="43" s="1"/>
  <c r="AW24" i="43" s="1"/>
  <c r="AD240" i="43" a="1"/>
  <c r="AD240" i="43" s="1"/>
  <c r="AL240" i="43" a="1"/>
  <c r="AL240" i="43" s="1"/>
  <c r="AH240" i="43" a="1"/>
  <c r="AH240" i="43" s="1"/>
  <c r="AP24" i="43"/>
  <c r="AV23" i="43"/>
  <c r="AX23" i="43"/>
  <c r="AN228" i="43" a="1"/>
  <c r="AN228" i="43" s="1"/>
  <c r="AJ228" i="43" a="1"/>
  <c r="AJ228" i="43" s="1"/>
  <c r="AF228" i="43" a="1"/>
  <c r="AF228" i="43" s="1"/>
  <c r="AC228" i="43" a="1"/>
  <c r="AC228" i="43" s="1"/>
  <c r="AM228" i="43" a="1"/>
  <c r="AM228" i="43" s="1"/>
  <c r="AI228" i="43" a="1"/>
  <c r="AI228" i="43" s="1"/>
  <c r="AE228" i="43" a="1"/>
  <c r="AE228" i="43" s="1"/>
  <c r="AL228" i="43" a="1"/>
  <c r="AL228" i="43" s="1"/>
  <c r="AH228" i="43" a="1"/>
  <c r="AH228" i="43" s="1"/>
  <c r="AD228" i="43" a="1"/>
  <c r="AD228" i="43" s="1"/>
  <c r="AA229" i="43"/>
  <c r="AK228" i="43" a="1"/>
  <c r="AK228" i="43" s="1"/>
  <c r="AG228" i="43" a="1"/>
  <c r="AG228" i="43" s="1"/>
  <c r="AM156" i="43" a="1"/>
  <c r="AM156" i="43" s="1"/>
  <c r="AS17" i="43" s="1"/>
  <c r="AJ156" i="43" a="1"/>
  <c r="AJ156" i="43" s="1"/>
  <c r="AE156" i="43" a="1"/>
  <c r="AE156" i="43" s="1"/>
  <c r="AA157" i="43"/>
  <c r="AL156" i="43" a="1"/>
  <c r="AL156" i="43" s="1"/>
  <c r="AG156" i="43" a="1"/>
  <c r="AG156" i="43" s="1"/>
  <c r="AQ17" i="43" s="1"/>
  <c r="AD156" i="43" a="1"/>
  <c r="AD156" i="43" s="1"/>
  <c r="AN156" i="43" a="1"/>
  <c r="AN156" i="43" s="1"/>
  <c r="AI156" i="43" a="1"/>
  <c r="AI156" i="43" s="1"/>
  <c r="AT17" i="43" s="1"/>
  <c r="AF156" i="43" a="1"/>
  <c r="AF156" i="43" s="1"/>
  <c r="AK156" i="43" a="1"/>
  <c r="AK156" i="43" s="1"/>
  <c r="AH156" i="43" a="1"/>
  <c r="AH156" i="43" s="1"/>
  <c r="AC156" i="43" a="1"/>
  <c r="AC156" i="43" s="1"/>
  <c r="AR17" i="43" s="1"/>
  <c r="AN216" i="43" a="1"/>
  <c r="AN216" i="43" s="1"/>
  <c r="AK216" i="43" a="1"/>
  <c r="AK216" i="43" s="1"/>
  <c r="AF216" i="43" a="1"/>
  <c r="AF216" i="43" s="1"/>
  <c r="AC216" i="43" a="1"/>
  <c r="AC216" i="43" s="1"/>
  <c r="AM216" i="43" a="1"/>
  <c r="AM216" i="43" s="1"/>
  <c r="AH216" i="43" a="1"/>
  <c r="AH216" i="43" s="1"/>
  <c r="AE216" i="43" a="1"/>
  <c r="AE216" i="43" s="1"/>
  <c r="AA217" i="43"/>
  <c r="AJ216" i="43" a="1"/>
  <c r="AJ216" i="43" s="1"/>
  <c r="AG216" i="43" a="1"/>
  <c r="AG216" i="43" s="1"/>
  <c r="AL216" i="43" a="1"/>
  <c r="AL216" i="43" s="1"/>
  <c r="AI216" i="43" a="1"/>
  <c r="AI216" i="43" s="1"/>
  <c r="AD216" i="43" a="1"/>
  <c r="AD216" i="43" s="1"/>
  <c r="Y266" i="43"/>
  <c r="AA253" i="43"/>
  <c r="AN108" i="43" a="1"/>
  <c r="AN108" i="43" s="1"/>
  <c r="AI108" i="43" a="1"/>
  <c r="AI108" i="43" s="1"/>
  <c r="AF108" i="43" a="1"/>
  <c r="AF108" i="43" s="1"/>
  <c r="AK108" i="43" a="1"/>
  <c r="AK108" i="43" s="1"/>
  <c r="AH108" i="43" a="1"/>
  <c r="AH108" i="43" s="1"/>
  <c r="AC108" i="43" a="1"/>
  <c r="AC108" i="43" s="1"/>
  <c r="AM108" i="43" a="1"/>
  <c r="AM108" i="43" s="1"/>
  <c r="AJ108" i="43" a="1"/>
  <c r="AJ108" i="43" s="1"/>
  <c r="AE108" i="43" a="1"/>
  <c r="AE108" i="43" s="1"/>
  <c r="AD108" i="43" a="1"/>
  <c r="AD108" i="43" s="1"/>
  <c r="AV13" i="43" s="1"/>
  <c r="AL108" i="43" a="1"/>
  <c r="AL108" i="43" s="1"/>
  <c r="AZ13" i="43" s="1"/>
  <c r="AG108" i="43" a="1"/>
  <c r="AG108" i="43" s="1"/>
  <c r="AY23" i="43"/>
  <c r="AA181" i="43"/>
  <c r="AJ180" i="43" a="1"/>
  <c r="AJ180" i="43" s="1"/>
  <c r="AG180" i="43" a="1"/>
  <c r="AG180" i="43" s="1"/>
  <c r="AL180" i="43" a="1"/>
  <c r="AL180" i="43" s="1"/>
  <c r="AI180" i="43" a="1"/>
  <c r="AI180" i="43" s="1"/>
  <c r="AD180" i="43" a="1"/>
  <c r="AD180" i="43" s="1"/>
  <c r="AN180" i="43" a="1"/>
  <c r="AN180" i="43" s="1"/>
  <c r="AK180" i="43" a="1"/>
  <c r="AK180" i="43" s="1"/>
  <c r="AF180" i="43" a="1"/>
  <c r="AF180" i="43" s="1"/>
  <c r="AC180" i="43" a="1"/>
  <c r="AC180" i="43" s="1"/>
  <c r="AM180" i="43" a="1"/>
  <c r="AM180" i="43" s="1"/>
  <c r="AH180" i="43" a="1"/>
  <c r="AH180" i="43" s="1"/>
  <c r="AE180" i="43" a="1"/>
  <c r="AE180" i="43" s="1"/>
  <c r="AM168" i="43" a="1"/>
  <c r="AM168" i="43" s="1"/>
  <c r="AJ168" i="43" a="1"/>
  <c r="AJ168" i="43" s="1"/>
  <c r="AE168" i="43" a="1"/>
  <c r="AE168" i="43" s="1"/>
  <c r="AA169" i="43"/>
  <c r="AL168" i="43" a="1"/>
  <c r="AL168" i="43" s="1"/>
  <c r="AG168" i="43" a="1"/>
  <c r="AG168" i="43" s="1"/>
  <c r="AD168" i="43" a="1"/>
  <c r="AD168" i="43" s="1"/>
  <c r="AN168" i="43" a="1"/>
  <c r="AN168" i="43" s="1"/>
  <c r="AI168" i="43" a="1"/>
  <c r="AI168" i="43" s="1"/>
  <c r="AF168" i="43" a="1"/>
  <c r="AF168" i="43" s="1"/>
  <c r="AH168" i="43" a="1"/>
  <c r="AH168" i="43" s="1"/>
  <c r="AC168" i="43" a="1"/>
  <c r="AC168" i="43" s="1"/>
  <c r="AK168" i="43" a="1"/>
  <c r="AK168" i="43" s="1"/>
  <c r="AL204" i="43" a="1"/>
  <c r="AL204" i="43" s="1"/>
  <c r="AI204" i="43" a="1"/>
  <c r="AI204" i="43" s="1"/>
  <c r="AD204" i="43" a="1"/>
  <c r="AD204" i="43" s="1"/>
  <c r="AN204" i="43" a="1"/>
  <c r="AN204" i="43" s="1"/>
  <c r="AK204" i="43" a="1"/>
  <c r="AK204" i="43" s="1"/>
  <c r="AF204" i="43" a="1"/>
  <c r="AF204" i="43" s="1"/>
  <c r="AC204" i="43" a="1"/>
  <c r="AC204" i="43" s="1"/>
  <c r="AM204" i="43" a="1"/>
  <c r="AM204" i="43" s="1"/>
  <c r="AH204" i="43" a="1"/>
  <c r="AH204" i="43" s="1"/>
  <c r="AE204" i="43" a="1"/>
  <c r="AE204" i="43" s="1"/>
  <c r="AA205" i="43"/>
  <c r="AJ204" i="43" a="1"/>
  <c r="AJ204" i="43" s="1"/>
  <c r="AG204" i="43" a="1"/>
  <c r="AG204" i="43" s="1"/>
  <c r="AL120" i="43" a="1"/>
  <c r="AL120" i="43" s="1"/>
  <c r="AI120" i="43" a="1"/>
  <c r="AI120" i="43" s="1"/>
  <c r="AD120" i="43" a="1"/>
  <c r="AD120" i="43" s="1"/>
  <c r="AN120" i="43" a="1"/>
  <c r="AN120" i="43" s="1"/>
  <c r="AK120" i="43" a="1"/>
  <c r="AK120" i="43" s="1"/>
  <c r="AF120" i="43" a="1"/>
  <c r="AF120" i="43" s="1"/>
  <c r="AC120" i="43" a="1"/>
  <c r="AC120" i="43" s="1"/>
  <c r="AM120" i="43" a="1"/>
  <c r="AM120" i="43" s="1"/>
  <c r="AH120" i="43" a="1"/>
  <c r="AH120" i="43" s="1"/>
  <c r="AE120" i="43" a="1"/>
  <c r="AE120" i="43" s="1"/>
  <c r="AA121" i="43"/>
  <c r="AJ120" i="43" a="1"/>
  <c r="AJ120" i="43" s="1"/>
  <c r="AG120" i="43" a="1"/>
  <c r="AG120" i="43" s="1"/>
  <c r="AK192" i="43" a="1"/>
  <c r="AK192" i="43" s="1"/>
  <c r="AH192" i="43" a="1"/>
  <c r="AH192" i="43" s="1"/>
  <c r="AC192" i="43" a="1"/>
  <c r="AC192" i="43" s="1"/>
  <c r="AM192" i="43" a="1"/>
  <c r="AM192" i="43" s="1"/>
  <c r="AJ192" i="43" a="1"/>
  <c r="AJ192" i="43" s="1"/>
  <c r="AE192" i="43" a="1"/>
  <c r="AE192" i="43" s="1"/>
  <c r="AA193" i="43"/>
  <c r="AL192" i="43" a="1"/>
  <c r="AL192" i="43" s="1"/>
  <c r="AG192" i="43" a="1"/>
  <c r="AG192" i="43" s="1"/>
  <c r="AD192" i="43" a="1"/>
  <c r="AD192" i="43" s="1"/>
  <c r="AN192" i="43" a="1"/>
  <c r="AN192" i="43" s="1"/>
  <c r="AI192" i="43" a="1"/>
  <c r="AI192" i="43" s="1"/>
  <c r="AF192" i="43" a="1"/>
  <c r="AF192" i="43" s="1"/>
  <c r="AA133" i="43"/>
  <c r="AL132" i="43" a="1"/>
  <c r="AL132" i="43" s="1"/>
  <c r="AG132" i="43" a="1"/>
  <c r="AG132" i="43" s="1"/>
  <c r="AD132" i="43" a="1"/>
  <c r="AD132" i="43" s="1"/>
  <c r="AN132" i="43" a="1"/>
  <c r="AN132" i="43" s="1"/>
  <c r="AI132" i="43" a="1"/>
  <c r="AI132" i="43" s="1"/>
  <c r="AF132" i="43" a="1"/>
  <c r="AF132" i="43" s="1"/>
  <c r="AK132" i="43" a="1"/>
  <c r="AK132" i="43" s="1"/>
  <c r="AH132" i="43" a="1"/>
  <c r="AH132" i="43" s="1"/>
  <c r="AX15" i="43" s="1"/>
  <c r="AC132" i="43" a="1"/>
  <c r="AC132" i="43" s="1"/>
  <c r="AM132" i="43" a="1"/>
  <c r="AM132" i="43" s="1"/>
  <c r="AJ132" i="43" a="1"/>
  <c r="AJ132" i="43" s="1"/>
  <c r="AE132" i="43" a="1"/>
  <c r="AE132" i="43" s="1"/>
  <c r="BA23" i="43"/>
  <c r="BA15" i="43" l="1"/>
  <c r="AW13" i="43"/>
  <c r="AA134" i="43"/>
  <c r="AJ133" i="43" a="1"/>
  <c r="AJ133" i="43" s="1"/>
  <c r="AG133" i="43" a="1"/>
  <c r="AG133" i="43" s="1"/>
  <c r="AL133" i="43" a="1"/>
  <c r="AL133" i="43" s="1"/>
  <c r="AI133" i="43" a="1"/>
  <c r="AI133" i="43" s="1"/>
  <c r="AD133" i="43" a="1"/>
  <c r="AD133" i="43" s="1"/>
  <c r="AN133" i="43" a="1"/>
  <c r="AN133" i="43" s="1"/>
  <c r="AK133" i="43" a="1"/>
  <c r="AK133" i="43" s="1"/>
  <c r="AF133" i="43" a="1"/>
  <c r="AF133" i="43" s="1"/>
  <c r="AC133" i="43" a="1"/>
  <c r="AC133" i="43" s="1"/>
  <c r="AM133" i="43" a="1"/>
  <c r="AM133" i="43" s="1"/>
  <c r="AH133" i="43" a="1"/>
  <c r="AH133" i="43" s="1"/>
  <c r="AE133" i="43" a="1"/>
  <c r="AE133" i="43" s="1"/>
  <c r="AM253" i="43" a="1"/>
  <c r="AM253" i="43" s="1"/>
  <c r="AJ253" i="43" a="1"/>
  <c r="AJ253" i="43" s="1"/>
  <c r="AE253" i="43" a="1"/>
  <c r="AE253" i="43" s="1"/>
  <c r="AW25" i="43" s="1"/>
  <c r="AA254" i="43"/>
  <c r="AL253" i="43" a="1"/>
  <c r="AL253" i="43" s="1"/>
  <c r="AG253" i="43" a="1"/>
  <c r="AG253" i="43" s="1"/>
  <c r="AD253" i="43" a="1"/>
  <c r="AD253" i="43" s="1"/>
  <c r="AN253" i="43" a="1"/>
  <c r="AN253" i="43" s="1"/>
  <c r="AI253" i="43" a="1"/>
  <c r="AI253" i="43" s="1"/>
  <c r="AF253" i="43" a="1"/>
  <c r="AF253" i="43" s="1"/>
  <c r="AK253" i="43" a="1"/>
  <c r="AK253" i="43" s="1"/>
  <c r="AZ25" i="43" s="1"/>
  <c r="AH253" i="43" a="1"/>
  <c r="AH253" i="43" s="1"/>
  <c r="AC253" i="43" a="1"/>
  <c r="AC253" i="43" s="1"/>
  <c r="AP25" i="43"/>
  <c r="AM157" i="43" a="1"/>
  <c r="AM157" i="43" s="1"/>
  <c r="AH157" i="43" a="1"/>
  <c r="AH157" i="43" s="1"/>
  <c r="AE157" i="43" a="1"/>
  <c r="AE157" i="43" s="1"/>
  <c r="AA158" i="43"/>
  <c r="AJ157" i="43" a="1"/>
  <c r="AJ157" i="43" s="1"/>
  <c r="AG157" i="43" a="1"/>
  <c r="AG157" i="43" s="1"/>
  <c r="AL157" i="43" a="1"/>
  <c r="AL157" i="43" s="1"/>
  <c r="AI157" i="43" a="1"/>
  <c r="AI157" i="43" s="1"/>
  <c r="AD157" i="43" a="1"/>
  <c r="AD157" i="43" s="1"/>
  <c r="AN157" i="43" a="1"/>
  <c r="AN157" i="43" s="1"/>
  <c r="AK157" i="43" a="1"/>
  <c r="AK157" i="43" s="1"/>
  <c r="AF157" i="43" a="1"/>
  <c r="AF157" i="43" s="1"/>
  <c r="AC157" i="43" a="1"/>
  <c r="AC157" i="43" s="1"/>
  <c r="AX24" i="43"/>
  <c r="AA206" i="43"/>
  <c r="AL205" i="43" a="1"/>
  <c r="AL205" i="43" s="1"/>
  <c r="AG205" i="43" a="1"/>
  <c r="AG205" i="43" s="1"/>
  <c r="AD205" i="43" a="1"/>
  <c r="AD205" i="43" s="1"/>
  <c r="AN205" i="43" a="1"/>
  <c r="AN205" i="43" s="1"/>
  <c r="AI205" i="43" a="1"/>
  <c r="AI205" i="43" s="1"/>
  <c r="AF205" i="43" a="1"/>
  <c r="AF205" i="43" s="1"/>
  <c r="AK205" i="43" a="1"/>
  <c r="AK205" i="43" s="1"/>
  <c r="AH205" i="43" a="1"/>
  <c r="AH205" i="43" s="1"/>
  <c r="AC205" i="43" a="1"/>
  <c r="AC205" i="43" s="1"/>
  <c r="AM205" i="43" a="1"/>
  <c r="AM205" i="43" s="1"/>
  <c r="AJ205" i="43" a="1"/>
  <c r="AJ205" i="43" s="1"/>
  <c r="AE205" i="43" a="1"/>
  <c r="AE205" i="43" s="1"/>
  <c r="AN169" i="43" a="1"/>
  <c r="AN169" i="43" s="1"/>
  <c r="AK169" i="43" a="1"/>
  <c r="AK169" i="43" s="1"/>
  <c r="AF169" i="43" a="1"/>
  <c r="AF169" i="43" s="1"/>
  <c r="AI169" i="43" a="1"/>
  <c r="AI169" i="43" s="1"/>
  <c r="AT18" i="43" s="1"/>
  <c r="AE169" i="43" a="1"/>
  <c r="AE169" i="43" s="1"/>
  <c r="AA170" i="43"/>
  <c r="AL169" i="43" a="1"/>
  <c r="AL169" i="43" s="1"/>
  <c r="AH169" i="43" a="1"/>
  <c r="AH169" i="43" s="1"/>
  <c r="AG169" i="43" a="1"/>
  <c r="AG169" i="43" s="1"/>
  <c r="AQ18" i="43" s="1"/>
  <c r="AD169" i="43" a="1"/>
  <c r="AD169" i="43" s="1"/>
  <c r="AM169" i="43" a="1"/>
  <c r="AM169" i="43" s="1"/>
  <c r="AS18" i="43" s="1"/>
  <c r="AC169" i="43" a="1"/>
  <c r="AC169" i="43" s="1"/>
  <c r="AR18" i="43" s="1"/>
  <c r="AJ169" i="43" a="1"/>
  <c r="AJ169" i="43" s="1"/>
  <c r="AM181" i="43" a="1"/>
  <c r="AM181" i="43" s="1"/>
  <c r="AJ181" i="43" a="1"/>
  <c r="AJ181" i="43" s="1"/>
  <c r="AE181" i="43" a="1"/>
  <c r="AE181" i="43" s="1"/>
  <c r="AA182" i="43"/>
  <c r="AL181" i="43" a="1"/>
  <c r="AL181" i="43" s="1"/>
  <c r="AG181" i="43" a="1"/>
  <c r="AG181" i="43" s="1"/>
  <c r="AD181" i="43" a="1"/>
  <c r="AD181" i="43" s="1"/>
  <c r="AN181" i="43" a="1"/>
  <c r="AN181" i="43" s="1"/>
  <c r="AI181" i="43" a="1"/>
  <c r="AI181" i="43" s="1"/>
  <c r="AF181" i="43" a="1"/>
  <c r="AF181" i="43" s="1"/>
  <c r="AK181" i="43" a="1"/>
  <c r="AK181" i="43" s="1"/>
  <c r="AH181" i="43" a="1"/>
  <c r="AH181" i="43" s="1"/>
  <c r="AC181" i="43" a="1"/>
  <c r="AC181" i="43" s="1"/>
  <c r="AA266" i="43"/>
  <c r="Y279" i="43"/>
  <c r="AM229" i="43" a="1"/>
  <c r="AM229" i="43" s="1"/>
  <c r="AI229" i="43" a="1"/>
  <c r="AI229" i="43" s="1"/>
  <c r="AE229" i="43" a="1"/>
  <c r="AE229" i="43" s="1"/>
  <c r="AL229" i="43" a="1"/>
  <c r="AL229" i="43" s="1"/>
  <c r="AH229" i="43" a="1"/>
  <c r="AH229" i="43" s="1"/>
  <c r="AD229" i="43" a="1"/>
  <c r="AD229" i="43" s="1"/>
  <c r="AA230" i="43"/>
  <c r="AK229" i="43" a="1"/>
  <c r="AK229" i="43" s="1"/>
  <c r="AG229" i="43" a="1"/>
  <c r="AG229" i="43" s="1"/>
  <c r="AC229" i="43" a="1"/>
  <c r="AC229" i="43" s="1"/>
  <c r="AF229" i="43" a="1"/>
  <c r="AF229" i="43" s="1"/>
  <c r="AN229" i="43" a="1"/>
  <c r="AN229" i="43" s="1"/>
  <c r="AJ229" i="43" a="1"/>
  <c r="AJ229" i="43" s="1"/>
  <c r="AY24" i="43"/>
  <c r="AM241" i="43" a="1"/>
  <c r="AM241" i="43" s="1"/>
  <c r="AI241" i="43" a="1"/>
  <c r="AI241" i="43" s="1"/>
  <c r="AE241" i="43" a="1"/>
  <c r="AE241" i="43" s="1"/>
  <c r="AL241" i="43" a="1"/>
  <c r="AL241" i="43" s="1"/>
  <c r="AH241" i="43" a="1"/>
  <c r="AH241" i="43" s="1"/>
  <c r="AD241" i="43" a="1"/>
  <c r="AD241" i="43" s="1"/>
  <c r="AA242" i="43"/>
  <c r="AK241" i="43" a="1"/>
  <c r="AK241" i="43" s="1"/>
  <c r="AG241" i="43" a="1"/>
  <c r="AG241" i="43" s="1"/>
  <c r="AC241" i="43" a="1"/>
  <c r="AC241" i="43" s="1"/>
  <c r="AF241" i="43" a="1"/>
  <c r="AF241" i="43" s="1"/>
  <c r="AN241" i="43" a="1"/>
  <c r="AN241" i="43" s="1"/>
  <c r="AJ241" i="43" a="1"/>
  <c r="AJ241" i="43" s="1"/>
  <c r="AL121" i="43" a="1"/>
  <c r="AL121" i="43" s="1"/>
  <c r="AG121" i="43" a="1"/>
  <c r="AG121" i="43" s="1"/>
  <c r="AD121" i="43" a="1"/>
  <c r="AD121" i="43" s="1"/>
  <c r="AN121" i="43" a="1"/>
  <c r="AN121" i="43" s="1"/>
  <c r="AI121" i="43" a="1"/>
  <c r="AI121" i="43" s="1"/>
  <c r="AF121" i="43" a="1"/>
  <c r="AF121" i="43" s="1"/>
  <c r="AK121" i="43" a="1"/>
  <c r="AK121" i="43" s="1"/>
  <c r="AH121" i="43" a="1"/>
  <c r="AH121" i="43" s="1"/>
  <c r="AC121" i="43" a="1"/>
  <c r="AC121" i="43" s="1"/>
  <c r="AM121" i="43" a="1"/>
  <c r="AM121" i="43" s="1"/>
  <c r="AJ121" i="43" a="1"/>
  <c r="AJ121" i="43" s="1"/>
  <c r="AY14" i="43" s="1"/>
  <c r="AE121" i="43" a="1"/>
  <c r="AE121" i="43" s="1"/>
  <c r="AN193" i="43" a="1"/>
  <c r="AN193" i="43" s="1"/>
  <c r="AK193" i="43" a="1"/>
  <c r="AK193" i="43" s="1"/>
  <c r="AF193" i="43" a="1"/>
  <c r="AF193" i="43" s="1"/>
  <c r="AC193" i="43" a="1"/>
  <c r="AC193" i="43" s="1"/>
  <c r="AM193" i="43" a="1"/>
  <c r="AM193" i="43" s="1"/>
  <c r="AH193" i="43" a="1"/>
  <c r="AH193" i="43" s="1"/>
  <c r="AE193" i="43" a="1"/>
  <c r="AE193" i="43" s="1"/>
  <c r="AA194" i="43"/>
  <c r="AJ193" i="43" a="1"/>
  <c r="AJ193" i="43" s="1"/>
  <c r="AG193" i="43" a="1"/>
  <c r="AG193" i="43" s="1"/>
  <c r="AL193" i="43" a="1"/>
  <c r="AL193" i="43" s="1"/>
  <c r="AI193" i="43" a="1"/>
  <c r="AI193" i="43" s="1"/>
  <c r="AD193" i="43" a="1"/>
  <c r="AD193" i="43" s="1"/>
  <c r="AN217" i="43" a="1"/>
  <c r="AN217" i="43" s="1"/>
  <c r="AI217" i="43" a="1"/>
  <c r="AI217" i="43" s="1"/>
  <c r="AF217" i="43" a="1"/>
  <c r="AF217" i="43" s="1"/>
  <c r="AK217" i="43" a="1"/>
  <c r="AK217" i="43" s="1"/>
  <c r="AH217" i="43" a="1"/>
  <c r="AH217" i="43" s="1"/>
  <c r="AC217" i="43" a="1"/>
  <c r="AC217" i="43" s="1"/>
  <c r="AM217" i="43" a="1"/>
  <c r="AM217" i="43" s="1"/>
  <c r="AJ217" i="43" a="1"/>
  <c r="AJ217" i="43" s="1"/>
  <c r="AE217" i="43" a="1"/>
  <c r="AE217" i="43" s="1"/>
  <c r="AA218" i="43"/>
  <c r="AL217" i="43" a="1"/>
  <c r="AL217" i="43" s="1"/>
  <c r="AG217" i="43" a="1"/>
  <c r="AG217" i="43" s="1"/>
  <c r="AD217" i="43" a="1"/>
  <c r="AD217" i="43" s="1"/>
  <c r="BA24" i="43"/>
  <c r="AV24" i="43"/>
  <c r="AM145" i="43" a="1"/>
  <c r="AM145" i="43" s="1"/>
  <c r="AJ145" i="43" a="1"/>
  <c r="AJ145" i="43" s="1"/>
  <c r="AE145" i="43" a="1"/>
  <c r="AE145" i="43" s="1"/>
  <c r="AA146" i="43"/>
  <c r="AL145" i="43" a="1"/>
  <c r="AL145" i="43" s="1"/>
  <c r="AG145" i="43" a="1"/>
  <c r="AG145" i="43" s="1"/>
  <c r="AD145" i="43" a="1"/>
  <c r="AD145" i="43" s="1"/>
  <c r="AN145" i="43" a="1"/>
  <c r="AN145" i="43" s="1"/>
  <c r="AI145" i="43" a="1"/>
  <c r="AI145" i="43" s="1"/>
  <c r="AF145" i="43" a="1"/>
  <c r="AF145" i="43" s="1"/>
  <c r="AK145" i="43" a="1"/>
  <c r="AK145" i="43" s="1"/>
  <c r="AH145" i="43" a="1"/>
  <c r="AH145" i="43" s="1"/>
  <c r="AC145" i="43" a="1"/>
  <c r="AC145" i="43" s="1"/>
  <c r="AV14" i="43" l="1"/>
  <c r="AW14" i="43"/>
  <c r="AZ14" i="43"/>
  <c r="AM182" i="43" a="1"/>
  <c r="AM182" i="43" s="1"/>
  <c r="AS19" i="43" s="1"/>
  <c r="AH182" i="43" a="1"/>
  <c r="AH182" i="43" s="1"/>
  <c r="AE182" i="43" a="1"/>
  <c r="AE182" i="43" s="1"/>
  <c r="AA183" i="43"/>
  <c r="AJ182" i="43" a="1"/>
  <c r="AJ182" i="43" s="1"/>
  <c r="AG182" i="43" a="1"/>
  <c r="AG182" i="43" s="1"/>
  <c r="AQ19" i="43" s="1"/>
  <c r="AL182" i="43" a="1"/>
  <c r="AL182" i="43" s="1"/>
  <c r="AI182" i="43" a="1"/>
  <c r="AI182" i="43" s="1"/>
  <c r="AT19" i="43" s="1"/>
  <c r="AD182" i="43" a="1"/>
  <c r="AD182" i="43" s="1"/>
  <c r="AN182" i="43" a="1"/>
  <c r="AN182" i="43" s="1"/>
  <c r="AK182" i="43" a="1"/>
  <c r="AK182" i="43" s="1"/>
  <c r="AF182" i="43" a="1"/>
  <c r="AF182" i="43" s="1"/>
  <c r="AC182" i="43" a="1"/>
  <c r="AC182" i="43" s="1"/>
  <c r="AR19" i="43" s="1"/>
  <c r="AM146" i="43" a="1"/>
  <c r="AM146" i="43" s="1"/>
  <c r="AH146" i="43" a="1"/>
  <c r="AH146" i="43" s="1"/>
  <c r="AE146" i="43" a="1"/>
  <c r="AE146" i="43" s="1"/>
  <c r="AA147" i="43"/>
  <c r="AJ146" i="43" a="1"/>
  <c r="AJ146" i="43" s="1"/>
  <c r="AG146" i="43" a="1"/>
  <c r="AG146" i="43" s="1"/>
  <c r="AL146" i="43" a="1"/>
  <c r="AL146" i="43" s="1"/>
  <c r="AI146" i="43" a="1"/>
  <c r="AI146" i="43" s="1"/>
  <c r="AD146" i="43" a="1"/>
  <c r="AD146" i="43" s="1"/>
  <c r="AN146" i="43" a="1"/>
  <c r="AN146" i="43" s="1"/>
  <c r="AK146" i="43" a="1"/>
  <c r="AK146" i="43" s="1"/>
  <c r="AF146" i="43" a="1"/>
  <c r="AF146" i="43" s="1"/>
  <c r="AC146" i="43" a="1"/>
  <c r="AC146" i="43" s="1"/>
  <c r="AN194" i="43" a="1"/>
  <c r="AN194" i="43" s="1"/>
  <c r="AI194" i="43" a="1"/>
  <c r="AI194" i="43" s="1"/>
  <c r="AF194" i="43" a="1"/>
  <c r="AF194" i="43" s="1"/>
  <c r="AK194" i="43" a="1"/>
  <c r="AK194" i="43" s="1"/>
  <c r="AH194" i="43" a="1"/>
  <c r="AH194" i="43" s="1"/>
  <c r="AC194" i="43" a="1"/>
  <c r="AC194" i="43" s="1"/>
  <c r="AM194" i="43" a="1"/>
  <c r="AM194" i="43" s="1"/>
  <c r="AJ194" i="43" a="1"/>
  <c r="AJ194" i="43" s="1"/>
  <c r="AE194" i="43" a="1"/>
  <c r="AE194" i="43" s="1"/>
  <c r="AA195" i="43"/>
  <c r="AL194" i="43" a="1"/>
  <c r="AL194" i="43" s="1"/>
  <c r="AG194" i="43" a="1"/>
  <c r="AG194" i="43" s="1"/>
  <c r="AD194" i="43" a="1"/>
  <c r="AD194" i="43" s="1"/>
  <c r="Y292" i="43"/>
  <c r="AA292" i="43" s="1"/>
  <c r="AA279" i="43"/>
  <c r="AA207" i="43"/>
  <c r="AJ206" i="43" a="1"/>
  <c r="AJ206" i="43" s="1"/>
  <c r="AG206" i="43" a="1"/>
  <c r="AG206" i="43" s="1"/>
  <c r="AL206" i="43" a="1"/>
  <c r="AL206" i="43" s="1"/>
  <c r="AI206" i="43" a="1"/>
  <c r="AI206" i="43" s="1"/>
  <c r="AD206" i="43" a="1"/>
  <c r="AD206" i="43" s="1"/>
  <c r="AN206" i="43" a="1"/>
  <c r="AN206" i="43" s="1"/>
  <c r="AK206" i="43" a="1"/>
  <c r="AK206" i="43" s="1"/>
  <c r="AF206" i="43" a="1"/>
  <c r="AF206" i="43" s="1"/>
  <c r="AC206" i="43" a="1"/>
  <c r="AC206" i="43" s="1"/>
  <c r="AM206" i="43" a="1"/>
  <c r="AM206" i="43" s="1"/>
  <c r="AH206" i="43" a="1"/>
  <c r="AH206" i="43" s="1"/>
  <c r="AE206" i="43" a="1"/>
  <c r="AE206" i="43" s="1"/>
  <c r="AK158" i="43" a="1"/>
  <c r="AK158" i="43" s="1"/>
  <c r="AH158" i="43" a="1"/>
  <c r="AH158" i="43" s="1"/>
  <c r="AC158" i="43" a="1"/>
  <c r="AC158" i="43" s="1"/>
  <c r="AM158" i="43" a="1"/>
  <c r="AM158" i="43" s="1"/>
  <c r="AJ158" i="43" a="1"/>
  <c r="AJ158" i="43" s="1"/>
  <c r="AE158" i="43" a="1"/>
  <c r="AE158" i="43" s="1"/>
  <c r="AA159" i="43"/>
  <c r="AL158" i="43" a="1"/>
  <c r="AL158" i="43" s="1"/>
  <c r="AG158" i="43" a="1"/>
  <c r="AG158" i="43" s="1"/>
  <c r="AD158" i="43" a="1"/>
  <c r="AD158" i="43" s="1"/>
  <c r="AN158" i="43" a="1"/>
  <c r="AN158" i="43" s="1"/>
  <c r="AI158" i="43" a="1"/>
  <c r="AI158" i="43" s="1"/>
  <c r="AF158" i="43" a="1"/>
  <c r="AF158" i="43" s="1"/>
  <c r="AX25" i="43"/>
  <c r="AL218" i="43" a="1"/>
  <c r="AL218" i="43" s="1"/>
  <c r="AI218" i="43" a="1"/>
  <c r="AI218" i="43" s="1"/>
  <c r="AD218" i="43" a="1"/>
  <c r="AD218" i="43" s="1"/>
  <c r="AN218" i="43" a="1"/>
  <c r="AN218" i="43" s="1"/>
  <c r="AK218" i="43" a="1"/>
  <c r="AK218" i="43" s="1"/>
  <c r="AF218" i="43" a="1"/>
  <c r="AF218" i="43" s="1"/>
  <c r="AC218" i="43" a="1"/>
  <c r="AC218" i="43" s="1"/>
  <c r="AM218" i="43" a="1"/>
  <c r="AM218" i="43" s="1"/>
  <c r="AH218" i="43" a="1"/>
  <c r="AH218" i="43" s="1"/>
  <c r="AE218" i="43" a="1"/>
  <c r="AE218" i="43" s="1"/>
  <c r="AA219" i="43"/>
  <c r="AJ218" i="43" a="1"/>
  <c r="AJ218" i="43" s="1"/>
  <c r="AG218" i="43" a="1"/>
  <c r="AG218" i="43" s="1"/>
  <c r="AL230" i="43" a="1"/>
  <c r="AL230" i="43" s="1"/>
  <c r="AH230" i="43" a="1"/>
  <c r="AH230" i="43" s="1"/>
  <c r="AD230" i="43" a="1"/>
  <c r="AD230" i="43" s="1"/>
  <c r="AA231" i="43"/>
  <c r="AK230" i="43" a="1"/>
  <c r="AK230" i="43" s="1"/>
  <c r="AG230" i="43" a="1"/>
  <c r="AG230" i="43" s="1"/>
  <c r="AC230" i="43" a="1"/>
  <c r="AC230" i="43" s="1"/>
  <c r="AN230" i="43" a="1"/>
  <c r="AN230" i="43" s="1"/>
  <c r="AJ230" i="43" a="1"/>
  <c r="AJ230" i="43" s="1"/>
  <c r="AF230" i="43" a="1"/>
  <c r="AF230" i="43" s="1"/>
  <c r="AI230" i="43" a="1"/>
  <c r="AI230" i="43" s="1"/>
  <c r="AE230" i="43" a="1"/>
  <c r="AE230" i="43" s="1"/>
  <c r="AM230" i="43" a="1"/>
  <c r="AM230" i="43" s="1"/>
  <c r="AA267" i="43"/>
  <c r="AL266" i="43" a="1"/>
  <c r="AL266" i="43" s="1"/>
  <c r="AG266" i="43" a="1"/>
  <c r="AG266" i="43" s="1"/>
  <c r="AD266" i="43" a="1"/>
  <c r="AD266" i="43" s="1"/>
  <c r="AN266" i="43" a="1"/>
  <c r="AN266" i="43" s="1"/>
  <c r="AI266" i="43" a="1"/>
  <c r="AI266" i="43" s="1"/>
  <c r="AF266" i="43" a="1"/>
  <c r="AF266" i="43" s="1"/>
  <c r="AK266" i="43" a="1"/>
  <c r="AK266" i="43" s="1"/>
  <c r="AZ26" i="43" s="1"/>
  <c r="AH266" i="43" a="1"/>
  <c r="AH266" i="43" s="1"/>
  <c r="AC266" i="43" a="1"/>
  <c r="AC266" i="43" s="1"/>
  <c r="AM266" i="43" a="1"/>
  <c r="AM266" i="43" s="1"/>
  <c r="AE266" i="43" a="1"/>
  <c r="AE266" i="43" s="1"/>
  <c r="AW26" i="43" s="1"/>
  <c r="AJ266" i="43" a="1"/>
  <c r="AJ266" i="43" s="1"/>
  <c r="AP26" i="43"/>
  <c r="AV25" i="43"/>
  <c r="AY25" i="43"/>
  <c r="BA25" i="43"/>
  <c r="AA243" i="43"/>
  <c r="AK242" i="43" a="1"/>
  <c r="AK242" i="43" s="1"/>
  <c r="AG242" i="43" a="1"/>
  <c r="AG242" i="43" s="1"/>
  <c r="AC242" i="43" a="1"/>
  <c r="AC242" i="43" s="1"/>
  <c r="AN242" i="43" a="1"/>
  <c r="AN242" i="43" s="1"/>
  <c r="AJ242" i="43" a="1"/>
  <c r="AJ242" i="43" s="1"/>
  <c r="AF242" i="43" a="1"/>
  <c r="AF242" i="43" s="1"/>
  <c r="AM242" i="43" a="1"/>
  <c r="AM242" i="43" s="1"/>
  <c r="AI242" i="43" a="1"/>
  <c r="AI242" i="43" s="1"/>
  <c r="AE242" i="43" a="1"/>
  <c r="AE242" i="43" s="1"/>
  <c r="AD242" i="43" a="1"/>
  <c r="AD242" i="43" s="1"/>
  <c r="AL242" i="43" a="1"/>
  <c r="AL242" i="43" s="1"/>
  <c r="AH242" i="43" a="1"/>
  <c r="AH242" i="43" s="1"/>
  <c r="AN170" i="43" a="1"/>
  <c r="AN170" i="43" s="1"/>
  <c r="AI170" i="43" a="1"/>
  <c r="AI170" i="43" s="1"/>
  <c r="AF170" i="43" a="1"/>
  <c r="AF170" i="43" s="1"/>
  <c r="AJ170" i="43" a="1"/>
  <c r="AJ170" i="43" s="1"/>
  <c r="AG170" i="43" a="1"/>
  <c r="AG170" i="43" s="1"/>
  <c r="AC170" i="43" a="1"/>
  <c r="AC170" i="43" s="1"/>
  <c r="AM170" i="43" a="1"/>
  <c r="AM170" i="43" s="1"/>
  <c r="AL170" i="43" a="1"/>
  <c r="AL170" i="43" s="1"/>
  <c r="AH170" i="43" a="1"/>
  <c r="AH170" i="43" s="1"/>
  <c r="AE170" i="43" a="1"/>
  <c r="AE170" i="43" s="1"/>
  <c r="AA171" i="43"/>
  <c r="AK170" i="43" a="1"/>
  <c r="AK170" i="43" s="1"/>
  <c r="AD170" i="43" a="1"/>
  <c r="AD170" i="43" s="1"/>
  <c r="AM254" i="43" a="1"/>
  <c r="AM254" i="43" s="1"/>
  <c r="AH254" i="43" a="1"/>
  <c r="AH254" i="43" s="1"/>
  <c r="AE254" i="43" a="1"/>
  <c r="AE254" i="43" s="1"/>
  <c r="AA255" i="43"/>
  <c r="AJ254" i="43" a="1"/>
  <c r="AJ254" i="43" s="1"/>
  <c r="AG254" i="43" a="1"/>
  <c r="AG254" i="43" s="1"/>
  <c r="AL254" i="43" a="1"/>
  <c r="AL254" i="43" s="1"/>
  <c r="AI254" i="43" a="1"/>
  <c r="AI254" i="43" s="1"/>
  <c r="AD254" i="43" a="1"/>
  <c r="AD254" i="43" s="1"/>
  <c r="AN254" i="43" a="1"/>
  <c r="AN254" i="43" s="1"/>
  <c r="AK254" i="43" a="1"/>
  <c r="AK254" i="43" s="1"/>
  <c r="AF254" i="43" a="1"/>
  <c r="AF254" i="43" s="1"/>
  <c r="AC254" i="43" a="1"/>
  <c r="AC254" i="43" s="1"/>
  <c r="AM134" i="43" a="1"/>
  <c r="AM134" i="43" s="1"/>
  <c r="AJ134" i="43" a="1"/>
  <c r="AJ134" i="43" s="1"/>
  <c r="AE134" i="43" a="1"/>
  <c r="AE134" i="43" s="1"/>
  <c r="AL134" i="43" a="1"/>
  <c r="AL134" i="43" s="1"/>
  <c r="AG134" i="43" a="1"/>
  <c r="AG134" i="43" s="1"/>
  <c r="AD134" i="43" a="1"/>
  <c r="AD134" i="43" s="1"/>
  <c r="AN134" i="43" a="1"/>
  <c r="AN134" i="43" s="1"/>
  <c r="AI134" i="43" a="1"/>
  <c r="AI134" i="43" s="1"/>
  <c r="AF134" i="43" a="1"/>
  <c r="AF134" i="43" s="1"/>
  <c r="AW15" i="43" s="1"/>
  <c r="AK134" i="43" a="1"/>
  <c r="AK134" i="43" s="1"/>
  <c r="AH134" i="43" a="1"/>
  <c r="AH134" i="43" s="1"/>
  <c r="AC134" i="43" a="1"/>
  <c r="AC134" i="43" s="1"/>
  <c r="AZ15" i="43" l="1"/>
  <c r="AV15" i="43"/>
  <c r="AY15" i="43"/>
  <c r="AN243" i="43" a="1"/>
  <c r="AN243" i="43" s="1"/>
  <c r="AJ243" i="43" a="1"/>
  <c r="AJ243" i="43" s="1"/>
  <c r="AF243" i="43" a="1"/>
  <c r="AF243" i="43" s="1"/>
  <c r="AM243" i="43" a="1"/>
  <c r="AM243" i="43" s="1"/>
  <c r="AI243" i="43" a="1"/>
  <c r="AI243" i="43" s="1"/>
  <c r="AE243" i="43" a="1"/>
  <c r="AE243" i="43" s="1"/>
  <c r="AL243" i="43" a="1"/>
  <c r="AL243" i="43" s="1"/>
  <c r="AH243" i="43" a="1"/>
  <c r="AH243" i="43" s="1"/>
  <c r="AD243" i="43" a="1"/>
  <c r="AD243" i="43" s="1"/>
  <c r="AG243" i="43" a="1"/>
  <c r="AG243" i="43" s="1"/>
  <c r="AC243" i="43" a="1"/>
  <c r="AC243" i="43" s="1"/>
  <c r="AA244" i="43"/>
  <c r="AK243" i="43" a="1"/>
  <c r="AK243" i="43" s="1"/>
  <c r="AA268" i="43"/>
  <c r="AJ267" i="43" a="1"/>
  <c r="AJ267" i="43" s="1"/>
  <c r="AG267" i="43" a="1"/>
  <c r="AG267" i="43" s="1"/>
  <c r="AL267" i="43" a="1"/>
  <c r="AL267" i="43" s="1"/>
  <c r="AI267" i="43" a="1"/>
  <c r="AI267" i="43" s="1"/>
  <c r="AD267" i="43" a="1"/>
  <c r="AD267" i="43" s="1"/>
  <c r="AN267" i="43" a="1"/>
  <c r="AN267" i="43" s="1"/>
  <c r="AK267" i="43" a="1"/>
  <c r="AK267" i="43" s="1"/>
  <c r="AF267" i="43" a="1"/>
  <c r="AF267" i="43" s="1"/>
  <c r="AC267" i="43" a="1"/>
  <c r="AC267" i="43" s="1"/>
  <c r="AM267" i="43" a="1"/>
  <c r="AM267" i="43" s="1"/>
  <c r="AH267" i="43" a="1"/>
  <c r="AH267" i="43" s="1"/>
  <c r="AE267" i="43" a="1"/>
  <c r="AE267" i="43" s="1"/>
  <c r="AA220" i="43"/>
  <c r="AL219" i="43" a="1"/>
  <c r="AL219" i="43" s="1"/>
  <c r="AG219" i="43" a="1"/>
  <c r="AG219" i="43" s="1"/>
  <c r="AD219" i="43" a="1"/>
  <c r="AD219" i="43" s="1"/>
  <c r="AN219" i="43" a="1"/>
  <c r="AN219" i="43" s="1"/>
  <c r="AI219" i="43" a="1"/>
  <c r="AI219" i="43" s="1"/>
  <c r="AF219" i="43" a="1"/>
  <c r="AF219" i="43" s="1"/>
  <c r="AK219" i="43" a="1"/>
  <c r="AK219" i="43" s="1"/>
  <c r="AH219" i="43" a="1"/>
  <c r="AH219" i="43" s="1"/>
  <c r="AC219" i="43" a="1"/>
  <c r="AC219" i="43" s="1"/>
  <c r="AM219" i="43" a="1"/>
  <c r="AM219" i="43" s="1"/>
  <c r="AJ219" i="43" a="1"/>
  <c r="AJ219" i="43" s="1"/>
  <c r="AE219" i="43" a="1"/>
  <c r="AE219" i="43" s="1"/>
  <c r="AM292" i="43" a="1"/>
  <c r="AM292" i="43" s="1"/>
  <c r="AI292" i="43" a="1"/>
  <c r="AI292" i="43" s="1"/>
  <c r="AE292" i="43" a="1"/>
  <c r="AE292" i="43" s="1"/>
  <c r="AW28" i="43" s="1"/>
  <c r="AL292" i="43" a="1"/>
  <c r="AL292" i="43" s="1"/>
  <c r="AH292" i="43" a="1"/>
  <c r="AH292" i="43" s="1"/>
  <c r="AD292" i="43" a="1"/>
  <c r="AD292" i="43" s="1"/>
  <c r="AA293" i="43"/>
  <c r="AK292" i="43" a="1"/>
  <c r="AK292" i="43" s="1"/>
  <c r="AZ28" i="43" s="1"/>
  <c r="AG292" i="43" a="1"/>
  <c r="AG292" i="43" s="1"/>
  <c r="AC292" i="43" a="1"/>
  <c r="AC292" i="43" s="1"/>
  <c r="AN292" i="43" a="1"/>
  <c r="AN292" i="43" s="1"/>
  <c r="AJ292" i="43" a="1"/>
  <c r="AJ292" i="43" s="1"/>
  <c r="AF292" i="43" a="1"/>
  <c r="AF292" i="43" s="1"/>
  <c r="AP28" i="43"/>
  <c r="AL195" i="43" a="1"/>
  <c r="AL195" i="43" s="1"/>
  <c r="AI195" i="43" a="1"/>
  <c r="AI195" i="43" s="1"/>
  <c r="AT20" i="43" s="1"/>
  <c r="AD195" i="43" a="1"/>
  <c r="AD195" i="43" s="1"/>
  <c r="AN195" i="43" a="1"/>
  <c r="AN195" i="43" s="1"/>
  <c r="AK195" i="43" a="1"/>
  <c r="AK195" i="43" s="1"/>
  <c r="AF195" i="43" a="1"/>
  <c r="AF195" i="43" s="1"/>
  <c r="AC195" i="43" a="1"/>
  <c r="AC195" i="43" s="1"/>
  <c r="AR20" i="43" s="1"/>
  <c r="AM195" i="43" a="1"/>
  <c r="AM195" i="43" s="1"/>
  <c r="AS20" i="43" s="1"/>
  <c r="AH195" i="43" a="1"/>
  <c r="AH195" i="43" s="1"/>
  <c r="AE195" i="43" a="1"/>
  <c r="AE195" i="43" s="1"/>
  <c r="AA196" i="43"/>
  <c r="AJ195" i="43" a="1"/>
  <c r="AJ195" i="43" s="1"/>
  <c r="AG195" i="43" a="1"/>
  <c r="AG195" i="43" s="1"/>
  <c r="AQ20" i="43" s="1"/>
  <c r="AK183" i="43" a="1"/>
  <c r="AK183" i="43" s="1"/>
  <c r="AH183" i="43" a="1"/>
  <c r="AH183" i="43" s="1"/>
  <c r="AC183" i="43" a="1"/>
  <c r="AC183" i="43" s="1"/>
  <c r="AM183" i="43" a="1"/>
  <c r="AM183" i="43" s="1"/>
  <c r="AJ183" i="43" a="1"/>
  <c r="AJ183" i="43" s="1"/>
  <c r="AE183" i="43" a="1"/>
  <c r="AE183" i="43" s="1"/>
  <c r="AA184" i="43"/>
  <c r="AL183" i="43" a="1"/>
  <c r="AL183" i="43" s="1"/>
  <c r="AG183" i="43" a="1"/>
  <c r="AG183" i="43" s="1"/>
  <c r="AD183" i="43" a="1"/>
  <c r="AD183" i="43" s="1"/>
  <c r="AN183" i="43" a="1"/>
  <c r="AN183" i="43" s="1"/>
  <c r="AI183" i="43" a="1"/>
  <c r="AI183" i="43" s="1"/>
  <c r="AF183" i="43" a="1"/>
  <c r="AF183" i="43" s="1"/>
  <c r="AL171" i="43" a="1"/>
  <c r="AL171" i="43" s="1"/>
  <c r="AI171" i="43" a="1"/>
  <c r="AI171" i="43" s="1"/>
  <c r="AD171" i="43" a="1"/>
  <c r="AD171" i="43" s="1"/>
  <c r="AN171" i="43" a="1"/>
  <c r="AN171" i="43" s="1"/>
  <c r="AK171" i="43" a="1"/>
  <c r="AK171" i="43" s="1"/>
  <c r="AH171" i="43" a="1"/>
  <c r="AH171" i="43" s="1"/>
  <c r="AG171" i="43" a="1"/>
  <c r="AG171" i="43" s="1"/>
  <c r="AC171" i="43" a="1"/>
  <c r="AC171" i="43" s="1"/>
  <c r="AA172" i="43"/>
  <c r="AJ171" i="43" a="1"/>
  <c r="AJ171" i="43" s="1"/>
  <c r="AF171" i="43" a="1"/>
  <c r="AF171" i="43" s="1"/>
  <c r="AM171" i="43" a="1"/>
  <c r="AM171" i="43" s="1"/>
  <c r="AE171" i="43" a="1"/>
  <c r="AE171" i="43" s="1"/>
  <c r="BA26" i="43"/>
  <c r="AX26" i="43"/>
  <c r="AA232" i="43"/>
  <c r="AK231" i="43" a="1"/>
  <c r="AK231" i="43" s="1"/>
  <c r="AG231" i="43" a="1"/>
  <c r="AG231" i="43" s="1"/>
  <c r="AC231" i="43" a="1"/>
  <c r="AC231" i="43" s="1"/>
  <c r="AN231" i="43" a="1"/>
  <c r="AN231" i="43" s="1"/>
  <c r="AJ231" i="43" a="1"/>
  <c r="AJ231" i="43" s="1"/>
  <c r="AF231" i="43" a="1"/>
  <c r="AF231" i="43" s="1"/>
  <c r="AM231" i="43" a="1"/>
  <c r="AM231" i="43" s="1"/>
  <c r="AI231" i="43" a="1"/>
  <c r="AI231" i="43" s="1"/>
  <c r="AE231" i="43" a="1"/>
  <c r="AE231" i="43" s="1"/>
  <c r="AL231" i="43" a="1"/>
  <c r="AL231" i="43" s="1"/>
  <c r="AH231" i="43" a="1"/>
  <c r="AH231" i="43" s="1"/>
  <c r="AD231" i="43" a="1"/>
  <c r="AD231" i="43" s="1"/>
  <c r="AM207" i="43" a="1"/>
  <c r="AM207" i="43" s="1"/>
  <c r="AJ207" i="43" a="1"/>
  <c r="AJ207" i="43" s="1"/>
  <c r="AE207" i="43" a="1"/>
  <c r="AE207" i="43" s="1"/>
  <c r="AA208" i="43"/>
  <c r="AL207" i="43" a="1"/>
  <c r="AL207" i="43" s="1"/>
  <c r="AG207" i="43" a="1"/>
  <c r="AG207" i="43" s="1"/>
  <c r="AD207" i="43" a="1"/>
  <c r="AD207" i="43" s="1"/>
  <c r="AN207" i="43" a="1"/>
  <c r="AN207" i="43" s="1"/>
  <c r="AI207" i="43" a="1"/>
  <c r="AI207" i="43" s="1"/>
  <c r="AF207" i="43" a="1"/>
  <c r="AF207" i="43" s="1"/>
  <c r="AK207" i="43" a="1"/>
  <c r="AK207" i="43" s="1"/>
  <c r="AH207" i="43" a="1"/>
  <c r="AH207" i="43" s="1"/>
  <c r="AC207" i="43" a="1"/>
  <c r="AC207" i="43" s="1"/>
  <c r="AK255" i="43" a="1"/>
  <c r="AK255" i="43" s="1"/>
  <c r="AH255" i="43" a="1"/>
  <c r="AH255" i="43" s="1"/>
  <c r="AC255" i="43" a="1"/>
  <c r="AC255" i="43" s="1"/>
  <c r="AM255" i="43" a="1"/>
  <c r="AM255" i="43" s="1"/>
  <c r="AJ255" i="43" a="1"/>
  <c r="AJ255" i="43" s="1"/>
  <c r="AE255" i="43" a="1"/>
  <c r="AE255" i="43" s="1"/>
  <c r="AA256" i="43"/>
  <c r="AL255" i="43" a="1"/>
  <c r="AL255" i="43" s="1"/>
  <c r="AG255" i="43" a="1"/>
  <c r="AG255" i="43" s="1"/>
  <c r="AD255" i="43" a="1"/>
  <c r="AD255" i="43" s="1"/>
  <c r="AN255" i="43" a="1"/>
  <c r="AN255" i="43" s="1"/>
  <c r="AI255" i="43" a="1"/>
  <c r="AI255" i="43" s="1"/>
  <c r="AF255" i="43" a="1"/>
  <c r="AF255" i="43" s="1"/>
  <c r="AV26" i="43"/>
  <c r="AY26" i="43"/>
  <c r="AN159" i="43" a="1"/>
  <c r="AN159" i="43" s="1"/>
  <c r="AK159" i="43" a="1"/>
  <c r="AK159" i="43" s="1"/>
  <c r="AF159" i="43" a="1"/>
  <c r="AF159" i="43" s="1"/>
  <c r="AC159" i="43" a="1"/>
  <c r="AC159" i="43" s="1"/>
  <c r="AM159" i="43" a="1"/>
  <c r="AM159" i="43" s="1"/>
  <c r="AH159" i="43" a="1"/>
  <c r="AH159" i="43" s="1"/>
  <c r="AE159" i="43" a="1"/>
  <c r="AE159" i="43" s="1"/>
  <c r="AA160" i="43"/>
  <c r="AJ159" i="43" a="1"/>
  <c r="AJ159" i="43" s="1"/>
  <c r="AG159" i="43" a="1"/>
  <c r="AG159" i="43" s="1"/>
  <c r="AL159" i="43" a="1"/>
  <c r="AL159" i="43" s="1"/>
  <c r="AI159" i="43" a="1"/>
  <c r="AI159" i="43" s="1"/>
  <c r="AD159" i="43" a="1"/>
  <c r="AD159" i="43" s="1"/>
  <c r="AK279" i="43" a="1"/>
  <c r="AK279" i="43" s="1"/>
  <c r="AZ27" i="43" s="1"/>
  <c r="AH279" i="43" a="1"/>
  <c r="AH279" i="43" s="1"/>
  <c r="AC279" i="43" a="1"/>
  <c r="AC279" i="43" s="1"/>
  <c r="AM279" i="43" a="1"/>
  <c r="AM279" i="43" s="1"/>
  <c r="AJ279" i="43" a="1"/>
  <c r="AJ279" i="43" s="1"/>
  <c r="AE279" i="43" a="1"/>
  <c r="AE279" i="43" s="1"/>
  <c r="AW27" i="43" s="1"/>
  <c r="AA280" i="43"/>
  <c r="AL279" i="43" a="1"/>
  <c r="AL279" i="43" s="1"/>
  <c r="AG279" i="43" a="1"/>
  <c r="AG279" i="43" s="1"/>
  <c r="AD279" i="43" a="1"/>
  <c r="AD279" i="43" s="1"/>
  <c r="AN279" i="43" a="1"/>
  <c r="AN279" i="43" s="1"/>
  <c r="AI279" i="43" a="1"/>
  <c r="AI279" i="43" s="1"/>
  <c r="AF279" i="43" a="1"/>
  <c r="AF279" i="43" s="1"/>
  <c r="AP27" i="43"/>
  <c r="AK147" i="43" a="1"/>
  <c r="AK147" i="43" s="1"/>
  <c r="AH147" i="43" a="1"/>
  <c r="AH147" i="43" s="1"/>
  <c r="AC147" i="43" a="1"/>
  <c r="AC147" i="43" s="1"/>
  <c r="AM147" i="43" a="1"/>
  <c r="AM147" i="43" s="1"/>
  <c r="AJ147" i="43" a="1"/>
  <c r="AJ147" i="43" s="1"/>
  <c r="AE147" i="43" a="1"/>
  <c r="AE147" i="43" s="1"/>
  <c r="AL147" i="43" a="1"/>
  <c r="AL147" i="43" s="1"/>
  <c r="AG147" i="43" a="1"/>
  <c r="AG147" i="43" s="1"/>
  <c r="AD147" i="43" a="1"/>
  <c r="AD147" i="43" s="1"/>
  <c r="AN147" i="43" a="1"/>
  <c r="AN147" i="43" s="1"/>
  <c r="AI147" i="43" a="1"/>
  <c r="AI147" i="43" s="1"/>
  <c r="AF147" i="43" a="1"/>
  <c r="AF147" i="43" s="1"/>
  <c r="AY27" i="43" l="1"/>
  <c r="BA27" i="43"/>
  <c r="AA173" i="43"/>
  <c r="AL172" i="43" a="1"/>
  <c r="AL172" i="43" s="1"/>
  <c r="AG172" i="43" a="1"/>
  <c r="AG172" i="43" s="1"/>
  <c r="AD172" i="43" a="1"/>
  <c r="AD172" i="43" s="1"/>
  <c r="AN172" i="43" a="1"/>
  <c r="AN172" i="43" s="1"/>
  <c r="AI172" i="43" a="1"/>
  <c r="AI172" i="43" s="1"/>
  <c r="AF172" i="43" a="1"/>
  <c r="AF172" i="43" s="1"/>
  <c r="AK172" i="43" a="1"/>
  <c r="AK172" i="43" s="1"/>
  <c r="AJ172" i="43" a="1"/>
  <c r="AJ172" i="43" s="1"/>
  <c r="AE172" i="43" a="1"/>
  <c r="AE172" i="43" s="1"/>
  <c r="AH172" i="43" a="1"/>
  <c r="AH172" i="43" s="1"/>
  <c r="AC172" i="43" a="1"/>
  <c r="AC172" i="43" s="1"/>
  <c r="AM172" i="43" a="1"/>
  <c r="AM172" i="43" s="1"/>
  <c r="AA197" i="43"/>
  <c r="AL196" i="43" a="1"/>
  <c r="AL196" i="43" s="1"/>
  <c r="AG196" i="43" a="1"/>
  <c r="AG196" i="43" s="1"/>
  <c r="AD196" i="43" a="1"/>
  <c r="AD196" i="43" s="1"/>
  <c r="AN196" i="43" a="1"/>
  <c r="AN196" i="43" s="1"/>
  <c r="AI196" i="43" a="1"/>
  <c r="AI196" i="43" s="1"/>
  <c r="AF196" i="43" a="1"/>
  <c r="AF196" i="43" s="1"/>
  <c r="AK196" i="43" a="1"/>
  <c r="AK196" i="43" s="1"/>
  <c r="AH196" i="43" a="1"/>
  <c r="AH196" i="43" s="1"/>
  <c r="AC196" i="43" a="1"/>
  <c r="AC196" i="43" s="1"/>
  <c r="AM196" i="43" a="1"/>
  <c r="AM196" i="43" s="1"/>
  <c r="AJ196" i="43" a="1"/>
  <c r="AJ196" i="43" s="1"/>
  <c r="AE196" i="43" a="1"/>
  <c r="AE196" i="43" s="1"/>
  <c r="AX28" i="43"/>
  <c r="BA28" i="43"/>
  <c r="AM244" i="43" a="1"/>
  <c r="AM244" i="43" s="1"/>
  <c r="AI244" i="43" a="1"/>
  <c r="AI244" i="43" s="1"/>
  <c r="AE244" i="43" a="1"/>
  <c r="AE244" i="43" s="1"/>
  <c r="AL244" i="43" a="1"/>
  <c r="AL244" i="43" s="1"/>
  <c r="AH244" i="43" a="1"/>
  <c r="AH244" i="43" s="1"/>
  <c r="AD244" i="43" a="1"/>
  <c r="AD244" i="43" s="1"/>
  <c r="AA245" i="43"/>
  <c r="AK244" i="43" a="1"/>
  <c r="AK244" i="43" s="1"/>
  <c r="AG244" i="43" a="1"/>
  <c r="AG244" i="43" s="1"/>
  <c r="AC244" i="43" a="1"/>
  <c r="AC244" i="43" s="1"/>
  <c r="AJ244" i="43" a="1"/>
  <c r="AJ244" i="43" s="1"/>
  <c r="AF244" i="43" a="1"/>
  <c r="AF244" i="43" s="1"/>
  <c r="AN244" i="43" a="1"/>
  <c r="AN244" i="43" s="1"/>
  <c r="AA221" i="43"/>
  <c r="AJ220" i="43" a="1"/>
  <c r="AJ220" i="43" s="1"/>
  <c r="AG220" i="43" a="1"/>
  <c r="AG220" i="43" s="1"/>
  <c r="AL220" i="43" a="1"/>
  <c r="AL220" i="43" s="1"/>
  <c r="AI220" i="43" a="1"/>
  <c r="AI220" i="43" s="1"/>
  <c r="AD220" i="43" a="1"/>
  <c r="AD220" i="43" s="1"/>
  <c r="AN220" i="43" a="1"/>
  <c r="AN220" i="43" s="1"/>
  <c r="AK220" i="43" a="1"/>
  <c r="AK220" i="43" s="1"/>
  <c r="AF220" i="43" a="1"/>
  <c r="AF220" i="43" s="1"/>
  <c r="AC220" i="43" a="1"/>
  <c r="AC220" i="43" s="1"/>
  <c r="AM220" i="43" a="1"/>
  <c r="AM220" i="43" s="1"/>
  <c r="AH220" i="43" a="1"/>
  <c r="AH220" i="43" s="1"/>
  <c r="AE220" i="43" a="1"/>
  <c r="AE220" i="43" s="1"/>
  <c r="AA294" i="43"/>
  <c r="AK293" i="43" a="1"/>
  <c r="AK293" i="43" s="1"/>
  <c r="AG293" i="43" a="1"/>
  <c r="AG293" i="43" s="1"/>
  <c r="AC293" i="43" a="1"/>
  <c r="AC293" i="43" s="1"/>
  <c r="AN293" i="43" a="1"/>
  <c r="AN293" i="43" s="1"/>
  <c r="AJ293" i="43" a="1"/>
  <c r="AJ293" i="43" s="1"/>
  <c r="AF293" i="43" a="1"/>
  <c r="AF293" i="43" s="1"/>
  <c r="AM293" i="43" a="1"/>
  <c r="AM293" i="43" s="1"/>
  <c r="AI293" i="43" a="1"/>
  <c r="AI293" i="43" s="1"/>
  <c r="AE293" i="43" a="1"/>
  <c r="AE293" i="43" s="1"/>
  <c r="AL293" i="43" a="1"/>
  <c r="AL293" i="43" s="1"/>
  <c r="AH293" i="43" a="1"/>
  <c r="AH293" i="43" s="1"/>
  <c r="AD293" i="43" a="1"/>
  <c r="AD293" i="43" s="1"/>
  <c r="AM268" i="43" a="1"/>
  <c r="AM268" i="43" s="1"/>
  <c r="AJ268" i="43" a="1"/>
  <c r="AJ268" i="43" s="1"/>
  <c r="AE268" i="43" a="1"/>
  <c r="AE268" i="43" s="1"/>
  <c r="AA269" i="43"/>
  <c r="AL268" i="43" a="1"/>
  <c r="AL268" i="43" s="1"/>
  <c r="AG268" i="43" a="1"/>
  <c r="AG268" i="43" s="1"/>
  <c r="AD268" i="43" a="1"/>
  <c r="AD268" i="43" s="1"/>
  <c r="AN268" i="43" a="1"/>
  <c r="AN268" i="43" s="1"/>
  <c r="AI268" i="43" a="1"/>
  <c r="AI268" i="43" s="1"/>
  <c r="AF268" i="43" a="1"/>
  <c r="AF268" i="43" s="1"/>
  <c r="AK268" i="43" a="1"/>
  <c r="AK268" i="43" s="1"/>
  <c r="AH268" i="43" a="1"/>
  <c r="AH268" i="43" s="1"/>
  <c r="AC268" i="43" a="1"/>
  <c r="AC268" i="43" s="1"/>
  <c r="AN280" i="43" a="1"/>
  <c r="AN280" i="43" s="1"/>
  <c r="AK280" i="43" a="1"/>
  <c r="AK280" i="43" s="1"/>
  <c r="AF280" i="43" a="1"/>
  <c r="AF280" i="43" s="1"/>
  <c r="AC280" i="43" a="1"/>
  <c r="AC280" i="43" s="1"/>
  <c r="AM280" i="43" a="1"/>
  <c r="AM280" i="43" s="1"/>
  <c r="AH280" i="43" a="1"/>
  <c r="AH280" i="43" s="1"/>
  <c r="AE280" i="43" a="1"/>
  <c r="AE280" i="43" s="1"/>
  <c r="AA281" i="43"/>
  <c r="AJ280" i="43" a="1"/>
  <c r="AJ280" i="43" s="1"/>
  <c r="AG280" i="43" a="1"/>
  <c r="AG280" i="43" s="1"/>
  <c r="AL280" i="43" a="1"/>
  <c r="AL280" i="43" s="1"/>
  <c r="AI280" i="43" a="1"/>
  <c r="AI280" i="43" s="1"/>
  <c r="AD280" i="43" a="1"/>
  <c r="AD280" i="43" s="1"/>
  <c r="AV27" i="43"/>
  <c r="AN160" i="43" a="1"/>
  <c r="AN160" i="43" s="1"/>
  <c r="AI160" i="43" a="1"/>
  <c r="AI160" i="43" s="1"/>
  <c r="AF160" i="43" a="1"/>
  <c r="AF160" i="43" s="1"/>
  <c r="AK160" i="43" a="1"/>
  <c r="AK160" i="43" s="1"/>
  <c r="AH160" i="43" a="1"/>
  <c r="AH160" i="43" s="1"/>
  <c r="AC160" i="43" a="1"/>
  <c r="AC160" i="43" s="1"/>
  <c r="AM160" i="43" a="1"/>
  <c r="AM160" i="43" s="1"/>
  <c r="AJ160" i="43" a="1"/>
  <c r="AJ160" i="43" s="1"/>
  <c r="AE160" i="43" a="1"/>
  <c r="AE160" i="43" s="1"/>
  <c r="AL160" i="43" a="1"/>
  <c r="AL160" i="43" s="1"/>
  <c r="AG160" i="43" a="1"/>
  <c r="AG160" i="43" s="1"/>
  <c r="AD160" i="43" a="1"/>
  <c r="AD160" i="43" s="1"/>
  <c r="AX27" i="43"/>
  <c r="AN256" i="43" a="1"/>
  <c r="AN256" i="43" s="1"/>
  <c r="AK256" i="43" a="1"/>
  <c r="AK256" i="43" s="1"/>
  <c r="AF256" i="43" a="1"/>
  <c r="AF256" i="43" s="1"/>
  <c r="AC256" i="43" a="1"/>
  <c r="AC256" i="43" s="1"/>
  <c r="AM256" i="43" a="1"/>
  <c r="AM256" i="43" s="1"/>
  <c r="AH256" i="43" a="1"/>
  <c r="AH256" i="43" s="1"/>
  <c r="AE256" i="43" a="1"/>
  <c r="AE256" i="43" s="1"/>
  <c r="AA257" i="43"/>
  <c r="AJ256" i="43" a="1"/>
  <c r="AJ256" i="43" s="1"/>
  <c r="AG256" i="43" a="1"/>
  <c r="AG256" i="43" s="1"/>
  <c r="AL256" i="43" a="1"/>
  <c r="AL256" i="43" s="1"/>
  <c r="AI256" i="43" a="1"/>
  <c r="AI256" i="43" s="1"/>
  <c r="AD256" i="43" a="1"/>
  <c r="AD256" i="43" s="1"/>
  <c r="AM208" i="43" a="1"/>
  <c r="AM208" i="43" s="1"/>
  <c r="AS21" i="43" s="1"/>
  <c r="AH208" i="43" a="1"/>
  <c r="AH208" i="43" s="1"/>
  <c r="AE208" i="43" a="1"/>
  <c r="AE208" i="43" s="1"/>
  <c r="AA209" i="43"/>
  <c r="AJ208" i="43" a="1"/>
  <c r="AJ208" i="43" s="1"/>
  <c r="AG208" i="43" a="1"/>
  <c r="AG208" i="43" s="1"/>
  <c r="AQ21" i="43" s="1"/>
  <c r="AL208" i="43" a="1"/>
  <c r="AL208" i="43" s="1"/>
  <c r="AI208" i="43" a="1"/>
  <c r="AI208" i="43" s="1"/>
  <c r="AT21" i="43" s="1"/>
  <c r="AD208" i="43" a="1"/>
  <c r="AD208" i="43" s="1"/>
  <c r="AN208" i="43" a="1"/>
  <c r="AN208" i="43" s="1"/>
  <c r="AK208" i="43" a="1"/>
  <c r="AK208" i="43" s="1"/>
  <c r="AF208" i="43" a="1"/>
  <c r="AF208" i="43" s="1"/>
  <c r="AC208" i="43" a="1"/>
  <c r="AC208" i="43" s="1"/>
  <c r="AR21" i="43" s="1"/>
  <c r="AN232" i="43" a="1"/>
  <c r="AN232" i="43" s="1"/>
  <c r="AJ232" i="43" a="1"/>
  <c r="AJ232" i="43" s="1"/>
  <c r="AF232" i="43" a="1"/>
  <c r="AF232" i="43" s="1"/>
  <c r="AM232" i="43" a="1"/>
  <c r="AM232" i="43" s="1"/>
  <c r="AI232" i="43" a="1"/>
  <c r="AI232" i="43" s="1"/>
  <c r="AE232" i="43" a="1"/>
  <c r="AE232" i="43" s="1"/>
  <c r="AL232" i="43" a="1"/>
  <c r="AL232" i="43" s="1"/>
  <c r="AH232" i="43" a="1"/>
  <c r="AH232" i="43" s="1"/>
  <c r="AD232" i="43" a="1"/>
  <c r="AD232" i="43" s="1"/>
  <c r="AA233" i="43"/>
  <c r="AK232" i="43" a="1"/>
  <c r="AK232" i="43" s="1"/>
  <c r="AG232" i="43" a="1"/>
  <c r="AG232" i="43" s="1"/>
  <c r="AC232" i="43" a="1"/>
  <c r="AC232" i="43" s="1"/>
  <c r="AN184" i="43" a="1"/>
  <c r="AN184" i="43" s="1"/>
  <c r="AK184" i="43" a="1"/>
  <c r="AK184" i="43" s="1"/>
  <c r="AF184" i="43" a="1"/>
  <c r="AF184" i="43" s="1"/>
  <c r="AC184" i="43" a="1"/>
  <c r="AC184" i="43" s="1"/>
  <c r="AM184" i="43" a="1"/>
  <c r="AM184" i="43" s="1"/>
  <c r="AH184" i="43" a="1"/>
  <c r="AH184" i="43" s="1"/>
  <c r="AE184" i="43" a="1"/>
  <c r="AE184" i="43" s="1"/>
  <c r="AA185" i="43"/>
  <c r="AJ184" i="43" a="1"/>
  <c r="AJ184" i="43" s="1"/>
  <c r="AG184" i="43" a="1"/>
  <c r="AG184" i="43" s="1"/>
  <c r="AL184" i="43" a="1"/>
  <c r="AL184" i="43" s="1"/>
  <c r="AI184" i="43" a="1"/>
  <c r="AI184" i="43" s="1"/>
  <c r="AD184" i="43" a="1"/>
  <c r="AD184" i="43" s="1"/>
  <c r="AV28" i="43"/>
  <c r="AY28" i="43"/>
  <c r="AL209" i="43" l="1" a="1"/>
  <c r="AL209" i="43" s="1"/>
  <c r="AI209" i="43" a="1"/>
  <c r="AI209" i="43" s="1"/>
  <c r="AN209" i="43" a="1"/>
  <c r="AN209" i="43" s="1"/>
  <c r="AK209" i="43" a="1"/>
  <c r="AK209" i="43" s="1"/>
  <c r="AM209" i="43" a="1"/>
  <c r="AM209" i="43" s="1"/>
  <c r="AC209" i="43" a="1"/>
  <c r="AC209" i="43" s="1"/>
  <c r="AH209" i="43" a="1"/>
  <c r="AH209" i="43" s="1"/>
  <c r="AE209" i="43" a="1"/>
  <c r="AE209" i="43" s="1"/>
  <c r="AG209" i="43" a="1"/>
  <c r="AG209" i="43" s="1"/>
  <c r="AD209" i="43" a="1"/>
  <c r="AD209" i="43" s="1"/>
  <c r="AA210" i="43"/>
  <c r="AJ209" i="43" a="1"/>
  <c r="AJ209" i="43" s="1"/>
  <c r="AF209" i="43" a="1"/>
  <c r="AF209" i="43" s="1"/>
  <c r="AM221" i="43" a="1"/>
  <c r="AM221" i="43" s="1"/>
  <c r="AS22" i="43" s="1"/>
  <c r="AJ221" i="43" a="1"/>
  <c r="AJ221" i="43" s="1"/>
  <c r="AE221" i="43" a="1"/>
  <c r="AE221" i="43" s="1"/>
  <c r="AA222" i="43"/>
  <c r="AL221" i="43" a="1"/>
  <c r="AL221" i="43" s="1"/>
  <c r="AG221" i="43" a="1"/>
  <c r="AG221" i="43" s="1"/>
  <c r="AQ22" i="43" s="1"/>
  <c r="AD221" i="43" a="1"/>
  <c r="AD221" i="43" s="1"/>
  <c r="AN221" i="43" a="1"/>
  <c r="AN221" i="43" s="1"/>
  <c r="AI221" i="43" a="1"/>
  <c r="AI221" i="43" s="1"/>
  <c r="AT22" i="43" s="1"/>
  <c r="AF221" i="43" a="1"/>
  <c r="AF221" i="43" s="1"/>
  <c r="AK221" i="43" a="1"/>
  <c r="AK221" i="43" s="1"/>
  <c r="AH221" i="43" a="1"/>
  <c r="AH221" i="43" s="1"/>
  <c r="AC221" i="43" a="1"/>
  <c r="AC221" i="43" s="1"/>
  <c r="AR22" i="43" s="1"/>
  <c r="AM233" i="43" a="1"/>
  <c r="AM233" i="43" s="1"/>
  <c r="AI233" i="43" a="1"/>
  <c r="AI233" i="43" s="1"/>
  <c r="AE233" i="43" a="1"/>
  <c r="AE233" i="43" s="1"/>
  <c r="AL233" i="43" a="1"/>
  <c r="AL233" i="43" s="1"/>
  <c r="AH233" i="43" a="1"/>
  <c r="AH233" i="43" s="1"/>
  <c r="AD233" i="43" a="1"/>
  <c r="AD233" i="43" s="1"/>
  <c r="AA234" i="43"/>
  <c r="AK233" i="43" a="1"/>
  <c r="AK233" i="43" s="1"/>
  <c r="AG233" i="43" a="1"/>
  <c r="AG233" i="43" s="1"/>
  <c r="AC233" i="43" a="1"/>
  <c r="AC233" i="43" s="1"/>
  <c r="AN233" i="43" a="1"/>
  <c r="AN233" i="43" s="1"/>
  <c r="AJ233" i="43" a="1"/>
  <c r="AJ233" i="43" s="1"/>
  <c r="AF233" i="43" a="1"/>
  <c r="AF233" i="43" s="1"/>
  <c r="AN257" i="43" a="1"/>
  <c r="AN257" i="43" s="1"/>
  <c r="AI257" i="43" a="1"/>
  <c r="AI257" i="43" s="1"/>
  <c r="AF257" i="43" a="1"/>
  <c r="AF257" i="43" s="1"/>
  <c r="AK257" i="43" a="1"/>
  <c r="AK257" i="43" s="1"/>
  <c r="AH257" i="43" a="1"/>
  <c r="AH257" i="43" s="1"/>
  <c r="AC257" i="43" a="1"/>
  <c r="AC257" i="43" s="1"/>
  <c r="AM257" i="43" a="1"/>
  <c r="AM257" i="43" s="1"/>
  <c r="AJ257" i="43" a="1"/>
  <c r="AJ257" i="43" s="1"/>
  <c r="AE257" i="43" a="1"/>
  <c r="AE257" i="43" s="1"/>
  <c r="AA258" i="43"/>
  <c r="AL257" i="43" a="1"/>
  <c r="AL257" i="43" s="1"/>
  <c r="AG257" i="43" a="1"/>
  <c r="AG257" i="43" s="1"/>
  <c r="AD257" i="43" a="1"/>
  <c r="AD257" i="43" s="1"/>
  <c r="AN185" i="43" a="1"/>
  <c r="AN185" i="43" s="1"/>
  <c r="AI185" i="43" a="1"/>
  <c r="AI185" i="43" s="1"/>
  <c r="AF185" i="43" a="1"/>
  <c r="AF185" i="43" s="1"/>
  <c r="AK185" i="43" a="1"/>
  <c r="AK185" i="43" s="1"/>
  <c r="AH185" i="43" a="1"/>
  <c r="AH185" i="43" s="1"/>
  <c r="AC185" i="43" a="1"/>
  <c r="AC185" i="43" s="1"/>
  <c r="AM185" i="43" a="1"/>
  <c r="AM185" i="43" s="1"/>
  <c r="AJ185" i="43" a="1"/>
  <c r="AJ185" i="43" s="1"/>
  <c r="AE185" i="43" a="1"/>
  <c r="AE185" i="43" s="1"/>
  <c r="AA186" i="43"/>
  <c r="AL185" i="43" a="1"/>
  <c r="AL185" i="43" s="1"/>
  <c r="AG185" i="43" a="1"/>
  <c r="AG185" i="43" s="1"/>
  <c r="AD185" i="43" a="1"/>
  <c r="AD185" i="43" s="1"/>
  <c r="AN281" i="43" a="1"/>
  <c r="AN281" i="43" s="1"/>
  <c r="AI281" i="43" a="1"/>
  <c r="AI281" i="43" s="1"/>
  <c r="AF281" i="43" a="1"/>
  <c r="AF281" i="43" s="1"/>
  <c r="AK281" i="43" a="1"/>
  <c r="AK281" i="43" s="1"/>
  <c r="AH281" i="43" a="1"/>
  <c r="AH281" i="43" s="1"/>
  <c r="AC281" i="43" a="1"/>
  <c r="AC281" i="43" s="1"/>
  <c r="AM281" i="43" a="1"/>
  <c r="AM281" i="43" s="1"/>
  <c r="AJ281" i="43" a="1"/>
  <c r="AJ281" i="43" s="1"/>
  <c r="AE281" i="43" a="1"/>
  <c r="AE281" i="43" s="1"/>
  <c r="AA282" i="43"/>
  <c r="AL281" i="43" a="1"/>
  <c r="AL281" i="43" s="1"/>
  <c r="AG281" i="43" a="1"/>
  <c r="AG281" i="43" s="1"/>
  <c r="AD281" i="43" a="1"/>
  <c r="AD281" i="43" s="1"/>
  <c r="AA198" i="43"/>
  <c r="AJ197" i="43" a="1"/>
  <c r="AJ197" i="43" s="1"/>
  <c r="AG197" i="43" a="1"/>
  <c r="AG197" i="43" s="1"/>
  <c r="AL197" i="43" a="1"/>
  <c r="AL197" i="43" s="1"/>
  <c r="AI197" i="43" a="1"/>
  <c r="AI197" i="43" s="1"/>
  <c r="AD197" i="43" a="1"/>
  <c r="AD197" i="43" s="1"/>
  <c r="AN197" i="43" a="1"/>
  <c r="AN197" i="43" s="1"/>
  <c r="AK197" i="43" a="1"/>
  <c r="AK197" i="43" s="1"/>
  <c r="AF197" i="43" a="1"/>
  <c r="AF197" i="43" s="1"/>
  <c r="AC197" i="43" a="1"/>
  <c r="AC197" i="43" s="1"/>
  <c r="AM197" i="43" a="1"/>
  <c r="AM197" i="43" s="1"/>
  <c r="AH197" i="43" a="1"/>
  <c r="AH197" i="43" s="1"/>
  <c r="AE197" i="43" a="1"/>
  <c r="AE197" i="43" s="1"/>
  <c r="AM269" i="43" a="1"/>
  <c r="AM269" i="43" s="1"/>
  <c r="AH269" i="43" a="1"/>
  <c r="AH269" i="43" s="1"/>
  <c r="AE269" i="43" a="1"/>
  <c r="AE269" i="43" s="1"/>
  <c r="AA270" i="43"/>
  <c r="AJ269" i="43" a="1"/>
  <c r="AJ269" i="43" s="1"/>
  <c r="AG269" i="43" a="1"/>
  <c r="AG269" i="43" s="1"/>
  <c r="AL269" i="43" a="1"/>
  <c r="AL269" i="43" s="1"/>
  <c r="AI269" i="43" a="1"/>
  <c r="AI269" i="43" s="1"/>
  <c r="AD269" i="43" a="1"/>
  <c r="AD269" i="43" s="1"/>
  <c r="AN269" i="43" a="1"/>
  <c r="AN269" i="43" s="1"/>
  <c r="AK269" i="43" a="1"/>
  <c r="AK269" i="43" s="1"/>
  <c r="AF269" i="43" a="1"/>
  <c r="AF269" i="43" s="1"/>
  <c r="AC269" i="43" a="1"/>
  <c r="AC269" i="43" s="1"/>
  <c r="AN294" i="43" a="1"/>
  <c r="AN294" i="43" s="1"/>
  <c r="AJ294" i="43" a="1"/>
  <c r="AJ294" i="43" s="1"/>
  <c r="AF294" i="43" a="1"/>
  <c r="AF294" i="43" s="1"/>
  <c r="AM294" i="43" a="1"/>
  <c r="AM294" i="43" s="1"/>
  <c r="AI294" i="43" a="1"/>
  <c r="AI294" i="43" s="1"/>
  <c r="AE294" i="43" a="1"/>
  <c r="AE294" i="43" s="1"/>
  <c r="AL294" i="43" a="1"/>
  <c r="AL294" i="43" s="1"/>
  <c r="AH294" i="43" a="1"/>
  <c r="AH294" i="43" s="1"/>
  <c r="AD294" i="43" a="1"/>
  <c r="AD294" i="43" s="1"/>
  <c r="AA295" i="43"/>
  <c r="AK294" i="43" a="1"/>
  <c r="AK294" i="43" s="1"/>
  <c r="AG294" i="43" a="1"/>
  <c r="AG294" i="43" s="1"/>
  <c r="AC294" i="43" a="1"/>
  <c r="AC294" i="43" s="1"/>
  <c r="AL245" i="43" a="1"/>
  <c r="AL245" i="43" s="1"/>
  <c r="AH245" i="43" a="1"/>
  <c r="AH245" i="43" s="1"/>
  <c r="AD245" i="43" a="1"/>
  <c r="AD245" i="43" s="1"/>
  <c r="AA246" i="43"/>
  <c r="AK245" i="43" a="1"/>
  <c r="AK245" i="43" s="1"/>
  <c r="AG245" i="43" a="1"/>
  <c r="AG245" i="43" s="1"/>
  <c r="AC245" i="43" a="1"/>
  <c r="AC245" i="43" s="1"/>
  <c r="AN245" i="43" a="1"/>
  <c r="AN245" i="43" s="1"/>
  <c r="AJ245" i="43" a="1"/>
  <c r="AJ245" i="43" s="1"/>
  <c r="AF245" i="43" a="1"/>
  <c r="AF245" i="43" s="1"/>
  <c r="AM245" i="43" a="1"/>
  <c r="AM245" i="43" s="1"/>
  <c r="AI245" i="43" a="1"/>
  <c r="AI245" i="43" s="1"/>
  <c r="AE245" i="43" a="1"/>
  <c r="AE245" i="43" s="1"/>
  <c r="AJ173" i="43" a="1"/>
  <c r="AJ173" i="43" s="1"/>
  <c r="AG173" i="43" a="1"/>
  <c r="AG173" i="43" s="1"/>
  <c r="AL173" i="43" a="1"/>
  <c r="AL173" i="43" s="1"/>
  <c r="AI173" i="43" a="1"/>
  <c r="AI173" i="43" s="1"/>
  <c r="AD173" i="43" a="1"/>
  <c r="AD173" i="43" s="1"/>
  <c r="AN173" i="43" a="1"/>
  <c r="AN173" i="43" s="1"/>
  <c r="AK173" i="43" a="1"/>
  <c r="AK173" i="43" s="1"/>
  <c r="AF173" i="43" a="1"/>
  <c r="AF173" i="43" s="1"/>
  <c r="AC173" i="43" a="1"/>
  <c r="AC173" i="43" s="1"/>
  <c r="AH173" i="43" a="1"/>
  <c r="AH173" i="43" s="1"/>
  <c r="AE173" i="43" a="1"/>
  <c r="AE173" i="43" s="1"/>
  <c r="AM173" i="43" a="1"/>
  <c r="AM173" i="43" s="1"/>
  <c r="AK270" i="43" l="1" a="1"/>
  <c r="AK270" i="43" s="1"/>
  <c r="AH270" i="43" a="1"/>
  <c r="AH270" i="43" s="1"/>
  <c r="AC270" i="43" a="1"/>
  <c r="AC270" i="43" s="1"/>
  <c r="AM270" i="43" a="1"/>
  <c r="AM270" i="43" s="1"/>
  <c r="AJ270" i="43" a="1"/>
  <c r="AJ270" i="43" s="1"/>
  <c r="AE270" i="43" a="1"/>
  <c r="AE270" i="43" s="1"/>
  <c r="AA271" i="43"/>
  <c r="AL270" i="43" a="1"/>
  <c r="AL270" i="43" s="1"/>
  <c r="AG270" i="43" a="1"/>
  <c r="AG270" i="43" s="1"/>
  <c r="AD270" i="43" a="1"/>
  <c r="AD270" i="43" s="1"/>
  <c r="AN270" i="43" a="1"/>
  <c r="AN270" i="43" s="1"/>
  <c r="AI270" i="43" a="1"/>
  <c r="AI270" i="43" s="1"/>
  <c r="AF270" i="43" a="1"/>
  <c r="AF270" i="43" s="1"/>
  <c r="AM198" i="43" a="1"/>
  <c r="AM198" i="43" s="1"/>
  <c r="AJ198" i="43" a="1"/>
  <c r="AJ198" i="43" s="1"/>
  <c r="AE198" i="43" a="1"/>
  <c r="AE198" i="43" s="1"/>
  <c r="AA199" i="43"/>
  <c r="AL198" i="43" a="1"/>
  <c r="AL198" i="43" s="1"/>
  <c r="AG198" i="43" a="1"/>
  <c r="AG198" i="43" s="1"/>
  <c r="AD198" i="43" a="1"/>
  <c r="AD198" i="43" s="1"/>
  <c r="AN198" i="43" a="1"/>
  <c r="AN198" i="43" s="1"/>
  <c r="AI198" i="43" a="1"/>
  <c r="AI198" i="43" s="1"/>
  <c r="AF198" i="43" a="1"/>
  <c r="AF198" i="43" s="1"/>
  <c r="AK198" i="43" a="1"/>
  <c r="AK198" i="43" s="1"/>
  <c r="AH198" i="43" a="1"/>
  <c r="AH198" i="43" s="1"/>
  <c r="AC198" i="43" a="1"/>
  <c r="AC198" i="43" s="1"/>
  <c r="AL282" i="43" a="1"/>
  <c r="AL282" i="43" s="1"/>
  <c r="AI282" i="43" a="1"/>
  <c r="AI282" i="43" s="1"/>
  <c r="AD282" i="43" a="1"/>
  <c r="AD282" i="43" s="1"/>
  <c r="AN282" i="43" a="1"/>
  <c r="AN282" i="43" s="1"/>
  <c r="AK282" i="43" a="1"/>
  <c r="AK282" i="43" s="1"/>
  <c r="AF282" i="43" a="1"/>
  <c r="AF282" i="43" s="1"/>
  <c r="AC282" i="43" a="1"/>
  <c r="AC282" i="43" s="1"/>
  <c r="AM282" i="43" a="1"/>
  <c r="AM282" i="43" s="1"/>
  <c r="AH282" i="43" a="1"/>
  <c r="AH282" i="43" s="1"/>
  <c r="AE282" i="43" a="1"/>
  <c r="AE282" i="43" s="1"/>
  <c r="AA283" i="43"/>
  <c r="AJ282" i="43" a="1"/>
  <c r="AJ282" i="43" s="1"/>
  <c r="AG282" i="43" a="1"/>
  <c r="AG282" i="43" s="1"/>
  <c r="AM210" i="43" a="1"/>
  <c r="AM210" i="43" s="1"/>
  <c r="AA211" i="43"/>
  <c r="AL210" i="43" a="1"/>
  <c r="AL210" i="43" s="1"/>
  <c r="AG210" i="43" a="1"/>
  <c r="AG210" i="43" s="1"/>
  <c r="AD210" i="43" a="1"/>
  <c r="AD210" i="43" s="1"/>
  <c r="AN210" i="43" a="1"/>
  <c r="AN210" i="43" s="1"/>
  <c r="AI210" i="43" a="1"/>
  <c r="AI210" i="43" s="1"/>
  <c r="AF210" i="43" a="1"/>
  <c r="AF210" i="43" s="1"/>
  <c r="AK210" i="43" a="1"/>
  <c r="AK210" i="43" s="1"/>
  <c r="AJ210" i="43" a="1"/>
  <c r="AJ210" i="43" s="1"/>
  <c r="AE210" i="43" a="1"/>
  <c r="AE210" i="43" s="1"/>
  <c r="AH210" i="43" a="1"/>
  <c r="AH210" i="43" s="1"/>
  <c r="AC210" i="43" a="1"/>
  <c r="AC210" i="43" s="1"/>
  <c r="AL186" i="43" a="1"/>
  <c r="AL186" i="43" s="1"/>
  <c r="AI186" i="43" a="1"/>
  <c r="AI186" i="43" s="1"/>
  <c r="AD186" i="43" a="1"/>
  <c r="AD186" i="43" s="1"/>
  <c r="AN186" i="43" a="1"/>
  <c r="AN186" i="43" s="1"/>
  <c r="AK186" i="43" a="1"/>
  <c r="AK186" i="43" s="1"/>
  <c r="AF186" i="43" a="1"/>
  <c r="AF186" i="43" s="1"/>
  <c r="AC186" i="43" a="1"/>
  <c r="AC186" i="43" s="1"/>
  <c r="AM186" i="43" a="1"/>
  <c r="AM186" i="43" s="1"/>
  <c r="AH186" i="43" a="1"/>
  <c r="AH186" i="43" s="1"/>
  <c r="AE186" i="43" a="1"/>
  <c r="AE186" i="43" s="1"/>
  <c r="AJ186" i="43" a="1"/>
  <c r="AJ186" i="43" s="1"/>
  <c r="AG186" i="43" a="1"/>
  <c r="AG186" i="43" s="1"/>
  <c r="AM295" i="43" a="1"/>
  <c r="AM295" i="43" s="1"/>
  <c r="AI295" i="43" a="1"/>
  <c r="AI295" i="43" s="1"/>
  <c r="AE295" i="43" a="1"/>
  <c r="AE295" i="43" s="1"/>
  <c r="AL295" i="43" a="1"/>
  <c r="AL295" i="43" s="1"/>
  <c r="AH295" i="43" a="1"/>
  <c r="AH295" i="43" s="1"/>
  <c r="AD295" i="43" a="1"/>
  <c r="AD295" i="43" s="1"/>
  <c r="AA296" i="43"/>
  <c r="AK295" i="43" a="1"/>
  <c r="AK295" i="43" s="1"/>
  <c r="AG295" i="43" a="1"/>
  <c r="AG295" i="43" s="1"/>
  <c r="AC295" i="43" a="1"/>
  <c r="AC295" i="43" s="1"/>
  <c r="AN295" i="43" a="1"/>
  <c r="AN295" i="43" s="1"/>
  <c r="AJ295" i="43" a="1"/>
  <c r="AJ295" i="43" s="1"/>
  <c r="AF295" i="43" a="1"/>
  <c r="AF295" i="43" s="1"/>
  <c r="AA247" i="43"/>
  <c r="AK246" i="43" a="1"/>
  <c r="AK246" i="43" s="1"/>
  <c r="AG246" i="43" a="1"/>
  <c r="AG246" i="43" s="1"/>
  <c r="AC246" i="43" a="1"/>
  <c r="AC246" i="43" s="1"/>
  <c r="AN246" i="43" a="1"/>
  <c r="AN246" i="43" s="1"/>
  <c r="AJ246" i="43" a="1"/>
  <c r="AJ246" i="43" s="1"/>
  <c r="AF246" i="43" a="1"/>
  <c r="AF246" i="43" s="1"/>
  <c r="AM246" i="43" a="1"/>
  <c r="AM246" i="43" s="1"/>
  <c r="AI246" i="43" a="1"/>
  <c r="AI246" i="43" s="1"/>
  <c r="AE246" i="43" a="1"/>
  <c r="AE246" i="43" s="1"/>
  <c r="AL246" i="43" a="1"/>
  <c r="AL246" i="43" s="1"/>
  <c r="AH246" i="43" a="1"/>
  <c r="AH246" i="43" s="1"/>
  <c r="AD246" i="43" a="1"/>
  <c r="AD246" i="43" s="1"/>
  <c r="AL258" i="43" a="1"/>
  <c r="AL258" i="43" s="1"/>
  <c r="AJ258" i="43" a="1"/>
  <c r="AJ258" i="43" s="1"/>
  <c r="AN258" i="43" a="1"/>
  <c r="AN258" i="43" s="1"/>
  <c r="AM258" i="43" a="1"/>
  <c r="AM258" i="43" s="1"/>
  <c r="AI258" i="43" a="1"/>
  <c r="AI258" i="43" s="1"/>
  <c r="AD258" i="43" a="1"/>
  <c r="AD258" i="43" s="1"/>
  <c r="AF258" i="43" a="1"/>
  <c r="AF258" i="43" s="1"/>
  <c r="AC258" i="43" a="1"/>
  <c r="AC258" i="43" s="1"/>
  <c r="AK258" i="43" a="1"/>
  <c r="AK258" i="43" s="1"/>
  <c r="AH258" i="43" a="1"/>
  <c r="AH258" i="43" s="1"/>
  <c r="AE258" i="43" a="1"/>
  <c r="AE258" i="43" s="1"/>
  <c r="AA259" i="43"/>
  <c r="AG258" i="43" a="1"/>
  <c r="AG258" i="43" s="1"/>
  <c r="AL234" i="43" a="1"/>
  <c r="AL234" i="43" s="1"/>
  <c r="AH234" i="43" a="1"/>
  <c r="AH234" i="43" s="1"/>
  <c r="AD234" i="43" a="1"/>
  <c r="AD234" i="43" s="1"/>
  <c r="AA235" i="43"/>
  <c r="AK234" i="43" a="1"/>
  <c r="AK234" i="43" s="1"/>
  <c r="AG234" i="43" a="1"/>
  <c r="AG234" i="43" s="1"/>
  <c r="AQ23" i="43" s="1"/>
  <c r="AC234" i="43" a="1"/>
  <c r="AC234" i="43" s="1"/>
  <c r="AR23" i="43" s="1"/>
  <c r="AN234" i="43" a="1"/>
  <c r="AN234" i="43" s="1"/>
  <c r="AJ234" i="43" a="1"/>
  <c r="AJ234" i="43" s="1"/>
  <c r="AF234" i="43" a="1"/>
  <c r="AF234" i="43" s="1"/>
  <c r="AE234" i="43" a="1"/>
  <c r="AE234" i="43" s="1"/>
  <c r="AM234" i="43" a="1"/>
  <c r="AM234" i="43" s="1"/>
  <c r="AS23" i="43" s="1"/>
  <c r="AI234" i="43" a="1"/>
  <c r="AI234" i="43" s="1"/>
  <c r="AT23" i="43" s="1"/>
  <c r="AM222" i="43" a="1"/>
  <c r="AM222" i="43" s="1"/>
  <c r="AH222" i="43" a="1"/>
  <c r="AH222" i="43" s="1"/>
  <c r="AE222" i="43" a="1"/>
  <c r="AE222" i="43" s="1"/>
  <c r="AA223" i="43"/>
  <c r="AJ222" i="43" a="1"/>
  <c r="AJ222" i="43" s="1"/>
  <c r="AG222" i="43" a="1"/>
  <c r="AG222" i="43" s="1"/>
  <c r="AL222" i="43" a="1"/>
  <c r="AL222" i="43" s="1"/>
  <c r="AI222" i="43" a="1"/>
  <c r="AI222" i="43" s="1"/>
  <c r="AD222" i="43" a="1"/>
  <c r="AD222" i="43" s="1"/>
  <c r="AN222" i="43" a="1"/>
  <c r="AN222" i="43" s="1"/>
  <c r="AK222" i="43" a="1"/>
  <c r="AK222" i="43" s="1"/>
  <c r="AF222" i="43" a="1"/>
  <c r="AF222" i="43" s="1"/>
  <c r="AC222" i="43" a="1"/>
  <c r="AC222" i="43" s="1"/>
  <c r="AK223" i="43" l="1" a="1"/>
  <c r="AK223" i="43" s="1"/>
  <c r="AH223" i="43" a="1"/>
  <c r="AH223" i="43" s="1"/>
  <c r="AC223" i="43" a="1"/>
  <c r="AC223" i="43" s="1"/>
  <c r="AM223" i="43" a="1"/>
  <c r="AM223" i="43" s="1"/>
  <c r="AJ223" i="43" a="1"/>
  <c r="AJ223" i="43" s="1"/>
  <c r="AE223" i="43" a="1"/>
  <c r="AE223" i="43" s="1"/>
  <c r="AA224" i="43"/>
  <c r="AL223" i="43" a="1"/>
  <c r="AL223" i="43" s="1"/>
  <c r="AG223" i="43" a="1"/>
  <c r="AG223" i="43" s="1"/>
  <c r="AD223" i="43" a="1"/>
  <c r="AD223" i="43" s="1"/>
  <c r="AN223" i="43" a="1"/>
  <c r="AN223" i="43" s="1"/>
  <c r="AI223" i="43" a="1"/>
  <c r="AI223" i="43" s="1"/>
  <c r="AF223" i="43" a="1"/>
  <c r="AF223" i="43" s="1"/>
  <c r="AA236" i="43"/>
  <c r="AK235" i="43" a="1"/>
  <c r="AK235" i="43" s="1"/>
  <c r="AG235" i="43" a="1"/>
  <c r="AG235" i="43" s="1"/>
  <c r="AC235" i="43" a="1"/>
  <c r="AC235" i="43" s="1"/>
  <c r="AN235" i="43" a="1"/>
  <c r="AN235" i="43" s="1"/>
  <c r="AJ235" i="43" a="1"/>
  <c r="AJ235" i="43" s="1"/>
  <c r="AF235" i="43" a="1"/>
  <c r="AF235" i="43" s="1"/>
  <c r="AM235" i="43" a="1"/>
  <c r="AM235" i="43" s="1"/>
  <c r="AI235" i="43" a="1"/>
  <c r="AI235" i="43" s="1"/>
  <c r="AE235" i="43" a="1"/>
  <c r="AE235" i="43" s="1"/>
  <c r="AH235" i="43" a="1"/>
  <c r="AH235" i="43" s="1"/>
  <c r="AD235" i="43" a="1"/>
  <c r="AD235" i="43" s="1"/>
  <c r="AL235" i="43" a="1"/>
  <c r="AL235" i="43" s="1"/>
  <c r="AL296" i="43" a="1"/>
  <c r="AL296" i="43" s="1"/>
  <c r="AH296" i="43" a="1"/>
  <c r="AH296" i="43" s="1"/>
  <c r="AD296" i="43" a="1"/>
  <c r="AD296" i="43" s="1"/>
  <c r="AA297" i="43"/>
  <c r="AK296" i="43" a="1"/>
  <c r="AK296" i="43" s="1"/>
  <c r="AG296" i="43" a="1"/>
  <c r="AG296" i="43" s="1"/>
  <c r="AC296" i="43" a="1"/>
  <c r="AC296" i="43" s="1"/>
  <c r="AN296" i="43" a="1"/>
  <c r="AN296" i="43" s="1"/>
  <c r="AJ296" i="43" a="1"/>
  <c r="AJ296" i="43" s="1"/>
  <c r="AF296" i="43" a="1"/>
  <c r="AF296" i="43" s="1"/>
  <c r="AM296" i="43" a="1"/>
  <c r="AM296" i="43" s="1"/>
  <c r="AI296" i="43" a="1"/>
  <c r="AI296" i="43" s="1"/>
  <c r="AE296" i="43" a="1"/>
  <c r="AE296" i="43" s="1"/>
  <c r="AN271" i="43" a="1"/>
  <c r="AN271" i="43" s="1"/>
  <c r="AK271" i="43" a="1"/>
  <c r="AK271" i="43" s="1"/>
  <c r="AF271" i="43" a="1"/>
  <c r="AF271" i="43" s="1"/>
  <c r="AC271" i="43" a="1"/>
  <c r="AC271" i="43" s="1"/>
  <c r="AM271" i="43" a="1"/>
  <c r="AM271" i="43" s="1"/>
  <c r="AH271" i="43" a="1"/>
  <c r="AH271" i="43" s="1"/>
  <c r="AE271" i="43" a="1"/>
  <c r="AE271" i="43" s="1"/>
  <c r="AA272" i="43"/>
  <c r="AJ271" i="43" a="1"/>
  <c r="AJ271" i="43" s="1"/>
  <c r="AG271" i="43" a="1"/>
  <c r="AG271" i="43" s="1"/>
  <c r="AL271" i="43" a="1"/>
  <c r="AL271" i="43" s="1"/>
  <c r="AI271" i="43" a="1"/>
  <c r="AI271" i="43" s="1"/>
  <c r="AD271" i="43" a="1"/>
  <c r="AD271" i="43" s="1"/>
  <c r="AK259" i="43" a="1"/>
  <c r="AK259" i="43" s="1"/>
  <c r="AH259" i="43" a="1"/>
  <c r="AH259" i="43" s="1"/>
  <c r="AC259" i="43" a="1"/>
  <c r="AC259" i="43" s="1"/>
  <c r="AM259" i="43" a="1"/>
  <c r="AM259" i="43" s="1"/>
  <c r="AJ259" i="43" a="1"/>
  <c r="AJ259" i="43" s="1"/>
  <c r="AE259" i="43" a="1"/>
  <c r="AE259" i="43" s="1"/>
  <c r="AA260" i="43"/>
  <c r="AL259" i="43" a="1"/>
  <c r="AL259" i="43" s="1"/>
  <c r="AG259" i="43" a="1"/>
  <c r="AG259" i="43" s="1"/>
  <c r="AD259" i="43" a="1"/>
  <c r="AD259" i="43" s="1"/>
  <c r="AN259" i="43" a="1"/>
  <c r="AN259" i="43" s="1"/>
  <c r="AI259" i="43" a="1"/>
  <c r="AI259" i="43" s="1"/>
  <c r="AF259" i="43" a="1"/>
  <c r="AF259" i="43" s="1"/>
  <c r="AN247" i="43" a="1"/>
  <c r="AN247" i="43" s="1"/>
  <c r="AJ247" i="43" a="1"/>
  <c r="AJ247" i="43" s="1"/>
  <c r="AF247" i="43" a="1"/>
  <c r="AF247" i="43" s="1"/>
  <c r="AM247" i="43" a="1"/>
  <c r="AM247" i="43" s="1"/>
  <c r="AS24" i="43" s="1"/>
  <c r="AI247" i="43" a="1"/>
  <c r="AI247" i="43" s="1"/>
  <c r="AT24" i="43" s="1"/>
  <c r="AE247" i="43" a="1"/>
  <c r="AE247" i="43" s="1"/>
  <c r="AL247" i="43" a="1"/>
  <c r="AL247" i="43" s="1"/>
  <c r="AH247" i="43" a="1"/>
  <c r="AH247" i="43" s="1"/>
  <c r="AD247" i="43" a="1"/>
  <c r="AD247" i="43" s="1"/>
  <c r="AC247" i="43" a="1"/>
  <c r="AC247" i="43" s="1"/>
  <c r="AR24" i="43" s="1"/>
  <c r="AA248" i="43"/>
  <c r="AK247" i="43" a="1"/>
  <c r="AK247" i="43" s="1"/>
  <c r="AG247" i="43" a="1"/>
  <c r="AG247" i="43" s="1"/>
  <c r="AQ24" i="43" s="1"/>
  <c r="AM211" i="43" a="1"/>
  <c r="AM211" i="43" s="1"/>
  <c r="AH211" i="43" a="1"/>
  <c r="AH211" i="43" s="1"/>
  <c r="AE211" i="43" a="1"/>
  <c r="AE211" i="43" s="1"/>
  <c r="AA212" i="43"/>
  <c r="AJ211" i="43" a="1"/>
  <c r="AJ211" i="43" s="1"/>
  <c r="AG211" i="43" a="1"/>
  <c r="AG211" i="43" s="1"/>
  <c r="AL211" i="43" a="1"/>
  <c r="AL211" i="43" s="1"/>
  <c r="AI211" i="43" a="1"/>
  <c r="AI211" i="43" s="1"/>
  <c r="AD211" i="43" a="1"/>
  <c r="AD211" i="43" s="1"/>
  <c r="AF211" i="43" a="1"/>
  <c r="AF211" i="43" s="1"/>
  <c r="AN211" i="43" a="1"/>
  <c r="AN211" i="43" s="1"/>
  <c r="AC211" i="43" a="1"/>
  <c r="AC211" i="43" s="1"/>
  <c r="AK211" i="43" a="1"/>
  <c r="AK211" i="43" s="1"/>
  <c r="AA284" i="43"/>
  <c r="AL283" i="43" a="1"/>
  <c r="AL283" i="43" s="1"/>
  <c r="AN283" i="43" a="1"/>
  <c r="AN283" i="43" s="1"/>
  <c r="AI283" i="43" a="1"/>
  <c r="AI283" i="43" s="1"/>
  <c r="AK283" i="43" a="1"/>
  <c r="AK283" i="43" s="1"/>
  <c r="AJ283" i="43" a="1"/>
  <c r="AJ283" i="43" s="1"/>
  <c r="AG283" i="43" a="1"/>
  <c r="AG283" i="43" s="1"/>
  <c r="AD283" i="43" a="1"/>
  <c r="AD283" i="43" s="1"/>
  <c r="AF283" i="43" a="1"/>
  <c r="AF283" i="43" s="1"/>
  <c r="AH283" i="43" a="1"/>
  <c r="AH283" i="43" s="1"/>
  <c r="AC283" i="43" a="1"/>
  <c r="AC283" i="43" s="1"/>
  <c r="AM283" i="43" a="1"/>
  <c r="AM283" i="43" s="1"/>
  <c r="AE283" i="43" a="1"/>
  <c r="AE283" i="43" s="1"/>
  <c r="AM199" i="43" a="1"/>
  <c r="AM199" i="43" s="1"/>
  <c r="AH199" i="43" a="1"/>
  <c r="AH199" i="43" s="1"/>
  <c r="AE199" i="43" a="1"/>
  <c r="AE199" i="43" s="1"/>
  <c r="AJ199" i="43" a="1"/>
  <c r="AJ199" i="43" s="1"/>
  <c r="AG199" i="43" a="1"/>
  <c r="AG199" i="43" s="1"/>
  <c r="AL199" i="43" a="1"/>
  <c r="AL199" i="43" s="1"/>
  <c r="AI199" i="43" a="1"/>
  <c r="AI199" i="43" s="1"/>
  <c r="AD199" i="43" a="1"/>
  <c r="AD199" i="43" s="1"/>
  <c r="AN199" i="43" a="1"/>
  <c r="AN199" i="43" s="1"/>
  <c r="AK199" i="43" a="1"/>
  <c r="AK199" i="43" s="1"/>
  <c r="AF199" i="43" a="1"/>
  <c r="AF199" i="43" s="1"/>
  <c r="AC199" i="43" a="1"/>
  <c r="AC199" i="43" s="1"/>
  <c r="AJ284" i="43" l="1" a="1"/>
  <c r="AJ284" i="43" s="1"/>
  <c r="AG284" i="43" a="1"/>
  <c r="AG284" i="43" s="1"/>
  <c r="AA285" i="43"/>
  <c r="AL284" i="43" a="1"/>
  <c r="AL284" i="43" s="1"/>
  <c r="AI284" i="43" a="1"/>
  <c r="AI284" i="43" s="1"/>
  <c r="AD284" i="43" a="1"/>
  <c r="AD284" i="43" s="1"/>
  <c r="AN284" i="43" a="1"/>
  <c r="AN284" i="43" s="1"/>
  <c r="AK284" i="43" a="1"/>
  <c r="AK284" i="43" s="1"/>
  <c r="AF284" i="43" a="1"/>
  <c r="AF284" i="43" s="1"/>
  <c r="AC284" i="43" a="1"/>
  <c r="AC284" i="43" s="1"/>
  <c r="AH284" i="43" a="1"/>
  <c r="AH284" i="43" s="1"/>
  <c r="AE284" i="43" a="1"/>
  <c r="AE284" i="43" s="1"/>
  <c r="AM284" i="43" a="1"/>
  <c r="AM284" i="43" s="1"/>
  <c r="AN248" i="43" a="1"/>
  <c r="AN248" i="43" s="1"/>
  <c r="AL248" i="43" a="1"/>
  <c r="AL248" i="43" s="1"/>
  <c r="AA249" i="43"/>
  <c r="AM248" i="43" a="1"/>
  <c r="AM248" i="43" s="1"/>
  <c r="AK248" i="43" a="1"/>
  <c r="AK248" i="43" s="1"/>
  <c r="AI248" i="43" a="1"/>
  <c r="AI248" i="43" s="1"/>
  <c r="AJ248" i="43" a="1"/>
  <c r="AJ248" i="43" s="1"/>
  <c r="AE248" i="43" a="1"/>
  <c r="AE248" i="43" s="1"/>
  <c r="AH248" i="43" a="1"/>
  <c r="AH248" i="43" s="1"/>
  <c r="AD248" i="43" a="1"/>
  <c r="AD248" i="43" s="1"/>
  <c r="AG248" i="43" a="1"/>
  <c r="AG248" i="43" s="1"/>
  <c r="AC248" i="43" a="1"/>
  <c r="AC248" i="43" s="1"/>
  <c r="AF248" i="43" a="1"/>
  <c r="AF248" i="43" s="1"/>
  <c r="AN260" i="43" a="1"/>
  <c r="AN260" i="43" s="1"/>
  <c r="AK260" i="43" a="1"/>
  <c r="AK260" i="43" s="1"/>
  <c r="AF260" i="43" a="1"/>
  <c r="AF260" i="43" s="1"/>
  <c r="AC260" i="43" a="1"/>
  <c r="AC260" i="43" s="1"/>
  <c r="AR25" i="43" s="1"/>
  <c r="AM260" i="43" a="1"/>
  <c r="AM260" i="43" s="1"/>
  <c r="AS25" i="43" s="1"/>
  <c r="AH260" i="43" a="1"/>
  <c r="AH260" i="43" s="1"/>
  <c r="AE260" i="43" a="1"/>
  <c r="AE260" i="43" s="1"/>
  <c r="AA261" i="43"/>
  <c r="AJ260" i="43" a="1"/>
  <c r="AJ260" i="43" s="1"/>
  <c r="AG260" i="43" a="1"/>
  <c r="AG260" i="43" s="1"/>
  <c r="AQ25" i="43" s="1"/>
  <c r="AL260" i="43" a="1"/>
  <c r="AL260" i="43" s="1"/>
  <c r="AI260" i="43" a="1"/>
  <c r="AI260" i="43" s="1"/>
  <c r="AT25" i="43" s="1"/>
  <c r="AD260" i="43" a="1"/>
  <c r="AD260" i="43" s="1"/>
  <c r="AN272" i="43" a="1"/>
  <c r="AN272" i="43" s="1"/>
  <c r="AI272" i="43" a="1"/>
  <c r="AI272" i="43" s="1"/>
  <c r="AF272" i="43" a="1"/>
  <c r="AF272" i="43" s="1"/>
  <c r="AK272" i="43" a="1"/>
  <c r="AK272" i="43" s="1"/>
  <c r="AH272" i="43" a="1"/>
  <c r="AH272" i="43" s="1"/>
  <c r="AC272" i="43" a="1"/>
  <c r="AC272" i="43" s="1"/>
  <c r="AM272" i="43" a="1"/>
  <c r="AM272" i="43" s="1"/>
  <c r="AJ272" i="43" a="1"/>
  <c r="AJ272" i="43" s="1"/>
  <c r="AE272" i="43" a="1"/>
  <c r="AE272" i="43" s="1"/>
  <c r="AA273" i="43"/>
  <c r="AL272" i="43" a="1"/>
  <c r="AL272" i="43" s="1"/>
  <c r="AG272" i="43" a="1"/>
  <c r="AG272" i="43" s="1"/>
  <c r="AD272" i="43" a="1"/>
  <c r="AD272" i="43" s="1"/>
  <c r="AN224" i="43" a="1"/>
  <c r="AN224" i="43" s="1"/>
  <c r="AK224" i="43" a="1"/>
  <c r="AK224" i="43" s="1"/>
  <c r="AF224" i="43" a="1"/>
  <c r="AF224" i="43" s="1"/>
  <c r="AC224" i="43" a="1"/>
  <c r="AC224" i="43" s="1"/>
  <c r="AM224" i="43" a="1"/>
  <c r="AM224" i="43" s="1"/>
  <c r="AH224" i="43" a="1"/>
  <c r="AH224" i="43" s="1"/>
  <c r="AE224" i="43" a="1"/>
  <c r="AE224" i="43" s="1"/>
  <c r="AA225" i="43"/>
  <c r="AJ224" i="43" a="1"/>
  <c r="AJ224" i="43" s="1"/>
  <c r="AG224" i="43" a="1"/>
  <c r="AG224" i="43" s="1"/>
  <c r="AL224" i="43" a="1"/>
  <c r="AL224" i="43" s="1"/>
  <c r="AI224" i="43" a="1"/>
  <c r="AI224" i="43" s="1"/>
  <c r="AD224" i="43" a="1"/>
  <c r="AD224" i="43" s="1"/>
  <c r="AA298" i="43"/>
  <c r="AK297" i="43" a="1"/>
  <c r="AK297" i="43" s="1"/>
  <c r="AG297" i="43" a="1"/>
  <c r="AG297" i="43" s="1"/>
  <c r="AC297" i="43" a="1"/>
  <c r="AC297" i="43" s="1"/>
  <c r="AN297" i="43" a="1"/>
  <c r="AN297" i="43" s="1"/>
  <c r="AJ297" i="43" a="1"/>
  <c r="AJ297" i="43" s="1"/>
  <c r="AF297" i="43" a="1"/>
  <c r="AF297" i="43" s="1"/>
  <c r="AM297" i="43" a="1"/>
  <c r="AM297" i="43" s="1"/>
  <c r="AI297" i="43" a="1"/>
  <c r="AI297" i="43" s="1"/>
  <c r="AE297" i="43" a="1"/>
  <c r="AE297" i="43" s="1"/>
  <c r="AL297" i="43" a="1"/>
  <c r="AL297" i="43" s="1"/>
  <c r="AH297" i="43" a="1"/>
  <c r="AH297" i="43" s="1"/>
  <c r="AD297" i="43" a="1"/>
  <c r="AD297" i="43" s="1"/>
  <c r="AN236" i="43" a="1"/>
  <c r="AN236" i="43" s="1"/>
  <c r="AJ236" i="43" a="1"/>
  <c r="AJ236" i="43" s="1"/>
  <c r="AF236" i="43" a="1"/>
  <c r="AF236" i="43" s="1"/>
  <c r="AM236" i="43" a="1"/>
  <c r="AM236" i="43" s="1"/>
  <c r="AI236" i="43" a="1"/>
  <c r="AI236" i="43" s="1"/>
  <c r="AE236" i="43" a="1"/>
  <c r="AE236" i="43" s="1"/>
  <c r="AL236" i="43" a="1"/>
  <c r="AL236" i="43" s="1"/>
  <c r="AH236" i="43" a="1"/>
  <c r="AH236" i="43" s="1"/>
  <c r="AD236" i="43" a="1"/>
  <c r="AD236" i="43" s="1"/>
  <c r="AK236" i="43" a="1"/>
  <c r="AK236" i="43" s="1"/>
  <c r="AG236" i="43" a="1"/>
  <c r="AG236" i="43" s="1"/>
  <c r="AC236" i="43" a="1"/>
  <c r="AC236" i="43" s="1"/>
  <c r="AA237" i="43"/>
  <c r="AK212" i="43" a="1"/>
  <c r="AK212" i="43" s="1"/>
  <c r="AH212" i="43" a="1"/>
  <c r="AH212" i="43" s="1"/>
  <c r="AC212" i="43" a="1"/>
  <c r="AC212" i="43" s="1"/>
  <c r="AM212" i="43" a="1"/>
  <c r="AM212" i="43" s="1"/>
  <c r="AJ212" i="43" a="1"/>
  <c r="AJ212" i="43" s="1"/>
  <c r="AE212" i="43" a="1"/>
  <c r="AE212" i="43" s="1"/>
  <c r="AL212" i="43" a="1"/>
  <c r="AL212" i="43" s="1"/>
  <c r="AG212" i="43" a="1"/>
  <c r="AG212" i="43" s="1"/>
  <c r="AD212" i="43" a="1"/>
  <c r="AD212" i="43" s="1"/>
  <c r="AF212" i="43" a="1"/>
  <c r="AF212" i="43" s="1"/>
  <c r="AN212" i="43" a="1"/>
  <c r="AN212" i="43" s="1"/>
  <c r="AI212" i="43" a="1"/>
  <c r="AI212" i="43" s="1"/>
  <c r="AN225" i="43" l="1" a="1"/>
  <c r="AN225" i="43" s="1"/>
  <c r="AI225" i="43" a="1"/>
  <c r="AI225" i="43" s="1"/>
  <c r="AF225" i="43" a="1"/>
  <c r="AF225" i="43" s="1"/>
  <c r="AK225" i="43" a="1"/>
  <c r="AK225" i="43" s="1"/>
  <c r="AH225" i="43" a="1"/>
  <c r="AH225" i="43" s="1"/>
  <c r="AC225" i="43" a="1"/>
  <c r="AC225" i="43" s="1"/>
  <c r="AM225" i="43" a="1"/>
  <c r="AM225" i="43" s="1"/>
  <c r="AJ225" i="43" a="1"/>
  <c r="AJ225" i="43" s="1"/>
  <c r="AE225" i="43" a="1"/>
  <c r="AE225" i="43" s="1"/>
  <c r="AL225" i="43" a="1"/>
  <c r="AL225" i="43" s="1"/>
  <c r="AG225" i="43" a="1"/>
  <c r="AG225" i="43" s="1"/>
  <c r="AD225" i="43" a="1"/>
  <c r="AD225" i="43" s="1"/>
  <c r="AL249" i="43" a="1"/>
  <c r="AL249" i="43" s="1"/>
  <c r="AI249" i="43" a="1"/>
  <c r="AI249" i="43" s="1"/>
  <c r="AD249" i="43" a="1"/>
  <c r="AD249" i="43" s="1"/>
  <c r="AN249" i="43" a="1"/>
  <c r="AN249" i="43" s="1"/>
  <c r="AK249" i="43" a="1"/>
  <c r="AK249" i="43" s="1"/>
  <c r="AF249" i="43" a="1"/>
  <c r="AF249" i="43" s="1"/>
  <c r="AC249" i="43" a="1"/>
  <c r="AC249" i="43" s="1"/>
  <c r="AM249" i="43" a="1"/>
  <c r="AM249" i="43" s="1"/>
  <c r="AH249" i="43" a="1"/>
  <c r="AH249" i="43" s="1"/>
  <c r="AE249" i="43" a="1"/>
  <c r="AE249" i="43" s="1"/>
  <c r="AA250" i="43"/>
  <c r="AJ249" i="43" a="1"/>
  <c r="AJ249" i="43" s="1"/>
  <c r="AG249" i="43" a="1"/>
  <c r="AG249" i="43" s="1"/>
  <c r="AM237" i="43" a="1"/>
  <c r="AM237" i="43" s="1"/>
  <c r="AI237" i="43" a="1"/>
  <c r="AI237" i="43" s="1"/>
  <c r="AE237" i="43" a="1"/>
  <c r="AE237" i="43" s="1"/>
  <c r="AL237" i="43" a="1"/>
  <c r="AL237" i="43" s="1"/>
  <c r="AH237" i="43" a="1"/>
  <c r="AH237" i="43" s="1"/>
  <c r="AD237" i="43" a="1"/>
  <c r="AD237" i="43" s="1"/>
  <c r="AA238" i="43"/>
  <c r="AK237" i="43" a="1"/>
  <c r="AK237" i="43" s="1"/>
  <c r="AG237" i="43" a="1"/>
  <c r="AG237" i="43" s="1"/>
  <c r="AC237" i="43" a="1"/>
  <c r="AC237" i="43" s="1"/>
  <c r="AN237" i="43" a="1"/>
  <c r="AN237" i="43" s="1"/>
  <c r="AJ237" i="43" a="1"/>
  <c r="AJ237" i="43" s="1"/>
  <c r="AF237" i="43" a="1"/>
  <c r="AF237" i="43" s="1"/>
  <c r="AA286" i="43"/>
  <c r="AK285" i="43" a="1"/>
  <c r="AK285" i="43" s="1"/>
  <c r="AG285" i="43" a="1"/>
  <c r="AG285" i="43" s="1"/>
  <c r="AC285" i="43" a="1"/>
  <c r="AC285" i="43" s="1"/>
  <c r="AN285" i="43" a="1"/>
  <c r="AN285" i="43" s="1"/>
  <c r="AJ285" i="43" a="1"/>
  <c r="AJ285" i="43" s="1"/>
  <c r="AF285" i="43" a="1"/>
  <c r="AF285" i="43" s="1"/>
  <c r="AM285" i="43" a="1"/>
  <c r="AM285" i="43" s="1"/>
  <c r="AI285" i="43" a="1"/>
  <c r="AI285" i="43" s="1"/>
  <c r="AE285" i="43" a="1"/>
  <c r="AE285" i="43" s="1"/>
  <c r="AH285" i="43" a="1"/>
  <c r="AH285" i="43" s="1"/>
  <c r="AD285" i="43" a="1"/>
  <c r="AD285" i="43" s="1"/>
  <c r="AL285" i="43" a="1"/>
  <c r="AL285" i="43" s="1"/>
  <c r="AN298" i="43" a="1"/>
  <c r="AN298" i="43" s="1"/>
  <c r="AJ298" i="43" a="1"/>
  <c r="AJ298" i="43" s="1"/>
  <c r="AF298" i="43" a="1"/>
  <c r="AF298" i="43" s="1"/>
  <c r="AM298" i="43" a="1"/>
  <c r="AM298" i="43" s="1"/>
  <c r="AI298" i="43" a="1"/>
  <c r="AI298" i="43" s="1"/>
  <c r="AE298" i="43" a="1"/>
  <c r="AE298" i="43" s="1"/>
  <c r="AL298" i="43" a="1"/>
  <c r="AL298" i="43" s="1"/>
  <c r="AH298" i="43" a="1"/>
  <c r="AH298" i="43" s="1"/>
  <c r="AD298" i="43" a="1"/>
  <c r="AD298" i="43" s="1"/>
  <c r="AA299" i="43"/>
  <c r="AK298" i="43" a="1"/>
  <c r="AK298" i="43" s="1"/>
  <c r="AG298" i="43" a="1"/>
  <c r="AG298" i="43" s="1"/>
  <c r="AC298" i="43" a="1"/>
  <c r="AC298" i="43" s="1"/>
  <c r="AN261" i="43" a="1"/>
  <c r="AN261" i="43" s="1"/>
  <c r="AI261" i="43" a="1"/>
  <c r="AI261" i="43" s="1"/>
  <c r="AF261" i="43" a="1"/>
  <c r="AF261" i="43" s="1"/>
  <c r="AK261" i="43" a="1"/>
  <c r="AK261" i="43" s="1"/>
  <c r="AH261" i="43" a="1"/>
  <c r="AH261" i="43" s="1"/>
  <c r="AC261" i="43" a="1"/>
  <c r="AC261" i="43" s="1"/>
  <c r="AM261" i="43" a="1"/>
  <c r="AM261" i="43" s="1"/>
  <c r="AJ261" i="43" a="1"/>
  <c r="AJ261" i="43" s="1"/>
  <c r="AE261" i="43" a="1"/>
  <c r="AE261" i="43" s="1"/>
  <c r="AA262" i="43"/>
  <c r="AL261" i="43" a="1"/>
  <c r="AL261" i="43" s="1"/>
  <c r="AG261" i="43" a="1"/>
  <c r="AG261" i="43" s="1"/>
  <c r="AD261" i="43" a="1"/>
  <c r="AD261" i="43" s="1"/>
  <c r="AL273" i="43" a="1"/>
  <c r="AL273" i="43" s="1"/>
  <c r="AI273" i="43" a="1"/>
  <c r="AI273" i="43" s="1"/>
  <c r="AT26" i="43" s="1"/>
  <c r="AD273" i="43" a="1"/>
  <c r="AD273" i="43" s="1"/>
  <c r="AN273" i="43" a="1"/>
  <c r="AN273" i="43" s="1"/>
  <c r="AK273" i="43" a="1"/>
  <c r="AK273" i="43" s="1"/>
  <c r="AF273" i="43" a="1"/>
  <c r="AF273" i="43" s="1"/>
  <c r="AC273" i="43" a="1"/>
  <c r="AC273" i="43" s="1"/>
  <c r="AR26" i="43" s="1"/>
  <c r="AM273" i="43" a="1"/>
  <c r="AM273" i="43" s="1"/>
  <c r="AS26" i="43" s="1"/>
  <c r="AH273" i="43" a="1"/>
  <c r="AH273" i="43" s="1"/>
  <c r="AE273" i="43" a="1"/>
  <c r="AE273" i="43" s="1"/>
  <c r="AA274" i="43"/>
  <c r="AJ273" i="43" a="1"/>
  <c r="AJ273" i="43" s="1"/>
  <c r="AG273" i="43" a="1"/>
  <c r="AG273" i="43" s="1"/>
  <c r="AQ26" i="43" s="1"/>
  <c r="AL238" i="43" l="1" a="1"/>
  <c r="AL238" i="43" s="1"/>
  <c r="AH238" i="43" a="1"/>
  <c r="AH238" i="43" s="1"/>
  <c r="AD238" i="43" a="1"/>
  <c r="AD238" i="43" s="1"/>
  <c r="AK238" i="43" a="1"/>
  <c r="AK238" i="43" s="1"/>
  <c r="AG238" i="43" a="1"/>
  <c r="AG238" i="43" s="1"/>
  <c r="AC238" i="43" a="1"/>
  <c r="AC238" i="43" s="1"/>
  <c r="AN238" i="43" a="1"/>
  <c r="AN238" i="43" s="1"/>
  <c r="AJ238" i="43" a="1"/>
  <c r="AJ238" i="43" s="1"/>
  <c r="AF238" i="43" a="1"/>
  <c r="AF238" i="43" s="1"/>
  <c r="AM238" i="43" a="1"/>
  <c r="AM238" i="43" s="1"/>
  <c r="AI238" i="43" a="1"/>
  <c r="AI238" i="43" s="1"/>
  <c r="AE238" i="43" a="1"/>
  <c r="AE238" i="43" s="1"/>
  <c r="AA287" i="43"/>
  <c r="AK286" i="43" a="1"/>
  <c r="AK286" i="43" s="1"/>
  <c r="AN286" i="43" a="1"/>
  <c r="AN286" i="43" s="1"/>
  <c r="AJ286" i="43" a="1"/>
  <c r="AJ286" i="43" s="1"/>
  <c r="AF286" i="43" a="1"/>
  <c r="AF286" i="43" s="1"/>
  <c r="AM286" i="43" a="1"/>
  <c r="AM286" i="43" s="1"/>
  <c r="AS27" i="43" s="1"/>
  <c r="AI286" i="43" a="1"/>
  <c r="AI286" i="43" s="1"/>
  <c r="AT27" i="43" s="1"/>
  <c r="AE286" i="43" a="1"/>
  <c r="AE286" i="43" s="1"/>
  <c r="AL286" i="43" a="1"/>
  <c r="AL286" i="43" s="1"/>
  <c r="AH286" i="43" a="1"/>
  <c r="AH286" i="43" s="1"/>
  <c r="AD286" i="43" a="1"/>
  <c r="AD286" i="43" s="1"/>
  <c r="AG286" i="43" a="1"/>
  <c r="AG286" i="43" s="1"/>
  <c r="AQ27" i="43" s="1"/>
  <c r="AC286" i="43" a="1"/>
  <c r="AC286" i="43" s="1"/>
  <c r="AR27" i="43" s="1"/>
  <c r="AA251" i="43"/>
  <c r="AL250" i="43" a="1"/>
  <c r="AL250" i="43" s="1"/>
  <c r="AG250" i="43" a="1"/>
  <c r="AG250" i="43" s="1"/>
  <c r="AD250" i="43" a="1"/>
  <c r="AD250" i="43" s="1"/>
  <c r="AN250" i="43" a="1"/>
  <c r="AN250" i="43" s="1"/>
  <c r="AI250" i="43" a="1"/>
  <c r="AI250" i="43" s="1"/>
  <c r="AF250" i="43" a="1"/>
  <c r="AF250" i="43" s="1"/>
  <c r="AK250" i="43" a="1"/>
  <c r="AK250" i="43" s="1"/>
  <c r="AH250" i="43" a="1"/>
  <c r="AH250" i="43" s="1"/>
  <c r="AC250" i="43" a="1"/>
  <c r="AC250" i="43" s="1"/>
  <c r="AM250" i="43" a="1"/>
  <c r="AM250" i="43" s="1"/>
  <c r="AJ250" i="43" a="1"/>
  <c r="AJ250" i="43" s="1"/>
  <c r="AE250" i="43" a="1"/>
  <c r="AE250" i="43" s="1"/>
  <c r="AA275" i="43"/>
  <c r="AL274" i="43" a="1"/>
  <c r="AL274" i="43" s="1"/>
  <c r="AG274" i="43" a="1"/>
  <c r="AG274" i="43" s="1"/>
  <c r="AD274" i="43" a="1"/>
  <c r="AD274" i="43" s="1"/>
  <c r="AN274" i="43" a="1"/>
  <c r="AN274" i="43" s="1"/>
  <c r="AI274" i="43" a="1"/>
  <c r="AI274" i="43" s="1"/>
  <c r="AF274" i="43" a="1"/>
  <c r="AF274" i="43" s="1"/>
  <c r="AK274" i="43" a="1"/>
  <c r="AK274" i="43" s="1"/>
  <c r="AH274" i="43" a="1"/>
  <c r="AH274" i="43" s="1"/>
  <c r="AC274" i="43" a="1"/>
  <c r="AC274" i="43" s="1"/>
  <c r="AM274" i="43" a="1"/>
  <c r="AM274" i="43" s="1"/>
  <c r="AJ274" i="43" a="1"/>
  <c r="AJ274" i="43" s="1"/>
  <c r="AE274" i="43" a="1"/>
  <c r="AE274" i="43" s="1"/>
  <c r="AL262" i="43" a="1"/>
  <c r="AL262" i="43" s="1"/>
  <c r="AI262" i="43" a="1"/>
  <c r="AI262" i="43" s="1"/>
  <c r="AD262" i="43" a="1"/>
  <c r="AD262" i="43" s="1"/>
  <c r="AN262" i="43" a="1"/>
  <c r="AN262" i="43" s="1"/>
  <c r="AK262" i="43" a="1"/>
  <c r="AK262" i="43" s="1"/>
  <c r="AF262" i="43" a="1"/>
  <c r="AF262" i="43" s="1"/>
  <c r="AC262" i="43" a="1"/>
  <c r="AC262" i="43" s="1"/>
  <c r="AM262" i="43" a="1"/>
  <c r="AM262" i="43" s="1"/>
  <c r="AH262" i="43" a="1"/>
  <c r="AH262" i="43" s="1"/>
  <c r="AE262" i="43" a="1"/>
  <c r="AE262" i="43" s="1"/>
  <c r="AA263" i="43"/>
  <c r="AJ262" i="43" a="1"/>
  <c r="AJ262" i="43" s="1"/>
  <c r="AG262" i="43" a="1"/>
  <c r="AG262" i="43" s="1"/>
  <c r="AM299" i="43" a="1"/>
  <c r="AM299" i="43" s="1"/>
  <c r="AS28" i="43" s="1"/>
  <c r="AI299" i="43" a="1"/>
  <c r="AI299" i="43" s="1"/>
  <c r="AT28" i="43" s="1"/>
  <c r="AE299" i="43" a="1"/>
  <c r="AE299" i="43" s="1"/>
  <c r="AL299" i="43" a="1"/>
  <c r="AL299" i="43" s="1"/>
  <c r="AH299" i="43" a="1"/>
  <c r="AH299" i="43" s="1"/>
  <c r="AD299" i="43" a="1"/>
  <c r="AD299" i="43" s="1"/>
  <c r="AA300" i="43"/>
  <c r="AK299" i="43" a="1"/>
  <c r="AK299" i="43" s="1"/>
  <c r="AG299" i="43" a="1"/>
  <c r="AG299" i="43" s="1"/>
  <c r="AQ28" i="43" s="1"/>
  <c r="AC299" i="43" a="1"/>
  <c r="AC299" i="43" s="1"/>
  <c r="AR28" i="43" s="1"/>
  <c r="AN299" i="43" a="1"/>
  <c r="AN299" i="43" s="1"/>
  <c r="AJ299" i="43" a="1"/>
  <c r="AJ299" i="43" s="1"/>
  <c r="AF299" i="43" a="1"/>
  <c r="AF299" i="43" s="1"/>
  <c r="AL300" i="43" l="1" a="1"/>
  <c r="AL300" i="43" s="1"/>
  <c r="AH300" i="43" a="1"/>
  <c r="AH300" i="43" s="1"/>
  <c r="AD300" i="43" a="1"/>
  <c r="AD300" i="43" s="1"/>
  <c r="AA301" i="43"/>
  <c r="AK300" i="43" a="1"/>
  <c r="AK300" i="43" s="1"/>
  <c r="AG300" i="43" a="1"/>
  <c r="AG300" i="43" s="1"/>
  <c r="AC300" i="43" a="1"/>
  <c r="AC300" i="43" s="1"/>
  <c r="AN300" i="43" a="1"/>
  <c r="AN300" i="43" s="1"/>
  <c r="AJ300" i="43" a="1"/>
  <c r="AJ300" i="43" s="1"/>
  <c r="AF300" i="43" a="1"/>
  <c r="AF300" i="43" s="1"/>
  <c r="AM300" i="43" a="1"/>
  <c r="AM300" i="43" s="1"/>
  <c r="AI300" i="43" a="1"/>
  <c r="AI300" i="43" s="1"/>
  <c r="AE300" i="43" a="1"/>
  <c r="AE300" i="43" s="1"/>
  <c r="AA276" i="43"/>
  <c r="AJ275" i="43" a="1"/>
  <c r="AJ275" i="43" s="1"/>
  <c r="AG275" i="43" a="1"/>
  <c r="AG275" i="43" s="1"/>
  <c r="AL275" i="43" a="1"/>
  <c r="AL275" i="43" s="1"/>
  <c r="AI275" i="43" a="1"/>
  <c r="AI275" i="43" s="1"/>
  <c r="AD275" i="43" a="1"/>
  <c r="AD275" i="43" s="1"/>
  <c r="AN275" i="43" a="1"/>
  <c r="AN275" i="43" s="1"/>
  <c r="AK275" i="43" a="1"/>
  <c r="AK275" i="43" s="1"/>
  <c r="AF275" i="43" a="1"/>
  <c r="AF275" i="43" s="1"/>
  <c r="AC275" i="43" a="1"/>
  <c r="AC275" i="43" s="1"/>
  <c r="AM275" i="43" a="1"/>
  <c r="AM275" i="43" s="1"/>
  <c r="AH275" i="43" a="1"/>
  <c r="AH275" i="43" s="1"/>
  <c r="AE275" i="43" a="1"/>
  <c r="AE275" i="43" s="1"/>
  <c r="AN263" i="43" a="1"/>
  <c r="AN263" i="43" s="1"/>
  <c r="AM263" i="43" a="1"/>
  <c r="AM263" i="43" s="1"/>
  <c r="AL263" i="43" a="1"/>
  <c r="AL263" i="43" s="1"/>
  <c r="AG263" i="43" a="1"/>
  <c r="AG263" i="43" s="1"/>
  <c r="AD263" i="43" a="1"/>
  <c r="AD263" i="43" s="1"/>
  <c r="AI263" i="43" a="1"/>
  <c r="AI263" i="43" s="1"/>
  <c r="AF263" i="43" a="1"/>
  <c r="AF263" i="43" s="1"/>
  <c r="AA264" i="43"/>
  <c r="AK263" i="43" a="1"/>
  <c r="AK263" i="43" s="1"/>
  <c r="AH263" i="43" a="1"/>
  <c r="AH263" i="43" s="1"/>
  <c r="AC263" i="43" a="1"/>
  <c r="AC263" i="43" s="1"/>
  <c r="AJ263" i="43" a="1"/>
  <c r="AJ263" i="43" s="1"/>
  <c r="AE263" i="43" a="1"/>
  <c r="AE263" i="43" s="1"/>
  <c r="AJ251" i="43" a="1"/>
  <c r="AJ251" i="43" s="1"/>
  <c r="AG251" i="43" a="1"/>
  <c r="AG251" i="43" s="1"/>
  <c r="AL251" i="43" a="1"/>
  <c r="AL251" i="43" s="1"/>
  <c r="AI251" i="43" a="1"/>
  <c r="AI251" i="43" s="1"/>
  <c r="AD251" i="43" a="1"/>
  <c r="AD251" i="43" s="1"/>
  <c r="AN251" i="43" a="1"/>
  <c r="AN251" i="43" s="1"/>
  <c r="AK251" i="43" a="1"/>
  <c r="AK251" i="43" s="1"/>
  <c r="AF251" i="43" a="1"/>
  <c r="AF251" i="43" s="1"/>
  <c r="AC251" i="43" a="1"/>
  <c r="AC251" i="43" s="1"/>
  <c r="AM251" i="43" a="1"/>
  <c r="AM251" i="43" s="1"/>
  <c r="AH251" i="43" a="1"/>
  <c r="AH251" i="43" s="1"/>
  <c r="AE251" i="43" a="1"/>
  <c r="AE251" i="43" s="1"/>
  <c r="AN287" i="43" a="1"/>
  <c r="AN287" i="43" s="1"/>
  <c r="AJ287" i="43" a="1"/>
  <c r="AJ287" i="43" s="1"/>
  <c r="AF287" i="43" a="1"/>
  <c r="AF287" i="43" s="1"/>
  <c r="AM287" i="43" a="1"/>
  <c r="AM287" i="43" s="1"/>
  <c r="AI287" i="43" a="1"/>
  <c r="AI287" i="43" s="1"/>
  <c r="AE287" i="43" a="1"/>
  <c r="AE287" i="43" s="1"/>
  <c r="AL287" i="43" a="1"/>
  <c r="AL287" i="43" s="1"/>
  <c r="AH287" i="43" a="1"/>
  <c r="AH287" i="43" s="1"/>
  <c r="AD287" i="43" a="1"/>
  <c r="AD287" i="43" s="1"/>
  <c r="AA288" i="43"/>
  <c r="AK287" i="43" a="1"/>
  <c r="AK287" i="43" s="1"/>
  <c r="AG287" i="43" a="1"/>
  <c r="AG287" i="43" s="1"/>
  <c r="AC287" i="43" a="1"/>
  <c r="AC287" i="43" s="1"/>
  <c r="AA302" i="43" l="1"/>
  <c r="AK301" i="43" a="1"/>
  <c r="AK301" i="43" s="1"/>
  <c r="AG301" i="43" a="1"/>
  <c r="AG301" i="43" s="1"/>
  <c r="AC301" i="43" a="1"/>
  <c r="AC301" i="43" s="1"/>
  <c r="AN301" i="43" a="1"/>
  <c r="AN301" i="43" s="1"/>
  <c r="AJ301" i="43" a="1"/>
  <c r="AJ301" i="43" s="1"/>
  <c r="AF301" i="43" a="1"/>
  <c r="AF301" i="43" s="1"/>
  <c r="AM301" i="43" a="1"/>
  <c r="AM301" i="43" s="1"/>
  <c r="AI301" i="43" a="1"/>
  <c r="AI301" i="43" s="1"/>
  <c r="AE301" i="43" a="1"/>
  <c r="AE301" i="43" s="1"/>
  <c r="AL301" i="43" a="1"/>
  <c r="AL301" i="43" s="1"/>
  <c r="AH301" i="43" a="1"/>
  <c r="AH301" i="43" s="1"/>
  <c r="AD301" i="43" a="1"/>
  <c r="AD301" i="43" s="1"/>
  <c r="AL264" i="43" a="1"/>
  <c r="AL264" i="43" s="1"/>
  <c r="AI264" i="43" a="1"/>
  <c r="AI264" i="43" s="1"/>
  <c r="AD264" i="43" a="1"/>
  <c r="AD264" i="43" s="1"/>
  <c r="AN264" i="43" a="1"/>
  <c r="AN264" i="43" s="1"/>
  <c r="AK264" i="43" a="1"/>
  <c r="AK264" i="43" s="1"/>
  <c r="AM264" i="43" a="1"/>
  <c r="AM264" i="43" s="1"/>
  <c r="AH264" i="43" a="1"/>
  <c r="AH264" i="43" s="1"/>
  <c r="AE264" i="43" a="1"/>
  <c r="AE264" i="43" s="1"/>
  <c r="AJ264" i="43" a="1"/>
  <c r="AJ264" i="43" s="1"/>
  <c r="AC264" i="43" a="1"/>
  <c r="AC264" i="43" s="1"/>
  <c r="AG264" i="43" a="1"/>
  <c r="AG264" i="43" s="1"/>
  <c r="AF264" i="43" a="1"/>
  <c r="AF264" i="43" s="1"/>
  <c r="AM276" i="43" a="1"/>
  <c r="AM276" i="43" s="1"/>
  <c r="AJ276" i="43" a="1"/>
  <c r="AJ276" i="43" s="1"/>
  <c r="AE276" i="43" a="1"/>
  <c r="AE276" i="43" s="1"/>
  <c r="AA277" i="43"/>
  <c r="AL276" i="43" a="1"/>
  <c r="AL276" i="43" s="1"/>
  <c r="AG276" i="43" a="1"/>
  <c r="AG276" i="43" s="1"/>
  <c r="AD276" i="43" a="1"/>
  <c r="AD276" i="43" s="1"/>
  <c r="AN276" i="43" a="1"/>
  <c r="AN276" i="43" s="1"/>
  <c r="AI276" i="43" a="1"/>
  <c r="AI276" i="43" s="1"/>
  <c r="AF276" i="43" a="1"/>
  <c r="AF276" i="43" s="1"/>
  <c r="AK276" i="43" a="1"/>
  <c r="AK276" i="43" s="1"/>
  <c r="AH276" i="43" a="1"/>
  <c r="AH276" i="43" s="1"/>
  <c r="AC276" i="43" a="1"/>
  <c r="AC276" i="43" s="1"/>
  <c r="AM288" i="43" a="1"/>
  <c r="AM288" i="43" s="1"/>
  <c r="AI288" i="43" a="1"/>
  <c r="AI288" i="43" s="1"/>
  <c r="AE288" i="43" a="1"/>
  <c r="AE288" i="43" s="1"/>
  <c r="AL288" i="43" a="1"/>
  <c r="AL288" i="43" s="1"/>
  <c r="AH288" i="43" a="1"/>
  <c r="AH288" i="43" s="1"/>
  <c r="AD288" i="43" a="1"/>
  <c r="AD288" i="43" s="1"/>
  <c r="AA289" i="43"/>
  <c r="AK288" i="43" a="1"/>
  <c r="AK288" i="43" s="1"/>
  <c r="AG288" i="43" a="1"/>
  <c r="AG288" i="43" s="1"/>
  <c r="AC288" i="43" a="1"/>
  <c r="AC288" i="43" s="1"/>
  <c r="AN288" i="43" a="1"/>
  <c r="AN288" i="43" s="1"/>
  <c r="AJ288" i="43" a="1"/>
  <c r="AJ288" i="43" s="1"/>
  <c r="AF288" i="43" a="1"/>
  <c r="AF288" i="43" s="1"/>
  <c r="AA290" i="43" l="1"/>
  <c r="AN289" i="43" a="1"/>
  <c r="AN289" i="43" s="1"/>
  <c r="AM289" i="43" a="1"/>
  <c r="AM289" i="43" s="1"/>
  <c r="AK289" i="43" a="1"/>
  <c r="AK289" i="43" s="1"/>
  <c r="AH289" i="43" a="1"/>
  <c r="AH289" i="43" s="1"/>
  <c r="AD289" i="43" a="1"/>
  <c r="AD289" i="43" s="1"/>
  <c r="AL289" i="43" a="1"/>
  <c r="AL289" i="43" s="1"/>
  <c r="AG289" i="43" a="1"/>
  <c r="AG289" i="43" s="1"/>
  <c r="AC289" i="43" a="1"/>
  <c r="AC289" i="43" s="1"/>
  <c r="AJ289" i="43" a="1"/>
  <c r="AJ289" i="43" s="1"/>
  <c r="AF289" i="43" a="1"/>
  <c r="AF289" i="43" s="1"/>
  <c r="AI289" i="43" a="1"/>
  <c r="AI289" i="43" s="1"/>
  <c r="AE289" i="43" a="1"/>
  <c r="AE289" i="43" s="1"/>
  <c r="AM277" i="43" a="1"/>
  <c r="AM277" i="43" s="1"/>
  <c r="AH277" i="43" a="1"/>
  <c r="AH277" i="43" s="1"/>
  <c r="AE277" i="43" a="1"/>
  <c r="AE277" i="43" s="1"/>
  <c r="AJ277" i="43" a="1"/>
  <c r="AJ277" i="43" s="1"/>
  <c r="AG277" i="43" a="1"/>
  <c r="AG277" i="43" s="1"/>
  <c r="AL277" i="43" a="1"/>
  <c r="AL277" i="43" s="1"/>
  <c r="AI277" i="43" a="1"/>
  <c r="AI277" i="43" s="1"/>
  <c r="AD277" i="43" a="1"/>
  <c r="AD277" i="43" s="1"/>
  <c r="AN277" i="43" a="1"/>
  <c r="AN277" i="43" s="1"/>
  <c r="AK277" i="43" a="1"/>
  <c r="AK277" i="43" s="1"/>
  <c r="AF277" i="43" a="1"/>
  <c r="AF277" i="43" s="1"/>
  <c r="AC277" i="43" a="1"/>
  <c r="AC277" i="43" s="1"/>
  <c r="AN302" i="43" a="1"/>
  <c r="AN302" i="43" s="1"/>
  <c r="AJ302" i="43" a="1"/>
  <c r="AJ302" i="43" s="1"/>
  <c r="AF302" i="43" a="1"/>
  <c r="AF302" i="43" s="1"/>
  <c r="AM302" i="43" a="1"/>
  <c r="AM302" i="43" s="1"/>
  <c r="AI302" i="43" a="1"/>
  <c r="AI302" i="43" s="1"/>
  <c r="AE302" i="43" a="1"/>
  <c r="AE302" i="43" s="1"/>
  <c r="AL302" i="43" a="1"/>
  <c r="AL302" i="43" s="1"/>
  <c r="AH302" i="43" a="1"/>
  <c r="AH302" i="43" s="1"/>
  <c r="AD302" i="43" a="1"/>
  <c r="AD302" i="43" s="1"/>
  <c r="AA303" i="43"/>
  <c r="AK302" i="43" a="1"/>
  <c r="AK302" i="43" s="1"/>
  <c r="AG302" i="43" a="1"/>
  <c r="AG302" i="43" s="1"/>
  <c r="AC302" i="43" a="1"/>
  <c r="AC302" i="43" s="1"/>
  <c r="AN303" i="43" l="1" a="1"/>
  <c r="AN303" i="43" s="1"/>
  <c r="AM303" i="43" a="1"/>
  <c r="AM303" i="43" s="1"/>
  <c r="AI303" i="43" a="1"/>
  <c r="AI303" i="43" s="1"/>
  <c r="AE303" i="43" a="1"/>
  <c r="AE303" i="43" s="1"/>
  <c r="AL303" i="43" a="1"/>
  <c r="AL303" i="43" s="1"/>
  <c r="AH303" i="43" a="1"/>
  <c r="AH303" i="43" s="1"/>
  <c r="AD303" i="43" a="1"/>
  <c r="AD303" i="43" s="1"/>
  <c r="AK303" i="43" a="1"/>
  <c r="AK303" i="43" s="1"/>
  <c r="AG303" i="43" a="1"/>
  <c r="AG303" i="43" s="1"/>
  <c r="AC303" i="43" a="1"/>
  <c r="AC303" i="43" s="1"/>
  <c r="AJ303" i="43" a="1"/>
  <c r="AJ303" i="43" s="1"/>
  <c r="AF303" i="43" a="1"/>
  <c r="AF303" i="43" s="1"/>
  <c r="AN290" i="43" a="1"/>
  <c r="AN290" i="43" s="1"/>
  <c r="AJ290" i="43" a="1"/>
  <c r="AJ290" i="43" s="1"/>
  <c r="AF290" i="43" a="1"/>
  <c r="AF290" i="43" s="1"/>
  <c r="AM290" i="43" a="1"/>
  <c r="AM290" i="43" s="1"/>
  <c r="AI290" i="43" a="1"/>
  <c r="AI290" i="43" s="1"/>
  <c r="AE290" i="43" a="1"/>
  <c r="AE290" i="43" s="1"/>
  <c r="AL290" i="43" a="1"/>
  <c r="AL290" i="43" s="1"/>
  <c r="AH290" i="43" a="1"/>
  <c r="AH290" i="43" s="1"/>
  <c r="AD290" i="43" a="1"/>
  <c r="AD290" i="43" s="1"/>
  <c r="AK290" i="43" a="1"/>
  <c r="AK290" i="43" s="1"/>
  <c r="AG290" i="43" a="1"/>
  <c r="AG290" i="43" s="1"/>
  <c r="AC290" i="43" a="1"/>
  <c r="AC290" i="4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elys15802" type="6" refreshedVersion="4" background="1">
    <textPr sourceFile="X:\Misc Neutron Data\Lysimeters\2002 East Cotton\elys15802.dat" space="1" consecutive="1">
      <textFields count="7">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<sst xmlns="http://schemas.openxmlformats.org/spreadsheetml/2006/main" count="1840" uniqueCount="183">
  <si>
    <t>SE Fld</t>
  </si>
  <si>
    <t>SE Lys</t>
  </si>
  <si>
    <t>FC</t>
  </si>
  <si>
    <t>Location</t>
  </si>
  <si>
    <t>Year</t>
  </si>
  <si>
    <t>DOY</t>
  </si>
  <si>
    <t>Date</t>
  </si>
  <si>
    <t>Depth in cm</t>
  </si>
  <si>
    <t>Tube no.</t>
  </si>
  <si>
    <t>VWC</t>
  </si>
  <si>
    <t>SHEET NAME</t>
  </si>
  <si>
    <t>CONTENTS</t>
  </si>
  <si>
    <t>Authors of the data, key references to methods, symbols, conventions, explanation of sheet names and contents</t>
  </si>
  <si>
    <t>Summary data of soil profile water content in mm for each tube and date of neutron probe reading for the entire season.</t>
  </si>
  <si>
    <t>Soil water content (vol/vol) for each date of reading and each depth of reading in each of 20 access tubes.</t>
  </si>
  <si>
    <t>Graphs of the water content profile for all dates when data were taken with one graph for each neutron probe access tube. Also contain summary data of profile water content at each tube location for each date when data were taken.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</si>
  <si>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</si>
  <si>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</si>
  <si>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</si>
  <si>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</si>
  <si>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</si>
  <si>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</si>
  <si>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</si>
  <si>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</si>
  <si>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</si>
  <si>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</si>
  <si>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</si>
  <si>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</si>
  <si>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</si>
  <si>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</si>
  <si>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</si>
  <si>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</si>
  <si>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</si>
  <si>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</si>
  <si>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</si>
  <si>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</si>
  <si>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</si>
  <si>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</si>
  <si>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</si>
  <si>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</si>
  <si>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</si>
  <si>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</si>
  <si>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</si>
  <si>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</si>
  <si>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</si>
  <si>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</si>
  <si>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</si>
  <si>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</si>
  <si>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</si>
  <si>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</si>
  <si>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Soil profile water content in mm</t>
  </si>
  <si>
    <t>MAD</t>
  </si>
  <si>
    <t>Profile water content in mm at management allowed depletion</t>
  </si>
  <si>
    <t>NE</t>
  </si>
  <si>
    <t>northeast. Refers to NE field and weighing lysimeter</t>
  </si>
  <si>
    <t>PWP</t>
  </si>
  <si>
    <t>Profile water content in mm at permanent wilting point</t>
  </si>
  <si>
    <t>SE</t>
  </si>
  <si>
    <t>southeast. Refers to SE field and weighing lysimeter</t>
  </si>
  <si>
    <t>SW</t>
  </si>
  <si>
    <t>southwest. Refers to SW field and weighing lysimeter</t>
  </si>
  <si>
    <t>NW</t>
  </si>
  <si>
    <t>northwest. Refers to NW field and weighing lysimeter</t>
  </si>
  <si>
    <t>Fld</t>
  </si>
  <si>
    <t>field</t>
  </si>
  <si>
    <t>Lys</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</si>
  <si>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</si>
  <si>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</si>
  <si>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</si>
  <si>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</si>
  <si>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</si>
  <si>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</si>
  <si>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</si>
  <si>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</si>
  <si>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</si>
  <si>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Spreadsheet tab</t>
  </si>
  <si>
    <t>Element or value display name</t>
  </si>
  <si>
    <t>Description</t>
  </si>
  <si>
    <t>Data type</t>
  </si>
  <si>
    <t>Character length</t>
  </si>
  <si>
    <t>Acceptable values</t>
  </si>
  <si>
    <t>Required?</t>
  </si>
  <si>
    <t>Accepts null value?</t>
  </si>
  <si>
    <t>Date in yyyy-mm-dd format</t>
  </si>
  <si>
    <t>date -  yyyy-mm-dd</t>
  </si>
  <si>
    <t>Yes</t>
  </si>
  <si>
    <t>No</t>
  </si>
  <si>
    <t>integer</t>
  </si>
  <si>
    <t>Serial day of the year beginning with 1 for January 1.</t>
  </si>
  <si>
    <t>1 to 366</t>
  </si>
  <si>
    <t>Storage in top 1.5 m of soil in NE Lys</t>
  </si>
  <si>
    <t>Water in mm stored in top 1.5 m of soil in NE Lys</t>
  </si>
  <si>
    <t>decimal</t>
  </si>
  <si>
    <t>Yes, #N/A</t>
  </si>
  <si>
    <t>Storage in top 1.5 m of soil in NE Field</t>
  </si>
  <si>
    <t>Water in mm stored in top 1.5 m of soil in NE Field</t>
  </si>
  <si>
    <t>Storage in top 1.5 m of soil in SE Lys</t>
  </si>
  <si>
    <t>Water in mm stored in top 1.5 m of soil in SE Lys</t>
  </si>
  <si>
    <t>Storage in top 1.5 m of soil in SE Field</t>
  </si>
  <si>
    <t>Water in mm stored in top 1.5 m of soil in SE Field</t>
  </si>
  <si>
    <t>Water in mm stored in top 1.5 m of soil at field capacity</t>
  </si>
  <si>
    <t>Water in mm stored in top 1.5 m of soil at permanent wilting point</t>
  </si>
  <si>
    <t>Water in mm stored in top 1.5 m of soil at management allowed depletion</t>
  </si>
  <si>
    <t>Water (mm) stored in top 1.5 m of soil in NE Lys</t>
  </si>
  <si>
    <t>Water (mm) stored in top 1.5 m of soil in NE Field</t>
  </si>
  <si>
    <t>Water (mm) stored in top 1.5 m of soil in SE Lys</t>
  </si>
  <si>
    <t>Water (mm) stored in top 1.5 m of soil in SE Field</t>
  </si>
  <si>
    <t>year - yyyy</t>
  </si>
  <si>
    <t>date - year/month/day preferably ISO 8601: yyyy-mm-dd</t>
  </si>
  <si>
    <t>Center depth in cm below the soil surface of soil water content sensing</t>
  </si>
  <si>
    <t>Number of the access tube in which the neutron probe was used to sense water content. The tube map gives the relative tube locations in the lysimeters and in the fields surrounding the lysimeters.</t>
  </si>
  <si>
    <t>1 to 20</t>
  </si>
  <si>
    <t>Soil volumetric water content. This is a unitless fraction.</t>
  </si>
  <si>
    <t>Zero to &lt;1</t>
  </si>
  <si>
    <t>Indicates wether the access tube was in the field, indicated by Fld, or in a lysimeter, indicated by Lys, and what field it was in as indicated by the four intercardinal directions NW, SW, NE, and SE.</t>
  </si>
  <si>
    <t>varchar(6)</t>
  </si>
  <si>
    <t>Depth (cm)</t>
  </si>
  <si>
    <t>Porosity (m3/m3)</t>
  </si>
  <si>
    <t>tube no.</t>
  </si>
  <si>
    <t>NEL14996 either conflicts with a valid range reference or invalid for Exce.. It has been replaced with _NEL14996.</t>
  </si>
  <si>
    <t>09/15/94 (258), shredded</t>
  </si>
  <si>
    <t>09/27/94(270), shredded</t>
  </si>
  <si>
    <t>NE lysimeter fully Irrigated Corn (PIO3737) planted 4/16/1994 (105)</t>
  </si>
  <si>
    <t>SE lysimeter Fully Irrigated Corn (PIO3245) Planted 4/16/1994 (105)</t>
  </si>
  <si>
    <t>NE field planted 04/15/94(104)</t>
  </si>
  <si>
    <t>SE field planted 04/15/94(104)</t>
  </si>
  <si>
    <t>NE lysimeter harvested 09/15/94(258)</t>
  </si>
  <si>
    <t>SE lysimeter harvested 09/17/94(268)</t>
  </si>
  <si>
    <t>NE field harvested 09/14/94(257)</t>
  </si>
  <si>
    <t>SE field harvested 09/26/94(269)</t>
  </si>
  <si>
    <t>NW Fld</t>
  </si>
  <si>
    <t>NW Lys</t>
  </si>
  <si>
    <t>Water stored (mm) in top 2.4 m of SE field tubes 1-2</t>
  </si>
  <si>
    <t>Water stored (mm) in top 2.4 m of SE field tubes 3-4</t>
  </si>
  <si>
    <t>Water stored (mm) in top 2.0 m of SE Lys tubes 5-6</t>
  </si>
  <si>
    <t>Water stored (mm) in top 2.4 m of NE field tubes 7-8</t>
  </si>
  <si>
    <t>Water stored (mm) in top 2.4 m of NE field tubes 9-10</t>
  </si>
  <si>
    <t>Water stored (mm) in top 2.0 m of NE Lys tubes 11-12</t>
  </si>
  <si>
    <t>Storage in top 2.4 m of NE field tubes 7-8</t>
  </si>
  <si>
    <t>Water in mm stored in top 2.4 m of NE field tubes 7-8</t>
  </si>
  <si>
    <t>Storage in top 2.4 m of NE field tubes 9-10</t>
  </si>
  <si>
    <t>Water in mm stored in top 2.4 m of NE field tubes 9-10</t>
  </si>
  <si>
    <t>Storage in top 2.0 m of NE Lys tubes 11-12</t>
  </si>
  <si>
    <t>Water in mm stored in top 2.0 m of NE Lys tubes 11-12</t>
  </si>
  <si>
    <t>Storage in top 2.4 m of SE field tubes 1-2</t>
  </si>
  <si>
    <t>Water in mm stored in top 2.4 m of SE field tubes 1-2</t>
  </si>
  <si>
    <t>Storage in top 2.4 m of SE field tubes 3-4</t>
  </si>
  <si>
    <t>Water in mm stored in top 2.4 m of SE field tubes 3-4</t>
  </si>
  <si>
    <t>Storage in top 2.0 m of SE Lys tubes 5-6</t>
  </si>
  <si>
    <t>Water in mm stored in top 2.0 m of SE Lys tubes 5-6</t>
  </si>
  <si>
    <t>1993 E Maize VWC Introduction</t>
  </si>
  <si>
    <t>1994 E Maize Profile WC</t>
  </si>
  <si>
    <t>Dic. 1994 E Maize Profile WC</t>
  </si>
  <si>
    <t>Data dictionary for sheet or CSV file named "1994 E Maize Profile WC"</t>
  </si>
  <si>
    <t>Dic. 1994 E Maize Soil VWC</t>
  </si>
  <si>
    <t>1994 E Maize Soil VWC</t>
  </si>
  <si>
    <t>Data dictionary for sheet or CSV file named "1994 E Maize Soil VWC"</t>
  </si>
  <si>
    <t>1994 E Maize Graphs</t>
  </si>
  <si>
    <t>Approximate mapping of neutron probe access tube locations within each field and lysimeter</t>
  </si>
  <si>
    <t>Dic. 1994 E Maize Tube Map</t>
  </si>
  <si>
    <t>1994 E Maize Tube Map</t>
  </si>
  <si>
    <t>Data dictionary for sheet or CSV file named "1994 E Maize Tube Map"</t>
  </si>
  <si>
    <t>yyyy</t>
  </si>
  <si>
    <t>Field</t>
  </si>
  <si>
    <t>Field in which the neutron probe access tube is located. NE for northeast, SE for southeast, NW for northwest, and SW for southwest</t>
  </si>
  <si>
    <t>text</t>
  </si>
  <si>
    <t>Span</t>
  </si>
  <si>
    <t>Tube number</t>
  </si>
  <si>
    <t>Number assigned to a particular neutron probe access tube.</t>
  </si>
  <si>
    <t>Relative position</t>
  </si>
  <si>
    <t>variable</t>
  </si>
  <si>
    <t>Year in which the experiment began.</t>
  </si>
  <si>
    <t>LYS-SE</t>
  </si>
  <si>
    <t>LYS-NE</t>
  </si>
  <si>
    <t>LYS-SW</t>
  </si>
  <si>
    <t>Span within which the tube was located, NE indicates the northeast field, SE indicates the southeast field. The concept of "span" is related to the 10-span, linear-move irrigation systems used to irrigate the lysimeter fields.  From 1988 through 2014 a Lindsay 10-span linear move was used, and in 2015 and later a 10-span Valley system was used. Both linear-move systems were oriented with the lateral pipe in the north-south direction, and therefore irrigated moving in the east-west direction. In 2012 the NE and SE fields were converted to drip irrigation, but the sampling was still done in areas consistent with the dimensions previously used under the linear-move system. Spans were numbered consecutively 1 through 10 beginning on the north end and ending on the south end. Measured from the north end of the linear-move system, span beginning and ending distances for the Lindsay system were: Span 1, 0 to 23.93 m; Span 2, 23.93 to 71.78 m; Span 3, 71.78 m to 112.93 m; Span 4, 112.93 m to 154.08 m; Span 5, 154.08 m to 201.93 m; Span 6, 201.93 m to 249.02 m; Span 7, 249.02 m to 296.111 m; Span 8, 296.11 m to 337.26 m; Span 9, 337.26 m to 378. 41 m; Span 10, 378.41 m to 422.92 m. An overhang pipe south of span 10 was used to irrigate a few rows on the extreme southern edge of the fields. In typical usage in these data sheets, the word span  and the span number indicate only relative position of sampling from north to south in a field. However, when yield per unit area was calculated, the actual yield within a span and the north-south dimension of the yield sample area were used in the calculation along with an east-west dimension of the cropped and sampled area.</t>
  </si>
  <si>
    <t>Position of the access tube relative to the lysimeter. There is a lysimeter centered in the NE field and a lysimeter centered in the SE field. Positions are NE for northeast of the lysimeter, NW for northwest of the lysimeter, SW for southwest of the lysimeter, and SE for southeast of the lysimeter. Access tubes in the lysimeter soil monolith were either in the southwest quadrant designated by LYS-SW or the northeast quadrant designated by LYS-NE. Access tubes outside a lysimeter were approximately 20- to 50-meters from the lysimeter.</t>
  </si>
  <si>
    <t>latitude</t>
  </si>
  <si>
    <t>longitude</t>
  </si>
  <si>
    <t>Latitude</t>
  </si>
  <si>
    <t>Longitude</t>
  </si>
  <si>
    <t>Latitude in decimal degrees (based on approximate distances from lysimeter center)</t>
  </si>
  <si>
    <t>Longitude in decimal degrees (based on approximate distances from lysimeter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</si>
</sst>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11" x14ac:knownFonts="1">
    <font>
      <sz val="10"/>
      <name val="Arial"/>
    </font>
    <font>
      <sz val="11"/>
      <color theme="1"/>
      <name val="Calibri"/>
      <family val="2"/>
      <scheme val="minor"/>
    </font>
    <font>
      <b/>
      <sz val="10"/>
      <name val="Arial"/>
      <family val="2"/>
    </font>
    <font>
      <sz val="10"/>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2"/>
      <name val="Arial"/>
      <family val="2"/>
    </font>
    <font>
      <sz val="11"/>
      <color theme="1"/>
      <name val="Arial"/>
      <family val="2"/>
    </font>
  </fonts>
  <fills count="4">
    <fill>
      <patternFill patternType="none"/>
    </fill>
    <fill>
      <patternFill patternType="gray125"/>
    </fill>
    <fill>
      <patternFill patternType="solid">
        <fgColor rgb="FFEFEFEF"/>
        <bgColor rgb="FFEFEFEF"/>
      </patternFill>
    </fill>
    <fill>
      <patternFill patternType="solid">
        <fgColor rgb="FFFFC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0"/>
      </left>
      <right/>
      <top style="double">
        <color indexed="0"/>
      </top>
      <bottom/>
      <diagonal/>
    </border>
    <border>
      <left style="thin">
        <color indexed="0"/>
      </left>
      <right/>
      <top style="thin">
        <color indexed="0"/>
      </top>
      <bottom/>
      <diagonal/>
    </border>
    <border>
      <left style="thin">
        <color indexed="0"/>
      </left>
      <right style="double">
        <color indexed="0"/>
      </right>
      <top style="thin">
        <color indexed="0"/>
      </top>
      <bottom/>
      <diagonal/>
    </border>
    <border>
      <left style="thin">
        <color indexed="0"/>
      </left>
      <right/>
      <top/>
      <bottom/>
      <diagonal/>
    </border>
    <border>
      <left style="thin">
        <color indexed="0"/>
      </left>
      <right/>
      <top/>
      <bottom style="thin">
        <color indexed="0"/>
      </bottom>
      <diagonal/>
    </border>
    <border>
      <left style="thin">
        <color indexed="0"/>
      </left>
      <right style="double">
        <color indexed="0"/>
      </right>
      <top/>
      <bottom style="thin">
        <color indexed="0"/>
      </bottom>
      <diagonal/>
    </border>
  </borders>
  <cellStyleXfs count="4">
    <xf numFmtId="0" fontId="0" fillId="0" borderId="0"/>
    <xf numFmtId="0" fontId="3" fillId="0" borderId="0"/>
    <xf numFmtId="0" fontId="1" fillId="0" borderId="0"/>
    <xf numFmtId="0" fontId="3" fillId="0" borderId="0"/>
  </cellStyleXfs>
  <cellXfs count="44">
    <xf numFmtId="0" fontId="0" fillId="0" borderId="0" xfId="0"/>
    <xf numFmtId="0" fontId="2" fillId="0" borderId="0" xfId="0" applyFont="1" applyAlignment="1">
      <alignment horizontal="center"/>
    </xf>
    <xf numFmtId="0" fontId="3" fillId="0" borderId="0" xfId="0" applyFont="1"/>
    <xf numFmtId="0" fontId="3" fillId="0" borderId="0" xfId="1" applyAlignment="1">
      <alignment vertical="top"/>
    </xf>
    <xf numFmtId="0" fontId="3" fillId="0" borderId="0" xfId="1"/>
    <xf numFmtId="0" fontId="4" fillId="0" borderId="0" xfId="1" applyFont="1" applyAlignment="1">
      <alignment horizontal="left" vertical="center" readingOrder="1"/>
    </xf>
    <xf numFmtId="0" fontId="5" fillId="0" borderId="0" xfId="1" applyFont="1" applyAlignment="1">
      <alignment horizontal="left" vertical="center" readingOrder="1"/>
    </xf>
    <xf numFmtId="0" fontId="6" fillId="0" borderId="0" xfId="1" applyFont="1" applyAlignment="1">
      <alignment vertical="center" readingOrder="1"/>
    </xf>
    <xf numFmtId="0" fontId="3" fillId="0" borderId="0" xfId="1" applyAlignment="1">
      <alignment wrapText="1"/>
    </xf>
    <xf numFmtId="0" fontId="3" fillId="0" borderId="0" xfId="1" applyAlignment="1">
      <alignment horizontal="left"/>
    </xf>
    <xf numFmtId="0" fontId="8" fillId="2" borderId="1" xfId="1" applyFont="1" applyFill="1" applyBorder="1" applyAlignment="1">
      <alignment vertical="top" wrapText="1"/>
    </xf>
    <xf numFmtId="14" fontId="3" fillId="0" borderId="0" xfId="1" applyNumberFormat="1" applyAlignment="1">
      <alignment horizontal="left"/>
    </xf>
    <xf numFmtId="0" fontId="5" fillId="0" borderId="0" xfId="1" applyFont="1" applyAlignment="1">
      <alignment vertical="center" wrapText="1"/>
    </xf>
    <xf numFmtId="164" fontId="3" fillId="0" borderId="0" xfId="1" applyNumberFormat="1"/>
    <xf numFmtId="0" fontId="3" fillId="0" borderId="0" xfId="1" quotePrefix="1"/>
    <xf numFmtId="0" fontId="5" fillId="0" borderId="0" xfId="1" applyFont="1" applyAlignment="1">
      <alignment wrapText="1"/>
    </xf>
    <xf numFmtId="165" fontId="3" fillId="0" borderId="0" xfId="1" applyNumberFormat="1" applyAlignment="1">
      <alignment horizontal="left"/>
    </xf>
    <xf numFmtId="0" fontId="5" fillId="0" borderId="0" xfId="1" applyFont="1"/>
    <xf numFmtId="0" fontId="3" fillId="0" borderId="0" xfId="1" applyAlignment="1">
      <alignment horizontal="center"/>
    </xf>
    <xf numFmtId="14" fontId="3" fillId="0" borderId="0" xfId="1" applyNumberFormat="1"/>
    <xf numFmtId="165" fontId="3" fillId="0" borderId="0" xfId="1" applyNumberFormat="1" applyAlignment="1">
      <alignment horizontal="center"/>
    </xf>
    <xf numFmtId="165" fontId="3" fillId="0" borderId="0" xfId="1" applyNumberFormat="1"/>
    <xf numFmtId="0" fontId="0" fillId="0" borderId="2" xfId="0" applyBorder="1" applyAlignment="1">
      <alignment horizontal="center"/>
    </xf>
    <xf numFmtId="0" fontId="0" fillId="0" borderId="3" xfId="0" applyBorder="1" applyAlignment="1">
      <alignment horizontal="left"/>
    </xf>
    <xf numFmtId="0" fontId="0" fillId="0" borderId="3" xfId="0" applyBorder="1"/>
    <xf numFmtId="0" fontId="0" fillId="0" borderId="4" xfId="0" applyBorder="1"/>
    <xf numFmtId="0" fontId="0" fillId="0" borderId="5" xfId="0" applyBorder="1" applyAlignment="1">
      <alignment horizontal="center"/>
    </xf>
    <xf numFmtId="0" fontId="0" fillId="0" borderId="6" xfId="0" applyBorder="1" applyAlignment="1">
      <alignment horizontal="left"/>
    </xf>
    <xf numFmtId="0" fontId="0" fillId="0" borderId="6" xfId="0" applyBorder="1"/>
    <xf numFmtId="0" fontId="0" fillId="0" borderId="7" xfId="0" applyBorder="1"/>
    <xf numFmtId="0" fontId="3" fillId="0" borderId="0" xfId="1" applyNumberFormat="1"/>
    <xf numFmtId="0" fontId="3" fillId="3" borderId="0" xfId="1" applyFill="1"/>
    <xf numFmtId="0" fontId="3" fillId="0" borderId="0" xfId="3" applyAlignment="1">
      <alignment vertical="top"/>
    </xf>
    <xf numFmtId="0" fontId="3" fillId="0" borderId="0" xfId="3"/>
    <xf numFmtId="0" fontId="8" fillId="2" borderId="1" xfId="3" applyFont="1" applyFill="1" applyBorder="1" applyAlignment="1">
      <alignment wrapText="1"/>
    </xf>
    <xf numFmtId="0" fontId="3" fillId="0" borderId="0" xfId="3" applyAlignment="1">
      <alignment vertical="top" wrapText="1"/>
    </xf>
    <xf numFmtId="0" fontId="9" fillId="0" borderId="0" xfId="1" applyFont="1" applyAlignment="1">
      <alignment vertical="top" wrapText="1"/>
    </xf>
    <xf numFmtId="0" fontId="10" fillId="0" borderId="0" xfId="3" applyFont="1" applyAlignment="1">
      <alignment vertical="top" wrapText="1"/>
    </xf>
    <xf numFmtId="0" fontId="3" fillId="0" borderId="0" xfId="1" applyAlignment="1">
      <alignment vertical="top" wrapText="1"/>
    </xf>
    <xf numFmtId="0" fontId="3" fillId="0" borderId="0" xfId="3" applyAlignment="1">
      <alignment wrapText="1"/>
    </xf>
    <xf numFmtId="0" fontId="3" fillId="0" borderId="0" xfId="3" applyAlignment="1">
      <alignment horizontal="center"/>
    </xf>
    <xf numFmtId="0" fontId="9" fillId="0" borderId="0" xfId="0" applyFont="1" applyAlignment="1">
      <alignment vertical="top" wrapText="1"/>
    </xf>
    <xf numFmtId="0" fontId="9" fillId="0" borderId="0" xfId="0" applyFont="1" applyAlignment="1">
      <alignment vertical="top"/>
    </xf>
    <xf numFmtId="0" fontId="0" fillId="0" borderId="0" xfId="0" applyAlignment="1">
      <alignment vertical="top"/>
    </xf>
  </cellXfs>
  <cellStyles count="4">
    <cellStyle name="Normal" xfId="0" builtinId="0"/>
    <cellStyle name="Normal 2" xfId="1" xr:uid="{B6A00311-49F3-4776-9F17-28BE9B34AEA1}"/>
    <cellStyle name="Normal 2 2 2" xfId="3" xr:uid="{FDE44B85-DC27-4214-925C-CB8E5E298E4F}"/>
    <cellStyle name="Normal 3 2" xfId="2" xr:uid="{AA9FC55B-132B-4671-B98D-C6A28EA660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6946204209593"/>
          <c:y val="7.7242244415496708E-2"/>
          <c:w val="0.80092009738337022"/>
          <c:h val="0.77584206100451036"/>
        </c:manualLayout>
      </c:layout>
      <c:scatterChart>
        <c:scatterStyle val="lineMarker"/>
        <c:varyColors val="0"/>
        <c:ser>
          <c:idx val="0"/>
          <c:order val="0"/>
          <c:tx>
            <c:strRef>
              <c:f>'1994 E Maize Profile WC'!$D$1</c:f>
              <c:strCache>
                <c:ptCount val="1"/>
                <c:pt idx="0">
                  <c:v>Water (mm) stored in top 1.5 m of soil in SE Lys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'1994 E Maize Profile WC'!$C$2:$C$21</c:f>
              <c:numCache>
                <c:formatCode>General</c:formatCode>
                <c:ptCount val="20"/>
                <c:pt idx="0">
                  <c:v>126</c:v>
                </c:pt>
                <c:pt idx="1">
                  <c:v>140</c:v>
                </c:pt>
                <c:pt idx="2">
                  <c:v>153</c:v>
                </c:pt>
                <c:pt idx="3">
                  <c:v>166</c:v>
                </c:pt>
                <c:pt idx="4">
                  <c:v>180</c:v>
                </c:pt>
                <c:pt idx="5">
                  <c:v>193</c:v>
                </c:pt>
                <c:pt idx="6">
                  <c:v>210</c:v>
                </c:pt>
                <c:pt idx="7">
                  <c:v>223</c:v>
                </c:pt>
                <c:pt idx="8">
                  <c:v>237</c:v>
                </c:pt>
                <c:pt idx="9">
                  <c:v>257</c:v>
                </c:pt>
              </c:numCache>
            </c:numRef>
          </c:xVal>
          <c:yVal>
            <c:numRef>
              <c:f>'1994 E Maize Profile WC'!$D$2:$D$21</c:f>
              <c:numCache>
                <c:formatCode>General</c:formatCode>
                <c:ptCount val="20"/>
                <c:pt idx="0">
                  <c:v>341.21069748773908</c:v>
                </c:pt>
                <c:pt idx="1">
                  <c:v>338.79681369564247</c:v>
                </c:pt>
                <c:pt idx="2">
                  <c:v>337.77678467626754</c:v>
                </c:pt>
                <c:pt idx="3">
                  <c:v>384.99540380761141</c:v>
                </c:pt>
                <c:pt idx="4">
                  <c:v>381.67800693964813</c:v>
                </c:pt>
                <c:pt idx="5">
                  <c:v>386.27451681444086</c:v>
                </c:pt>
                <c:pt idx="6">
                  <c:v>392.32736574708622</c:v>
                </c:pt>
                <c:pt idx="7">
                  <c:v>378.82656299190859</c:v>
                </c:pt>
                <c:pt idx="8">
                  <c:v>370.79866623591414</c:v>
                </c:pt>
                <c:pt idx="9">
                  <c:v>384.83854062101301</c:v>
                </c:pt>
              </c:numCache>
            </c:numRef>
          </c:yVal>
          <c:smooth val="0"/>
          <c:extLst>
            <c:ext xmlns:c16="http://schemas.microsoft.com/office/drawing/2014/chart" uri="{C3380CC4-5D6E-409C-BE32-E72D297353CC}">
              <c16:uniqueId val="{00000000-9E34-4AEE-9FEB-1D709CB68D89}"/>
            </c:ext>
          </c:extLst>
        </c:ser>
        <c:ser>
          <c:idx val="1"/>
          <c:order val="1"/>
          <c:tx>
            <c:strRef>
              <c:f>'1994 E Maize Profile WC'!$E$1</c:f>
              <c:strCache>
                <c:ptCount val="1"/>
                <c:pt idx="0">
                  <c:v>Water (mm) stored in top 1.5 m of soil in SE Field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'1994 E Maize Profile WC'!$C$2:$C$21</c:f>
              <c:numCache>
                <c:formatCode>General</c:formatCode>
                <c:ptCount val="20"/>
                <c:pt idx="0">
                  <c:v>126</c:v>
                </c:pt>
                <c:pt idx="1">
                  <c:v>140</c:v>
                </c:pt>
                <c:pt idx="2">
                  <c:v>153</c:v>
                </c:pt>
                <c:pt idx="3">
                  <c:v>166</c:v>
                </c:pt>
                <c:pt idx="4">
                  <c:v>180</c:v>
                </c:pt>
                <c:pt idx="5">
                  <c:v>193</c:v>
                </c:pt>
                <c:pt idx="6">
                  <c:v>210</c:v>
                </c:pt>
                <c:pt idx="7">
                  <c:v>223</c:v>
                </c:pt>
                <c:pt idx="8">
                  <c:v>237</c:v>
                </c:pt>
                <c:pt idx="9">
                  <c:v>257</c:v>
                </c:pt>
              </c:numCache>
            </c:numRef>
          </c:xVal>
          <c:yVal>
            <c:numRef>
              <c:f>'1994 E Maize Profile WC'!$E$2:$E$21</c:f>
              <c:numCache>
                <c:formatCode>General</c:formatCode>
                <c:ptCount val="20"/>
                <c:pt idx="0">
                  <c:v>341.56259329676089</c:v>
                </c:pt>
                <c:pt idx="1">
                  <c:v>341.50573107860083</c:v>
                </c:pt>
                <c:pt idx="2">
                  <c:v>342.13011093786645</c:v>
                </c:pt>
                <c:pt idx="3">
                  <c:v>367.67210197070239</c:v>
                </c:pt>
                <c:pt idx="4">
                  <c:v>355.8102033379605</c:v>
                </c:pt>
                <c:pt idx="5">
                  <c:v>416.16785898236947</c:v>
                </c:pt>
                <c:pt idx="6">
                  <c:v>417.72885021501742</c:v>
                </c:pt>
                <c:pt idx="7">
                  <c:v>408.34518507972689</c:v>
                </c:pt>
                <c:pt idx="8">
                  <c:v>404.39236083870287</c:v>
                </c:pt>
                <c:pt idx="9">
                  <c:v>384.80803900779455</c:v>
                </c:pt>
              </c:numCache>
            </c:numRef>
          </c:yVal>
          <c:smooth val="0"/>
          <c:extLst>
            <c:ext xmlns:c16="http://schemas.microsoft.com/office/drawing/2014/chart" uri="{C3380CC4-5D6E-409C-BE32-E72D297353CC}">
              <c16:uniqueId val="{00000001-9E34-4AEE-9FEB-1D709CB68D89}"/>
            </c:ext>
          </c:extLst>
        </c:ser>
        <c:ser>
          <c:idx val="2"/>
          <c:order val="2"/>
          <c:tx>
            <c:strRef>
              <c:f>'1994 E Maize Profile WC'!$F$1</c:f>
              <c:strCache>
                <c:ptCount val="1"/>
                <c:pt idx="0">
                  <c:v>Water (mm) stored in top 1.5 m of soil in NE Lys</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'1994 E Maize Profile WC'!$C$2:$C$21</c:f>
              <c:numCache>
                <c:formatCode>General</c:formatCode>
                <c:ptCount val="20"/>
                <c:pt idx="0">
                  <c:v>126</c:v>
                </c:pt>
                <c:pt idx="1">
                  <c:v>140</c:v>
                </c:pt>
                <c:pt idx="2">
                  <c:v>153</c:v>
                </c:pt>
                <c:pt idx="3">
                  <c:v>166</c:v>
                </c:pt>
                <c:pt idx="4">
                  <c:v>180</c:v>
                </c:pt>
                <c:pt idx="5">
                  <c:v>193</c:v>
                </c:pt>
                <c:pt idx="6">
                  <c:v>210</c:v>
                </c:pt>
                <c:pt idx="7">
                  <c:v>223</c:v>
                </c:pt>
                <c:pt idx="8">
                  <c:v>237</c:v>
                </c:pt>
                <c:pt idx="9">
                  <c:v>257</c:v>
                </c:pt>
              </c:numCache>
            </c:numRef>
          </c:xVal>
          <c:yVal>
            <c:numRef>
              <c:f>'1994 E Maize Profile WC'!$F$2:$F$21</c:f>
              <c:numCache>
                <c:formatCode>General</c:formatCode>
                <c:ptCount val="20"/>
                <c:pt idx="0">
                  <c:v>414.41939980827954</c:v>
                </c:pt>
                <c:pt idx="1">
                  <c:v>413.33760644673742</c:v>
                </c:pt>
                <c:pt idx="2">
                  <c:v>412.73585594788807</c:v>
                </c:pt>
                <c:pt idx="3">
                  <c:v>421.4770740752233</c:v>
                </c:pt>
                <c:pt idx="4">
                  <c:v>430.5012089940613</c:v>
                </c:pt>
                <c:pt idx="5">
                  <c:v>459.66357867906373</c:v>
                </c:pt>
                <c:pt idx="6">
                  <c:v>458.86965417209808</c:v>
                </c:pt>
                <c:pt idx="7">
                  <c:v>418.13081584260004</c:v>
                </c:pt>
                <c:pt idx="8">
                  <c:v>394.4497064744512</c:v>
                </c:pt>
                <c:pt idx="9">
                  <c:v>413.27717635518269</c:v>
                </c:pt>
              </c:numCache>
            </c:numRef>
          </c:yVal>
          <c:smooth val="0"/>
          <c:extLst>
            <c:ext xmlns:c16="http://schemas.microsoft.com/office/drawing/2014/chart" uri="{C3380CC4-5D6E-409C-BE32-E72D297353CC}">
              <c16:uniqueId val="{00000002-9E34-4AEE-9FEB-1D709CB68D89}"/>
            </c:ext>
          </c:extLst>
        </c:ser>
        <c:ser>
          <c:idx val="3"/>
          <c:order val="3"/>
          <c:tx>
            <c:strRef>
              <c:f>'1994 E Maize Profile WC'!$G$1</c:f>
              <c:strCache>
                <c:ptCount val="1"/>
                <c:pt idx="0">
                  <c:v>Water (mm) stored in top 1.5 m of soil in NE Field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'1994 E Maize Profile WC'!$C$2:$C$21</c:f>
              <c:numCache>
                <c:formatCode>General</c:formatCode>
                <c:ptCount val="20"/>
                <c:pt idx="0">
                  <c:v>126</c:v>
                </c:pt>
                <c:pt idx="1">
                  <c:v>140</c:v>
                </c:pt>
                <c:pt idx="2">
                  <c:v>153</c:v>
                </c:pt>
                <c:pt idx="3">
                  <c:v>166</c:v>
                </c:pt>
                <c:pt idx="4">
                  <c:v>180</c:v>
                </c:pt>
                <c:pt idx="5">
                  <c:v>193</c:v>
                </c:pt>
                <c:pt idx="6">
                  <c:v>210</c:v>
                </c:pt>
                <c:pt idx="7">
                  <c:v>223</c:v>
                </c:pt>
                <c:pt idx="8">
                  <c:v>237</c:v>
                </c:pt>
                <c:pt idx="9">
                  <c:v>257</c:v>
                </c:pt>
              </c:numCache>
            </c:numRef>
          </c:xVal>
          <c:yVal>
            <c:numRef>
              <c:f>'1994 E Maize Profile WC'!$G$2:$G$21</c:f>
              <c:numCache>
                <c:formatCode>General</c:formatCode>
                <c:ptCount val="20"/>
                <c:pt idx="0">
                  <c:v>398.97117639386664</c:v>
                </c:pt>
                <c:pt idx="1">
                  <c:v>400.34713900185585</c:v>
                </c:pt>
                <c:pt idx="2">
                  <c:v>393.95604335416812</c:v>
                </c:pt>
                <c:pt idx="3">
                  <c:v>403.48042127439186</c:v>
                </c:pt>
                <c:pt idx="4">
                  <c:v>409.6726607028761</c:v>
                </c:pt>
                <c:pt idx="5">
                  <c:v>446.69757089142928</c:v>
                </c:pt>
                <c:pt idx="6">
                  <c:v>454.81239266099192</c:v>
                </c:pt>
                <c:pt idx="7">
                  <c:v>#N/A</c:v>
                </c:pt>
                <c:pt idx="8">
                  <c:v>395.01811198227051</c:v>
                </c:pt>
                <c:pt idx="9">
                  <c:v>406.73807078834784</c:v>
                </c:pt>
              </c:numCache>
            </c:numRef>
          </c:yVal>
          <c:smooth val="0"/>
          <c:extLst>
            <c:ext xmlns:c16="http://schemas.microsoft.com/office/drawing/2014/chart" uri="{C3380CC4-5D6E-409C-BE32-E72D297353CC}">
              <c16:uniqueId val="{00000003-9E34-4AEE-9FEB-1D709CB68D89}"/>
            </c:ext>
          </c:extLst>
        </c:ser>
        <c:ser>
          <c:idx val="4"/>
          <c:order val="4"/>
          <c:tx>
            <c:strRef>
              <c:f>'1994 E Maize Profile WC'!$H$1</c:f>
              <c:strCache>
                <c:ptCount val="1"/>
                <c:pt idx="0">
                  <c:v>FC</c:v>
                </c:pt>
              </c:strCache>
            </c:strRef>
          </c:tx>
          <c:spPr>
            <a:ln w="19050" cap="rnd">
              <a:solidFill>
                <a:schemeClr val="tx1"/>
              </a:solidFill>
              <a:prstDash val="dash"/>
              <a:round/>
            </a:ln>
            <a:effectLst/>
          </c:spPr>
          <c:marker>
            <c:symbol val="none"/>
          </c:marker>
          <c:xVal>
            <c:numRef>
              <c:f>'1994 E Maize Profile WC'!$C$2:$C$21</c:f>
              <c:numCache>
                <c:formatCode>General</c:formatCode>
                <c:ptCount val="20"/>
                <c:pt idx="0">
                  <c:v>126</c:v>
                </c:pt>
                <c:pt idx="1">
                  <c:v>140</c:v>
                </c:pt>
                <c:pt idx="2">
                  <c:v>153</c:v>
                </c:pt>
                <c:pt idx="3">
                  <c:v>166</c:v>
                </c:pt>
                <c:pt idx="4">
                  <c:v>180</c:v>
                </c:pt>
                <c:pt idx="5">
                  <c:v>193</c:v>
                </c:pt>
                <c:pt idx="6">
                  <c:v>210</c:v>
                </c:pt>
                <c:pt idx="7">
                  <c:v>223</c:v>
                </c:pt>
                <c:pt idx="8">
                  <c:v>237</c:v>
                </c:pt>
                <c:pt idx="9">
                  <c:v>257</c:v>
                </c:pt>
              </c:numCache>
            </c:numRef>
          </c:xVal>
          <c:yVal>
            <c:numRef>
              <c:f>'1994 E Maize Profile WC'!$H$2:$H$21</c:f>
              <c:numCache>
                <c:formatCode>General</c:formatCode>
                <c:ptCount val="20"/>
                <c:pt idx="0">
                  <c:v>495</c:v>
                </c:pt>
                <c:pt idx="1">
                  <c:v>495</c:v>
                </c:pt>
                <c:pt idx="2">
                  <c:v>495</c:v>
                </c:pt>
                <c:pt idx="3">
                  <c:v>495</c:v>
                </c:pt>
                <c:pt idx="4">
                  <c:v>495</c:v>
                </c:pt>
                <c:pt idx="5">
                  <c:v>495</c:v>
                </c:pt>
                <c:pt idx="6">
                  <c:v>495</c:v>
                </c:pt>
                <c:pt idx="7">
                  <c:v>495</c:v>
                </c:pt>
                <c:pt idx="8">
                  <c:v>495</c:v>
                </c:pt>
                <c:pt idx="9">
                  <c:v>495</c:v>
                </c:pt>
              </c:numCache>
            </c:numRef>
          </c:yVal>
          <c:smooth val="0"/>
          <c:extLst>
            <c:ext xmlns:c16="http://schemas.microsoft.com/office/drawing/2014/chart" uri="{C3380CC4-5D6E-409C-BE32-E72D297353CC}">
              <c16:uniqueId val="{00000004-9E34-4AEE-9FEB-1D709CB68D89}"/>
            </c:ext>
          </c:extLst>
        </c:ser>
        <c:ser>
          <c:idx val="5"/>
          <c:order val="5"/>
          <c:tx>
            <c:strRef>
              <c:f>'1994 E Maize Profile WC'!$I$1</c:f>
              <c:strCache>
                <c:ptCount val="1"/>
                <c:pt idx="0">
                  <c:v>PWP</c:v>
                </c:pt>
              </c:strCache>
            </c:strRef>
          </c:tx>
          <c:spPr>
            <a:ln w="19050" cap="rnd">
              <a:solidFill>
                <a:schemeClr val="tx1"/>
              </a:solidFill>
              <a:prstDash val="sysDash"/>
              <a:round/>
            </a:ln>
            <a:effectLst/>
          </c:spPr>
          <c:marker>
            <c:symbol val="none"/>
          </c:marker>
          <c:xVal>
            <c:numRef>
              <c:f>'1994 E Maize Profile WC'!$C$2:$C$21</c:f>
              <c:numCache>
                <c:formatCode>General</c:formatCode>
                <c:ptCount val="20"/>
                <c:pt idx="0">
                  <c:v>126</c:v>
                </c:pt>
                <c:pt idx="1">
                  <c:v>140</c:v>
                </c:pt>
                <c:pt idx="2">
                  <c:v>153</c:v>
                </c:pt>
                <c:pt idx="3">
                  <c:v>166</c:v>
                </c:pt>
                <c:pt idx="4">
                  <c:v>180</c:v>
                </c:pt>
                <c:pt idx="5">
                  <c:v>193</c:v>
                </c:pt>
                <c:pt idx="6">
                  <c:v>210</c:v>
                </c:pt>
                <c:pt idx="7">
                  <c:v>223</c:v>
                </c:pt>
                <c:pt idx="8">
                  <c:v>237</c:v>
                </c:pt>
                <c:pt idx="9">
                  <c:v>257</c:v>
                </c:pt>
              </c:numCache>
            </c:numRef>
          </c:xVal>
          <c:yVal>
            <c:numRef>
              <c:f>'1994 E Maize Profile WC'!$I$2:$I$21</c:f>
              <c:numCache>
                <c:formatCode>General</c:formatCode>
                <c:ptCount val="20"/>
                <c:pt idx="0">
                  <c:v>270</c:v>
                </c:pt>
                <c:pt idx="1">
                  <c:v>270</c:v>
                </c:pt>
                <c:pt idx="2">
                  <c:v>270</c:v>
                </c:pt>
                <c:pt idx="3">
                  <c:v>270</c:v>
                </c:pt>
                <c:pt idx="4">
                  <c:v>270</c:v>
                </c:pt>
                <c:pt idx="5">
                  <c:v>270</c:v>
                </c:pt>
                <c:pt idx="6">
                  <c:v>270</c:v>
                </c:pt>
                <c:pt idx="7">
                  <c:v>270</c:v>
                </c:pt>
                <c:pt idx="8">
                  <c:v>270</c:v>
                </c:pt>
                <c:pt idx="9">
                  <c:v>270</c:v>
                </c:pt>
              </c:numCache>
            </c:numRef>
          </c:yVal>
          <c:smooth val="0"/>
          <c:extLst>
            <c:ext xmlns:c16="http://schemas.microsoft.com/office/drawing/2014/chart" uri="{C3380CC4-5D6E-409C-BE32-E72D297353CC}">
              <c16:uniqueId val="{00000005-9E34-4AEE-9FEB-1D709CB68D89}"/>
            </c:ext>
          </c:extLst>
        </c:ser>
        <c:ser>
          <c:idx val="6"/>
          <c:order val="6"/>
          <c:tx>
            <c:strRef>
              <c:f>'1994 E Maize Profile WC'!$J$1</c:f>
              <c:strCache>
                <c:ptCount val="1"/>
                <c:pt idx="0">
                  <c:v>MAD</c:v>
                </c:pt>
              </c:strCache>
            </c:strRef>
          </c:tx>
          <c:spPr>
            <a:ln w="19050" cap="rnd">
              <a:solidFill>
                <a:schemeClr val="tx1"/>
              </a:solidFill>
              <a:prstDash val="dashDot"/>
              <a:round/>
            </a:ln>
            <a:effectLst/>
          </c:spPr>
          <c:marker>
            <c:symbol val="none"/>
          </c:marker>
          <c:xVal>
            <c:numRef>
              <c:f>'1994 E Maize Profile WC'!$C$2:$C$21</c:f>
              <c:numCache>
                <c:formatCode>General</c:formatCode>
                <c:ptCount val="20"/>
                <c:pt idx="0">
                  <c:v>126</c:v>
                </c:pt>
                <c:pt idx="1">
                  <c:v>140</c:v>
                </c:pt>
                <c:pt idx="2">
                  <c:v>153</c:v>
                </c:pt>
                <c:pt idx="3">
                  <c:v>166</c:v>
                </c:pt>
                <c:pt idx="4">
                  <c:v>180</c:v>
                </c:pt>
                <c:pt idx="5">
                  <c:v>193</c:v>
                </c:pt>
                <c:pt idx="6">
                  <c:v>210</c:v>
                </c:pt>
                <c:pt idx="7">
                  <c:v>223</c:v>
                </c:pt>
                <c:pt idx="8">
                  <c:v>237</c:v>
                </c:pt>
                <c:pt idx="9">
                  <c:v>257</c:v>
                </c:pt>
              </c:numCache>
            </c:numRef>
          </c:xVal>
          <c:yVal>
            <c:numRef>
              <c:f>'1994 E Maize Profile WC'!$J$2:$J$21</c:f>
              <c:numCache>
                <c:formatCode>General</c:formatCode>
                <c:ptCount val="20"/>
                <c:pt idx="0">
                  <c:v>360</c:v>
                </c:pt>
                <c:pt idx="1">
                  <c:v>360</c:v>
                </c:pt>
                <c:pt idx="2">
                  <c:v>360</c:v>
                </c:pt>
                <c:pt idx="3">
                  <c:v>360</c:v>
                </c:pt>
                <c:pt idx="4">
                  <c:v>360</c:v>
                </c:pt>
                <c:pt idx="5">
                  <c:v>360</c:v>
                </c:pt>
                <c:pt idx="6">
                  <c:v>360</c:v>
                </c:pt>
                <c:pt idx="7">
                  <c:v>360</c:v>
                </c:pt>
                <c:pt idx="8">
                  <c:v>360</c:v>
                </c:pt>
                <c:pt idx="9">
                  <c:v>360</c:v>
                </c:pt>
              </c:numCache>
            </c:numRef>
          </c:yVal>
          <c:smooth val="0"/>
          <c:extLst>
            <c:ext xmlns:c16="http://schemas.microsoft.com/office/drawing/2014/chart" uri="{C3380CC4-5D6E-409C-BE32-E72D297353CC}">
              <c16:uniqueId val="{00000006-9E34-4AEE-9FEB-1D709CB68D89}"/>
            </c:ext>
          </c:extLst>
        </c:ser>
        <c:dLbls>
          <c:showLegendKey val="0"/>
          <c:showVal val="0"/>
          <c:showCatName val="0"/>
          <c:showSerName val="0"/>
          <c:showPercent val="0"/>
          <c:showBubbleSize val="0"/>
        </c:dLbls>
        <c:axId val="-1793602368"/>
        <c:axId val="-1793600736"/>
      </c:scatterChart>
      <c:valAx>
        <c:axId val="-1793602368"/>
        <c:scaling>
          <c:orientation val="minMax"/>
          <c:max val="260"/>
          <c:min val="120"/>
        </c:scaling>
        <c:delete val="0"/>
        <c:axPos val="b"/>
        <c:title>
          <c:tx>
            <c:rich>
              <a:bodyPr rot="0" vert="horz"/>
              <a:lstStyle/>
              <a:p>
                <a:pPr>
                  <a:defRPr/>
                </a:pPr>
                <a:r>
                  <a:rPr lang="en-US"/>
                  <a:t>Day of year, 1994</a:t>
                </a:r>
              </a:p>
            </c:rich>
          </c:tx>
          <c:layout>
            <c:manualLayout>
              <c:xMode val="edge"/>
              <c:yMode val="edge"/>
              <c:x val="0.43488704570222614"/>
              <c:y val="0.92215223097112864"/>
            </c:manualLayout>
          </c:layout>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0736"/>
        <c:crosses val="autoZero"/>
        <c:crossBetween val="midCat"/>
        <c:majorUnit val="20"/>
      </c:valAx>
      <c:valAx>
        <c:axId val="-1793600736"/>
        <c:scaling>
          <c:orientation val="minMax"/>
        </c:scaling>
        <c:delete val="0"/>
        <c:axPos val="l"/>
        <c:title>
          <c:tx>
            <c:rich>
              <a:bodyPr rot="-5400000" vert="horz"/>
              <a:lstStyle/>
              <a:p>
                <a:pPr>
                  <a:defRPr/>
                </a:pPr>
                <a:r>
                  <a:rPr lang="en-US"/>
                  <a:t>Water storage to 1.5-m (mm)</a:t>
                </a:r>
              </a:p>
            </c:rich>
          </c:tx>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2368"/>
        <c:crosses val="autoZero"/>
        <c:crossBetween val="midCat"/>
      </c:valAx>
      <c:spPr>
        <a:noFill/>
        <a:ln w="12700">
          <a:solidFill>
            <a:schemeClr val="tx1"/>
          </a:solidFill>
        </a:ln>
        <a:effectLst/>
      </c:spPr>
    </c:plotArea>
    <c:legend>
      <c:legendPos val="r"/>
      <c:layout>
        <c:manualLayout>
          <c:xMode val="edge"/>
          <c:yMode val="edge"/>
          <c:x val="0.15245999020317449"/>
          <c:y val="0.52686262518156102"/>
          <c:w val="0.77558086402152393"/>
          <c:h val="0.31219784420151364"/>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Graphs'!$AC$6:$AC$17</c:f>
              <c:numCache>
                <c:formatCode>General</c:formatCode>
                <c:ptCount val="12"/>
                <c:pt idx="0">
                  <c:v>0.24731392703362781</c:v>
                </c:pt>
                <c:pt idx="1">
                  <c:v>0.20874103500977409</c:v>
                </c:pt>
                <c:pt idx="2">
                  <c:v>0.21183381790636668</c:v>
                </c:pt>
                <c:pt idx="3">
                  <c:v>0.20835443714770002</c:v>
                </c:pt>
                <c:pt idx="4">
                  <c:v>0.21338020935466306</c:v>
                </c:pt>
                <c:pt idx="5">
                  <c:v>0.22974618551579939</c:v>
                </c:pt>
                <c:pt idx="6">
                  <c:v>0.24450844814044986</c:v>
                </c:pt>
                <c:pt idx="7">
                  <c:v>0.26716964099176005</c:v>
                </c:pt>
                <c:pt idx="8">
                  <c:v>0.24522073243263304</c:v>
                </c:pt>
                <c:pt idx="9">
                  <c:v>0.21512012586296489</c:v>
                </c:pt>
                <c:pt idx="10">
                  <c:v>0.18610113618142676</c:v>
                </c:pt>
                <c:pt idx="11">
                  <c:v>0.17615553699057232</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839-4F1F-9E51-3DE70AF4B440}"/>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Graphs'!$AC$19:$AC$30</c:f>
              <c:numCache>
                <c:formatCode>General</c:formatCode>
                <c:ptCount val="12"/>
                <c:pt idx="0">
                  <c:v>0.25092085700170735</c:v>
                </c:pt>
                <c:pt idx="1">
                  <c:v>0.21292917851557663</c:v>
                </c:pt>
                <c:pt idx="2">
                  <c:v>0.21122170462474943</c:v>
                </c:pt>
                <c:pt idx="3">
                  <c:v>0.20706577760745298</c:v>
                </c:pt>
                <c:pt idx="4">
                  <c:v>0.20993304508450245</c:v>
                </c:pt>
                <c:pt idx="5">
                  <c:v>0.22971396902729319</c:v>
                </c:pt>
                <c:pt idx="6">
                  <c:v>0.24398083014624006</c:v>
                </c:pt>
                <c:pt idx="7">
                  <c:v>0.26344993413258105</c:v>
                </c:pt>
                <c:pt idx="8">
                  <c:v>0.23667332092643451</c:v>
                </c:pt>
                <c:pt idx="9">
                  <c:v>0.21010775491797196</c:v>
                </c:pt>
                <c:pt idx="10">
                  <c:v>0.1799280056491723</c:v>
                </c:pt>
                <c:pt idx="11">
                  <c:v>0.17626106058941426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839-4F1F-9E51-3DE70AF4B440}"/>
            </c:ext>
          </c:extLst>
        </c:ser>
        <c:ser>
          <c:idx val="0"/>
          <c:order val="2"/>
          <c:tx>
            <c:strRef>
              <c:f>'1994 E Maize Graphs'!$Z$32</c:f>
              <c:strCache>
                <c:ptCount val="1"/>
                <c:pt idx="0">
                  <c:v>153</c:v>
                </c:pt>
              </c:strCache>
            </c:strRef>
          </c:tx>
          <c:xVal>
            <c:numRef>
              <c:f>'1994 E Maize Graphs'!$AC$32:$AC$43</c:f>
              <c:numCache>
                <c:formatCode>General</c:formatCode>
                <c:ptCount val="12"/>
                <c:pt idx="0">
                  <c:v>0.24066364990498107</c:v>
                </c:pt>
                <c:pt idx="1">
                  <c:v>0.2194691256823299</c:v>
                </c:pt>
                <c:pt idx="2">
                  <c:v>0.21695623957884835</c:v>
                </c:pt>
                <c:pt idx="3">
                  <c:v>0.20761345791205793</c:v>
                </c:pt>
                <c:pt idx="4">
                  <c:v>0.21218819927993465</c:v>
                </c:pt>
                <c:pt idx="5">
                  <c:v>0.23493304016529332</c:v>
                </c:pt>
                <c:pt idx="6">
                  <c:v>0.24503606613465967</c:v>
                </c:pt>
                <c:pt idx="7">
                  <c:v>0.26785554438423281</c:v>
                </c:pt>
                <c:pt idx="8">
                  <c:v>0.23849360300645833</c:v>
                </c:pt>
                <c:pt idx="9">
                  <c:v>0.21118937180610198</c:v>
                </c:pt>
                <c:pt idx="10">
                  <c:v>0.18290904731645755</c:v>
                </c:pt>
                <c:pt idx="11">
                  <c:v>0.17391316051518074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839-4F1F-9E51-3DE70AF4B440}"/>
            </c:ext>
          </c:extLst>
        </c:ser>
        <c:ser>
          <c:idx val="1"/>
          <c:order val="3"/>
          <c:tx>
            <c:strRef>
              <c:f>'1994 E Maize Graphs'!$Z$45</c:f>
              <c:strCache>
                <c:ptCount val="1"/>
                <c:pt idx="0">
                  <c:v>166</c:v>
                </c:pt>
              </c:strCache>
            </c:strRef>
          </c:tx>
          <c:marker>
            <c:symbol val="square"/>
            <c:size val="5"/>
          </c:marker>
          <c:xVal>
            <c:numRef>
              <c:f>'1994 E Maize Graphs'!$AC$45:$AC$56</c:f>
              <c:numCache>
                <c:formatCode>General</c:formatCode>
                <c:ptCount val="12"/>
                <c:pt idx="0">
                  <c:v>0.2811852537651251</c:v>
                </c:pt>
                <c:pt idx="1">
                  <c:v>0.27423715614282534</c:v>
                </c:pt>
                <c:pt idx="2">
                  <c:v>0.2575167986081211</c:v>
                </c:pt>
                <c:pt idx="3">
                  <c:v>0.21598974492366313</c:v>
                </c:pt>
                <c:pt idx="4">
                  <c:v>0.21296139500408284</c:v>
                </c:pt>
                <c:pt idx="5">
                  <c:v>0.23061603070546605</c:v>
                </c:pt>
                <c:pt idx="6">
                  <c:v>0.24537901783089594</c:v>
                </c:pt>
                <c:pt idx="7">
                  <c:v>0.26804021068220618</c:v>
                </c:pt>
                <c:pt idx="8">
                  <c:v>0.24012921878850862</c:v>
                </c:pt>
                <c:pt idx="9">
                  <c:v>0.21293051118699427</c:v>
                </c:pt>
                <c:pt idx="10">
                  <c:v>0.18272438101848412</c:v>
                </c:pt>
                <c:pt idx="11">
                  <c:v>0.17618191789028281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839-4F1F-9E51-3DE70AF4B440}"/>
            </c:ext>
          </c:extLst>
        </c:ser>
        <c:ser>
          <c:idx val="2"/>
          <c:order val="4"/>
          <c:tx>
            <c:strRef>
              <c:f>'1994 E Maize Graphs'!$Z$58</c:f>
              <c:strCache>
                <c:ptCount val="1"/>
                <c:pt idx="0">
                  <c:v>180</c:v>
                </c:pt>
              </c:strCache>
            </c:strRef>
          </c:tx>
          <c:marker>
            <c:spPr>
              <a:solidFill>
                <a:srgbClr val="00B050"/>
              </a:solidFill>
            </c:spPr>
          </c:marker>
          <c:xVal>
            <c:numRef>
              <c:f>'1994 E Maize Graphs'!$AC$58:$AC$69</c:f>
              <c:numCache>
                <c:formatCode>General</c:formatCode>
                <c:ptCount val="12"/>
                <c:pt idx="0">
                  <c:v>0.28715923152475686</c:v>
                </c:pt>
                <c:pt idx="1">
                  <c:v>0.25774231402766434</c:v>
                </c:pt>
                <c:pt idx="2">
                  <c:v>0.27410829018880056</c:v>
                </c:pt>
                <c:pt idx="3">
                  <c:v>0.24392144045851577</c:v>
                </c:pt>
                <c:pt idx="4">
                  <c:v>0.23686602947566376</c:v>
                </c:pt>
                <c:pt idx="5">
                  <c:v>0.24169850275158977</c:v>
                </c:pt>
                <c:pt idx="6">
                  <c:v>0.24485139983668619</c:v>
                </c:pt>
                <c:pt idx="7">
                  <c:v>0.26920097026946771</c:v>
                </c:pt>
                <c:pt idx="8">
                  <c:v>0.23793960411253806</c:v>
                </c:pt>
                <c:pt idx="9">
                  <c:v>0.21211270329596912</c:v>
                </c:pt>
                <c:pt idx="10">
                  <c:v>0.18327837991240439</c:v>
                </c:pt>
                <c:pt idx="11">
                  <c:v>0.17562791899636254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839-4F1F-9E51-3DE70AF4B440}"/>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Graphs'!$AC$71:$AC$82</c:f>
              <c:numCache>
                <c:formatCode>General</c:formatCode>
                <c:ptCount val="12"/>
                <c:pt idx="0">
                  <c:v>0.32148142450226408</c:v>
                </c:pt>
                <c:pt idx="1">
                  <c:v>0.31743946722960426</c:v>
                </c:pt>
                <c:pt idx="2">
                  <c:v>0.31582864280429562</c:v>
                </c:pt>
                <c:pt idx="3">
                  <c:v>0.30042916129834457</c:v>
                </c:pt>
                <c:pt idx="4">
                  <c:v>0.29524230664885059</c:v>
                </c:pt>
                <c:pt idx="5">
                  <c:v>0.29405029657412218</c:v>
                </c:pt>
                <c:pt idx="6">
                  <c:v>0.26028422616732239</c:v>
                </c:pt>
                <c:pt idx="7">
                  <c:v>0.2676181162868384</c:v>
                </c:pt>
                <c:pt idx="8">
                  <c:v>0.24675082461584141</c:v>
                </c:pt>
                <c:pt idx="9">
                  <c:v>0.21422317527280824</c:v>
                </c:pt>
                <c:pt idx="10">
                  <c:v>0.1812734315344072</c:v>
                </c:pt>
                <c:pt idx="11">
                  <c:v>0.1742561122114171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839-4F1F-9E51-3DE70AF4B440}"/>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Graphs'!$AC$84:$AC$95</c:f>
              <c:numCache>
                <c:formatCode>General</c:formatCode>
                <c:ptCount val="12"/>
                <c:pt idx="0">
                  <c:v>0.3269763568755103</c:v>
                </c:pt>
                <c:pt idx="1">
                  <c:v>0.31782606509167838</c:v>
                </c:pt>
                <c:pt idx="2">
                  <c:v>0.3156997768502709</c:v>
                </c:pt>
                <c:pt idx="3">
                  <c:v>0.30226550114319645</c:v>
                </c:pt>
                <c:pt idx="4">
                  <c:v>0.29785184221785066</c:v>
                </c:pt>
                <c:pt idx="5">
                  <c:v>0.29289050298789993</c:v>
                </c:pt>
                <c:pt idx="6">
                  <c:v>0.26300145883750281</c:v>
                </c:pt>
                <c:pt idx="7">
                  <c:v>0.26730154549031249</c:v>
                </c:pt>
                <c:pt idx="8">
                  <c:v>0.24833367859847078</c:v>
                </c:pt>
                <c:pt idx="9">
                  <c:v>0.21274584488902082</c:v>
                </c:pt>
                <c:pt idx="10">
                  <c:v>0.18159000233093311</c:v>
                </c:pt>
                <c:pt idx="11">
                  <c:v>0.17541687179867863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839-4F1F-9E51-3DE70AF4B440}"/>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Graphs'!$AC$97:$AC$108</c:f>
              <c:numCache>
                <c:formatCode>General</c:formatCode>
                <c:ptCount val="12"/>
                <c:pt idx="0">
                  <c:v>0.31049155975577164</c:v>
                </c:pt>
                <c:pt idx="1">
                  <c:v>0.24907607861950359</c:v>
                </c:pt>
                <c:pt idx="2">
                  <c:v>0.30149230541904831</c:v>
                </c:pt>
                <c:pt idx="3">
                  <c:v>0.29195622482122086</c:v>
                </c:pt>
                <c:pt idx="4">
                  <c:v>0.29881833687303588</c:v>
                </c:pt>
                <c:pt idx="5">
                  <c:v>0.29736859489025808</c:v>
                </c:pt>
                <c:pt idx="6">
                  <c:v>0.27004515906020338</c:v>
                </c:pt>
                <c:pt idx="7">
                  <c:v>0.27310534342662013</c:v>
                </c:pt>
                <c:pt idx="8">
                  <c:v>0.24762139430628755</c:v>
                </c:pt>
                <c:pt idx="9">
                  <c:v>0.2165183135476208</c:v>
                </c:pt>
                <c:pt idx="10">
                  <c:v>0.18335752261153587</c:v>
                </c:pt>
                <c:pt idx="11">
                  <c:v>0.17826600896741146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839-4F1F-9E51-3DE70AF4B440}"/>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Graphs'!$AC$110:$AC$121</c:f>
              <c:numCache>
                <c:formatCode>General</c:formatCode>
                <c:ptCount val="12"/>
                <c:pt idx="0">
                  <c:v>0.30107972687031398</c:v>
                </c:pt>
                <c:pt idx="1">
                  <c:v>0.2824201442233934</c:v>
                </c:pt>
                <c:pt idx="2">
                  <c:v>0.28705931856828243</c:v>
                </c:pt>
                <c:pt idx="3">
                  <c:v>0.28606060742459105</c:v>
                </c:pt>
                <c:pt idx="4">
                  <c:v>0.2855129271199861</c:v>
                </c:pt>
                <c:pt idx="5">
                  <c:v>0.29656318267760373</c:v>
                </c:pt>
                <c:pt idx="6">
                  <c:v>0.26695859379407616</c:v>
                </c:pt>
                <c:pt idx="7">
                  <c:v>0.27228753553559498</c:v>
                </c:pt>
                <c:pt idx="8">
                  <c:v>0.2472520617103407</c:v>
                </c:pt>
                <c:pt idx="9">
                  <c:v>0.21417041347338728</c:v>
                </c:pt>
                <c:pt idx="10">
                  <c:v>0.18367409340806173</c:v>
                </c:pt>
                <c:pt idx="11">
                  <c:v>0.17966419665206737</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839-4F1F-9E51-3DE70AF4B440}"/>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Graphs'!$AC$123:$AC$134</c:f>
              <c:numCache>
                <c:formatCode>General</c:formatCode>
                <c:ptCount val="12"/>
                <c:pt idx="0">
                  <c:v>0.30620833041867712</c:v>
                </c:pt>
                <c:pt idx="1">
                  <c:v>0.27629901140722041</c:v>
                </c:pt>
                <c:pt idx="2">
                  <c:v>0.24521009999876275</c:v>
                </c:pt>
                <c:pt idx="3">
                  <c:v>0.24034541023433054</c:v>
                </c:pt>
                <c:pt idx="4">
                  <c:v>0.24846396533788628</c:v>
                </c:pt>
                <c:pt idx="5">
                  <c:v>0.27462375400489941</c:v>
                </c:pt>
                <c:pt idx="6">
                  <c:v>0.2623946981441615</c:v>
                </c:pt>
                <c:pt idx="7">
                  <c:v>0.27270962993096282</c:v>
                </c:pt>
                <c:pt idx="8">
                  <c:v>0.24163293007200654</c:v>
                </c:pt>
                <c:pt idx="9">
                  <c:v>0.21599069555341099</c:v>
                </c:pt>
                <c:pt idx="10">
                  <c:v>0.1816427641303541</c:v>
                </c:pt>
                <c:pt idx="11">
                  <c:v>0.17876724606191077</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839-4F1F-9E51-3DE70AF4B440}"/>
            </c:ext>
          </c:extLst>
        </c:ser>
        <c:ser>
          <c:idx val="10"/>
          <c:order val="10"/>
          <c:tx>
            <c:strRef>
              <c:f>'1994 E Maize Graphs'!$Z$136</c:f>
              <c:strCache>
                <c:ptCount val="1"/>
                <c:pt idx="0">
                  <c:v>0</c:v>
                </c:pt>
              </c:strCache>
            </c:strRef>
          </c:tx>
          <c:xVal>
            <c:numRef>
              <c:f>'1994 E Maize Graphs'!$AC$136:$AC$147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839-4F1F-9E51-3DE70AF4B440}"/>
            </c:ext>
          </c:extLst>
        </c:ser>
        <c:ser>
          <c:idx val="11"/>
          <c:order val="11"/>
          <c:tx>
            <c:strRef>
              <c:f>'1994 E Maize Graphs'!$Z$149</c:f>
              <c:strCache>
                <c:ptCount val="1"/>
                <c:pt idx="0">
                  <c:v>0</c:v>
                </c:pt>
              </c:strCache>
            </c:strRef>
          </c:tx>
          <c:xVal>
            <c:numRef>
              <c:f>'1994 E Maize Graphs'!$AC$149:$AC$160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839-4F1F-9E51-3DE70AF4B440}"/>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Graphs'!$AC$162:$AC$173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839-4F1F-9E51-3DE70AF4B440}"/>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Graphs'!$AC$175:$AC$186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839-4F1F-9E51-3DE70AF4B440}"/>
            </c:ext>
          </c:extLst>
        </c:ser>
        <c:ser>
          <c:idx val="14"/>
          <c:order val="14"/>
          <c:tx>
            <c:strRef>
              <c:f>'1994 E Maize Graphs'!$Z$188</c:f>
              <c:strCache>
                <c:ptCount val="1"/>
                <c:pt idx="0">
                  <c:v>0</c:v>
                </c:pt>
              </c:strCache>
            </c:strRef>
          </c:tx>
          <c:xVal>
            <c:numRef>
              <c:f>'1994 E Maize Graphs'!$AC$188:$AC$199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839-4F1F-9E51-3DE70AF4B440}"/>
            </c:ext>
          </c:extLst>
        </c:ser>
        <c:ser>
          <c:idx val="16"/>
          <c:order val="15"/>
          <c:tx>
            <c:strRef>
              <c:f>'1994 E Maize Graphs'!$Z$201</c:f>
              <c:strCache>
                <c:ptCount val="1"/>
                <c:pt idx="0">
                  <c:v>0</c:v>
                </c:pt>
              </c:strCache>
            </c:strRef>
          </c:tx>
          <c:xVal>
            <c:numRef>
              <c:f>'1994 E Maize Graphs'!$AC$201:$AC$212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839-4F1F-9E51-3DE70AF4B440}"/>
            </c:ext>
          </c:extLst>
        </c:ser>
        <c:ser>
          <c:idx val="17"/>
          <c:order val="16"/>
          <c:tx>
            <c:strRef>
              <c:f>'1994 E Maize Graphs'!$Z$214</c:f>
              <c:strCache>
                <c:ptCount val="1"/>
                <c:pt idx="0">
                  <c:v>0</c:v>
                </c:pt>
              </c:strCache>
            </c:strRef>
          </c:tx>
          <c:xVal>
            <c:numRef>
              <c:f>'1994 E Maize Graphs'!$AC$214:$AC$225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839-4F1F-9E51-3DE70AF4B440}"/>
            </c:ext>
          </c:extLst>
        </c:ser>
        <c:ser>
          <c:idx val="18"/>
          <c:order val="17"/>
          <c:tx>
            <c:strRef>
              <c:f>'1994 E Maize Graphs'!$Z$227</c:f>
              <c:strCache>
                <c:ptCount val="1"/>
                <c:pt idx="0">
                  <c:v>0</c:v>
                </c:pt>
              </c:strCache>
            </c:strRef>
          </c:tx>
          <c:xVal>
            <c:numRef>
              <c:f>'1994 E Maize Graphs'!$AC$227:$AC$238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839-4F1F-9E51-3DE70AF4B440}"/>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F839-4F1F-9E51-3DE70AF4B44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4864595161018845"/>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Graphs'!$AD$6:$AD$17</c:f>
              <c:numCache>
                <c:formatCode>General</c:formatCode>
                <c:ptCount val="12"/>
                <c:pt idx="0">
                  <c:v>0.23666221197164278</c:v>
                </c:pt>
                <c:pt idx="1">
                  <c:v>0.17707222680820528</c:v>
                </c:pt>
                <c:pt idx="2">
                  <c:v>0.21821268263058913</c:v>
                </c:pt>
                <c:pt idx="3">
                  <c:v>0.20510057180857638</c:v>
                </c:pt>
                <c:pt idx="4">
                  <c:v>0.19978485120505773</c:v>
                </c:pt>
                <c:pt idx="5">
                  <c:v>0.21044850890060129</c:v>
                </c:pt>
                <c:pt idx="6">
                  <c:v>0.21047708751391878</c:v>
                </c:pt>
                <c:pt idx="7">
                  <c:v>0.17974333935119888</c:v>
                </c:pt>
                <c:pt idx="8">
                  <c:v>0.26017870256848041</c:v>
                </c:pt>
                <c:pt idx="9">
                  <c:v>0.26347631503229157</c:v>
                </c:pt>
                <c:pt idx="10">
                  <c:v>0.25255462255214906</c:v>
                </c:pt>
                <c:pt idx="11">
                  <c:v>0.23551256133917303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7F4-4845-9C8B-3732CBB4E912}"/>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Graphs'!$AD$19:$AD$30</c:f>
              <c:numCache>
                <c:formatCode>General</c:formatCode>
                <c:ptCount val="12"/>
                <c:pt idx="0">
                  <c:v>0.23015283054487418</c:v>
                </c:pt>
                <c:pt idx="1">
                  <c:v>0.18383768939450174</c:v>
                </c:pt>
                <c:pt idx="2">
                  <c:v>0.21695623957884835</c:v>
                </c:pt>
                <c:pt idx="3">
                  <c:v>0.20870881852126788</c:v>
                </c:pt>
                <c:pt idx="4">
                  <c:v>0.19997815013609477</c:v>
                </c:pt>
                <c:pt idx="5">
                  <c:v>0.20864438554425552</c:v>
                </c:pt>
                <c:pt idx="6">
                  <c:v>0.20219348500482515</c:v>
                </c:pt>
                <c:pt idx="7">
                  <c:v>0.18206485852572191</c:v>
                </c:pt>
                <c:pt idx="8">
                  <c:v>0.26782916348452229</c:v>
                </c:pt>
                <c:pt idx="9">
                  <c:v>0.2610492722589266</c:v>
                </c:pt>
                <c:pt idx="10">
                  <c:v>0.25047053147502041</c:v>
                </c:pt>
                <c:pt idx="11">
                  <c:v>0.23445732535075342</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7F4-4845-9C8B-3732CBB4E912}"/>
            </c:ext>
          </c:extLst>
        </c:ser>
        <c:ser>
          <c:idx val="0"/>
          <c:order val="2"/>
          <c:tx>
            <c:strRef>
              <c:f>'1994 E Maize Graphs'!$Z$32</c:f>
              <c:strCache>
                <c:ptCount val="1"/>
                <c:pt idx="0">
                  <c:v>153</c:v>
                </c:pt>
              </c:strCache>
            </c:strRef>
          </c:tx>
          <c:xVal>
            <c:numRef>
              <c:f>'1994 E Maize Graphs'!$AD$32:$AD$43</c:f>
              <c:numCache>
                <c:formatCode>General</c:formatCode>
                <c:ptCount val="12"/>
                <c:pt idx="0">
                  <c:v>0.21933204064063544</c:v>
                </c:pt>
                <c:pt idx="1">
                  <c:v>0.18699490526810675</c:v>
                </c:pt>
                <c:pt idx="2">
                  <c:v>0.22091886766510771</c:v>
                </c:pt>
                <c:pt idx="3">
                  <c:v>0.20729129302699623</c:v>
                </c:pt>
                <c:pt idx="4">
                  <c:v>0.20191113944646522</c:v>
                </c:pt>
                <c:pt idx="5">
                  <c:v>0.2110606221822186</c:v>
                </c:pt>
                <c:pt idx="6">
                  <c:v>0.20351252999034963</c:v>
                </c:pt>
                <c:pt idx="7">
                  <c:v>0.18301457091529952</c:v>
                </c:pt>
                <c:pt idx="8">
                  <c:v>0.26569231060797266</c:v>
                </c:pt>
                <c:pt idx="9">
                  <c:v>0.26268488804097689</c:v>
                </c:pt>
                <c:pt idx="10">
                  <c:v>0.24870301119441762</c:v>
                </c:pt>
                <c:pt idx="11">
                  <c:v>0.23234685337391431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7F4-4845-9C8B-3732CBB4E912}"/>
            </c:ext>
          </c:extLst>
        </c:ser>
        <c:ser>
          <c:idx val="1"/>
          <c:order val="3"/>
          <c:tx>
            <c:strRef>
              <c:f>'1994 E Maize Graphs'!$Z$45</c:f>
              <c:strCache>
                <c:ptCount val="1"/>
                <c:pt idx="0">
                  <c:v>166</c:v>
                </c:pt>
              </c:strCache>
            </c:strRef>
          </c:tx>
          <c:marker>
            <c:symbol val="square"/>
            <c:size val="5"/>
          </c:marker>
          <c:xVal>
            <c:numRef>
              <c:f>'1994 E Maize Graphs'!$AD$45:$AD$56</c:f>
              <c:numCache>
                <c:formatCode>General</c:formatCode>
                <c:ptCount val="12"/>
                <c:pt idx="0">
                  <c:v>0.27078715096652062</c:v>
                </c:pt>
                <c:pt idx="1">
                  <c:v>0.24678870793556523</c:v>
                </c:pt>
                <c:pt idx="2">
                  <c:v>0.24221396656768862</c:v>
                </c:pt>
                <c:pt idx="3">
                  <c:v>0.20973974615346541</c:v>
                </c:pt>
                <c:pt idx="4">
                  <c:v>0.20281320112463808</c:v>
                </c:pt>
                <c:pt idx="5">
                  <c:v>0.2141211885903051</c:v>
                </c:pt>
                <c:pt idx="6">
                  <c:v>0.20535919297008387</c:v>
                </c:pt>
                <c:pt idx="7">
                  <c:v>0.18372685520748269</c:v>
                </c:pt>
                <c:pt idx="8">
                  <c:v>0.26374012402939645</c:v>
                </c:pt>
                <c:pt idx="9">
                  <c:v>0.25991489357137554</c:v>
                </c:pt>
                <c:pt idx="10">
                  <c:v>0.24838644039789171</c:v>
                </c:pt>
                <c:pt idx="11">
                  <c:v>0.23569722763714646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7F4-4845-9C8B-3732CBB4E912}"/>
            </c:ext>
          </c:extLst>
        </c:ser>
        <c:ser>
          <c:idx val="2"/>
          <c:order val="4"/>
          <c:tx>
            <c:strRef>
              <c:f>'1994 E Maize Graphs'!$Z$58</c:f>
              <c:strCache>
                <c:ptCount val="1"/>
                <c:pt idx="0">
                  <c:v>180</c:v>
                </c:pt>
              </c:strCache>
            </c:strRef>
          </c:tx>
          <c:marker>
            <c:spPr>
              <a:solidFill>
                <a:srgbClr val="00B050"/>
              </a:solidFill>
            </c:spPr>
          </c:marker>
          <c:xVal>
            <c:numRef>
              <c:f>'1994 E Maize Graphs'!$AD$58:$AD$69</c:f>
              <c:numCache>
                <c:formatCode>General</c:formatCode>
                <c:ptCount val="12"/>
                <c:pt idx="0">
                  <c:v>0.22970196429886419</c:v>
                </c:pt>
                <c:pt idx="1">
                  <c:v>0.19575779014178601</c:v>
                </c:pt>
                <c:pt idx="2">
                  <c:v>0.23035829879741665</c:v>
                </c:pt>
                <c:pt idx="3">
                  <c:v>0.20329644845223072</c:v>
                </c:pt>
                <c:pt idx="4">
                  <c:v>0.20381191226832945</c:v>
                </c:pt>
                <c:pt idx="5">
                  <c:v>0.21202711683740383</c:v>
                </c:pt>
                <c:pt idx="6">
                  <c:v>0.20200881870685175</c:v>
                </c:pt>
                <c:pt idx="7">
                  <c:v>0.187947799161161</c:v>
                </c:pt>
                <c:pt idx="8">
                  <c:v>0.26885801857323138</c:v>
                </c:pt>
                <c:pt idx="9">
                  <c:v>0.26149774755400484</c:v>
                </c:pt>
                <c:pt idx="10">
                  <c:v>0.25178957646054484</c:v>
                </c:pt>
                <c:pt idx="11">
                  <c:v>0.23741198611832826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7F4-4845-9C8B-3732CBB4E912}"/>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Graphs'!$AD$71:$AD$82</c:f>
              <c:numCache>
                <c:formatCode>General</c:formatCode>
                <c:ptCount val="12"/>
                <c:pt idx="0">
                  <c:v>0.29913536618439607</c:v>
                </c:pt>
                <c:pt idx="1">
                  <c:v>0.25516499494717043</c:v>
                </c:pt>
                <c:pt idx="2">
                  <c:v>0.23490082367678716</c:v>
                </c:pt>
                <c:pt idx="3">
                  <c:v>0.20361861333729242</c:v>
                </c:pt>
                <c:pt idx="4">
                  <c:v>0.2006546963947245</c:v>
                </c:pt>
                <c:pt idx="5">
                  <c:v>0.21508768324549032</c:v>
                </c:pt>
                <c:pt idx="6">
                  <c:v>0.20944823242520968</c:v>
                </c:pt>
                <c:pt idx="7">
                  <c:v>0.18211762032514286</c:v>
                </c:pt>
                <c:pt idx="8">
                  <c:v>0.2653757398114468</c:v>
                </c:pt>
                <c:pt idx="9">
                  <c:v>0.26315974423576571</c:v>
                </c:pt>
                <c:pt idx="10">
                  <c:v>0.24556368412886942</c:v>
                </c:pt>
                <c:pt idx="11">
                  <c:v>0.23516960964293665</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7F4-4845-9C8B-3732CBB4E912}"/>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Graphs'!$AD$84:$AD$95</c:f>
              <c:numCache>
                <c:formatCode>General</c:formatCode>
                <c:ptCount val="12"/>
                <c:pt idx="0">
                  <c:v>0.30640558440130644</c:v>
                </c:pt>
                <c:pt idx="1">
                  <c:v>0.24440468778610835</c:v>
                </c:pt>
                <c:pt idx="2">
                  <c:v>0.26186602455645458</c:v>
                </c:pt>
                <c:pt idx="3">
                  <c:v>0.20986861210749014</c:v>
                </c:pt>
                <c:pt idx="4">
                  <c:v>0.20358639684878621</c:v>
                </c:pt>
                <c:pt idx="5">
                  <c:v>0.21818046614208297</c:v>
                </c:pt>
                <c:pt idx="6">
                  <c:v>0.20852490093534257</c:v>
                </c:pt>
                <c:pt idx="7">
                  <c:v>0.18536247098953304</c:v>
                </c:pt>
                <c:pt idx="8">
                  <c:v>0.26434688472273771</c:v>
                </c:pt>
                <c:pt idx="9">
                  <c:v>0.26041613066587482</c:v>
                </c:pt>
                <c:pt idx="10">
                  <c:v>0.25110367306807213</c:v>
                </c:pt>
                <c:pt idx="11">
                  <c:v>0.23414075455422761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7F4-4845-9C8B-3732CBB4E912}"/>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Graphs'!$AD$97:$AD$108</c:f>
              <c:numCache>
                <c:formatCode>General</c:formatCode>
                <c:ptCount val="12"/>
                <c:pt idx="0">
                  <c:v>0.27845187714868974</c:v>
                </c:pt>
                <c:pt idx="1">
                  <c:v>0.21244593118798399</c:v>
                </c:pt>
                <c:pt idx="2">
                  <c:v>0.27478483644743029</c:v>
                </c:pt>
                <c:pt idx="3">
                  <c:v>0.23992659588375026</c:v>
                </c:pt>
                <c:pt idx="4">
                  <c:v>0.21682737362482368</c:v>
                </c:pt>
                <c:pt idx="5">
                  <c:v>0.23760700871130574</c:v>
                </c:pt>
                <c:pt idx="6">
                  <c:v>0.21158508530175932</c:v>
                </c:pt>
                <c:pt idx="7">
                  <c:v>0.18465018669734987</c:v>
                </c:pt>
                <c:pt idx="8">
                  <c:v>0.26334441053373908</c:v>
                </c:pt>
                <c:pt idx="9">
                  <c:v>0.26028422616732239</c:v>
                </c:pt>
                <c:pt idx="10">
                  <c:v>0.24952081908544277</c:v>
                </c:pt>
                <c:pt idx="11">
                  <c:v>0.23208304437680943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7F4-4845-9C8B-3732CBB4E912}"/>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Graphs'!$AD$110:$AD$121</c:f>
              <c:numCache>
                <c:formatCode>General</c:formatCode>
                <c:ptCount val="12"/>
                <c:pt idx="0">
                  <c:v>0.25162533551109795</c:v>
                </c:pt>
                <c:pt idx="1">
                  <c:v>0.20332866494073687</c:v>
                </c:pt>
                <c:pt idx="2">
                  <c:v>0.24730417175166403</c:v>
                </c:pt>
                <c:pt idx="3">
                  <c:v>0.23499747314230562</c:v>
                </c:pt>
                <c:pt idx="4">
                  <c:v>0.21524876568802115</c:v>
                </c:pt>
                <c:pt idx="5">
                  <c:v>0.23196912322272534</c:v>
                </c:pt>
                <c:pt idx="6">
                  <c:v>0.21008137401826144</c:v>
                </c:pt>
                <c:pt idx="7">
                  <c:v>0.1846765675970603</c:v>
                </c:pt>
                <c:pt idx="8">
                  <c:v>0.26371374312968598</c:v>
                </c:pt>
                <c:pt idx="9">
                  <c:v>0.26445240832157968</c:v>
                </c:pt>
                <c:pt idx="10">
                  <c:v>0.24693549091381484</c:v>
                </c:pt>
                <c:pt idx="11">
                  <c:v>0.23258428147130872</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7F4-4845-9C8B-3732CBB4E912}"/>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Graphs'!$AD$123:$AD$134</c:f>
              <c:numCache>
                <c:formatCode>General</c:formatCode>
                <c:ptCount val="12"/>
                <c:pt idx="0">
                  <c:v>0.296458347848712</c:v>
                </c:pt>
                <c:pt idx="1">
                  <c:v>0.23306448383193523</c:v>
                </c:pt>
                <c:pt idx="2">
                  <c:v>0.2345142258147131</c:v>
                </c:pt>
                <c:pt idx="3">
                  <c:v>0.21992015652141639</c:v>
                </c:pt>
                <c:pt idx="4">
                  <c:v>0.21721397148689775</c:v>
                </c:pt>
                <c:pt idx="5">
                  <c:v>0.23097041207903396</c:v>
                </c:pt>
                <c:pt idx="6">
                  <c:v>0.2022462468042461</c:v>
                </c:pt>
                <c:pt idx="7">
                  <c:v>0.1842544732016925</c:v>
                </c:pt>
                <c:pt idx="8">
                  <c:v>0.2668003083958132</c:v>
                </c:pt>
                <c:pt idx="9">
                  <c:v>0.25812099239106229</c:v>
                </c:pt>
                <c:pt idx="10">
                  <c:v>0.2519478618588078</c:v>
                </c:pt>
                <c:pt idx="11">
                  <c:v>0.23548618043946257</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7F4-4845-9C8B-3732CBB4E912}"/>
            </c:ext>
          </c:extLst>
        </c:ser>
        <c:ser>
          <c:idx val="10"/>
          <c:order val="10"/>
          <c:tx>
            <c:strRef>
              <c:f>'1994 E Maize Graphs'!$Z$136</c:f>
              <c:strCache>
                <c:ptCount val="1"/>
                <c:pt idx="0">
                  <c:v>0</c:v>
                </c:pt>
              </c:strCache>
            </c:strRef>
          </c:tx>
          <c:xVal>
            <c:numRef>
              <c:f>'1994 E Maize Graphs'!$AD$136:$AD$147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7F4-4845-9C8B-3732CBB4E912}"/>
            </c:ext>
          </c:extLst>
        </c:ser>
        <c:ser>
          <c:idx val="11"/>
          <c:order val="11"/>
          <c:tx>
            <c:strRef>
              <c:f>'1994 E Maize Graphs'!$Z$149</c:f>
              <c:strCache>
                <c:ptCount val="1"/>
                <c:pt idx="0">
                  <c:v>0</c:v>
                </c:pt>
              </c:strCache>
            </c:strRef>
          </c:tx>
          <c:xVal>
            <c:numRef>
              <c:f>'1994 E Maize Graphs'!$AD$149:$AD$160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7F4-4845-9C8B-3732CBB4E912}"/>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Graphs'!$AD$162:$AD$173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7F4-4845-9C8B-3732CBB4E912}"/>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Graphs'!$AD$175:$AD$186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7F4-4845-9C8B-3732CBB4E912}"/>
            </c:ext>
          </c:extLst>
        </c:ser>
        <c:ser>
          <c:idx val="14"/>
          <c:order val="14"/>
          <c:tx>
            <c:strRef>
              <c:f>'1994 E Maize Graphs'!$Z$188</c:f>
              <c:strCache>
                <c:ptCount val="1"/>
                <c:pt idx="0">
                  <c:v>0</c:v>
                </c:pt>
              </c:strCache>
            </c:strRef>
          </c:tx>
          <c:xVal>
            <c:numRef>
              <c:f>'1994 E Maize Graphs'!$AD$188:$AD$199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7F4-4845-9C8B-3732CBB4E912}"/>
            </c:ext>
          </c:extLst>
        </c:ser>
        <c:ser>
          <c:idx val="16"/>
          <c:order val="15"/>
          <c:tx>
            <c:strRef>
              <c:f>'1994 E Maize Graphs'!$Z$201</c:f>
              <c:strCache>
                <c:ptCount val="1"/>
                <c:pt idx="0">
                  <c:v>0</c:v>
                </c:pt>
              </c:strCache>
            </c:strRef>
          </c:tx>
          <c:xVal>
            <c:numRef>
              <c:f>'1994 E Maize Graphs'!$AD$201:$AD$212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7F4-4845-9C8B-3732CBB4E912}"/>
            </c:ext>
          </c:extLst>
        </c:ser>
        <c:ser>
          <c:idx val="17"/>
          <c:order val="16"/>
          <c:tx>
            <c:strRef>
              <c:f>'1994 E Maize Graphs'!$Z$214</c:f>
              <c:strCache>
                <c:ptCount val="1"/>
                <c:pt idx="0">
                  <c:v>0</c:v>
                </c:pt>
              </c:strCache>
            </c:strRef>
          </c:tx>
          <c:xVal>
            <c:numRef>
              <c:f>'1994 E Maize Graphs'!$AD$214:$AD$225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7F4-4845-9C8B-3732CBB4E912}"/>
            </c:ext>
          </c:extLst>
        </c:ser>
        <c:ser>
          <c:idx val="18"/>
          <c:order val="17"/>
          <c:tx>
            <c:strRef>
              <c:f>'1994 E Maize Graphs'!$Z$227</c:f>
              <c:strCache>
                <c:ptCount val="1"/>
                <c:pt idx="0">
                  <c:v>0</c:v>
                </c:pt>
              </c:strCache>
            </c:strRef>
          </c:tx>
          <c:xVal>
            <c:numRef>
              <c:f>'1994 E Maize Graphs'!$AD$227:$AD$238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7F4-4845-9C8B-3732CBB4E912}"/>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27F4-4845-9C8B-3732CBB4E91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4634045842598675"/>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Graphs'!$AE$6:$AE$17</c:f>
              <c:numCache>
                <c:formatCode>General</c:formatCode>
                <c:ptCount val="12"/>
                <c:pt idx="0">
                  <c:v>0.25368241275851827</c:v>
                </c:pt>
                <c:pt idx="1">
                  <c:v>0.24959154243560239</c:v>
                </c:pt>
                <c:pt idx="2">
                  <c:v>0.24218175007918241</c:v>
                </c:pt>
                <c:pt idx="3">
                  <c:v>0.22272299102145349</c:v>
                </c:pt>
                <c:pt idx="4">
                  <c:v>0.2177616517915027</c:v>
                </c:pt>
                <c:pt idx="5">
                  <c:v>0.23213020566525622</c:v>
                </c:pt>
                <c:pt idx="6">
                  <c:v>0.25281843154925393</c:v>
                </c:pt>
                <c:pt idx="7">
                  <c:v>0.28384236960878922</c:v>
                </c:pt>
                <c:pt idx="8">
                  <c:v>0.27732628738029841</c:v>
                </c:pt>
                <c:pt idx="9">
                  <c:v>0.26479536001781601</c:v>
                </c:pt>
                <c:pt idx="10">
                  <c:v>0.2436642593497142</c:v>
                </c:pt>
                <c:pt idx="11">
                  <c:v>0.23965436259371981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1F3-4891-AF51-FB150562254C}"/>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Graphs'!$AE$19:$AE$30</c:f>
              <c:numCache>
                <c:formatCode>General</c:formatCode>
                <c:ptCount val="12"/>
                <c:pt idx="0">
                  <c:v>0.25328790479325958</c:v>
                </c:pt>
                <c:pt idx="1">
                  <c:v>0.26379901386682503</c:v>
                </c:pt>
                <c:pt idx="2">
                  <c:v>0.23970108046420702</c:v>
                </c:pt>
                <c:pt idx="3">
                  <c:v>0.22050005331452749</c:v>
                </c:pt>
                <c:pt idx="4">
                  <c:v>0.21979129056739166</c:v>
                </c:pt>
                <c:pt idx="5">
                  <c:v>0.23519077207334271</c:v>
                </c:pt>
                <c:pt idx="6">
                  <c:v>0.24912510558978546</c:v>
                </c:pt>
                <c:pt idx="7">
                  <c:v>0.28803693266275704</c:v>
                </c:pt>
                <c:pt idx="8">
                  <c:v>0.27115315684804392</c:v>
                </c:pt>
                <c:pt idx="9">
                  <c:v>0.2649272645163685</c:v>
                </c:pt>
                <c:pt idx="10">
                  <c:v>0.23952245809516737</c:v>
                </c:pt>
                <c:pt idx="11">
                  <c:v>0.23764941421572267</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1F3-4891-AF51-FB150562254C}"/>
            </c:ext>
          </c:extLst>
        </c:ser>
        <c:ser>
          <c:idx val="0"/>
          <c:order val="2"/>
          <c:tx>
            <c:strRef>
              <c:f>'1994 E Maize Graphs'!$Z$32</c:f>
              <c:strCache>
                <c:ptCount val="1"/>
                <c:pt idx="0">
                  <c:v>153</c:v>
                </c:pt>
              </c:strCache>
            </c:strRef>
          </c:tx>
          <c:xVal>
            <c:numRef>
              <c:f>'1994 E Maize Graphs'!$AE$32:$AE$43</c:f>
              <c:numCache>
                <c:formatCode>General</c:formatCode>
                <c:ptCount val="12"/>
                <c:pt idx="0">
                  <c:v>0.24635583626085666</c:v>
                </c:pt>
                <c:pt idx="1">
                  <c:v>0.25252324288966416</c:v>
                </c:pt>
                <c:pt idx="2">
                  <c:v>0.24224618305619477</c:v>
                </c:pt>
                <c:pt idx="3">
                  <c:v>0.21934025972830523</c:v>
                </c:pt>
                <c:pt idx="4">
                  <c:v>0.21869592995818177</c:v>
                </c:pt>
                <c:pt idx="5">
                  <c:v>0.23867015283200949</c:v>
                </c:pt>
                <c:pt idx="6">
                  <c:v>0.25603690131393358</c:v>
                </c:pt>
                <c:pt idx="7">
                  <c:v>0.28824797986044093</c:v>
                </c:pt>
                <c:pt idx="8">
                  <c:v>0.27392315131764533</c:v>
                </c:pt>
                <c:pt idx="9">
                  <c:v>0.26028422616732239</c:v>
                </c:pt>
                <c:pt idx="10">
                  <c:v>0.24184397726969042</c:v>
                </c:pt>
                <c:pt idx="11">
                  <c:v>0.23617208383193522</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1F3-4891-AF51-FB150562254C}"/>
            </c:ext>
          </c:extLst>
        </c:ser>
        <c:ser>
          <c:idx val="1"/>
          <c:order val="3"/>
          <c:tx>
            <c:strRef>
              <c:f>'1994 E Maize Graphs'!$Z$45</c:f>
              <c:strCache>
                <c:ptCount val="1"/>
                <c:pt idx="0">
                  <c:v>166</c:v>
                </c:pt>
              </c:strCache>
            </c:strRef>
          </c:tx>
          <c:marker>
            <c:symbol val="square"/>
            <c:size val="5"/>
          </c:marker>
          <c:xVal>
            <c:numRef>
              <c:f>'1994 E Maize Graphs'!$AE$45:$AE$56</c:f>
              <c:numCache>
                <c:formatCode>General</c:formatCode>
                <c:ptCount val="12"/>
                <c:pt idx="0">
                  <c:v>0.27239336196793107</c:v>
                </c:pt>
                <c:pt idx="1">
                  <c:v>0.24321267771138</c:v>
                </c:pt>
                <c:pt idx="2">
                  <c:v>0.24208510061366384</c:v>
                </c:pt>
                <c:pt idx="3">
                  <c:v>0.22359283621112014</c:v>
                </c:pt>
                <c:pt idx="4">
                  <c:v>0.22433381544676217</c:v>
                </c:pt>
                <c:pt idx="5">
                  <c:v>0.2392822661136268</c:v>
                </c:pt>
                <c:pt idx="6">
                  <c:v>0.25371538213941058</c:v>
                </c:pt>
                <c:pt idx="7">
                  <c:v>0.28758845736767868</c:v>
                </c:pt>
                <c:pt idx="8">
                  <c:v>0.26748621178828591</c:v>
                </c:pt>
                <c:pt idx="9">
                  <c:v>0.2585167058867196</c:v>
                </c:pt>
                <c:pt idx="10">
                  <c:v>0.24010283788879816</c:v>
                </c:pt>
                <c:pt idx="11">
                  <c:v>0.24070959858213936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1F3-4891-AF51-FB150562254C}"/>
            </c:ext>
          </c:extLst>
        </c:ser>
        <c:ser>
          <c:idx val="2"/>
          <c:order val="4"/>
          <c:tx>
            <c:strRef>
              <c:f>'1994 E Maize Graphs'!$Z$58</c:f>
              <c:strCache>
                <c:ptCount val="1"/>
                <c:pt idx="0">
                  <c:v>180</c:v>
                </c:pt>
              </c:strCache>
            </c:strRef>
          </c:tx>
          <c:marker>
            <c:spPr>
              <a:solidFill>
                <a:srgbClr val="00B050"/>
              </a:solidFill>
            </c:spPr>
          </c:marker>
          <c:xVal>
            <c:numRef>
              <c:f>'1994 E Maize Graphs'!$AE$58:$AE$69</c:f>
              <c:numCache>
                <c:formatCode>General</c:formatCode>
                <c:ptCount val="12"/>
                <c:pt idx="0">
                  <c:v>0.23085730905426471</c:v>
                </c:pt>
                <c:pt idx="1">
                  <c:v>0.23010056688936725</c:v>
                </c:pt>
                <c:pt idx="2">
                  <c:v>0.24392144045851577</c:v>
                </c:pt>
                <c:pt idx="3">
                  <c:v>0.22107995010763865</c:v>
                </c:pt>
                <c:pt idx="4">
                  <c:v>0.21830933209610764</c:v>
                </c:pt>
                <c:pt idx="5">
                  <c:v>0.2351585555848365</c:v>
                </c:pt>
                <c:pt idx="6">
                  <c:v>0.25495528442580356</c:v>
                </c:pt>
                <c:pt idx="7">
                  <c:v>0.28938235854799199</c:v>
                </c:pt>
                <c:pt idx="8">
                  <c:v>0.27168077484225372</c:v>
                </c:pt>
                <c:pt idx="9">
                  <c:v>0.26025784526761192</c:v>
                </c:pt>
                <c:pt idx="10">
                  <c:v>0.24005007608937717</c:v>
                </c:pt>
                <c:pt idx="11">
                  <c:v>0.23406161185509611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1F3-4891-AF51-FB150562254C}"/>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Graphs'!$AE$71:$AE$82</c:f>
              <c:numCache>
                <c:formatCode>General</c:formatCode>
                <c:ptCount val="12"/>
                <c:pt idx="0">
                  <c:v>0.29366861295152547</c:v>
                </c:pt>
                <c:pt idx="1">
                  <c:v>0.30835441747086334</c:v>
                </c:pt>
                <c:pt idx="2">
                  <c:v>0.31051292220077692</c:v>
                </c:pt>
                <c:pt idx="3">
                  <c:v>0.2953067396258629</c:v>
                </c:pt>
                <c:pt idx="4">
                  <c:v>0.27149875461980055</c:v>
                </c:pt>
                <c:pt idx="5">
                  <c:v>0.25819334486675077</c:v>
                </c:pt>
                <c:pt idx="6">
                  <c:v>0.25946641827629724</c:v>
                </c:pt>
                <c:pt idx="7">
                  <c:v>0.28745655286912625</c:v>
                </c:pt>
                <c:pt idx="8">
                  <c:v>0.27175991754138518</c:v>
                </c:pt>
                <c:pt idx="9">
                  <c:v>0.25648537660901194</c:v>
                </c:pt>
                <c:pt idx="10">
                  <c:v>0.23970712439314079</c:v>
                </c:pt>
                <c:pt idx="11">
                  <c:v>0.23754389061688069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1F3-4891-AF51-FB150562254C}"/>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Graphs'!$AE$84:$AE$95</c:f>
              <c:numCache>
                <c:formatCode>General</c:formatCode>
                <c:ptCount val="12"/>
                <c:pt idx="0">
                  <c:v>0.26312242478435155</c:v>
                </c:pt>
                <c:pt idx="1">
                  <c:v>0.29318045138445548</c:v>
                </c:pt>
                <c:pt idx="2">
                  <c:v>0.30742013930418427</c:v>
                </c:pt>
                <c:pt idx="3">
                  <c:v>0.30046137778685073</c:v>
                </c:pt>
                <c:pt idx="4">
                  <c:v>0.29195622482122086</c:v>
                </c:pt>
                <c:pt idx="5">
                  <c:v>0.28863792650508496</c:v>
                </c:pt>
                <c:pt idx="6">
                  <c:v>0.27088934785093904</c:v>
                </c:pt>
                <c:pt idx="7">
                  <c:v>0.28713998207260039</c:v>
                </c:pt>
                <c:pt idx="8">
                  <c:v>0.27545324350085365</c:v>
                </c:pt>
                <c:pt idx="9">
                  <c:v>0.26250022174300347</c:v>
                </c:pt>
                <c:pt idx="10">
                  <c:v>0.24041940868532402</c:v>
                </c:pt>
                <c:pt idx="11">
                  <c:v>0.24026112328706106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1F3-4891-AF51-FB150562254C}"/>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Graphs'!$AE$97:$AE$108</c:f>
              <c:numCache>
                <c:formatCode>General</c:formatCode>
                <c:ptCount val="12"/>
                <c:pt idx="0">
                  <c:v>0.29085069891396326</c:v>
                </c:pt>
                <c:pt idx="1">
                  <c:v>0.22662118613070048</c:v>
                </c:pt>
                <c:pt idx="2">
                  <c:v>0.30075132618340628</c:v>
                </c:pt>
                <c:pt idx="3">
                  <c:v>0.29698199702818401</c:v>
                </c:pt>
                <c:pt idx="4">
                  <c:v>0.29936601717764083</c:v>
                </c:pt>
                <c:pt idx="5">
                  <c:v>0.29453354390171477</c:v>
                </c:pt>
                <c:pt idx="6">
                  <c:v>0.27447715021156555</c:v>
                </c:pt>
                <c:pt idx="7">
                  <c:v>0.29307568450746041</c:v>
                </c:pt>
                <c:pt idx="8">
                  <c:v>0.27587533789622148</c:v>
                </c:pt>
                <c:pt idx="9">
                  <c:v>0.26339717233316007</c:v>
                </c:pt>
                <c:pt idx="10">
                  <c:v>0.24313664135550445</c:v>
                </c:pt>
                <c:pt idx="11">
                  <c:v>0.23915312549922052</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1F3-4891-AF51-FB150562254C}"/>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Graphs'!$AE$110:$AE$121</c:f>
              <c:numCache>
                <c:formatCode>General</c:formatCode>
                <c:ptCount val="12"/>
                <c:pt idx="0">
                  <c:v>0.28594752848860516</c:v>
                </c:pt>
                <c:pt idx="1">
                  <c:v>0.27220751736693632</c:v>
                </c:pt>
                <c:pt idx="2">
                  <c:v>0.29540338909138147</c:v>
                </c:pt>
                <c:pt idx="3">
                  <c:v>0.29897941931556671</c:v>
                </c:pt>
                <c:pt idx="4">
                  <c:v>0.29604771886150488</c:v>
                </c:pt>
                <c:pt idx="5">
                  <c:v>0.29363148222354191</c:v>
                </c:pt>
                <c:pt idx="6">
                  <c:v>0.27727352558087742</c:v>
                </c:pt>
                <c:pt idx="7">
                  <c:v>0.29853653074753173</c:v>
                </c:pt>
                <c:pt idx="8">
                  <c:v>0.27595448059535294</c:v>
                </c:pt>
                <c:pt idx="9">
                  <c:v>0.26859420957612645</c:v>
                </c:pt>
                <c:pt idx="10">
                  <c:v>0.24332130765347781</c:v>
                </c:pt>
                <c:pt idx="11">
                  <c:v>0.24334768855318833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1F3-4891-AF51-FB150562254C}"/>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Graphs'!$AE$123:$AE$134</c:f>
              <c:numCache>
                <c:formatCode>General</c:formatCode>
                <c:ptCount val="12"/>
                <c:pt idx="0">
                  <c:v>0.27467587233835644</c:v>
                </c:pt>
                <c:pt idx="1">
                  <c:v>0.22984283498131786</c:v>
                </c:pt>
                <c:pt idx="2">
                  <c:v>0.25616370609086181</c:v>
                </c:pt>
                <c:pt idx="3">
                  <c:v>0.26808380683814614</c:v>
                </c:pt>
                <c:pt idx="4">
                  <c:v>0.27472040347041787</c:v>
                </c:pt>
                <c:pt idx="5">
                  <c:v>0.28464308193031945</c:v>
                </c:pt>
                <c:pt idx="6">
                  <c:v>0.26938563656744113</c:v>
                </c:pt>
                <c:pt idx="7">
                  <c:v>0.29336587440427581</c:v>
                </c:pt>
                <c:pt idx="8">
                  <c:v>0.27687781208522011</c:v>
                </c:pt>
                <c:pt idx="9">
                  <c:v>0.26484812181723699</c:v>
                </c:pt>
                <c:pt idx="10">
                  <c:v>0.24516797063321205</c:v>
                </c:pt>
                <c:pt idx="11">
                  <c:v>0.23783408051369609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1F3-4891-AF51-FB150562254C}"/>
            </c:ext>
          </c:extLst>
        </c:ser>
        <c:ser>
          <c:idx val="10"/>
          <c:order val="10"/>
          <c:tx>
            <c:strRef>
              <c:f>'1994 E Maize Graphs'!$Z$136</c:f>
              <c:strCache>
                <c:ptCount val="1"/>
                <c:pt idx="0">
                  <c:v>0</c:v>
                </c:pt>
              </c:strCache>
            </c:strRef>
          </c:tx>
          <c:xVal>
            <c:numRef>
              <c:f>'1994 E Maize Graphs'!$AE$136:$AE$147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1F3-4891-AF51-FB150562254C}"/>
            </c:ext>
          </c:extLst>
        </c:ser>
        <c:ser>
          <c:idx val="11"/>
          <c:order val="11"/>
          <c:tx>
            <c:strRef>
              <c:f>'1994 E Maize Graphs'!$Z$149</c:f>
              <c:strCache>
                <c:ptCount val="1"/>
                <c:pt idx="0">
                  <c:v>0</c:v>
                </c:pt>
              </c:strCache>
            </c:strRef>
          </c:tx>
          <c:xVal>
            <c:numRef>
              <c:f>'1994 E Maize Graphs'!$AE$149:$AE$160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1F3-4891-AF51-FB150562254C}"/>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Graphs'!$AE$162:$AE$173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1F3-4891-AF51-FB150562254C}"/>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Graphs'!$AE$175:$AE$186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1F3-4891-AF51-FB150562254C}"/>
            </c:ext>
          </c:extLst>
        </c:ser>
        <c:ser>
          <c:idx val="14"/>
          <c:order val="14"/>
          <c:tx>
            <c:strRef>
              <c:f>'1994 E Maize Graphs'!$Z$188</c:f>
              <c:strCache>
                <c:ptCount val="1"/>
                <c:pt idx="0">
                  <c:v>0</c:v>
                </c:pt>
              </c:strCache>
            </c:strRef>
          </c:tx>
          <c:xVal>
            <c:numRef>
              <c:f>'1994 E Maize Graphs'!$AE$188:$AE$199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1F3-4891-AF51-FB150562254C}"/>
            </c:ext>
          </c:extLst>
        </c:ser>
        <c:ser>
          <c:idx val="16"/>
          <c:order val="15"/>
          <c:tx>
            <c:strRef>
              <c:f>'1994 E Maize Graphs'!$Z$201</c:f>
              <c:strCache>
                <c:ptCount val="1"/>
                <c:pt idx="0">
                  <c:v>0</c:v>
                </c:pt>
              </c:strCache>
            </c:strRef>
          </c:tx>
          <c:xVal>
            <c:numRef>
              <c:f>'1994 E Maize Graphs'!$AE$201:$AE$212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1F3-4891-AF51-FB150562254C}"/>
            </c:ext>
          </c:extLst>
        </c:ser>
        <c:ser>
          <c:idx val="17"/>
          <c:order val="16"/>
          <c:tx>
            <c:strRef>
              <c:f>'1994 E Maize Graphs'!$Z$214</c:f>
              <c:strCache>
                <c:ptCount val="1"/>
                <c:pt idx="0">
                  <c:v>0</c:v>
                </c:pt>
              </c:strCache>
            </c:strRef>
          </c:tx>
          <c:xVal>
            <c:numRef>
              <c:f>'1994 E Maize Graphs'!$AE$214:$AE$225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1F3-4891-AF51-FB150562254C}"/>
            </c:ext>
          </c:extLst>
        </c:ser>
        <c:ser>
          <c:idx val="18"/>
          <c:order val="17"/>
          <c:tx>
            <c:strRef>
              <c:f>'1994 E Maize Graphs'!$Z$227</c:f>
              <c:strCache>
                <c:ptCount val="1"/>
                <c:pt idx="0">
                  <c:v>0</c:v>
                </c:pt>
              </c:strCache>
            </c:strRef>
          </c:tx>
          <c:xVal>
            <c:numRef>
              <c:f>'1994 E Maize Graphs'!$AE$227:$AE$238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1F3-4891-AF51-FB150562254C}"/>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E1F3-4891-AF51-FB150562254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Graphs'!$AF$6:$AF$17</c:f>
              <c:numCache>
                <c:formatCode>General</c:formatCode>
                <c:ptCount val="12"/>
                <c:pt idx="0">
                  <c:v>0.25058270731719989</c:v>
                </c:pt>
                <c:pt idx="1">
                  <c:v>0.25419850029198526</c:v>
                </c:pt>
                <c:pt idx="2">
                  <c:v>0.24211731710217005</c:v>
                </c:pt>
                <c:pt idx="3">
                  <c:v>0.19601552204983547</c:v>
                </c:pt>
                <c:pt idx="4">
                  <c:v>0.20532608722811962</c:v>
                </c:pt>
                <c:pt idx="5">
                  <c:v>0.24359927557345407</c:v>
                </c:pt>
                <c:pt idx="6">
                  <c:v>0.24537901783089594</c:v>
                </c:pt>
                <c:pt idx="7">
                  <c:v>0.27226115463588452</c:v>
                </c:pt>
                <c:pt idx="8">
                  <c:v>0.27220839283646353</c:v>
                </c:pt>
                <c:pt idx="9">
                  <c:v>0.27009792085962436</c:v>
                </c:pt>
                <c:pt idx="10">
                  <c:v>0.26661564209783978</c:v>
                </c:pt>
                <c:pt idx="11">
                  <c:v>0.25622156761190706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63C-4923-AB1D-E414D0418C46}"/>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Graphs'!$AF$19:$AF$30</c:f>
              <c:numCache>
                <c:formatCode>General</c:formatCode>
                <c:ptCount val="12"/>
                <c:pt idx="0">
                  <c:v>0.23843749781530693</c:v>
                </c:pt>
                <c:pt idx="1">
                  <c:v>0.25851550975181248</c:v>
                </c:pt>
                <c:pt idx="2">
                  <c:v>0.24298716229183676</c:v>
                </c:pt>
                <c:pt idx="3">
                  <c:v>0.20133124265335411</c:v>
                </c:pt>
                <c:pt idx="4">
                  <c:v>0.20584155104421842</c:v>
                </c:pt>
                <c:pt idx="5">
                  <c:v>0.23908896718258971</c:v>
                </c:pt>
                <c:pt idx="6">
                  <c:v>0.24263540426100511</c:v>
                </c:pt>
                <c:pt idx="7">
                  <c:v>0.27373848501967185</c:v>
                </c:pt>
                <c:pt idx="8">
                  <c:v>0.26957030286541456</c:v>
                </c:pt>
                <c:pt idx="9">
                  <c:v>0.26830401967931106</c:v>
                </c:pt>
                <c:pt idx="10">
                  <c:v>0.26305422063692374</c:v>
                </c:pt>
                <c:pt idx="11">
                  <c:v>0.25727680360032662</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63C-4923-AB1D-E414D0418C46}"/>
            </c:ext>
          </c:extLst>
        </c:ser>
        <c:ser>
          <c:idx val="0"/>
          <c:order val="2"/>
          <c:tx>
            <c:strRef>
              <c:f>'1994 E Maize Graphs'!$Z$32</c:f>
              <c:strCache>
                <c:ptCount val="1"/>
                <c:pt idx="0">
                  <c:v>153</c:v>
                </c:pt>
              </c:strCache>
            </c:strRef>
          </c:tx>
          <c:xVal>
            <c:numRef>
              <c:f>'1994 E Maize Graphs'!$AF$32:$AF$43</c:f>
              <c:numCache>
                <c:formatCode>General</c:formatCode>
                <c:ptCount val="12"/>
                <c:pt idx="0">
                  <c:v>0.24500323752282682</c:v>
                </c:pt>
                <c:pt idx="1">
                  <c:v>0.23548072046989826</c:v>
                </c:pt>
                <c:pt idx="2">
                  <c:v>0.24582221328038006</c:v>
                </c:pt>
                <c:pt idx="3">
                  <c:v>0.20348974738326775</c:v>
                </c:pt>
                <c:pt idx="4">
                  <c:v>0.20661474676836661</c:v>
                </c:pt>
                <c:pt idx="5">
                  <c:v>0.24556448137233061</c:v>
                </c:pt>
                <c:pt idx="6">
                  <c:v>0.24957358088486375</c:v>
                </c:pt>
                <c:pt idx="7">
                  <c:v>0.27948952115655851</c:v>
                </c:pt>
                <c:pt idx="8">
                  <c:v>0.27656124128869419</c:v>
                </c:pt>
                <c:pt idx="9">
                  <c:v>0.26920097026946771</c:v>
                </c:pt>
                <c:pt idx="10">
                  <c:v>0.26498002631578943</c:v>
                </c:pt>
                <c:pt idx="11">
                  <c:v>0.25930813287803428</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63C-4923-AB1D-E414D0418C46}"/>
            </c:ext>
          </c:extLst>
        </c:ser>
        <c:ser>
          <c:idx val="1"/>
          <c:order val="3"/>
          <c:tx>
            <c:strRef>
              <c:f>'1994 E Maize Graphs'!$Z$45</c:f>
              <c:strCache>
                <c:ptCount val="1"/>
                <c:pt idx="0">
                  <c:v>166</c:v>
                </c:pt>
              </c:strCache>
            </c:strRef>
          </c:tx>
          <c:marker>
            <c:symbol val="square"/>
            <c:size val="5"/>
          </c:marker>
          <c:xVal>
            <c:numRef>
              <c:f>'1994 E Maize Graphs'!$AF$45:$AF$56</c:f>
              <c:numCache>
                <c:formatCode>General</c:formatCode>
                <c:ptCount val="12"/>
                <c:pt idx="0">
                  <c:v>0.30265775873134876</c:v>
                </c:pt>
                <c:pt idx="1">
                  <c:v>0.28319333994754159</c:v>
                </c:pt>
                <c:pt idx="2">
                  <c:v>0.30039694480983842</c:v>
                </c:pt>
                <c:pt idx="3">
                  <c:v>0.25062247006779992</c:v>
                </c:pt>
                <c:pt idx="4">
                  <c:v>0.21193046737188526</c:v>
                </c:pt>
                <c:pt idx="5">
                  <c:v>0.23966886397570086</c:v>
                </c:pt>
                <c:pt idx="6">
                  <c:v>0.24862386849528612</c:v>
                </c:pt>
                <c:pt idx="7">
                  <c:v>0.27669314578724663</c:v>
                </c:pt>
                <c:pt idx="8">
                  <c:v>0.27526857720288028</c:v>
                </c:pt>
                <c:pt idx="9">
                  <c:v>0.27041449165615022</c:v>
                </c:pt>
                <c:pt idx="10">
                  <c:v>0.2606799396629797</c:v>
                </c:pt>
                <c:pt idx="11">
                  <c:v>0.26028422616732239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63C-4923-AB1D-E414D0418C46}"/>
            </c:ext>
          </c:extLst>
        </c:ser>
        <c:ser>
          <c:idx val="2"/>
          <c:order val="4"/>
          <c:tx>
            <c:strRef>
              <c:f>'1994 E Maize Graphs'!$Z$58</c:f>
              <c:strCache>
                <c:ptCount val="1"/>
                <c:pt idx="0">
                  <c:v>180</c:v>
                </c:pt>
              </c:strCache>
            </c:strRef>
          </c:tx>
          <c:marker>
            <c:spPr>
              <a:solidFill>
                <a:srgbClr val="00B050"/>
              </a:solidFill>
            </c:spPr>
          </c:marker>
          <c:xVal>
            <c:numRef>
              <c:f>'1994 E Maize Graphs'!$AF$58:$AF$69</c:f>
              <c:numCache>
                <c:formatCode>General</c:formatCode>
                <c:ptCount val="12"/>
                <c:pt idx="0">
                  <c:v>0.28318597273179419</c:v>
                </c:pt>
                <c:pt idx="1">
                  <c:v>0.22240082613639173</c:v>
                </c:pt>
                <c:pt idx="2">
                  <c:v>0.26019076715413358</c:v>
                </c:pt>
                <c:pt idx="3">
                  <c:v>0.23854128687798476</c:v>
                </c:pt>
                <c:pt idx="4">
                  <c:v>0.21128613760176174</c:v>
                </c:pt>
                <c:pt idx="5">
                  <c:v>0.24240726549872565</c:v>
                </c:pt>
                <c:pt idx="6">
                  <c:v>0.25031224607675745</c:v>
                </c:pt>
                <c:pt idx="7">
                  <c:v>0.27384400861851382</c:v>
                </c:pt>
                <c:pt idx="8">
                  <c:v>0.27423972211417114</c:v>
                </c:pt>
                <c:pt idx="9">
                  <c:v>0.26751259268799643</c:v>
                </c:pt>
                <c:pt idx="10">
                  <c:v>0.26830401967931106</c:v>
                </c:pt>
                <c:pt idx="11">
                  <c:v>0.25548290242001331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63C-4923-AB1D-E414D0418C46}"/>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Graphs'!$AF$71:$AF$82</c:f>
              <c:numCache>
                <c:formatCode>General</c:formatCode>
                <c:ptCount val="12"/>
                <c:pt idx="0">
                  <c:v>0.33923428293890578</c:v>
                </c:pt>
                <c:pt idx="1">
                  <c:v>0.31463663272956721</c:v>
                </c:pt>
                <c:pt idx="2">
                  <c:v>0.31595750875832029</c:v>
                </c:pt>
                <c:pt idx="3">
                  <c:v>0.29424359550515922</c:v>
                </c:pt>
                <c:pt idx="4">
                  <c:v>0.28683380314873924</c:v>
                </c:pt>
                <c:pt idx="5">
                  <c:v>0.28899230787865288</c:v>
                </c:pt>
                <c:pt idx="6">
                  <c:v>0.25711851820206366</c:v>
                </c:pt>
                <c:pt idx="7">
                  <c:v>0.27595448059535294</c:v>
                </c:pt>
                <c:pt idx="8">
                  <c:v>0.27199734563877959</c:v>
                </c:pt>
                <c:pt idx="9">
                  <c:v>0.26801382978249572</c:v>
                </c:pt>
                <c:pt idx="10">
                  <c:v>0.26598250050478806</c:v>
                </c:pt>
                <c:pt idx="11">
                  <c:v>0.25656451930814339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63C-4923-AB1D-E414D0418C46}"/>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Graphs'!$AF$84:$AF$95</c:f>
              <c:numCache>
                <c:formatCode>General</c:formatCode>
                <c:ptCount val="12"/>
                <c:pt idx="0">
                  <c:v>0.33278125979288842</c:v>
                </c:pt>
                <c:pt idx="1">
                  <c:v>0.30635699518348053</c:v>
                </c:pt>
                <c:pt idx="2">
                  <c:v>0.30690467548808548</c:v>
                </c:pt>
                <c:pt idx="3">
                  <c:v>0.28148586605671438</c:v>
                </c:pt>
                <c:pt idx="4">
                  <c:v>0.28142143307970202</c:v>
                </c:pt>
                <c:pt idx="5">
                  <c:v>0.29015210146487513</c:v>
                </c:pt>
                <c:pt idx="6">
                  <c:v>0.26215727004676714</c:v>
                </c:pt>
                <c:pt idx="7">
                  <c:v>0.2767986693860886</c:v>
                </c:pt>
                <c:pt idx="8">
                  <c:v>0.27144334674485932</c:v>
                </c:pt>
                <c:pt idx="9">
                  <c:v>0.26986049276222995</c:v>
                </c:pt>
                <c:pt idx="10">
                  <c:v>0.2653757398114468</c:v>
                </c:pt>
                <c:pt idx="11">
                  <c:v>0.26310698243634473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63C-4923-AB1D-E414D0418C46}"/>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Graphs'!$AF$97:$AF$108</c:f>
              <c:numCache>
                <c:formatCode>General</c:formatCode>
                <c:ptCount val="12"/>
                <c:pt idx="0">
                  <c:v>0.31240774130131393</c:v>
                </c:pt>
                <c:pt idx="1">
                  <c:v>0.25126679983792344</c:v>
                </c:pt>
                <c:pt idx="2">
                  <c:v>0.28850906055106029</c:v>
                </c:pt>
                <c:pt idx="3">
                  <c:v>0.28483638086135649</c:v>
                </c:pt>
                <c:pt idx="4">
                  <c:v>0.28209797933833169</c:v>
                </c:pt>
                <c:pt idx="5">
                  <c:v>0.29124746207408503</c:v>
                </c:pt>
                <c:pt idx="6">
                  <c:v>0.26603526230420904</c:v>
                </c:pt>
                <c:pt idx="7">
                  <c:v>0.28125704143716129</c:v>
                </c:pt>
                <c:pt idx="8">
                  <c:v>0.27685143118550959</c:v>
                </c:pt>
                <c:pt idx="9">
                  <c:v>0.27162801304283274</c:v>
                </c:pt>
                <c:pt idx="10">
                  <c:v>0.26447878922129014</c:v>
                </c:pt>
                <c:pt idx="11">
                  <c:v>0.25659090020785386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63C-4923-AB1D-E414D0418C46}"/>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Graphs'!$AF$110:$AF$121</c:f>
              <c:numCache>
                <c:formatCode>General</c:formatCode>
                <c:ptCount val="12"/>
                <c:pt idx="0">
                  <c:v>0.30688462978769204</c:v>
                </c:pt>
                <c:pt idx="1">
                  <c:v>0.26979128072897335</c:v>
                </c:pt>
                <c:pt idx="2">
                  <c:v>0.28370880376364038</c:v>
                </c:pt>
                <c:pt idx="3">
                  <c:v>0.27272298118303512</c:v>
                </c:pt>
                <c:pt idx="4">
                  <c:v>0.27330287797614622</c:v>
                </c:pt>
                <c:pt idx="5">
                  <c:v>0.28267787613144285</c:v>
                </c:pt>
                <c:pt idx="6">
                  <c:v>0.26149774755400484</c:v>
                </c:pt>
                <c:pt idx="7">
                  <c:v>0.279621425655111</c:v>
                </c:pt>
                <c:pt idx="8">
                  <c:v>0.27218201193675301</c:v>
                </c:pt>
                <c:pt idx="9">
                  <c:v>0.27141696584514885</c:v>
                </c:pt>
                <c:pt idx="10">
                  <c:v>0.26339717233316007</c:v>
                </c:pt>
                <c:pt idx="11">
                  <c:v>0.25790994519337834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63C-4923-AB1D-E414D0418C46}"/>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Graphs'!$AF$123:$AF$134</c:f>
              <c:numCache>
                <c:formatCode>General</c:formatCode>
                <c:ptCount val="12"/>
                <c:pt idx="0">
                  <c:v>0.32618734094499291</c:v>
                </c:pt>
                <c:pt idx="1">
                  <c:v>0.26830932225768933</c:v>
                </c:pt>
                <c:pt idx="2">
                  <c:v>0.24885056319996035</c:v>
                </c:pt>
                <c:pt idx="3">
                  <c:v>0.23167917482616973</c:v>
                </c:pt>
                <c:pt idx="4">
                  <c:v>0.23499747314230562</c:v>
                </c:pt>
                <c:pt idx="5">
                  <c:v>0.26937246637839307</c:v>
                </c:pt>
                <c:pt idx="6">
                  <c:v>0.25862222948556157</c:v>
                </c:pt>
                <c:pt idx="7">
                  <c:v>0.27505753000519628</c:v>
                </c:pt>
                <c:pt idx="8">
                  <c:v>0.27482010190780193</c:v>
                </c:pt>
                <c:pt idx="9">
                  <c:v>0.26970220736396699</c:v>
                </c:pt>
                <c:pt idx="10">
                  <c:v>0.26714326009204953</c:v>
                </c:pt>
                <c:pt idx="11">
                  <c:v>0.2559049968153812</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63C-4923-AB1D-E414D0418C46}"/>
            </c:ext>
          </c:extLst>
        </c:ser>
        <c:ser>
          <c:idx val="10"/>
          <c:order val="10"/>
          <c:tx>
            <c:strRef>
              <c:f>'1994 E Maize Graphs'!$Z$136</c:f>
              <c:strCache>
                <c:ptCount val="1"/>
                <c:pt idx="0">
                  <c:v>0</c:v>
                </c:pt>
              </c:strCache>
            </c:strRef>
          </c:tx>
          <c:xVal>
            <c:numRef>
              <c:f>'1994 E Maize Graphs'!$AF$136:$AF$147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63C-4923-AB1D-E414D0418C46}"/>
            </c:ext>
          </c:extLst>
        </c:ser>
        <c:ser>
          <c:idx val="11"/>
          <c:order val="11"/>
          <c:tx>
            <c:strRef>
              <c:f>'1994 E Maize Graphs'!$Z$149</c:f>
              <c:strCache>
                <c:ptCount val="1"/>
                <c:pt idx="0">
                  <c:v>0</c:v>
                </c:pt>
              </c:strCache>
            </c:strRef>
          </c:tx>
          <c:xVal>
            <c:numRef>
              <c:f>'1994 E Maize Graphs'!$AF$149:$AF$160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63C-4923-AB1D-E414D0418C46}"/>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Graphs'!$AF$162:$AF$173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63C-4923-AB1D-E414D0418C46}"/>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Graphs'!$AF$175:$AF$186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63C-4923-AB1D-E414D0418C46}"/>
            </c:ext>
          </c:extLst>
        </c:ser>
        <c:ser>
          <c:idx val="14"/>
          <c:order val="14"/>
          <c:tx>
            <c:strRef>
              <c:f>'1994 E Maize Graphs'!$Z$188</c:f>
              <c:strCache>
                <c:ptCount val="1"/>
                <c:pt idx="0">
                  <c:v>0</c:v>
                </c:pt>
              </c:strCache>
            </c:strRef>
          </c:tx>
          <c:xVal>
            <c:numRef>
              <c:f>'1994 E Maize Graphs'!$AF$188:$AF$199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63C-4923-AB1D-E414D0418C46}"/>
            </c:ext>
          </c:extLst>
        </c:ser>
        <c:ser>
          <c:idx val="16"/>
          <c:order val="15"/>
          <c:tx>
            <c:strRef>
              <c:f>'1994 E Maize Graphs'!$Z$201</c:f>
              <c:strCache>
                <c:ptCount val="1"/>
                <c:pt idx="0">
                  <c:v>0</c:v>
                </c:pt>
              </c:strCache>
            </c:strRef>
          </c:tx>
          <c:xVal>
            <c:numRef>
              <c:f>'1994 E Maize Graphs'!$AF$201:$AF$212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63C-4923-AB1D-E414D0418C46}"/>
            </c:ext>
          </c:extLst>
        </c:ser>
        <c:ser>
          <c:idx val="17"/>
          <c:order val="16"/>
          <c:tx>
            <c:strRef>
              <c:f>'1994 E Maize Graphs'!$Z$214</c:f>
              <c:strCache>
                <c:ptCount val="1"/>
                <c:pt idx="0">
                  <c:v>0</c:v>
                </c:pt>
              </c:strCache>
            </c:strRef>
          </c:tx>
          <c:xVal>
            <c:numRef>
              <c:f>'1994 E Maize Graphs'!$AF$214:$AF$225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63C-4923-AB1D-E414D0418C46}"/>
            </c:ext>
          </c:extLst>
        </c:ser>
        <c:ser>
          <c:idx val="18"/>
          <c:order val="17"/>
          <c:tx>
            <c:strRef>
              <c:f>'1994 E Maize Graphs'!$Z$227</c:f>
              <c:strCache>
                <c:ptCount val="1"/>
                <c:pt idx="0">
                  <c:v>0</c:v>
                </c:pt>
              </c:strCache>
            </c:strRef>
          </c:tx>
          <c:xVal>
            <c:numRef>
              <c:f>'1994 E Maize Graphs'!$AF$227:$AF$238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63C-4923-AB1D-E414D0418C46}"/>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263C-4923-AB1D-E414D0418C4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839152395367428"/>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Graphs'!$AG$6:$AG$17</c:f>
              <c:numCache>
                <c:formatCode>General</c:formatCode>
                <c:ptCount val="12"/>
                <c:pt idx="0">
                  <c:v>0.23660585369089154</c:v>
                </c:pt>
                <c:pt idx="1">
                  <c:v>0.30416627396506069</c:v>
                </c:pt>
                <c:pt idx="2">
                  <c:v>0.25461731464256548</c:v>
                </c:pt>
                <c:pt idx="3">
                  <c:v>0.20406964417637885</c:v>
                </c:pt>
                <c:pt idx="4">
                  <c:v>0.19614438800386014</c:v>
                </c:pt>
                <c:pt idx="5">
                  <c:v>0.22294850644099667</c:v>
                </c:pt>
                <c:pt idx="6">
                  <c:v>0.218523261925618</c:v>
                </c:pt>
                <c:pt idx="7">
                  <c:v>0.25706575640264268</c:v>
                </c:pt>
                <c:pt idx="8">
                  <c:v>0.25057605507386232</c:v>
                </c:pt>
                <c:pt idx="9">
                  <c:v>0.23261066237101918</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3E26-4BEE-8777-FB9399317199}"/>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Graphs'!$AG$19:$AG$30</c:f>
              <c:numCache>
                <c:formatCode>General</c:formatCode>
                <c:ptCount val="12"/>
                <c:pt idx="0">
                  <c:v>0.21893753267537674</c:v>
                </c:pt>
                <c:pt idx="1">
                  <c:v>0.30352194419493728</c:v>
                </c:pt>
                <c:pt idx="2">
                  <c:v>0.26064179799321996</c:v>
                </c:pt>
                <c:pt idx="3">
                  <c:v>0.20448845852695913</c:v>
                </c:pt>
                <c:pt idx="4">
                  <c:v>0.19430804815900821</c:v>
                </c:pt>
                <c:pt idx="5">
                  <c:v>0.21979129056739166</c:v>
                </c:pt>
                <c:pt idx="6">
                  <c:v>0.22018525860737881</c:v>
                </c:pt>
                <c:pt idx="7">
                  <c:v>0.25585223501596022</c:v>
                </c:pt>
                <c:pt idx="8">
                  <c:v>0.25440128553188329</c:v>
                </c:pt>
                <c:pt idx="9">
                  <c:v>0.23363951745972827</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3E26-4BEE-8777-FB9399317199}"/>
            </c:ext>
          </c:extLst>
        </c:ser>
        <c:ser>
          <c:idx val="0"/>
          <c:order val="2"/>
          <c:tx>
            <c:strRef>
              <c:f>'1994 E Maize Graphs'!$Z$32</c:f>
              <c:strCache>
                <c:ptCount val="1"/>
                <c:pt idx="0">
                  <c:v>153</c:v>
                </c:pt>
              </c:strCache>
            </c:strRef>
          </c:tx>
          <c:xVal>
            <c:numRef>
              <c:f>'1994 E Maize Graphs'!$AG$32:$AG$43</c:f>
              <c:numCache>
                <c:formatCode>General</c:formatCode>
                <c:ptCount val="12"/>
                <c:pt idx="0">
                  <c:v>0.20417166311855095</c:v>
                </c:pt>
                <c:pt idx="1">
                  <c:v>0.29617658481552966</c:v>
                </c:pt>
                <c:pt idx="2">
                  <c:v>0.25825777784376314</c:v>
                </c:pt>
                <c:pt idx="3">
                  <c:v>0.2110284056937124</c:v>
                </c:pt>
                <c:pt idx="4">
                  <c:v>0.19804516082572438</c:v>
                </c:pt>
                <c:pt idx="5">
                  <c:v>0.21969464110187314</c:v>
                </c:pt>
                <c:pt idx="6">
                  <c:v>0.22234849238363891</c:v>
                </c:pt>
                <c:pt idx="7">
                  <c:v>0.25907070478063987</c:v>
                </c:pt>
                <c:pt idx="8">
                  <c:v>0.2565117575087224</c:v>
                </c:pt>
                <c:pt idx="9">
                  <c:v>0.23221494887536187</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3E26-4BEE-8777-FB9399317199}"/>
            </c:ext>
          </c:extLst>
        </c:ser>
        <c:ser>
          <c:idx val="1"/>
          <c:order val="3"/>
          <c:tx>
            <c:strRef>
              <c:f>'1994 E Maize Graphs'!$Z$45</c:f>
              <c:strCache>
                <c:ptCount val="1"/>
                <c:pt idx="0">
                  <c:v>166</c:v>
                </c:pt>
              </c:strCache>
            </c:strRef>
          </c:tx>
          <c:marker>
            <c:symbol val="square"/>
            <c:size val="5"/>
          </c:marker>
          <c:xVal>
            <c:numRef>
              <c:f>'1994 E Maize Graphs'!$AG$45:$AG$56</c:f>
              <c:numCache>
                <c:formatCode>General</c:formatCode>
                <c:ptCount val="12"/>
                <c:pt idx="0">
                  <c:v>0.24314341425803576</c:v>
                </c:pt>
                <c:pt idx="1">
                  <c:v>0.31457219975255485</c:v>
                </c:pt>
                <c:pt idx="2">
                  <c:v>0.30906318021799911</c:v>
                </c:pt>
                <c:pt idx="3">
                  <c:v>0.28828354513151705</c:v>
                </c:pt>
                <c:pt idx="4">
                  <c:v>0.20806448875114442</c:v>
                </c:pt>
                <c:pt idx="5">
                  <c:v>0.22062891926855216</c:v>
                </c:pt>
                <c:pt idx="6">
                  <c:v>0.21599069555341099</c:v>
                </c:pt>
                <c:pt idx="7">
                  <c:v>0.25914984747977138</c:v>
                </c:pt>
                <c:pt idx="8">
                  <c:v>0.25487614172667206</c:v>
                </c:pt>
                <c:pt idx="9">
                  <c:v>0.23514322874322618</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3E26-4BEE-8777-FB9399317199}"/>
            </c:ext>
          </c:extLst>
        </c:ser>
        <c:ser>
          <c:idx val="2"/>
          <c:order val="4"/>
          <c:tx>
            <c:strRef>
              <c:f>'1994 E Maize Graphs'!$Z$58</c:f>
              <c:strCache>
                <c:ptCount val="1"/>
                <c:pt idx="0">
                  <c:v>180</c:v>
                </c:pt>
              </c:strCache>
            </c:strRef>
          </c:tx>
          <c:marker>
            <c:spPr>
              <a:solidFill>
                <a:srgbClr val="00B050"/>
              </a:solidFill>
            </c:spPr>
          </c:marker>
          <c:xVal>
            <c:numRef>
              <c:f>'1994 E Maize Graphs'!$AG$58:$AG$69</c:f>
              <c:numCache>
                <c:formatCode>General</c:formatCode>
                <c:ptCount val="12"/>
                <c:pt idx="0">
                  <c:v>0.2820869862571449</c:v>
                </c:pt>
                <c:pt idx="1">
                  <c:v>0.26106061234380024</c:v>
                </c:pt>
                <c:pt idx="2">
                  <c:v>0.2692758169128745</c:v>
                </c:pt>
                <c:pt idx="3">
                  <c:v>0.26685958027491152</c:v>
                </c:pt>
                <c:pt idx="4">
                  <c:v>0.21080289027416921</c:v>
                </c:pt>
                <c:pt idx="5">
                  <c:v>0.22626680475713262</c:v>
                </c:pt>
                <c:pt idx="6">
                  <c:v>0.22369391826887386</c:v>
                </c:pt>
                <c:pt idx="7">
                  <c:v>0.26025784526761192</c:v>
                </c:pt>
                <c:pt idx="8">
                  <c:v>0.25310862144606933</c:v>
                </c:pt>
                <c:pt idx="9">
                  <c:v>0.2324787578724668</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3E26-4BEE-8777-FB9399317199}"/>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Graphs'!$AG$71:$AG$82</c:f>
              <c:numCache>
                <c:formatCode>General</c:formatCode>
                <c:ptCount val="12"/>
                <c:pt idx="0">
                  <c:v>0.31046338061539597</c:v>
                </c:pt>
                <c:pt idx="1">
                  <c:v>0.31347683914334495</c:v>
                </c:pt>
                <c:pt idx="2">
                  <c:v>0.24640211007349117</c:v>
                </c:pt>
                <c:pt idx="3">
                  <c:v>0.23386989604458958</c:v>
                </c:pt>
                <c:pt idx="4">
                  <c:v>0.21180160141786059</c:v>
                </c:pt>
                <c:pt idx="5">
                  <c:v>0.23312891680894759</c:v>
                </c:pt>
                <c:pt idx="6">
                  <c:v>0.22298163397669069</c:v>
                </c:pt>
                <c:pt idx="7">
                  <c:v>0.26487450271694751</c:v>
                </c:pt>
                <c:pt idx="8">
                  <c:v>0.25429576193304138</c:v>
                </c:pt>
                <c:pt idx="9">
                  <c:v>0.23226771067478286</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3E26-4BEE-8777-FB9399317199}"/>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Graphs'!$AG$84:$AG$95</c:f>
              <c:numCache>
                <c:formatCode>General</c:formatCode>
                <c:ptCount val="12"/>
                <c:pt idx="0">
                  <c:v>0.32069240857174669</c:v>
                </c:pt>
                <c:pt idx="1">
                  <c:v>0.31421781837898694</c:v>
                </c:pt>
                <c:pt idx="2">
                  <c:v>0.2664729824128374</c:v>
                </c:pt>
                <c:pt idx="3">
                  <c:v>0.24140855435503422</c:v>
                </c:pt>
                <c:pt idx="4">
                  <c:v>0.21460443591789768</c:v>
                </c:pt>
                <c:pt idx="5">
                  <c:v>0.22993948444683643</c:v>
                </c:pt>
                <c:pt idx="6">
                  <c:v>0.22108220919753546</c:v>
                </c:pt>
                <c:pt idx="7">
                  <c:v>0.26078546326182167</c:v>
                </c:pt>
                <c:pt idx="8">
                  <c:v>0.25606328221364411</c:v>
                </c:pt>
                <c:pt idx="9">
                  <c:v>0.23319104216464998</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3E26-4BEE-8777-FB9399317199}"/>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Graphs'!$AG$97:$AG$108</c:f>
              <c:numCache>
                <c:formatCode>General</c:formatCode>
                <c:ptCount val="12"/>
                <c:pt idx="0">
                  <c:v>0.30860355735060502</c:v>
                </c:pt>
                <c:pt idx="1">
                  <c:v>0.24691757388958996</c:v>
                </c:pt>
                <c:pt idx="2">
                  <c:v>0.2726263317175166</c:v>
                </c:pt>
                <c:pt idx="3">
                  <c:v>0.24665984198154056</c:v>
                </c:pt>
                <c:pt idx="4">
                  <c:v>0.21180160141786059</c:v>
                </c:pt>
                <c:pt idx="5">
                  <c:v>0.23174360780318209</c:v>
                </c:pt>
                <c:pt idx="6">
                  <c:v>0.22200554068740253</c:v>
                </c:pt>
                <c:pt idx="7">
                  <c:v>0.26442602742186916</c:v>
                </c:pt>
                <c:pt idx="8">
                  <c:v>0.25632709121074898</c:v>
                </c:pt>
                <c:pt idx="9">
                  <c:v>0.23229409157449332</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3E26-4BEE-8777-FB9399317199}"/>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Graphs'!$AG$110:$AG$121</c:f>
              <c:numCache>
                <c:formatCode>General</c:formatCode>
                <c:ptCount val="12"/>
                <c:pt idx="0">
                  <c:v>0.28363683897780412</c:v>
                </c:pt>
                <c:pt idx="1">
                  <c:v>0.27227195034394869</c:v>
                </c:pt>
                <c:pt idx="2">
                  <c:v>0.25616370609086181</c:v>
                </c:pt>
                <c:pt idx="3">
                  <c:v>0.24398587343552819</c:v>
                </c:pt>
                <c:pt idx="4">
                  <c:v>0.21518433271100879</c:v>
                </c:pt>
                <c:pt idx="5">
                  <c:v>0.23116371101007099</c:v>
                </c:pt>
                <c:pt idx="6">
                  <c:v>0.22226934968450746</c:v>
                </c:pt>
                <c:pt idx="7">
                  <c:v>0.26371374312968598</c:v>
                </c:pt>
                <c:pt idx="8">
                  <c:v>0.25471785632840915</c:v>
                </c:pt>
                <c:pt idx="9">
                  <c:v>0.23300637586667655</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3E26-4BEE-8777-FB9399317199}"/>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Graphs'!$AG$123:$AG$134</c:f>
              <c:numCache>
                <c:formatCode>General</c:formatCode>
                <c:ptCount val="12"/>
                <c:pt idx="0">
                  <c:v>0.34281303376660971</c:v>
                </c:pt>
                <c:pt idx="1">
                  <c:v>0.31760054967213519</c:v>
                </c:pt>
                <c:pt idx="2">
                  <c:v>0.26083509692425699</c:v>
                </c:pt>
                <c:pt idx="3">
                  <c:v>0.22455933086630536</c:v>
                </c:pt>
                <c:pt idx="4">
                  <c:v>0.21660185820528044</c:v>
                </c:pt>
                <c:pt idx="5">
                  <c:v>0.22761989727439191</c:v>
                </c:pt>
                <c:pt idx="6">
                  <c:v>0.22667495993615916</c:v>
                </c:pt>
                <c:pt idx="7">
                  <c:v>0.26574507240739365</c:v>
                </c:pt>
                <c:pt idx="8">
                  <c:v>0.25482337992725113</c:v>
                </c:pt>
                <c:pt idx="9">
                  <c:v>0.2333757084626234</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3E26-4BEE-8777-FB9399317199}"/>
            </c:ext>
          </c:extLst>
        </c:ser>
        <c:ser>
          <c:idx val="10"/>
          <c:order val="10"/>
          <c:tx>
            <c:strRef>
              <c:f>'1994 E Maize Graphs'!$Z$136</c:f>
              <c:strCache>
                <c:ptCount val="1"/>
                <c:pt idx="0">
                  <c:v>0</c:v>
                </c:pt>
              </c:strCache>
            </c:strRef>
          </c:tx>
          <c:xVal>
            <c:numRef>
              <c:f>'1994 E Maize Graphs'!$AG$136:$AG$147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3E26-4BEE-8777-FB9399317199}"/>
            </c:ext>
          </c:extLst>
        </c:ser>
        <c:ser>
          <c:idx val="11"/>
          <c:order val="11"/>
          <c:tx>
            <c:strRef>
              <c:f>'1994 E Maize Graphs'!$Z$149</c:f>
              <c:strCache>
                <c:ptCount val="1"/>
                <c:pt idx="0">
                  <c:v>0</c:v>
                </c:pt>
              </c:strCache>
            </c:strRef>
          </c:tx>
          <c:xVal>
            <c:numRef>
              <c:f>'1994 E Maize Graphs'!$AG$149:$AG$160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3E26-4BEE-8777-FB9399317199}"/>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Graphs'!$AG$162:$AG$173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3E26-4BEE-8777-FB9399317199}"/>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Graphs'!$AG$175:$AG$186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3E26-4BEE-8777-FB9399317199}"/>
            </c:ext>
          </c:extLst>
        </c:ser>
        <c:ser>
          <c:idx val="14"/>
          <c:order val="14"/>
          <c:tx>
            <c:strRef>
              <c:f>'1994 E Maize Graphs'!$Z$188</c:f>
              <c:strCache>
                <c:ptCount val="1"/>
                <c:pt idx="0">
                  <c:v>0</c:v>
                </c:pt>
              </c:strCache>
            </c:strRef>
          </c:tx>
          <c:xVal>
            <c:numRef>
              <c:f>'1994 E Maize Graphs'!$AG$188:$AG$199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3E26-4BEE-8777-FB9399317199}"/>
            </c:ext>
          </c:extLst>
        </c:ser>
        <c:ser>
          <c:idx val="16"/>
          <c:order val="15"/>
          <c:tx>
            <c:strRef>
              <c:f>'1994 E Maize Graphs'!$Z$201</c:f>
              <c:strCache>
                <c:ptCount val="1"/>
                <c:pt idx="0">
                  <c:v>0</c:v>
                </c:pt>
              </c:strCache>
            </c:strRef>
          </c:tx>
          <c:xVal>
            <c:numRef>
              <c:f>'1994 E Maize Graphs'!$AG$201:$AG$212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3E26-4BEE-8777-FB9399317199}"/>
            </c:ext>
          </c:extLst>
        </c:ser>
        <c:ser>
          <c:idx val="17"/>
          <c:order val="16"/>
          <c:tx>
            <c:strRef>
              <c:f>'1994 E Maize Graphs'!$Z$214</c:f>
              <c:strCache>
                <c:ptCount val="1"/>
                <c:pt idx="0">
                  <c:v>0</c:v>
                </c:pt>
              </c:strCache>
            </c:strRef>
          </c:tx>
          <c:xVal>
            <c:numRef>
              <c:f>'1994 E Maize Graphs'!$AG$214:$AG$225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3E26-4BEE-8777-FB9399317199}"/>
            </c:ext>
          </c:extLst>
        </c:ser>
        <c:ser>
          <c:idx val="18"/>
          <c:order val="17"/>
          <c:tx>
            <c:strRef>
              <c:f>'1994 E Maize Graphs'!$Z$227</c:f>
              <c:strCache>
                <c:ptCount val="1"/>
                <c:pt idx="0">
                  <c:v>0</c:v>
                </c:pt>
              </c:strCache>
            </c:strRef>
          </c:tx>
          <c:xVal>
            <c:numRef>
              <c:f>'1994 E Maize Graphs'!$AG$227:$AG$238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3E26-4BEE-8777-FB9399317199}"/>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3E26-4BEE-8777-FB939931719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Graphs'!$AH$6:$AH$17</c:f>
              <c:numCache>
                <c:formatCode>General</c:formatCode>
                <c:ptCount val="12"/>
                <c:pt idx="0">
                  <c:v>0.22130458046692897</c:v>
                </c:pt>
                <c:pt idx="1">
                  <c:v>0.22095108415361392</c:v>
                </c:pt>
                <c:pt idx="2">
                  <c:v>0.21260701363051487</c:v>
                </c:pt>
                <c:pt idx="3">
                  <c:v>0.20432737608442825</c:v>
                </c:pt>
                <c:pt idx="4">
                  <c:v>0.20348974738326775</c:v>
                </c:pt>
                <c:pt idx="5">
                  <c:v>0.22165984690074975</c:v>
                </c:pt>
                <c:pt idx="6">
                  <c:v>0.22762467232573674</c:v>
                </c:pt>
                <c:pt idx="7">
                  <c:v>0.26906906577091527</c:v>
                </c:pt>
                <c:pt idx="8">
                  <c:v>0.26484812181723699</c:v>
                </c:pt>
                <c:pt idx="9">
                  <c:v>0.2559841395145126</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164-4A8C-B72C-BD6B71F81955}"/>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Graphs'!$AH$19:$AH$30</c:f>
              <c:numCache>
                <c:formatCode>General</c:formatCode>
                <c:ptCount val="12"/>
                <c:pt idx="0">
                  <c:v>0.20913119182466039</c:v>
                </c:pt>
                <c:pt idx="1">
                  <c:v>0.22175649636626826</c:v>
                </c:pt>
                <c:pt idx="2">
                  <c:v>0.21251036416499641</c:v>
                </c:pt>
                <c:pt idx="3">
                  <c:v>0.20703356111894683</c:v>
                </c:pt>
                <c:pt idx="4">
                  <c:v>0.20413407715339116</c:v>
                </c:pt>
                <c:pt idx="5">
                  <c:v>0.22359283621112014</c:v>
                </c:pt>
                <c:pt idx="6">
                  <c:v>0.22662219813673817</c:v>
                </c:pt>
                <c:pt idx="7">
                  <c:v>0.26677392749610274</c:v>
                </c:pt>
                <c:pt idx="8">
                  <c:v>0.26830401967931106</c:v>
                </c:pt>
                <c:pt idx="9">
                  <c:v>0.2558258541162497</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164-4A8C-B72C-BD6B71F81955}"/>
            </c:ext>
          </c:extLst>
        </c:ser>
        <c:ser>
          <c:idx val="0"/>
          <c:order val="2"/>
          <c:tx>
            <c:strRef>
              <c:f>'1994 E Maize Graphs'!$Z$32</c:f>
              <c:strCache>
                <c:ptCount val="1"/>
                <c:pt idx="0">
                  <c:v>153</c:v>
                </c:pt>
              </c:strCache>
            </c:strRef>
          </c:tx>
          <c:xVal>
            <c:numRef>
              <c:f>'1994 E Maize Graphs'!$AH$32:$AH$43</c:f>
              <c:numCache>
                <c:formatCode>General</c:formatCode>
                <c:ptCount val="12"/>
                <c:pt idx="0">
                  <c:v>0.19771863997253358</c:v>
                </c:pt>
                <c:pt idx="1">
                  <c:v>0.2306482471939722</c:v>
                </c:pt>
                <c:pt idx="2">
                  <c:v>0.21379902370524334</c:v>
                </c:pt>
                <c:pt idx="3">
                  <c:v>0.20532608722811962</c:v>
                </c:pt>
                <c:pt idx="4">
                  <c:v>0.20709799409595919</c:v>
                </c:pt>
                <c:pt idx="5">
                  <c:v>0.22214309422834233</c:v>
                </c:pt>
                <c:pt idx="6">
                  <c:v>0.22730810152921088</c:v>
                </c:pt>
                <c:pt idx="7">
                  <c:v>0.26893716127236283</c:v>
                </c:pt>
                <c:pt idx="8">
                  <c:v>0.26574507240739365</c:v>
                </c:pt>
                <c:pt idx="9">
                  <c:v>0.25608966311335457</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164-4A8C-B72C-BD6B71F81955}"/>
            </c:ext>
          </c:extLst>
        </c:ser>
        <c:ser>
          <c:idx val="1"/>
          <c:order val="3"/>
          <c:tx>
            <c:strRef>
              <c:f>'1994 E Maize Graphs'!$Z$45</c:f>
              <c:strCache>
                <c:ptCount val="1"/>
                <c:pt idx="0">
                  <c:v>166</c:v>
                </c:pt>
              </c:strCache>
            </c:strRef>
          </c:tx>
          <c:marker>
            <c:symbol val="square"/>
            <c:size val="5"/>
          </c:marker>
          <c:xVal>
            <c:numRef>
              <c:f>'1994 E Maize Graphs'!$AH$45:$AH$56</c:f>
              <c:numCache>
                <c:formatCode>General</c:formatCode>
                <c:ptCount val="12"/>
                <c:pt idx="0">
                  <c:v>0.24753936015663275</c:v>
                </c:pt>
                <c:pt idx="1">
                  <c:v>0.31096395303986341</c:v>
                </c:pt>
                <c:pt idx="2">
                  <c:v>0.28673715368322072</c:v>
                </c:pt>
                <c:pt idx="3">
                  <c:v>0.25468174761957785</c:v>
                </c:pt>
                <c:pt idx="4">
                  <c:v>0.22414051651572514</c:v>
                </c:pt>
                <c:pt idx="5">
                  <c:v>0.22855417544107093</c:v>
                </c:pt>
                <c:pt idx="6">
                  <c:v>0.23160818818202061</c:v>
                </c:pt>
                <c:pt idx="7">
                  <c:v>0.27281515352980479</c:v>
                </c:pt>
                <c:pt idx="8">
                  <c:v>0.26822487698017961</c:v>
                </c:pt>
                <c:pt idx="9">
                  <c:v>0.25922899017890283</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164-4A8C-B72C-BD6B71F81955}"/>
            </c:ext>
          </c:extLst>
        </c:ser>
        <c:ser>
          <c:idx val="2"/>
          <c:order val="4"/>
          <c:tx>
            <c:strRef>
              <c:f>'1994 E Maize Graphs'!$Z$58</c:f>
              <c:strCache>
                <c:ptCount val="1"/>
                <c:pt idx="0">
                  <c:v>180</c:v>
                </c:pt>
              </c:strCache>
            </c:strRef>
          </c:tx>
          <c:marker>
            <c:spPr>
              <a:solidFill>
                <a:srgbClr val="00B050"/>
              </a:solidFill>
            </c:spPr>
          </c:marker>
          <c:xVal>
            <c:numRef>
              <c:f>'1994 E Maize Graphs'!$AH$58:$AH$69</c:f>
              <c:numCache>
                <c:formatCode>General</c:formatCode>
                <c:ptCount val="12"/>
                <c:pt idx="0">
                  <c:v>0.26281245424021971</c:v>
                </c:pt>
                <c:pt idx="1">
                  <c:v>0.25052582060228146</c:v>
                </c:pt>
                <c:pt idx="2">
                  <c:v>0.27310957904510919</c:v>
                </c:pt>
                <c:pt idx="3">
                  <c:v>0.27185313599336847</c:v>
                </c:pt>
                <c:pt idx="4">
                  <c:v>0.26685958027491152</c:v>
                </c:pt>
                <c:pt idx="5">
                  <c:v>0.2499459238091703</c:v>
                </c:pt>
                <c:pt idx="6">
                  <c:v>0.23617208383193522</c:v>
                </c:pt>
                <c:pt idx="7">
                  <c:v>0.27065191975354463</c:v>
                </c:pt>
                <c:pt idx="8">
                  <c:v>0.26756535448741742</c:v>
                </c:pt>
                <c:pt idx="9">
                  <c:v>0.25506080802464554</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164-4A8C-B72C-BD6B71F81955}"/>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Graphs'!$AH$71:$AH$82</c:f>
              <c:numCache>
                <c:formatCode>General</c:formatCode>
                <c:ptCount val="12"/>
                <c:pt idx="0">
                  <c:v>0.28535576654071709</c:v>
                </c:pt>
                <c:pt idx="1">
                  <c:v>0.2807448868210724</c:v>
                </c:pt>
                <c:pt idx="2">
                  <c:v>0.24859283129191101</c:v>
                </c:pt>
                <c:pt idx="3">
                  <c:v>0.25194334609655306</c:v>
                </c:pt>
                <c:pt idx="4">
                  <c:v>0.25906319005641743</c:v>
                </c:pt>
                <c:pt idx="5">
                  <c:v>0.25977195280355331</c:v>
                </c:pt>
                <c:pt idx="6">
                  <c:v>0.23582913213569889</c:v>
                </c:pt>
                <c:pt idx="7">
                  <c:v>0.27376486591938237</c:v>
                </c:pt>
                <c:pt idx="8">
                  <c:v>0.26785554438423281</c:v>
                </c:pt>
                <c:pt idx="9">
                  <c:v>0.25928175197832376</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164-4A8C-B72C-BD6B71F81955}"/>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Graphs'!$AH$84:$AH$95</c:f>
              <c:numCache>
                <c:formatCode>General</c:formatCode>
                <c:ptCount val="12"/>
                <c:pt idx="0">
                  <c:v>0.30392582004825175</c:v>
                </c:pt>
                <c:pt idx="1">
                  <c:v>0.28364437078662802</c:v>
                </c:pt>
                <c:pt idx="2">
                  <c:v>0.25158896472298514</c:v>
                </c:pt>
                <c:pt idx="3">
                  <c:v>0.24720752228614551</c:v>
                </c:pt>
                <c:pt idx="4">
                  <c:v>0.25709798425754088</c:v>
                </c:pt>
                <c:pt idx="5">
                  <c:v>0.2636701479128003</c:v>
                </c:pt>
                <c:pt idx="6">
                  <c:v>0.24012921878850862</c:v>
                </c:pt>
                <c:pt idx="7">
                  <c:v>0.27439800751243409</c:v>
                </c:pt>
                <c:pt idx="8">
                  <c:v>0.26859420957612645</c:v>
                </c:pt>
                <c:pt idx="9">
                  <c:v>0.25775165979511544</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164-4A8C-B72C-BD6B71F81955}"/>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Graphs'!$AH$97:$AH$108</c:f>
              <c:numCache>
                <c:formatCode>General</c:formatCode>
                <c:ptCount val="12"/>
                <c:pt idx="0">
                  <c:v>0.27312601961769728</c:v>
                </c:pt>
                <c:pt idx="1">
                  <c:v>0.20635701486031721</c:v>
                </c:pt>
                <c:pt idx="2">
                  <c:v>0.26582865264271394</c:v>
                </c:pt>
                <c:pt idx="3">
                  <c:v>0.26154385967139282</c:v>
                </c:pt>
                <c:pt idx="4">
                  <c:v>0.2597397363150471</c:v>
                </c:pt>
                <c:pt idx="5">
                  <c:v>0.26834153874619548</c:v>
                </c:pt>
                <c:pt idx="6">
                  <c:v>0.24268816606042609</c:v>
                </c:pt>
                <c:pt idx="7">
                  <c:v>0.27613914689332636</c:v>
                </c:pt>
                <c:pt idx="8">
                  <c:v>0.26664202299755024</c:v>
                </c:pt>
                <c:pt idx="9">
                  <c:v>0.26060079696384825</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164-4A8C-B72C-BD6B71F81955}"/>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Graphs'!$AH$110:$AH$121</c:f>
              <c:numCache>
                <c:formatCode>General</c:formatCode>
                <c:ptCount val="12"/>
                <c:pt idx="0">
                  <c:v>0.25635943109420234</c:v>
                </c:pt>
                <c:pt idx="1">
                  <c:v>0.24562891434934297</c:v>
                </c:pt>
                <c:pt idx="2">
                  <c:v>0.23892788474005888</c:v>
                </c:pt>
                <c:pt idx="3">
                  <c:v>0.2345142258147131</c:v>
                </c:pt>
                <c:pt idx="4">
                  <c:v>0.2435348425964417</c:v>
                </c:pt>
                <c:pt idx="5">
                  <c:v>0.25703355128052852</c:v>
                </c:pt>
                <c:pt idx="6">
                  <c:v>0.23962798169400934</c:v>
                </c:pt>
                <c:pt idx="7">
                  <c:v>0.2716543939425432</c:v>
                </c:pt>
                <c:pt idx="8">
                  <c:v>0.26775002078539079</c:v>
                </c:pt>
                <c:pt idx="9">
                  <c:v>0.25801546879222031</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164-4A8C-B72C-BD6B71F81955}"/>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Graphs'!$AH$123:$AH$134</c:f>
              <c:numCache>
                <c:formatCode>General</c:formatCode>
                <c:ptCount val="12"/>
                <c:pt idx="0">
                  <c:v>0.31798721109568701</c:v>
                </c:pt>
                <c:pt idx="1">
                  <c:v>0.29714307947071483</c:v>
                </c:pt>
                <c:pt idx="2">
                  <c:v>0.22523587712493504</c:v>
                </c:pt>
                <c:pt idx="3">
                  <c:v>0.21321912691213218</c:v>
                </c:pt>
                <c:pt idx="4">
                  <c:v>0.22149876445821887</c:v>
                </c:pt>
                <c:pt idx="5">
                  <c:v>0.24862504778041716</c:v>
                </c:pt>
                <c:pt idx="6">
                  <c:v>0.23807150861109044</c:v>
                </c:pt>
                <c:pt idx="7">
                  <c:v>0.27405505581619771</c:v>
                </c:pt>
                <c:pt idx="8">
                  <c:v>0.26888439947294185</c:v>
                </c:pt>
                <c:pt idx="9">
                  <c:v>0.25954556097542864</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164-4A8C-B72C-BD6B71F81955}"/>
            </c:ext>
          </c:extLst>
        </c:ser>
        <c:ser>
          <c:idx val="10"/>
          <c:order val="10"/>
          <c:tx>
            <c:strRef>
              <c:f>'1994 E Maize Graphs'!$Z$136</c:f>
              <c:strCache>
                <c:ptCount val="1"/>
                <c:pt idx="0">
                  <c:v>0</c:v>
                </c:pt>
              </c:strCache>
            </c:strRef>
          </c:tx>
          <c:xVal>
            <c:numRef>
              <c:f>'1994 E Maize Graphs'!$AH$136:$AH$147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164-4A8C-B72C-BD6B71F81955}"/>
            </c:ext>
          </c:extLst>
        </c:ser>
        <c:ser>
          <c:idx val="11"/>
          <c:order val="11"/>
          <c:tx>
            <c:strRef>
              <c:f>'1994 E Maize Graphs'!$Z$149</c:f>
              <c:strCache>
                <c:ptCount val="1"/>
                <c:pt idx="0">
                  <c:v>0</c:v>
                </c:pt>
              </c:strCache>
            </c:strRef>
          </c:tx>
          <c:xVal>
            <c:numRef>
              <c:f>'1994 E Maize Graphs'!$AH$149:$AH$160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164-4A8C-B72C-BD6B71F81955}"/>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Graphs'!$AH$162:$AH$173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164-4A8C-B72C-BD6B71F81955}"/>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Graphs'!$AH$175:$AH$186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164-4A8C-B72C-BD6B71F81955}"/>
            </c:ext>
          </c:extLst>
        </c:ser>
        <c:ser>
          <c:idx val="14"/>
          <c:order val="14"/>
          <c:tx>
            <c:strRef>
              <c:f>'1994 E Maize Graphs'!$Z$188</c:f>
              <c:strCache>
                <c:ptCount val="1"/>
                <c:pt idx="0">
                  <c:v>0</c:v>
                </c:pt>
              </c:strCache>
            </c:strRef>
          </c:tx>
          <c:xVal>
            <c:numRef>
              <c:f>'1994 E Maize Graphs'!$AH$188:$AH$199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164-4A8C-B72C-BD6B71F81955}"/>
            </c:ext>
          </c:extLst>
        </c:ser>
        <c:ser>
          <c:idx val="16"/>
          <c:order val="15"/>
          <c:tx>
            <c:strRef>
              <c:f>'1994 E Maize Graphs'!$Z$201</c:f>
              <c:strCache>
                <c:ptCount val="1"/>
                <c:pt idx="0">
                  <c:v>0</c:v>
                </c:pt>
              </c:strCache>
            </c:strRef>
          </c:tx>
          <c:xVal>
            <c:numRef>
              <c:f>'1994 E Maize Graphs'!$AH$201:$AH$212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4164-4A8C-B72C-BD6B71F81955}"/>
            </c:ext>
          </c:extLst>
        </c:ser>
        <c:ser>
          <c:idx val="17"/>
          <c:order val="16"/>
          <c:tx>
            <c:strRef>
              <c:f>'1994 E Maize Graphs'!$Z$214</c:f>
              <c:strCache>
                <c:ptCount val="1"/>
                <c:pt idx="0">
                  <c:v>0</c:v>
                </c:pt>
              </c:strCache>
            </c:strRef>
          </c:tx>
          <c:xVal>
            <c:numRef>
              <c:f>'1994 E Maize Graphs'!$AH$214:$AH$225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4164-4A8C-B72C-BD6B71F81955}"/>
            </c:ext>
          </c:extLst>
        </c:ser>
        <c:ser>
          <c:idx val="18"/>
          <c:order val="17"/>
          <c:tx>
            <c:strRef>
              <c:f>'1994 E Maize Graphs'!$Z$227</c:f>
              <c:strCache>
                <c:ptCount val="1"/>
                <c:pt idx="0">
                  <c:v>0</c:v>
                </c:pt>
              </c:strCache>
            </c:strRef>
          </c:tx>
          <c:xVal>
            <c:numRef>
              <c:f>'1994 E Maize Graphs'!$AH$227:$AH$238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4164-4A8C-B72C-BD6B71F81955}"/>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4164-4A8C-B72C-BD6B71F8195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Graphs'!$AI$6:$AI$17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A60-4B11-91B9-A7136A21C0CA}"/>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Graphs'!$AI$19:$AI$30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A60-4B11-91B9-A7136A21C0CA}"/>
            </c:ext>
          </c:extLst>
        </c:ser>
        <c:ser>
          <c:idx val="0"/>
          <c:order val="2"/>
          <c:tx>
            <c:strRef>
              <c:f>'1994 E Maize Graphs'!$Z$32</c:f>
              <c:strCache>
                <c:ptCount val="1"/>
                <c:pt idx="0">
                  <c:v>153</c:v>
                </c:pt>
              </c:strCache>
            </c:strRef>
          </c:tx>
          <c:xVal>
            <c:numRef>
              <c:f>'1994 E Maize Graphs'!$AI$32:$AI$43</c:f>
              <c:numCache>
                <c:formatCode>General</c:formatCode>
                <c:ptCount val="12"/>
                <c:pt idx="0">
                  <c:v>0.24655309024348598</c:v>
                </c:pt>
                <c:pt idx="1">
                  <c:v>0.21048072538910745</c:v>
                </c:pt>
                <c:pt idx="2">
                  <c:v>0.25816112837824456</c:v>
                </c:pt>
                <c:pt idx="3">
                  <c:v>0.25168561418850371</c:v>
                </c:pt>
                <c:pt idx="4">
                  <c:v>0.25993303524608413</c:v>
                </c:pt>
                <c:pt idx="5">
                  <c:v>0.27984282514289949</c:v>
                </c:pt>
                <c:pt idx="6">
                  <c:v>0.26355545773142308</c:v>
                </c:pt>
                <c:pt idx="7">
                  <c:v>0.27938399755771653</c:v>
                </c:pt>
                <c:pt idx="8">
                  <c:v>0.26983411186251949</c:v>
                </c:pt>
                <c:pt idx="9">
                  <c:v>0.26025784526761192</c:v>
                </c:pt>
                <c:pt idx="10">
                  <c:v>0.2603897497661643</c:v>
                </c:pt>
                <c:pt idx="11">
                  <c:v>0.25379452483854203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A60-4B11-91B9-A7136A21C0CA}"/>
            </c:ext>
          </c:extLst>
        </c:ser>
        <c:ser>
          <c:idx val="1"/>
          <c:order val="3"/>
          <c:tx>
            <c:strRef>
              <c:f>'1994 E Maize Graphs'!$Z$45</c:f>
              <c:strCache>
                <c:ptCount val="1"/>
                <c:pt idx="0">
                  <c:v>166</c:v>
                </c:pt>
              </c:strCache>
            </c:strRef>
          </c:tx>
          <c:marker>
            <c:symbol val="square"/>
            <c:size val="5"/>
          </c:marker>
          <c:xVal>
            <c:numRef>
              <c:f>'1994 E Maize Graphs'!$AI$45:$AI$56</c:f>
              <c:numCache>
                <c:formatCode>General</c:formatCode>
                <c:ptCount val="12"/>
                <c:pt idx="0">
                  <c:v>0.2918087896867344</c:v>
                </c:pt>
                <c:pt idx="1">
                  <c:v>0.22304515590651519</c:v>
                </c:pt>
                <c:pt idx="2">
                  <c:v>0.25925648898745446</c:v>
                </c:pt>
                <c:pt idx="3">
                  <c:v>0.25539051036671362</c:v>
                </c:pt>
                <c:pt idx="4">
                  <c:v>0.26354128195877563</c:v>
                </c:pt>
                <c:pt idx="5">
                  <c:v>0.28068045384406004</c:v>
                </c:pt>
                <c:pt idx="6">
                  <c:v>0.26461069371984264</c:v>
                </c:pt>
                <c:pt idx="7">
                  <c:v>0.28088770884121445</c:v>
                </c:pt>
                <c:pt idx="8">
                  <c:v>0.26732792639002301</c:v>
                </c:pt>
                <c:pt idx="9">
                  <c:v>0.25957194187513916</c:v>
                </c:pt>
                <c:pt idx="10">
                  <c:v>0.26136584305545246</c:v>
                </c:pt>
                <c:pt idx="11">
                  <c:v>0.25226443265533366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A60-4B11-91B9-A7136A21C0CA}"/>
            </c:ext>
          </c:extLst>
        </c:ser>
        <c:ser>
          <c:idx val="2"/>
          <c:order val="4"/>
          <c:tx>
            <c:strRef>
              <c:f>'1994 E Maize Graphs'!$Z$58</c:f>
              <c:strCache>
                <c:ptCount val="1"/>
                <c:pt idx="0">
                  <c:v>180</c:v>
                </c:pt>
              </c:strCache>
            </c:strRef>
          </c:tx>
          <c:marker>
            <c:spPr>
              <a:solidFill>
                <a:srgbClr val="00B050"/>
              </a:solidFill>
            </c:spPr>
          </c:marker>
          <c:xVal>
            <c:numRef>
              <c:f>'1994 E Maize Graphs'!$AI$58:$AI$69</c:f>
              <c:numCache>
                <c:formatCode>General</c:formatCode>
                <c:ptCount val="12"/>
                <c:pt idx="0">
                  <c:v>0.28901905478954787</c:v>
                </c:pt>
                <c:pt idx="1">
                  <c:v>0.22288407346398431</c:v>
                </c:pt>
                <c:pt idx="2">
                  <c:v>0.25626035555638033</c:v>
                </c:pt>
                <c:pt idx="3">
                  <c:v>0.25661473692994824</c:v>
                </c:pt>
                <c:pt idx="4">
                  <c:v>0.25787117998168907</c:v>
                </c:pt>
                <c:pt idx="5">
                  <c:v>0.28026163949347976</c:v>
                </c:pt>
                <c:pt idx="6">
                  <c:v>0.26302783973721328</c:v>
                </c:pt>
                <c:pt idx="7">
                  <c:v>0.27830238066958651</c:v>
                </c:pt>
                <c:pt idx="8">
                  <c:v>0.26975496916338798</c:v>
                </c:pt>
                <c:pt idx="9">
                  <c:v>0.25656451930814339</c:v>
                </c:pt>
                <c:pt idx="10">
                  <c:v>0.26115479585776852</c:v>
                </c:pt>
                <c:pt idx="11">
                  <c:v>0.25345157314230571</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A60-4B11-91B9-A7136A21C0CA}"/>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Graphs'!$AI$71:$AI$82</c:f>
              <c:numCache>
                <c:formatCode>General</c:formatCode>
                <c:ptCount val="12"/>
                <c:pt idx="0">
                  <c:v>0.32035425888723923</c:v>
                </c:pt>
                <c:pt idx="1">
                  <c:v>0.28986215306831953</c:v>
                </c:pt>
                <c:pt idx="2">
                  <c:v>0.30287761442481376</c:v>
                </c:pt>
                <c:pt idx="3">
                  <c:v>0.26988793019449181</c:v>
                </c:pt>
                <c:pt idx="4">
                  <c:v>0.27836086667161553</c:v>
                </c:pt>
                <c:pt idx="5">
                  <c:v>0.29437246145918389</c:v>
                </c:pt>
                <c:pt idx="6">
                  <c:v>0.2632125060351867</c:v>
                </c:pt>
                <c:pt idx="7">
                  <c:v>0.27935761665800607</c:v>
                </c:pt>
                <c:pt idx="8">
                  <c:v>0.26983411186251949</c:v>
                </c:pt>
                <c:pt idx="9">
                  <c:v>0.25574671141711824</c:v>
                </c:pt>
                <c:pt idx="10">
                  <c:v>0.25885965758295598</c:v>
                </c:pt>
                <c:pt idx="11">
                  <c:v>0.25231719445475465</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A60-4B11-91B9-A7136A21C0CA}"/>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Graphs'!$AI$84:$AI$95</c:f>
              <c:numCache>
                <c:formatCode>General</c:formatCode>
                <c:ptCount val="12"/>
                <c:pt idx="0">
                  <c:v>0.32398936799569439</c:v>
                </c:pt>
                <c:pt idx="1">
                  <c:v>0.30255544953975205</c:v>
                </c:pt>
                <c:pt idx="2">
                  <c:v>0.31714951883304876</c:v>
                </c:pt>
                <c:pt idx="3">
                  <c:v>0.30030029534431985</c:v>
                </c:pt>
                <c:pt idx="4">
                  <c:v>0.29885055336154204</c:v>
                </c:pt>
                <c:pt idx="5">
                  <c:v>0.29936601717764083</c:v>
                </c:pt>
                <c:pt idx="6">
                  <c:v>0.27334277152401454</c:v>
                </c:pt>
                <c:pt idx="7">
                  <c:v>0.2880633135624675</c:v>
                </c:pt>
                <c:pt idx="8">
                  <c:v>0.27822323797045506</c:v>
                </c:pt>
                <c:pt idx="9">
                  <c:v>0.26323888693489716</c:v>
                </c:pt>
                <c:pt idx="10">
                  <c:v>0.26550764430999924</c:v>
                </c:pt>
                <c:pt idx="11">
                  <c:v>0.25941365647687625</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A60-4B11-91B9-A7136A21C0CA}"/>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Graphs'!$AI$97:$AI$108</c:f>
              <c:numCache>
                <c:formatCode>General</c:formatCode>
                <c:ptCount val="12"/>
                <c:pt idx="0">
                  <c:v>0.27800101090267981</c:v>
                </c:pt>
                <c:pt idx="1">
                  <c:v>0.21193046737188526</c:v>
                </c:pt>
                <c:pt idx="2">
                  <c:v>0.29862503794199885</c:v>
                </c:pt>
                <c:pt idx="3">
                  <c:v>0.29997813045925814</c:v>
                </c:pt>
                <c:pt idx="4">
                  <c:v>0.29733637840175192</c:v>
                </c:pt>
                <c:pt idx="5">
                  <c:v>0.30703354144211015</c:v>
                </c:pt>
                <c:pt idx="6">
                  <c:v>0.27814409527132355</c:v>
                </c:pt>
                <c:pt idx="7">
                  <c:v>0.30059424092494991</c:v>
                </c:pt>
                <c:pt idx="8">
                  <c:v>0.28740379106970526</c:v>
                </c:pt>
                <c:pt idx="9">
                  <c:v>0.27524219630316976</c:v>
                </c:pt>
                <c:pt idx="10">
                  <c:v>0.27339553332343552</c:v>
                </c:pt>
                <c:pt idx="11">
                  <c:v>0.2659033578056566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A60-4B11-91B9-A7136A21C0CA}"/>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Graphs'!$AI$110:$AI$121</c:f>
              <c:numCache>
                <c:formatCode>General</c:formatCode>
                <c:ptCount val="12"/>
                <c:pt idx="0">
                  <c:v>0.24604586571672482</c:v>
                </c:pt>
                <c:pt idx="1">
                  <c:v>0.21827711560760149</c:v>
                </c:pt>
                <c:pt idx="2">
                  <c:v>0.26872813660826955</c:v>
                </c:pt>
                <c:pt idx="3">
                  <c:v>0.27417272316581293</c:v>
                </c:pt>
                <c:pt idx="4">
                  <c:v>0.28200132987281318</c:v>
                </c:pt>
                <c:pt idx="5">
                  <c:v>0.29347039978101103</c:v>
                </c:pt>
                <c:pt idx="6">
                  <c:v>0.27352743782198796</c:v>
                </c:pt>
                <c:pt idx="7">
                  <c:v>0.29486958568777372</c:v>
                </c:pt>
                <c:pt idx="8">
                  <c:v>0.28202208752876551</c:v>
                </c:pt>
                <c:pt idx="9">
                  <c:v>0.26711687919233906</c:v>
                </c:pt>
                <c:pt idx="10">
                  <c:v>0.26891078037265237</c:v>
                </c:pt>
                <c:pt idx="11">
                  <c:v>0.26126031945661049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A60-4B11-91B9-A7136A21C0CA}"/>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Graphs'!$AI$123:$AI$134</c:f>
              <c:numCache>
                <c:formatCode>General</c:formatCode>
                <c:ptCount val="12"/>
                <c:pt idx="0">
                  <c:v>0.30043160664167468</c:v>
                </c:pt>
                <c:pt idx="1">
                  <c:v>0.26524875584960278</c:v>
                </c:pt>
                <c:pt idx="2">
                  <c:v>0.26135056074035584</c:v>
                </c:pt>
                <c:pt idx="3">
                  <c:v>0.25954643738401006</c:v>
                </c:pt>
                <c:pt idx="4">
                  <c:v>0.26466885905649168</c:v>
                </c:pt>
                <c:pt idx="5">
                  <c:v>0.29198844130972701</c:v>
                </c:pt>
                <c:pt idx="6">
                  <c:v>0.27078382425209707</c:v>
                </c:pt>
                <c:pt idx="7">
                  <c:v>0.28830074165986191</c:v>
                </c:pt>
                <c:pt idx="8">
                  <c:v>0.2780649525721921</c:v>
                </c:pt>
                <c:pt idx="9">
                  <c:v>0.26951754106599363</c:v>
                </c:pt>
                <c:pt idx="10">
                  <c:v>0.27128506134659636</c:v>
                </c:pt>
                <c:pt idx="11">
                  <c:v>0.26542850161086778</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A60-4B11-91B9-A7136A21C0CA}"/>
            </c:ext>
          </c:extLst>
        </c:ser>
        <c:ser>
          <c:idx val="10"/>
          <c:order val="10"/>
          <c:tx>
            <c:strRef>
              <c:f>'1994 E Maize Graphs'!$Z$136</c:f>
              <c:strCache>
                <c:ptCount val="1"/>
                <c:pt idx="0">
                  <c:v>0</c:v>
                </c:pt>
              </c:strCache>
            </c:strRef>
          </c:tx>
          <c:xVal>
            <c:numRef>
              <c:f>'1994 E Maize Graphs'!$AI$136:$AI$147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A60-4B11-91B9-A7136A21C0CA}"/>
            </c:ext>
          </c:extLst>
        </c:ser>
        <c:ser>
          <c:idx val="11"/>
          <c:order val="11"/>
          <c:tx>
            <c:strRef>
              <c:f>'1994 E Maize Graphs'!$Z$149</c:f>
              <c:strCache>
                <c:ptCount val="1"/>
                <c:pt idx="0">
                  <c:v>0</c:v>
                </c:pt>
              </c:strCache>
            </c:strRef>
          </c:tx>
          <c:xVal>
            <c:numRef>
              <c:f>'1994 E Maize Graphs'!$AI$149:$AI$160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A60-4B11-91B9-A7136A21C0CA}"/>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Graphs'!$AI$162:$AI$173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A60-4B11-91B9-A7136A21C0CA}"/>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Graphs'!$AI$175:$AI$186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A60-4B11-91B9-A7136A21C0CA}"/>
            </c:ext>
          </c:extLst>
        </c:ser>
        <c:ser>
          <c:idx val="14"/>
          <c:order val="14"/>
          <c:tx>
            <c:strRef>
              <c:f>'1994 E Maize Graphs'!$Z$188</c:f>
              <c:strCache>
                <c:ptCount val="1"/>
                <c:pt idx="0">
                  <c:v>0</c:v>
                </c:pt>
              </c:strCache>
            </c:strRef>
          </c:tx>
          <c:xVal>
            <c:numRef>
              <c:f>'1994 E Maize Graphs'!$AI$188:$AI$199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A60-4B11-91B9-A7136A21C0CA}"/>
            </c:ext>
          </c:extLst>
        </c:ser>
        <c:ser>
          <c:idx val="16"/>
          <c:order val="15"/>
          <c:tx>
            <c:strRef>
              <c:f>'1994 E Maize Graphs'!$Z$201</c:f>
              <c:strCache>
                <c:ptCount val="1"/>
                <c:pt idx="0">
                  <c:v>0</c:v>
                </c:pt>
              </c:strCache>
            </c:strRef>
          </c:tx>
          <c:xVal>
            <c:numRef>
              <c:f>'1994 E Maize Graphs'!$AI$201:$AI$212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A60-4B11-91B9-A7136A21C0CA}"/>
            </c:ext>
          </c:extLst>
        </c:ser>
        <c:ser>
          <c:idx val="17"/>
          <c:order val="16"/>
          <c:tx>
            <c:strRef>
              <c:f>'1994 E Maize Graphs'!$Z$214</c:f>
              <c:strCache>
                <c:ptCount val="1"/>
                <c:pt idx="0">
                  <c:v>0</c:v>
                </c:pt>
              </c:strCache>
            </c:strRef>
          </c:tx>
          <c:xVal>
            <c:numRef>
              <c:f>'1994 E Maize Graphs'!$AI$214:$AI$225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A60-4B11-91B9-A7136A21C0CA}"/>
            </c:ext>
          </c:extLst>
        </c:ser>
        <c:ser>
          <c:idx val="18"/>
          <c:order val="17"/>
          <c:tx>
            <c:strRef>
              <c:f>'1994 E Maize Graphs'!$Z$227</c:f>
              <c:strCache>
                <c:ptCount val="1"/>
                <c:pt idx="0">
                  <c:v>0</c:v>
                </c:pt>
              </c:strCache>
            </c:strRef>
          </c:tx>
          <c:xVal>
            <c:numRef>
              <c:f>'1994 E Maize Graphs'!$AI$227:$AI$238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A60-4B11-91B9-A7136A21C0CA}"/>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2A60-4B11-91B9-A7136A21C0C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Graphs'!$AJ$6:$AJ$17</c:f>
              <c:numCache>
                <c:formatCode>General</c:formatCode>
                <c:ptCount val="12"/>
                <c:pt idx="0">
                  <c:v>0.27264697423131168</c:v>
                </c:pt>
                <c:pt idx="1">
                  <c:v>0.25903097356791133</c:v>
                </c:pt>
                <c:pt idx="2">
                  <c:v>0.26795494088412142</c:v>
                </c:pt>
                <c:pt idx="3">
                  <c:v>0.2703389610335783</c:v>
                </c:pt>
                <c:pt idx="4">
                  <c:v>0.27043561049909676</c:v>
                </c:pt>
                <c:pt idx="5">
                  <c:v>0.27565468163709694</c:v>
                </c:pt>
                <c:pt idx="6">
                  <c:v>0.26141860485487339</c:v>
                </c:pt>
                <c:pt idx="7">
                  <c:v>0.28075580434266201</c:v>
                </c:pt>
                <c:pt idx="8">
                  <c:v>0.26418859932447475</c:v>
                </c:pt>
                <c:pt idx="9">
                  <c:v>0.25569394961769726</c:v>
                </c:pt>
                <c:pt idx="10">
                  <c:v>0.24400721104595052</c:v>
                </c:pt>
                <c:pt idx="11">
                  <c:v>0.25210614725707076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1A6-42FF-B239-DA4D22BB27E9}"/>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Graphs'!$AJ$19:$AJ$30</c:f>
              <c:numCache>
                <c:formatCode>General</c:formatCode>
                <c:ptCount val="12"/>
                <c:pt idx="0">
                  <c:v>0.25523226547917749</c:v>
                </c:pt>
                <c:pt idx="1">
                  <c:v>0.25854772624031869</c:v>
                </c:pt>
                <c:pt idx="2">
                  <c:v>0.2756868981256031</c:v>
                </c:pt>
                <c:pt idx="3">
                  <c:v>0.26740726057951647</c:v>
                </c:pt>
                <c:pt idx="4">
                  <c:v>0.27617014545319574</c:v>
                </c:pt>
                <c:pt idx="5">
                  <c:v>0.27736215552792415</c:v>
                </c:pt>
                <c:pt idx="6">
                  <c:v>0.26205174644792517</c:v>
                </c:pt>
                <c:pt idx="7">
                  <c:v>0.27912018856061166</c:v>
                </c:pt>
                <c:pt idx="8">
                  <c:v>0.2649272645163685</c:v>
                </c:pt>
                <c:pt idx="9">
                  <c:v>0.25492890352609304</c:v>
                </c:pt>
                <c:pt idx="10">
                  <c:v>0.24448206724073934</c:v>
                </c:pt>
                <c:pt idx="11">
                  <c:v>0.25200062365822878</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1A6-42FF-B239-DA4D22BB27E9}"/>
            </c:ext>
          </c:extLst>
        </c:ser>
        <c:ser>
          <c:idx val="0"/>
          <c:order val="2"/>
          <c:tx>
            <c:strRef>
              <c:f>'1994 E Maize Graphs'!$Z$32</c:f>
              <c:strCache>
                <c:ptCount val="1"/>
                <c:pt idx="0">
                  <c:v>153</c:v>
                </c:pt>
              </c:strCache>
            </c:strRef>
          </c:tx>
          <c:xVal>
            <c:numRef>
              <c:f>'1994 E Maize Graphs'!$AJ$32:$AJ$43</c:f>
              <c:numCache>
                <c:formatCode>General</c:formatCode>
                <c:ptCount val="12"/>
                <c:pt idx="0">
                  <c:v>0.25965639051815009</c:v>
                </c:pt>
                <c:pt idx="1">
                  <c:v>0.25700133479202236</c:v>
                </c:pt>
                <c:pt idx="2">
                  <c:v>0.27671782575780068</c:v>
                </c:pt>
                <c:pt idx="3">
                  <c:v>0.27050004347610912</c:v>
                </c:pt>
                <c:pt idx="4">
                  <c:v>0.27211086790141786</c:v>
                </c:pt>
                <c:pt idx="5">
                  <c:v>0.28364437078662802</c:v>
                </c:pt>
                <c:pt idx="6">
                  <c:v>0.26323888693489716</c:v>
                </c:pt>
                <c:pt idx="7">
                  <c:v>0.27885637956350673</c:v>
                </c:pt>
                <c:pt idx="8">
                  <c:v>0.26442602742186916</c:v>
                </c:pt>
                <c:pt idx="9">
                  <c:v>0.25297671694751683</c:v>
                </c:pt>
                <c:pt idx="10">
                  <c:v>0.24582749312597429</c:v>
                </c:pt>
                <c:pt idx="11">
                  <c:v>0.2529239551480959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1A6-42FF-B239-DA4D22BB27E9}"/>
            </c:ext>
          </c:extLst>
        </c:ser>
        <c:ser>
          <c:idx val="1"/>
          <c:order val="3"/>
          <c:tx>
            <c:strRef>
              <c:f>'1994 E Maize Graphs'!$Z$45</c:f>
              <c:strCache>
                <c:ptCount val="1"/>
                <c:pt idx="0">
                  <c:v>166</c:v>
                </c:pt>
              </c:strCache>
            </c:strRef>
          </c:tx>
          <c:marker>
            <c:symbol val="square"/>
            <c:size val="5"/>
          </c:marker>
          <c:xVal>
            <c:numRef>
              <c:f>'1994 E Maize Graphs'!$AJ$45:$AJ$56</c:f>
              <c:numCache>
                <c:formatCode>General</c:formatCode>
                <c:ptCount val="12"/>
                <c:pt idx="0">
                  <c:v>0.28766645605151808</c:v>
                </c:pt>
                <c:pt idx="1">
                  <c:v>0.27394720774626974</c:v>
                </c:pt>
                <c:pt idx="2">
                  <c:v>0.28651163826367748</c:v>
                </c:pt>
                <c:pt idx="3">
                  <c:v>0.28142143307970202</c:v>
                </c:pt>
                <c:pt idx="4">
                  <c:v>0.27449488805087469</c:v>
                </c:pt>
                <c:pt idx="5">
                  <c:v>0.28428870055675148</c:v>
                </c:pt>
                <c:pt idx="6">
                  <c:v>0.26400393302650138</c:v>
                </c:pt>
                <c:pt idx="7">
                  <c:v>0.28249694372355427</c:v>
                </c:pt>
                <c:pt idx="8">
                  <c:v>0.26458431282013212</c:v>
                </c:pt>
                <c:pt idx="9">
                  <c:v>0.25751423169772103</c:v>
                </c:pt>
                <c:pt idx="10">
                  <c:v>0.24611768302278969</c:v>
                </c:pt>
                <c:pt idx="11">
                  <c:v>0.25012757977878403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1A6-42FF-B239-DA4D22BB27E9}"/>
            </c:ext>
          </c:extLst>
        </c:ser>
        <c:ser>
          <c:idx val="2"/>
          <c:order val="4"/>
          <c:tx>
            <c:strRef>
              <c:f>'1994 E Maize Graphs'!$Z$58</c:f>
              <c:strCache>
                <c:ptCount val="1"/>
                <c:pt idx="0">
                  <c:v>180</c:v>
                </c:pt>
              </c:strCache>
            </c:strRef>
          </c:tx>
          <c:marker>
            <c:spPr>
              <a:solidFill>
                <a:srgbClr val="00B050"/>
              </a:solidFill>
            </c:spPr>
          </c:marker>
          <c:xVal>
            <c:numRef>
              <c:f>'1994 E Maize Graphs'!$AJ$58:$AJ$69</c:f>
              <c:numCache>
                <c:formatCode>General</c:formatCode>
                <c:ptCount val="12"/>
                <c:pt idx="0">
                  <c:v>0.292513268196125</c:v>
                </c:pt>
                <c:pt idx="1">
                  <c:v>0.24991370732066415</c:v>
                </c:pt>
                <c:pt idx="2">
                  <c:v>0.29788405870635681</c:v>
                </c:pt>
                <c:pt idx="3">
                  <c:v>0.2896366376487764</c:v>
                </c:pt>
                <c:pt idx="4">
                  <c:v>0.28026163949347976</c:v>
                </c:pt>
                <c:pt idx="5">
                  <c:v>0.28019720651646746</c:v>
                </c:pt>
                <c:pt idx="6">
                  <c:v>0.26429412292331672</c:v>
                </c:pt>
                <c:pt idx="7">
                  <c:v>0.28017542454903127</c:v>
                </c:pt>
                <c:pt idx="8">
                  <c:v>0.26540212071115732</c:v>
                </c:pt>
                <c:pt idx="9">
                  <c:v>0.25147300566401898</c:v>
                </c:pt>
                <c:pt idx="10">
                  <c:v>0.24358511665058274</c:v>
                </c:pt>
                <c:pt idx="11">
                  <c:v>0.24894043929181203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1A6-42FF-B239-DA4D22BB27E9}"/>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Graphs'!$AJ$71:$AJ$82</c:f>
              <c:numCache>
                <c:formatCode>General</c:formatCode>
                <c:ptCount val="12"/>
                <c:pt idx="0">
                  <c:v>0.3345283664961769</c:v>
                </c:pt>
                <c:pt idx="1">
                  <c:v>0.3210154974537896</c:v>
                </c:pt>
                <c:pt idx="2">
                  <c:v>0.3252036409595922</c:v>
                </c:pt>
                <c:pt idx="3">
                  <c:v>0.31383122051691281</c:v>
                </c:pt>
                <c:pt idx="4">
                  <c:v>0.3000747799247766</c:v>
                </c:pt>
                <c:pt idx="5">
                  <c:v>0.29066756528097387</c:v>
                </c:pt>
                <c:pt idx="6">
                  <c:v>0.26735430728973353</c:v>
                </c:pt>
                <c:pt idx="7">
                  <c:v>0.27967418745453193</c:v>
                </c:pt>
                <c:pt idx="8">
                  <c:v>0.26318612513547618</c:v>
                </c:pt>
                <c:pt idx="9">
                  <c:v>0.25184233825996588</c:v>
                </c:pt>
                <c:pt idx="10">
                  <c:v>0.24292559415782045</c:v>
                </c:pt>
                <c:pt idx="11">
                  <c:v>0.24954719998515329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1A6-42FF-B239-DA4D22BB27E9}"/>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Graphs'!$AJ$84:$AJ$95</c:f>
              <c:numCache>
                <c:formatCode>General</c:formatCode>
                <c:ptCount val="12"/>
                <c:pt idx="0">
                  <c:v>0.3381352964642565</c:v>
                </c:pt>
                <c:pt idx="1">
                  <c:v>0.32394719790785143</c:v>
                </c:pt>
                <c:pt idx="2">
                  <c:v>0.32481704309751808</c:v>
                </c:pt>
                <c:pt idx="3">
                  <c:v>0.30716240739613487</c:v>
                </c:pt>
                <c:pt idx="4">
                  <c:v>0.30832220098235713</c:v>
                </c:pt>
                <c:pt idx="5">
                  <c:v>0.30397297503402365</c:v>
                </c:pt>
                <c:pt idx="6">
                  <c:v>0.27793304807363967</c:v>
                </c:pt>
                <c:pt idx="7">
                  <c:v>0.28531969999257667</c:v>
                </c:pt>
                <c:pt idx="8">
                  <c:v>0.27497838730606489</c:v>
                </c:pt>
                <c:pt idx="9">
                  <c:v>0.26189346104966221</c:v>
                </c:pt>
                <c:pt idx="10">
                  <c:v>0.25793632609308881</c:v>
                </c:pt>
                <c:pt idx="11">
                  <c:v>0.25453319003043573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1A6-42FF-B239-DA4D22BB27E9}"/>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Graphs'!$AJ$97:$AJ$108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1A6-42FF-B239-DA4D22BB27E9}"/>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Graphs'!$AJ$110:$AJ$121</c:f>
              <c:numCache>
                <c:formatCode>General</c:formatCode>
                <c:ptCount val="12"/>
                <c:pt idx="0">
                  <c:v>0.26114988495805802</c:v>
                </c:pt>
                <c:pt idx="1">
                  <c:v>0.24137633786652807</c:v>
                </c:pt>
                <c:pt idx="2">
                  <c:v>0.26537762180362756</c:v>
                </c:pt>
                <c:pt idx="3">
                  <c:v>0.27256189874050424</c:v>
                </c:pt>
                <c:pt idx="4">
                  <c:v>0.28238792773488725</c:v>
                </c:pt>
                <c:pt idx="5">
                  <c:v>0.29282607001088756</c:v>
                </c:pt>
                <c:pt idx="6">
                  <c:v>0.27650847948927321</c:v>
                </c:pt>
                <c:pt idx="7">
                  <c:v>0.29120264062801571</c:v>
                </c:pt>
                <c:pt idx="8">
                  <c:v>0.2753741008017222</c:v>
                </c:pt>
                <c:pt idx="9">
                  <c:v>0.26592973870536707</c:v>
                </c:pt>
                <c:pt idx="10">
                  <c:v>0.25928175197832376</c:v>
                </c:pt>
                <c:pt idx="11">
                  <c:v>0.25693385190409024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1A6-42FF-B239-DA4D22BB27E9}"/>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Graphs'!$AJ$123:$AJ$134</c:f>
              <c:numCache>
                <c:formatCode>General</c:formatCode>
                <c:ptCount val="12"/>
                <c:pt idx="0">
                  <c:v>0.31545108846188108</c:v>
                </c:pt>
                <c:pt idx="1">
                  <c:v>0.26950133233241774</c:v>
                </c:pt>
                <c:pt idx="2">
                  <c:v>0.26428226119441761</c:v>
                </c:pt>
                <c:pt idx="3">
                  <c:v>0.26808380683814614</c:v>
                </c:pt>
                <c:pt idx="4">
                  <c:v>0.27581576407962777</c:v>
                </c:pt>
                <c:pt idx="5">
                  <c:v>0.28490081383836879</c:v>
                </c:pt>
                <c:pt idx="6">
                  <c:v>0.26653649939870833</c:v>
                </c:pt>
                <c:pt idx="7">
                  <c:v>0.28555712808997102</c:v>
                </c:pt>
                <c:pt idx="8">
                  <c:v>0.27212925013733202</c:v>
                </c:pt>
                <c:pt idx="9">
                  <c:v>0.26197260374879366</c:v>
                </c:pt>
                <c:pt idx="10">
                  <c:v>0.25289757424838544</c:v>
                </c:pt>
                <c:pt idx="11">
                  <c:v>0.25706575640264268</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1A6-42FF-B239-DA4D22BB27E9}"/>
            </c:ext>
          </c:extLst>
        </c:ser>
        <c:ser>
          <c:idx val="10"/>
          <c:order val="10"/>
          <c:tx>
            <c:strRef>
              <c:f>'1994 E Maize Graphs'!$Z$136</c:f>
              <c:strCache>
                <c:ptCount val="1"/>
                <c:pt idx="0">
                  <c:v>0</c:v>
                </c:pt>
              </c:strCache>
            </c:strRef>
          </c:tx>
          <c:xVal>
            <c:numRef>
              <c:f>'1994 E Maize Graphs'!$AJ$136:$AJ$147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1A6-42FF-B239-DA4D22BB27E9}"/>
            </c:ext>
          </c:extLst>
        </c:ser>
        <c:ser>
          <c:idx val="11"/>
          <c:order val="11"/>
          <c:tx>
            <c:strRef>
              <c:f>'1994 E Maize Graphs'!$Z$149</c:f>
              <c:strCache>
                <c:ptCount val="1"/>
                <c:pt idx="0">
                  <c:v>0</c:v>
                </c:pt>
              </c:strCache>
            </c:strRef>
          </c:tx>
          <c:xVal>
            <c:numRef>
              <c:f>'1994 E Maize Graphs'!$AJ$149:$AJ$160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1A6-42FF-B239-DA4D22BB27E9}"/>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Graphs'!$AJ$162:$AJ$173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1A6-42FF-B239-DA4D22BB27E9}"/>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Graphs'!$AJ$175:$AJ$186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1A6-42FF-B239-DA4D22BB27E9}"/>
            </c:ext>
          </c:extLst>
        </c:ser>
        <c:ser>
          <c:idx val="14"/>
          <c:order val="14"/>
          <c:tx>
            <c:strRef>
              <c:f>'1994 E Maize Graphs'!$Z$188</c:f>
              <c:strCache>
                <c:ptCount val="1"/>
                <c:pt idx="0">
                  <c:v>0</c:v>
                </c:pt>
              </c:strCache>
            </c:strRef>
          </c:tx>
          <c:xVal>
            <c:numRef>
              <c:f>'1994 E Maize Graphs'!$AJ$188:$AJ$199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1A6-42FF-B239-DA4D22BB27E9}"/>
            </c:ext>
          </c:extLst>
        </c:ser>
        <c:ser>
          <c:idx val="16"/>
          <c:order val="15"/>
          <c:tx>
            <c:strRef>
              <c:f>'1994 E Maize Graphs'!$Z$201</c:f>
              <c:strCache>
                <c:ptCount val="1"/>
                <c:pt idx="0">
                  <c:v>0</c:v>
                </c:pt>
              </c:strCache>
            </c:strRef>
          </c:tx>
          <c:xVal>
            <c:numRef>
              <c:f>'1994 E Maize Graphs'!$AJ$201:$AJ$212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81A6-42FF-B239-DA4D22BB27E9}"/>
            </c:ext>
          </c:extLst>
        </c:ser>
        <c:ser>
          <c:idx val="17"/>
          <c:order val="16"/>
          <c:tx>
            <c:strRef>
              <c:f>'1994 E Maize Graphs'!$Z$214</c:f>
              <c:strCache>
                <c:ptCount val="1"/>
                <c:pt idx="0">
                  <c:v>0</c:v>
                </c:pt>
              </c:strCache>
            </c:strRef>
          </c:tx>
          <c:xVal>
            <c:numRef>
              <c:f>'1994 E Maize Graphs'!$AJ$214:$AJ$225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1A6-42FF-B239-DA4D22BB27E9}"/>
            </c:ext>
          </c:extLst>
        </c:ser>
        <c:ser>
          <c:idx val="18"/>
          <c:order val="17"/>
          <c:tx>
            <c:strRef>
              <c:f>'1994 E Maize Graphs'!$Z$227</c:f>
              <c:strCache>
                <c:ptCount val="1"/>
                <c:pt idx="0">
                  <c:v>0</c:v>
                </c:pt>
              </c:strCache>
            </c:strRef>
          </c:tx>
          <c:xVal>
            <c:numRef>
              <c:f>'1994 E Maize Graphs'!$AJ$227:$AJ$238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1A6-42FF-B239-DA4D22BB27E9}"/>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81A6-42FF-B239-DA4D22BB27E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Graphs'!$AK$6:$AK$17</c:f>
              <c:numCache>
                <c:formatCode>General</c:formatCode>
                <c:ptCount val="12"/>
                <c:pt idx="0">
                  <c:v>0.25345697963551334</c:v>
                </c:pt>
                <c:pt idx="1">
                  <c:v>0.26199489051047925</c:v>
                </c:pt>
                <c:pt idx="2">
                  <c:v>0.25793561295870138</c:v>
                </c:pt>
                <c:pt idx="3">
                  <c:v>0.25944978791849155</c:v>
                </c:pt>
                <c:pt idx="4">
                  <c:v>0.26724617813698559</c:v>
                </c:pt>
                <c:pt idx="5">
                  <c:v>0.27343174393017095</c:v>
                </c:pt>
                <c:pt idx="6">
                  <c:v>0.27777476267537671</c:v>
                </c:pt>
                <c:pt idx="7">
                  <c:v>0.27914656946032212</c:v>
                </c:pt>
                <c:pt idx="8">
                  <c:v>0.25788356429366782</c:v>
                </c:pt>
                <c:pt idx="9">
                  <c:v>0.249045962890654</c:v>
                </c:pt>
                <c:pt idx="10">
                  <c:v>0.24688272911439385</c:v>
                </c:pt>
                <c:pt idx="11">
                  <c:v>0.24197588176824286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0A1A-443E-941E-46B06A36462B}"/>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Graphs'!$AK$19:$AK$30</c:f>
              <c:numCache>
                <c:formatCode>General</c:formatCode>
                <c:ptCount val="12"/>
                <c:pt idx="0">
                  <c:v>0.25776838811298347</c:v>
                </c:pt>
                <c:pt idx="1">
                  <c:v>0.27085442484967703</c:v>
                </c:pt>
                <c:pt idx="2">
                  <c:v>0.26118947829782491</c:v>
                </c:pt>
                <c:pt idx="3">
                  <c:v>0.26289695218865211</c:v>
                </c:pt>
                <c:pt idx="4">
                  <c:v>0.27269076469452896</c:v>
                </c:pt>
                <c:pt idx="5">
                  <c:v>0.27523586728651667</c:v>
                </c:pt>
                <c:pt idx="6">
                  <c:v>0.28175827853166058</c:v>
                </c:pt>
                <c:pt idx="7">
                  <c:v>0.28101961333976688</c:v>
                </c:pt>
                <c:pt idx="8">
                  <c:v>0.25463871362927765</c:v>
                </c:pt>
                <c:pt idx="9">
                  <c:v>0.24946805728602178</c:v>
                </c:pt>
                <c:pt idx="10">
                  <c:v>0.24917786738920639</c:v>
                </c:pt>
                <c:pt idx="11">
                  <c:v>0.2435323548511617</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0A1A-443E-941E-46B06A36462B}"/>
            </c:ext>
          </c:extLst>
        </c:ser>
        <c:ser>
          <c:idx val="0"/>
          <c:order val="2"/>
          <c:tx>
            <c:strRef>
              <c:f>'1994 E Maize Graphs'!$Z$32</c:f>
              <c:strCache>
                <c:ptCount val="1"/>
                <c:pt idx="0">
                  <c:v>153</c:v>
                </c:pt>
              </c:strCache>
            </c:strRef>
          </c:tx>
          <c:xVal>
            <c:numRef>
              <c:f>'1994 E Maize Graphs'!$AK$32:$AK$43</c:f>
              <c:numCache>
                <c:formatCode>General</c:formatCode>
                <c:ptCount val="12"/>
                <c:pt idx="0">
                  <c:v>0.25156897723034666</c:v>
                </c:pt>
                <c:pt idx="1">
                  <c:v>0.25893432410239275</c:v>
                </c:pt>
                <c:pt idx="2">
                  <c:v>0.26737504409101026</c:v>
                </c:pt>
                <c:pt idx="3">
                  <c:v>0.26038406608517062</c:v>
                </c:pt>
                <c:pt idx="4">
                  <c:v>0.26834153874619548</c:v>
                </c:pt>
                <c:pt idx="5">
                  <c:v>0.27584798056813398</c:v>
                </c:pt>
                <c:pt idx="6">
                  <c:v>0.27439800751243409</c:v>
                </c:pt>
                <c:pt idx="7">
                  <c:v>0.27571705249795858</c:v>
                </c:pt>
                <c:pt idx="8">
                  <c:v>0.25748785079801051</c:v>
                </c:pt>
                <c:pt idx="9">
                  <c:v>0.24799072690223445</c:v>
                </c:pt>
                <c:pt idx="10">
                  <c:v>0.24569558862742186</c:v>
                </c:pt>
                <c:pt idx="11">
                  <c:v>0.24260902336129464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0A1A-443E-941E-46B06A36462B}"/>
            </c:ext>
          </c:extLst>
        </c:ser>
        <c:ser>
          <c:idx val="1"/>
          <c:order val="3"/>
          <c:tx>
            <c:strRef>
              <c:f>'1994 E Maize Graphs'!$Z$45</c:f>
              <c:strCache>
                <c:ptCount val="1"/>
                <c:pt idx="0">
                  <c:v>166</c:v>
                </c:pt>
              </c:strCache>
            </c:strRef>
          </c:tx>
          <c:marker>
            <c:symbol val="square"/>
            <c:size val="5"/>
          </c:marker>
          <c:xVal>
            <c:numRef>
              <c:f>'1994 E Maize Graphs'!$AK$45:$AK$56</c:f>
              <c:numCache>
                <c:formatCode>General</c:formatCode>
                <c:ptCount val="12"/>
                <c:pt idx="0">
                  <c:v>0.27611300849751319</c:v>
                </c:pt>
                <c:pt idx="1">
                  <c:v>0.27871524804518344</c:v>
                </c:pt>
                <c:pt idx="2">
                  <c:v>0.26544205478063987</c:v>
                </c:pt>
                <c:pt idx="3">
                  <c:v>0.25503612899314571</c:v>
                </c:pt>
                <c:pt idx="4">
                  <c:v>0.27072555889565236</c:v>
                </c:pt>
                <c:pt idx="5">
                  <c:v>0.27078999187266467</c:v>
                </c:pt>
                <c:pt idx="6">
                  <c:v>0.26869973317496842</c:v>
                </c:pt>
                <c:pt idx="7">
                  <c:v>0.27714162108232498</c:v>
                </c:pt>
                <c:pt idx="8">
                  <c:v>0.26020508346819093</c:v>
                </c:pt>
                <c:pt idx="9">
                  <c:v>0.24989015168138967</c:v>
                </c:pt>
                <c:pt idx="10">
                  <c:v>0.24770053700541905</c:v>
                </c:pt>
                <c:pt idx="11">
                  <c:v>0.24276730875955754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0A1A-443E-941E-46B06A36462B}"/>
            </c:ext>
          </c:extLst>
        </c:ser>
        <c:ser>
          <c:idx val="2"/>
          <c:order val="4"/>
          <c:tx>
            <c:strRef>
              <c:f>'1994 E Maize Graphs'!$Z$58</c:f>
              <c:strCache>
                <c:ptCount val="1"/>
                <c:pt idx="0">
                  <c:v>180</c:v>
                </c:pt>
              </c:strCache>
            </c:strRef>
          </c:tx>
          <c:marker>
            <c:spPr>
              <a:solidFill>
                <a:srgbClr val="00B050"/>
              </a:solidFill>
            </c:spPr>
          </c:marker>
          <c:xVal>
            <c:numRef>
              <c:f>'1994 E Maize Graphs'!$AK$58:$AK$69</c:f>
              <c:numCache>
                <c:formatCode>General</c:formatCode>
                <c:ptCount val="12"/>
                <c:pt idx="0">
                  <c:v>0.31905801842996062</c:v>
                </c:pt>
                <c:pt idx="1">
                  <c:v>0.2692758169128745</c:v>
                </c:pt>
                <c:pt idx="2">
                  <c:v>0.28097040224061565</c:v>
                </c:pt>
                <c:pt idx="3">
                  <c:v>0.27481705293593645</c:v>
                </c:pt>
                <c:pt idx="4">
                  <c:v>0.27407607370029441</c:v>
                </c:pt>
                <c:pt idx="5">
                  <c:v>0.27662117629228217</c:v>
                </c:pt>
                <c:pt idx="6">
                  <c:v>0.26946477926657264</c:v>
                </c:pt>
                <c:pt idx="7">
                  <c:v>0.27748457277856131</c:v>
                </c:pt>
                <c:pt idx="8">
                  <c:v>0.25761975529656295</c:v>
                </c:pt>
                <c:pt idx="9">
                  <c:v>0.24746310890802464</c:v>
                </c:pt>
                <c:pt idx="10">
                  <c:v>0.24551092232944843</c:v>
                </c:pt>
                <c:pt idx="11">
                  <c:v>0.24260902336129464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0A1A-443E-941E-46B06A36462B}"/>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Graphs'!$AK$71:$AK$82</c:f>
              <c:numCache>
                <c:formatCode>General</c:formatCode>
                <c:ptCount val="12"/>
                <c:pt idx="0">
                  <c:v>0.3317949898797416</c:v>
                </c:pt>
                <c:pt idx="1">
                  <c:v>0.32136987882735751</c:v>
                </c:pt>
                <c:pt idx="2">
                  <c:v>0.31801936402271541</c:v>
                </c:pt>
                <c:pt idx="3">
                  <c:v>0.31048070571227077</c:v>
                </c:pt>
                <c:pt idx="4">
                  <c:v>0.30751678876970279</c:v>
                </c:pt>
                <c:pt idx="5">
                  <c:v>0.30136343946502359</c:v>
                </c:pt>
                <c:pt idx="6">
                  <c:v>0.2817846594313711</c:v>
                </c:pt>
                <c:pt idx="7">
                  <c:v>0.27788028627421868</c:v>
                </c:pt>
                <c:pt idx="8">
                  <c:v>0.2585167058867196</c:v>
                </c:pt>
                <c:pt idx="9">
                  <c:v>0.24952081908544277</c:v>
                </c:pt>
                <c:pt idx="10">
                  <c:v>0.24675082461584141</c:v>
                </c:pt>
                <c:pt idx="11">
                  <c:v>0.24350597395145124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0A1A-443E-941E-46B06A36462B}"/>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Graphs'!$AK$84:$AK$95</c:f>
              <c:numCache>
                <c:formatCode>General</c:formatCode>
                <c:ptCount val="12"/>
                <c:pt idx="0">
                  <c:v>0.33968514918491571</c:v>
                </c:pt>
                <c:pt idx="1">
                  <c:v>0.33293559820107388</c:v>
                </c:pt>
                <c:pt idx="2">
                  <c:v>0.31901807516640679</c:v>
                </c:pt>
                <c:pt idx="3">
                  <c:v>0.30886988128696208</c:v>
                </c:pt>
                <c:pt idx="4">
                  <c:v>0.30722684037314718</c:v>
                </c:pt>
                <c:pt idx="5">
                  <c:v>0.29959153259718402</c:v>
                </c:pt>
                <c:pt idx="6">
                  <c:v>0.29890586334347857</c:v>
                </c:pt>
                <c:pt idx="7">
                  <c:v>0.2973757711602702</c:v>
                </c:pt>
                <c:pt idx="8">
                  <c:v>0.27075744335238661</c:v>
                </c:pt>
                <c:pt idx="9">
                  <c:v>0.26128670035632096</c:v>
                </c:pt>
                <c:pt idx="10">
                  <c:v>0.25748785079801051</c:v>
                </c:pt>
                <c:pt idx="11">
                  <c:v>0.25326690684433223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0A1A-443E-941E-46B06A36462B}"/>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Graphs'!$AK$97:$AK$108</c:f>
              <c:numCache>
                <c:formatCode>General</c:formatCode>
                <c:ptCount val="12"/>
                <c:pt idx="0">
                  <c:v>0.2916397148444807</c:v>
                </c:pt>
                <c:pt idx="1">
                  <c:v>0.22752324780887334</c:v>
                </c:pt>
                <c:pt idx="2">
                  <c:v>0.28090596926360328</c:v>
                </c:pt>
                <c:pt idx="3">
                  <c:v>0.29437246145918389</c:v>
                </c:pt>
                <c:pt idx="4">
                  <c:v>0.29962374908569023</c:v>
                </c:pt>
                <c:pt idx="5">
                  <c:v>0.29711086298220868</c:v>
                </c:pt>
                <c:pt idx="6">
                  <c:v>0.30333785449484074</c:v>
                </c:pt>
                <c:pt idx="7">
                  <c:v>0.29727024756142822</c:v>
                </c:pt>
                <c:pt idx="8">
                  <c:v>0.27555876709969562</c:v>
                </c:pt>
                <c:pt idx="9">
                  <c:v>0.26928011296859922</c:v>
                </c:pt>
                <c:pt idx="10">
                  <c:v>0.26519107351347337</c:v>
                </c:pt>
                <c:pt idx="11">
                  <c:v>0.26289593523866078</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0A1A-443E-941E-46B06A36462B}"/>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Graphs'!$AK$110:$AK$121</c:f>
              <c:numCache>
                <c:formatCode>General</c:formatCode>
                <c:ptCount val="12"/>
                <c:pt idx="0">
                  <c:v>0.24773661413926212</c:v>
                </c:pt>
                <c:pt idx="1">
                  <c:v>0.23744592626877492</c:v>
                </c:pt>
                <c:pt idx="2">
                  <c:v>0.24881834671145425</c:v>
                </c:pt>
                <c:pt idx="3">
                  <c:v>0.26019076715413358</c:v>
                </c:pt>
                <c:pt idx="4">
                  <c:v>0.26734282760250411</c:v>
                </c:pt>
                <c:pt idx="5">
                  <c:v>0.28093818575210944</c:v>
                </c:pt>
                <c:pt idx="6">
                  <c:v>0.29220511481701428</c:v>
                </c:pt>
                <c:pt idx="7">
                  <c:v>0.28798417086333605</c:v>
                </c:pt>
                <c:pt idx="8">
                  <c:v>0.26986049276222995</c:v>
                </c:pt>
                <c:pt idx="9">
                  <c:v>0.26527021621260483</c:v>
                </c:pt>
                <c:pt idx="10">
                  <c:v>0.25878051488382448</c:v>
                </c:pt>
                <c:pt idx="11">
                  <c:v>0.25300309784722735</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0A1A-443E-941E-46B06A36462B}"/>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Graphs'!$AK$123:$AK$134</c:f>
              <c:numCache>
                <c:formatCode>General</c:formatCode>
                <c:ptCount val="12"/>
                <c:pt idx="0">
                  <c:v>0.31232320388018703</c:v>
                </c:pt>
                <c:pt idx="1">
                  <c:v>0.300880192137431</c:v>
                </c:pt>
                <c:pt idx="2">
                  <c:v>0.2614472102058743</c:v>
                </c:pt>
                <c:pt idx="3">
                  <c:v>0.24446912076312072</c:v>
                </c:pt>
                <c:pt idx="4">
                  <c:v>0.25932092196446682</c:v>
                </c:pt>
                <c:pt idx="5">
                  <c:v>0.27117658973473874</c:v>
                </c:pt>
                <c:pt idx="6">
                  <c:v>0.28677064947665348</c:v>
                </c:pt>
                <c:pt idx="7">
                  <c:v>0.28513503369460319</c:v>
                </c:pt>
                <c:pt idx="8">
                  <c:v>0.26621992860218247</c:v>
                </c:pt>
                <c:pt idx="9">
                  <c:v>0.25999403627050699</c:v>
                </c:pt>
                <c:pt idx="10">
                  <c:v>0.2555356642194343</c:v>
                </c:pt>
                <c:pt idx="11">
                  <c:v>0.25305585964664834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0A1A-443E-941E-46B06A36462B}"/>
            </c:ext>
          </c:extLst>
        </c:ser>
        <c:ser>
          <c:idx val="10"/>
          <c:order val="10"/>
          <c:tx>
            <c:strRef>
              <c:f>'1994 E Maize Graphs'!$Z$136</c:f>
              <c:strCache>
                <c:ptCount val="1"/>
                <c:pt idx="0">
                  <c:v>0</c:v>
                </c:pt>
              </c:strCache>
            </c:strRef>
          </c:tx>
          <c:xVal>
            <c:numRef>
              <c:f>'1994 E Maize Graphs'!$AK$136:$AK$147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0A1A-443E-941E-46B06A36462B}"/>
            </c:ext>
          </c:extLst>
        </c:ser>
        <c:ser>
          <c:idx val="11"/>
          <c:order val="11"/>
          <c:tx>
            <c:strRef>
              <c:f>'1994 E Maize Graphs'!$Z$149</c:f>
              <c:strCache>
                <c:ptCount val="1"/>
                <c:pt idx="0">
                  <c:v>0</c:v>
                </c:pt>
              </c:strCache>
            </c:strRef>
          </c:tx>
          <c:xVal>
            <c:numRef>
              <c:f>'1994 E Maize Graphs'!$AK$149:$AK$160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0A1A-443E-941E-46B06A36462B}"/>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Graphs'!$AK$162:$AK$173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0A1A-443E-941E-46B06A36462B}"/>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Graphs'!$AK$175:$AK$186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0A1A-443E-941E-46B06A36462B}"/>
            </c:ext>
          </c:extLst>
        </c:ser>
        <c:ser>
          <c:idx val="14"/>
          <c:order val="14"/>
          <c:tx>
            <c:strRef>
              <c:f>'1994 E Maize Graphs'!$Z$188</c:f>
              <c:strCache>
                <c:ptCount val="1"/>
                <c:pt idx="0">
                  <c:v>0</c:v>
                </c:pt>
              </c:strCache>
            </c:strRef>
          </c:tx>
          <c:xVal>
            <c:numRef>
              <c:f>'1994 E Maize Graphs'!$AK$188:$AK$199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0A1A-443E-941E-46B06A36462B}"/>
            </c:ext>
          </c:extLst>
        </c:ser>
        <c:ser>
          <c:idx val="16"/>
          <c:order val="15"/>
          <c:tx>
            <c:strRef>
              <c:f>'1994 E Maize Graphs'!$Z$201</c:f>
              <c:strCache>
                <c:ptCount val="1"/>
                <c:pt idx="0">
                  <c:v>0</c:v>
                </c:pt>
              </c:strCache>
            </c:strRef>
          </c:tx>
          <c:xVal>
            <c:numRef>
              <c:f>'1994 E Maize Graphs'!$AK$201:$AK$212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0A1A-443E-941E-46B06A36462B}"/>
            </c:ext>
          </c:extLst>
        </c:ser>
        <c:ser>
          <c:idx val="17"/>
          <c:order val="16"/>
          <c:tx>
            <c:strRef>
              <c:f>'1994 E Maize Graphs'!$Z$214</c:f>
              <c:strCache>
                <c:ptCount val="1"/>
                <c:pt idx="0">
                  <c:v>0</c:v>
                </c:pt>
              </c:strCache>
            </c:strRef>
          </c:tx>
          <c:xVal>
            <c:numRef>
              <c:f>'1994 E Maize Graphs'!$AK$214:$AK$225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0A1A-443E-941E-46B06A36462B}"/>
            </c:ext>
          </c:extLst>
        </c:ser>
        <c:ser>
          <c:idx val="18"/>
          <c:order val="17"/>
          <c:tx>
            <c:strRef>
              <c:f>'1994 E Maize Graphs'!$Z$227</c:f>
              <c:strCache>
                <c:ptCount val="1"/>
                <c:pt idx="0">
                  <c:v>0</c:v>
                </c:pt>
              </c:strCache>
            </c:strRef>
          </c:tx>
          <c:xVal>
            <c:numRef>
              <c:f>'1994 E Maize Graphs'!$AK$227:$AK$238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0A1A-443E-941E-46B06A36462B}"/>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0A1A-443E-941E-46B06A36462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Graphs'!$AL$6:$AL$17</c:f>
              <c:numCache>
                <c:formatCode>General</c:formatCode>
                <c:ptCount val="12"/>
                <c:pt idx="0">
                  <c:v>0.27247789938905798</c:v>
                </c:pt>
                <c:pt idx="1">
                  <c:v>0.26908251798183747</c:v>
                </c:pt>
                <c:pt idx="2">
                  <c:v>0.28886344192462821</c:v>
                </c:pt>
                <c:pt idx="3">
                  <c:v>0.26511988989557811</c:v>
                </c:pt>
                <c:pt idx="4">
                  <c:v>0.24743303770568875</c:v>
                </c:pt>
                <c:pt idx="5">
                  <c:v>0.25097685144136783</c:v>
                </c:pt>
                <c:pt idx="6">
                  <c:v>0.24324216495434636</c:v>
                </c:pt>
                <c:pt idx="7">
                  <c:v>0.27729990648058789</c:v>
                </c:pt>
                <c:pt idx="8">
                  <c:v>0.26215727004676714</c:v>
                </c:pt>
                <c:pt idx="9">
                  <c:v>0.26418859932447475</c:v>
                </c:pt>
                <c:pt idx="10">
                  <c:v>0.26811935338133769</c:v>
                </c:pt>
                <c:pt idx="11">
                  <c:v>0.26139222395516293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0E4F-446D-9BC6-FD95A52A71DD}"/>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Graphs'!$AL$19:$AL$30</c:f>
              <c:numCache>
                <c:formatCode>General</c:formatCode>
                <c:ptCount val="12"/>
                <c:pt idx="0">
                  <c:v>0.25776838811298347</c:v>
                </c:pt>
                <c:pt idx="1">
                  <c:v>0.27085442484967703</c:v>
                </c:pt>
                <c:pt idx="2">
                  <c:v>0.29566112099943082</c:v>
                </c:pt>
                <c:pt idx="3">
                  <c:v>0.26431447768292377</c:v>
                </c:pt>
                <c:pt idx="4">
                  <c:v>0.25084798548734316</c:v>
                </c:pt>
                <c:pt idx="5">
                  <c:v>0.25178226365402218</c:v>
                </c:pt>
                <c:pt idx="6">
                  <c:v>0.24094702667953383</c:v>
                </c:pt>
                <c:pt idx="7">
                  <c:v>0.27621828959245787</c:v>
                </c:pt>
                <c:pt idx="8">
                  <c:v>0.26442602742186916</c:v>
                </c:pt>
                <c:pt idx="9">
                  <c:v>0.26223641274589854</c:v>
                </c:pt>
                <c:pt idx="10">
                  <c:v>0.26476897911810554</c:v>
                </c:pt>
                <c:pt idx="11">
                  <c:v>0.25785718339395736</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0E4F-446D-9BC6-FD95A52A71DD}"/>
            </c:ext>
          </c:extLst>
        </c:ser>
        <c:ser>
          <c:idx val="0"/>
          <c:order val="2"/>
          <c:tx>
            <c:strRef>
              <c:f>'1994 E Maize Graphs'!$Z$32</c:f>
              <c:strCache>
                <c:ptCount val="1"/>
                <c:pt idx="0">
                  <c:v>153</c:v>
                </c:pt>
              </c:strCache>
            </c:strRef>
          </c:tx>
          <c:xVal>
            <c:numRef>
              <c:f>'1994 E Maize Graphs'!$AL$32:$AL$43</c:f>
              <c:numCache>
                <c:formatCode>General</c:formatCode>
                <c:ptCount val="12"/>
                <c:pt idx="0">
                  <c:v>0.24494687924207559</c:v>
                </c:pt>
                <c:pt idx="1">
                  <c:v>0.2681804563036646</c:v>
                </c:pt>
                <c:pt idx="2">
                  <c:v>0.29040983337292453</c:v>
                </c:pt>
                <c:pt idx="3">
                  <c:v>0.26769720897607208</c:v>
                </c:pt>
                <c:pt idx="4">
                  <c:v>0.24769076961373809</c:v>
                </c:pt>
                <c:pt idx="5">
                  <c:v>0.25065468655630613</c:v>
                </c:pt>
                <c:pt idx="6">
                  <c:v>0.24332130765347781</c:v>
                </c:pt>
                <c:pt idx="7">
                  <c:v>0.27861895146611237</c:v>
                </c:pt>
                <c:pt idx="8">
                  <c:v>0.26561316790884121</c:v>
                </c:pt>
                <c:pt idx="9">
                  <c:v>0.26252660264271394</c:v>
                </c:pt>
                <c:pt idx="10">
                  <c:v>0.26479536001781601</c:v>
                </c:pt>
                <c:pt idx="11">
                  <c:v>0.25933451377774475</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0E4F-446D-9BC6-FD95A52A71DD}"/>
            </c:ext>
          </c:extLst>
        </c:ser>
        <c:ser>
          <c:idx val="1"/>
          <c:order val="3"/>
          <c:tx>
            <c:strRef>
              <c:f>'1994 E Maize Graphs'!$Z$45</c:f>
              <c:strCache>
                <c:ptCount val="1"/>
                <c:pt idx="0">
                  <c:v>166</c:v>
                </c:pt>
              </c:strCache>
            </c:strRef>
          </c:tx>
          <c:marker>
            <c:symbol val="square"/>
            <c:size val="5"/>
          </c:marker>
          <c:xVal>
            <c:numRef>
              <c:f>'1994 E Maize Graphs'!$AL$45:$AL$56</c:f>
              <c:numCache>
                <c:formatCode>General</c:formatCode>
                <c:ptCount val="12"/>
                <c:pt idx="0">
                  <c:v>0.28228424023977428</c:v>
                </c:pt>
                <c:pt idx="1">
                  <c:v>0.24991370732066415</c:v>
                </c:pt>
                <c:pt idx="2">
                  <c:v>0.28863792650508496</c:v>
                </c:pt>
                <c:pt idx="3">
                  <c:v>0.26856705416573873</c:v>
                </c:pt>
                <c:pt idx="4">
                  <c:v>0.24701422335510848</c:v>
                </c:pt>
                <c:pt idx="5">
                  <c:v>0.25551937632073835</c:v>
                </c:pt>
                <c:pt idx="6">
                  <c:v>0.24221330986563727</c:v>
                </c:pt>
                <c:pt idx="7">
                  <c:v>0.27801219077277112</c:v>
                </c:pt>
                <c:pt idx="8">
                  <c:v>0.2619462228490832</c:v>
                </c:pt>
                <c:pt idx="9">
                  <c:v>0.26223641274589854</c:v>
                </c:pt>
                <c:pt idx="10">
                  <c:v>0.26484812181723699</c:v>
                </c:pt>
                <c:pt idx="11">
                  <c:v>0.25775165979511544</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0E4F-446D-9BC6-FD95A52A71DD}"/>
            </c:ext>
          </c:extLst>
        </c:ser>
        <c:ser>
          <c:idx val="2"/>
          <c:order val="4"/>
          <c:tx>
            <c:strRef>
              <c:f>'1994 E Maize Graphs'!$Z$58</c:f>
              <c:strCache>
                <c:ptCount val="1"/>
                <c:pt idx="0">
                  <c:v>180</c:v>
                </c:pt>
              </c:strCache>
            </c:strRef>
          </c:tx>
          <c:marker>
            <c:spPr>
              <a:solidFill>
                <a:srgbClr val="00B050"/>
              </a:solidFill>
            </c:spPr>
          </c:marker>
          <c:xVal>
            <c:numRef>
              <c:f>'1994 E Maize Graphs'!$AL$58:$AL$69</c:f>
              <c:numCache>
                <c:formatCode>General</c:formatCode>
                <c:ptCount val="12"/>
                <c:pt idx="0">
                  <c:v>0.27690202442803052</c:v>
                </c:pt>
                <c:pt idx="1">
                  <c:v>0.24327711068839231</c:v>
                </c:pt>
                <c:pt idx="2">
                  <c:v>0.27385055828075122</c:v>
                </c:pt>
                <c:pt idx="3">
                  <c:v>0.26663406485536828</c:v>
                </c:pt>
                <c:pt idx="4">
                  <c:v>0.2543917992230223</c:v>
                </c:pt>
                <c:pt idx="5">
                  <c:v>0.25191112960804685</c:v>
                </c:pt>
                <c:pt idx="6">
                  <c:v>0.24068321768242895</c:v>
                </c:pt>
                <c:pt idx="7">
                  <c:v>0.2792520930591641</c:v>
                </c:pt>
                <c:pt idx="8">
                  <c:v>0.26255298354242446</c:v>
                </c:pt>
                <c:pt idx="9">
                  <c:v>0.26123393855689997</c:v>
                </c:pt>
                <c:pt idx="10">
                  <c:v>0.2654548825105783</c:v>
                </c:pt>
                <c:pt idx="11">
                  <c:v>0.25893880028208743</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0E4F-446D-9BC6-FD95A52A71DD}"/>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Graphs'!$AL$71:$AL$82</c:f>
              <c:numCache>
                <c:formatCode>General</c:formatCode>
                <c:ptCount val="12"/>
                <c:pt idx="0">
                  <c:v>0.31984703436047807</c:v>
                </c:pt>
                <c:pt idx="1">
                  <c:v>0.31241369502264116</c:v>
                </c:pt>
                <c:pt idx="2">
                  <c:v>0.30046137778685073</c:v>
                </c:pt>
                <c:pt idx="3">
                  <c:v>0.26905030149333137</c:v>
                </c:pt>
                <c:pt idx="4">
                  <c:v>0.25329643861381235</c:v>
                </c:pt>
                <c:pt idx="5">
                  <c:v>0.25861215921733105</c:v>
                </c:pt>
                <c:pt idx="6">
                  <c:v>0.24450844814044986</c:v>
                </c:pt>
                <c:pt idx="7">
                  <c:v>0.27698333568406203</c:v>
                </c:pt>
                <c:pt idx="8">
                  <c:v>0.26189346104966221</c:v>
                </c:pt>
                <c:pt idx="9">
                  <c:v>0.26218365094647761</c:v>
                </c:pt>
                <c:pt idx="10">
                  <c:v>0.26476897911810554</c:v>
                </c:pt>
                <c:pt idx="11">
                  <c:v>0.25812099239106229</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0E4F-446D-9BC6-FD95A52A71DD}"/>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Graphs'!$AL$84:$AL$95</c:f>
              <c:numCache>
                <c:formatCode>General</c:formatCode>
                <c:ptCount val="12"/>
                <c:pt idx="0">
                  <c:v>0.32813170163091082</c:v>
                </c:pt>
                <c:pt idx="1">
                  <c:v>0.31808379699972777</c:v>
                </c:pt>
                <c:pt idx="2">
                  <c:v>0.3140245194479499</c:v>
                </c:pt>
                <c:pt idx="3">
                  <c:v>0.28815467917749232</c:v>
                </c:pt>
                <c:pt idx="4">
                  <c:v>0.25426293326899757</c:v>
                </c:pt>
                <c:pt idx="5">
                  <c:v>0.25236216044713333</c:v>
                </c:pt>
                <c:pt idx="6">
                  <c:v>0.24669806281642043</c:v>
                </c:pt>
                <c:pt idx="7">
                  <c:v>0.27719438288174597</c:v>
                </c:pt>
                <c:pt idx="8">
                  <c:v>0.26471621731868455</c:v>
                </c:pt>
                <c:pt idx="9">
                  <c:v>0.26305422063692374</c:v>
                </c:pt>
                <c:pt idx="10">
                  <c:v>0.26432050382302724</c:v>
                </c:pt>
                <c:pt idx="11">
                  <c:v>0.26123393855689997</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0E4F-446D-9BC6-FD95A52A71DD}"/>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Graphs'!$AL$97:$AL$108</c:f>
              <c:numCache>
                <c:formatCode>General</c:formatCode>
                <c:ptCount val="12"/>
                <c:pt idx="0">
                  <c:v>0.29606383988345331</c:v>
                </c:pt>
                <c:pt idx="1">
                  <c:v>0.23258123650434265</c:v>
                </c:pt>
                <c:pt idx="2">
                  <c:v>0.28734926696483803</c:v>
                </c:pt>
                <c:pt idx="3">
                  <c:v>0.28093818575210944</c:v>
                </c:pt>
                <c:pt idx="4">
                  <c:v>0.27910184590725751</c:v>
                </c:pt>
                <c:pt idx="5">
                  <c:v>0.25680803586098527</c:v>
                </c:pt>
                <c:pt idx="6">
                  <c:v>0.24872939209412809</c:v>
                </c:pt>
                <c:pt idx="7">
                  <c:v>0.27959504475540048</c:v>
                </c:pt>
                <c:pt idx="8">
                  <c:v>0.26664202299755024</c:v>
                </c:pt>
                <c:pt idx="9">
                  <c:v>0.26476897911810554</c:v>
                </c:pt>
                <c:pt idx="10">
                  <c:v>0.26585059600623556</c:v>
                </c:pt>
                <c:pt idx="11">
                  <c:v>0.25930813287803428</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0E4F-446D-9BC6-FD95A52A71DD}"/>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Graphs'!$AL$110:$AL$121</c:f>
              <c:numCache>
                <c:formatCode>General</c:formatCode>
                <c:ptCount val="12"/>
                <c:pt idx="0">
                  <c:v>0.24908921287729197</c:v>
                </c:pt>
                <c:pt idx="1">
                  <c:v>0.23193690673421913</c:v>
                </c:pt>
                <c:pt idx="2">
                  <c:v>0.25419850029198526</c:v>
                </c:pt>
                <c:pt idx="3">
                  <c:v>0.24366370855046637</c:v>
                </c:pt>
                <c:pt idx="4">
                  <c:v>0.25255545937817037</c:v>
                </c:pt>
                <c:pt idx="5">
                  <c:v>0.25664695341845445</c:v>
                </c:pt>
                <c:pt idx="6">
                  <c:v>0.25007481797936304</c:v>
                </c:pt>
                <c:pt idx="7">
                  <c:v>0.28415894040531509</c:v>
                </c:pt>
                <c:pt idx="8">
                  <c:v>0.26302783973721328</c:v>
                </c:pt>
                <c:pt idx="9">
                  <c:v>0.26943839836686212</c:v>
                </c:pt>
                <c:pt idx="10">
                  <c:v>0.26840954327815308</c:v>
                </c:pt>
                <c:pt idx="11">
                  <c:v>0.2612075576571895</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0E4F-446D-9BC6-FD95A52A71DD}"/>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Graphs'!$AL$123:$AL$134</c:f>
              <c:numCache>
                <c:formatCode>General</c:formatCode>
                <c:ptCount val="12"/>
                <c:pt idx="0">
                  <c:v>0.30350313294261744</c:v>
                </c:pt>
                <c:pt idx="1">
                  <c:v>0.24578999679187385</c:v>
                </c:pt>
                <c:pt idx="2">
                  <c:v>0.24279386336079972</c:v>
                </c:pt>
                <c:pt idx="3">
                  <c:v>0.23312891680894759</c:v>
                </c:pt>
                <c:pt idx="4">
                  <c:v>0.24292272931482439</c:v>
                </c:pt>
                <c:pt idx="5">
                  <c:v>0.25545494334372598</c:v>
                </c:pt>
                <c:pt idx="6">
                  <c:v>0.24640787291960509</c:v>
                </c:pt>
                <c:pt idx="7">
                  <c:v>0.28057113804468858</c:v>
                </c:pt>
                <c:pt idx="8">
                  <c:v>0.26653649939870833</c:v>
                </c:pt>
                <c:pt idx="9">
                  <c:v>0.26268488804097689</c:v>
                </c:pt>
                <c:pt idx="10">
                  <c:v>0.26540212071115732</c:v>
                </c:pt>
                <c:pt idx="11">
                  <c:v>0.25809461149135177</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0E4F-446D-9BC6-FD95A52A71DD}"/>
            </c:ext>
          </c:extLst>
        </c:ser>
        <c:ser>
          <c:idx val="10"/>
          <c:order val="10"/>
          <c:tx>
            <c:strRef>
              <c:f>'1994 E Maize Graphs'!$Z$136</c:f>
              <c:strCache>
                <c:ptCount val="1"/>
                <c:pt idx="0">
                  <c:v>0</c:v>
                </c:pt>
              </c:strCache>
            </c:strRef>
          </c:tx>
          <c:xVal>
            <c:numRef>
              <c:f>'1994 E Maize Graphs'!$AL$136:$AL$147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0E4F-446D-9BC6-FD95A52A71DD}"/>
            </c:ext>
          </c:extLst>
        </c:ser>
        <c:ser>
          <c:idx val="11"/>
          <c:order val="11"/>
          <c:tx>
            <c:strRef>
              <c:f>'1994 E Maize Graphs'!$Z$149</c:f>
              <c:strCache>
                <c:ptCount val="1"/>
                <c:pt idx="0">
                  <c:v>0</c:v>
                </c:pt>
              </c:strCache>
            </c:strRef>
          </c:tx>
          <c:xVal>
            <c:numRef>
              <c:f>'1994 E Maize Graphs'!$AL$149:$AL$160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0E4F-446D-9BC6-FD95A52A71DD}"/>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Graphs'!$AL$162:$AL$173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0E4F-446D-9BC6-FD95A52A71DD}"/>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Graphs'!$AL$175:$AL$186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0E4F-446D-9BC6-FD95A52A71DD}"/>
            </c:ext>
          </c:extLst>
        </c:ser>
        <c:ser>
          <c:idx val="14"/>
          <c:order val="14"/>
          <c:tx>
            <c:strRef>
              <c:f>'1994 E Maize Graphs'!$Z$188</c:f>
              <c:strCache>
                <c:ptCount val="1"/>
                <c:pt idx="0">
                  <c:v>0</c:v>
                </c:pt>
              </c:strCache>
            </c:strRef>
          </c:tx>
          <c:xVal>
            <c:numRef>
              <c:f>'1994 E Maize Graphs'!$AL$188:$AL$199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0E4F-446D-9BC6-FD95A52A71DD}"/>
            </c:ext>
          </c:extLst>
        </c:ser>
        <c:ser>
          <c:idx val="16"/>
          <c:order val="15"/>
          <c:tx>
            <c:strRef>
              <c:f>'1994 E Maize Graphs'!$Z$201</c:f>
              <c:strCache>
                <c:ptCount val="1"/>
                <c:pt idx="0">
                  <c:v>0</c:v>
                </c:pt>
              </c:strCache>
            </c:strRef>
          </c:tx>
          <c:xVal>
            <c:numRef>
              <c:f>'1994 E Maize Graphs'!$AL$201:$AL$212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0E4F-446D-9BC6-FD95A52A71DD}"/>
            </c:ext>
          </c:extLst>
        </c:ser>
        <c:ser>
          <c:idx val="17"/>
          <c:order val="16"/>
          <c:tx>
            <c:strRef>
              <c:f>'1994 E Maize Graphs'!$Z$214</c:f>
              <c:strCache>
                <c:ptCount val="1"/>
                <c:pt idx="0">
                  <c:v>0</c:v>
                </c:pt>
              </c:strCache>
            </c:strRef>
          </c:tx>
          <c:xVal>
            <c:numRef>
              <c:f>'1994 E Maize Graphs'!$AL$214:$AL$225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0E4F-446D-9BC6-FD95A52A71DD}"/>
            </c:ext>
          </c:extLst>
        </c:ser>
        <c:ser>
          <c:idx val="18"/>
          <c:order val="17"/>
          <c:tx>
            <c:strRef>
              <c:f>'1994 E Maize Graphs'!$Z$227</c:f>
              <c:strCache>
                <c:ptCount val="1"/>
                <c:pt idx="0">
                  <c:v>0</c:v>
                </c:pt>
              </c:strCache>
            </c:strRef>
          </c:tx>
          <c:xVal>
            <c:numRef>
              <c:f>'1994 E Maize Graphs'!$AL$227:$AL$238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0E4F-446D-9BC6-FD95A52A71DD}"/>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0E4F-446D-9BC6-FD95A52A71DD}"/>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5296371158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Graphs'!$AM$6:$AM$17</c:f>
              <c:numCache>
                <c:formatCode>General</c:formatCode>
                <c:ptCount val="12"/>
                <c:pt idx="0">
                  <c:v>0.26943455222849083</c:v>
                </c:pt>
                <c:pt idx="1">
                  <c:v>0.29936601717764083</c:v>
                </c:pt>
                <c:pt idx="2">
                  <c:v>0.27249746576349193</c:v>
                </c:pt>
                <c:pt idx="3">
                  <c:v>0.27600906301066486</c:v>
                </c:pt>
                <c:pt idx="4">
                  <c:v>0.27307736255660309</c:v>
                </c:pt>
                <c:pt idx="5">
                  <c:v>0.27114437324623264</c:v>
                </c:pt>
                <c:pt idx="6">
                  <c:v>0.26608802410362997</c:v>
                </c:pt>
                <c:pt idx="7">
                  <c:v>0.29431558679385345</c:v>
                </c:pt>
                <c:pt idx="8">
                  <c:v>0.26730154549031249</c:v>
                </c:pt>
                <c:pt idx="9">
                  <c:v>0.2849239864969193</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FB2-4580-995F-FF5EBBEC3E8D}"/>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Graphs'!$AM$19:$AM$30</c:f>
              <c:numCache>
                <c:formatCode>General</c:formatCode>
                <c:ptCount val="12"/>
                <c:pt idx="0">
                  <c:v>0.25790928381486156</c:v>
                </c:pt>
                <c:pt idx="1">
                  <c:v>0.29936601717764083</c:v>
                </c:pt>
                <c:pt idx="2">
                  <c:v>0.27417272316581293</c:v>
                </c:pt>
                <c:pt idx="3">
                  <c:v>0.27778096987850442</c:v>
                </c:pt>
                <c:pt idx="4">
                  <c:v>0.27227195034394869</c:v>
                </c:pt>
                <c:pt idx="5">
                  <c:v>0.27855416560265256</c:v>
                </c:pt>
                <c:pt idx="6">
                  <c:v>0.26954392196570409</c:v>
                </c:pt>
                <c:pt idx="7">
                  <c:v>0.29302292270803942</c:v>
                </c:pt>
                <c:pt idx="8">
                  <c:v>0.27139058494543833</c:v>
                </c:pt>
                <c:pt idx="9">
                  <c:v>0.2841061786058941</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FB2-4580-995F-FF5EBBEC3E8D}"/>
            </c:ext>
          </c:extLst>
        </c:ser>
        <c:ser>
          <c:idx val="0"/>
          <c:order val="2"/>
          <c:tx>
            <c:strRef>
              <c:f>'1994 E Maize Graphs'!$Z$32</c:f>
              <c:strCache>
                <c:ptCount val="1"/>
                <c:pt idx="0">
                  <c:v>153</c:v>
                </c:pt>
              </c:strCache>
            </c:strRef>
          </c:tx>
          <c:xVal>
            <c:numRef>
              <c:f>'1994 E Maize Graphs'!$AM$32:$AM$43</c:f>
              <c:numCache>
                <c:formatCode>General</c:formatCode>
                <c:ptCount val="12"/>
                <c:pt idx="0">
                  <c:v>0.23060369679088411</c:v>
                </c:pt>
                <c:pt idx="1">
                  <c:v>0.30677580953406081</c:v>
                </c:pt>
                <c:pt idx="2">
                  <c:v>0.27323844499913391</c:v>
                </c:pt>
                <c:pt idx="3">
                  <c:v>0.27758767094746734</c:v>
                </c:pt>
                <c:pt idx="4">
                  <c:v>0.27472040347041787</c:v>
                </c:pt>
                <c:pt idx="5">
                  <c:v>0.27997169109692421</c:v>
                </c:pt>
                <c:pt idx="6">
                  <c:v>0.26645735669957687</c:v>
                </c:pt>
                <c:pt idx="7">
                  <c:v>0.29800891275332192</c:v>
                </c:pt>
                <c:pt idx="8">
                  <c:v>0.26698497469378663</c:v>
                </c:pt>
                <c:pt idx="9">
                  <c:v>0.2817846594313711</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FB2-4580-995F-FF5EBBEC3E8D}"/>
            </c:ext>
          </c:extLst>
        </c:ser>
        <c:ser>
          <c:idx val="1"/>
          <c:order val="3"/>
          <c:tx>
            <c:strRef>
              <c:f>'1994 E Maize Graphs'!$Z$45</c:f>
              <c:strCache>
                <c:ptCount val="1"/>
                <c:pt idx="0">
                  <c:v>166</c:v>
                </c:pt>
              </c:strCache>
            </c:strRef>
          </c:tx>
          <c:marker>
            <c:symbol val="square"/>
            <c:size val="5"/>
          </c:marker>
          <c:xVal>
            <c:numRef>
              <c:f>'1994 E Maize Graphs'!$AM$45:$AM$56</c:f>
              <c:numCache>
                <c:formatCode>General</c:formatCode>
                <c:ptCount val="12"/>
                <c:pt idx="0">
                  <c:v>0.26887096942097838</c:v>
                </c:pt>
                <c:pt idx="1">
                  <c:v>0.29972039855120874</c:v>
                </c:pt>
                <c:pt idx="2">
                  <c:v>0.27861859857966492</c:v>
                </c:pt>
                <c:pt idx="3">
                  <c:v>0.28370880376364038</c:v>
                </c:pt>
                <c:pt idx="4">
                  <c:v>0.275107001332492</c:v>
                </c:pt>
                <c:pt idx="5">
                  <c:v>0.27852194911414641</c:v>
                </c:pt>
                <c:pt idx="6">
                  <c:v>0.27017706355875581</c:v>
                </c:pt>
                <c:pt idx="7">
                  <c:v>0.2949223474871947</c:v>
                </c:pt>
                <c:pt idx="8">
                  <c:v>0.26672116569668175</c:v>
                </c:pt>
                <c:pt idx="9">
                  <c:v>0.27930485485858508</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FB2-4580-995F-FF5EBBEC3E8D}"/>
            </c:ext>
          </c:extLst>
        </c:ser>
        <c:ser>
          <c:idx val="2"/>
          <c:order val="4"/>
          <c:tx>
            <c:strRef>
              <c:f>'1994 E Maize Graphs'!$Z$58</c:f>
              <c:strCache>
                <c:ptCount val="1"/>
                <c:pt idx="0">
                  <c:v>180</c:v>
                </c:pt>
              </c:strCache>
            </c:strRef>
          </c:tx>
          <c:marker>
            <c:spPr>
              <a:solidFill>
                <a:srgbClr val="00B050"/>
              </a:solidFill>
            </c:spPr>
          </c:marker>
          <c:xVal>
            <c:numRef>
              <c:f>'1994 E Maize Graphs'!$AM$58:$AM$69</c:f>
              <c:numCache>
                <c:formatCode>General</c:formatCode>
                <c:ptCount val="12"/>
                <c:pt idx="0">
                  <c:v>0.30984343952713234</c:v>
                </c:pt>
                <c:pt idx="1">
                  <c:v>0.29459797687872713</c:v>
                </c:pt>
                <c:pt idx="2">
                  <c:v>0.28499746330388737</c:v>
                </c:pt>
                <c:pt idx="3">
                  <c:v>0.27910184590725751</c:v>
                </c:pt>
                <c:pt idx="4">
                  <c:v>0.27774875338999822</c:v>
                </c:pt>
                <c:pt idx="5">
                  <c:v>0.27861859857966492</c:v>
                </c:pt>
                <c:pt idx="6">
                  <c:v>0.26450517012100067</c:v>
                </c:pt>
                <c:pt idx="7">
                  <c:v>0.30106909711973867</c:v>
                </c:pt>
                <c:pt idx="8">
                  <c:v>0.27154887034370123</c:v>
                </c:pt>
                <c:pt idx="9">
                  <c:v>0.28735102927028427</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FB2-4580-995F-FF5EBBEC3E8D}"/>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Graphs'!$AM$71:$AM$82</c:f>
              <c:numCache>
                <c:formatCode>General</c:formatCode>
                <c:ptCount val="12"/>
                <c:pt idx="0">
                  <c:v>0.33233039354687843</c:v>
                </c:pt>
                <c:pt idx="1">
                  <c:v>0.33145363972978992</c:v>
                </c:pt>
                <c:pt idx="2">
                  <c:v>0.31044848922376461</c:v>
                </c:pt>
                <c:pt idx="3">
                  <c:v>0.27088664133818324</c:v>
                </c:pt>
                <c:pt idx="4">
                  <c:v>0.27252968225199808</c:v>
                </c:pt>
                <c:pt idx="5">
                  <c:v>0.27723328957389948</c:v>
                </c:pt>
                <c:pt idx="6">
                  <c:v>0.26658926119812931</c:v>
                </c:pt>
                <c:pt idx="7">
                  <c:v>0.29858929254695271</c:v>
                </c:pt>
                <c:pt idx="8">
                  <c:v>0.27774838177566624</c:v>
                </c:pt>
                <c:pt idx="9">
                  <c:v>0.29067502263380596</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FB2-4580-995F-FF5EBBEC3E8D}"/>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Graphs'!$AM$84:$AM$95</c:f>
              <c:numCache>
                <c:formatCode>General</c:formatCode>
                <c:ptCount val="12"/>
                <c:pt idx="0">
                  <c:v>0.3345283664961769</c:v>
                </c:pt>
                <c:pt idx="1">
                  <c:v>0.32948843393091332</c:v>
                </c:pt>
                <c:pt idx="2">
                  <c:v>0.32078998203424636</c:v>
                </c:pt>
                <c:pt idx="3">
                  <c:v>0.30809668556281394</c:v>
                </c:pt>
                <c:pt idx="4">
                  <c:v>0.29997813045925814</c:v>
                </c:pt>
                <c:pt idx="5">
                  <c:v>0.29459797687872713</c:v>
                </c:pt>
                <c:pt idx="6">
                  <c:v>0.27711524018261452</c:v>
                </c:pt>
                <c:pt idx="7">
                  <c:v>0.3073741321505456</c:v>
                </c:pt>
                <c:pt idx="8">
                  <c:v>0.28621665058273321</c:v>
                </c:pt>
                <c:pt idx="9">
                  <c:v>0.29795615095390093</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FB2-4580-995F-FF5EBBEC3E8D}"/>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Graphs'!$AM$97:$AM$108</c:f>
              <c:numCache>
                <c:formatCode>General</c:formatCode>
                <c:ptCount val="12"/>
                <c:pt idx="0">
                  <c:v>0.28625749903273695</c:v>
                </c:pt>
                <c:pt idx="1">
                  <c:v>0.22136989850419414</c:v>
                </c:pt>
                <c:pt idx="2">
                  <c:v>0.28180803094177609</c:v>
                </c:pt>
                <c:pt idx="3">
                  <c:v>0.28490081383836879</c:v>
                </c:pt>
                <c:pt idx="4">
                  <c:v>0.29772297626382599</c:v>
                </c:pt>
                <c:pt idx="5">
                  <c:v>0.29562890451092472</c:v>
                </c:pt>
                <c:pt idx="6">
                  <c:v>0.27347467602256698</c:v>
                </c:pt>
                <c:pt idx="7">
                  <c:v>0.31022326931927841</c:v>
                </c:pt>
                <c:pt idx="8">
                  <c:v>0.29745491385940165</c:v>
                </c:pt>
                <c:pt idx="9">
                  <c:v>0.30531642197312742</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FB2-4580-995F-FF5EBBEC3E8D}"/>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Graphs'!$AM$110:$AM$121</c:f>
              <c:numCache>
                <c:formatCode>General</c:formatCode>
                <c:ptCount val="12"/>
                <c:pt idx="0">
                  <c:v>0.24596132829559797</c:v>
                </c:pt>
                <c:pt idx="1">
                  <c:v>0.25252324288966416</c:v>
                </c:pt>
                <c:pt idx="2">
                  <c:v>0.24736860472867639</c:v>
                </c:pt>
                <c:pt idx="3">
                  <c:v>0.23770365817682426</c:v>
                </c:pt>
                <c:pt idx="4">
                  <c:v>0.25294205724024443</c:v>
                </c:pt>
                <c:pt idx="5">
                  <c:v>0.27858638209115877</c:v>
                </c:pt>
                <c:pt idx="6">
                  <c:v>0.268515066876995</c:v>
                </c:pt>
                <c:pt idx="7">
                  <c:v>0.3066354669586519</c:v>
                </c:pt>
                <c:pt idx="8">
                  <c:v>0.29049035633583253</c:v>
                </c:pt>
                <c:pt idx="9">
                  <c:v>0.30333785449484074</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FB2-4580-995F-FF5EBBEC3E8D}"/>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Graphs'!$AM$123:$AM$134</c:f>
              <c:numCache>
                <c:formatCode>General</c:formatCode>
                <c:ptCount val="12"/>
                <c:pt idx="0">
                  <c:v>0.33055510770321428</c:v>
                </c:pt>
                <c:pt idx="1">
                  <c:v>0.25700133479202236</c:v>
                </c:pt>
                <c:pt idx="2">
                  <c:v>0.24698200686660232</c:v>
                </c:pt>
                <c:pt idx="3">
                  <c:v>0.23019721635488577</c:v>
                </c:pt>
                <c:pt idx="4">
                  <c:v>0.24881834671145425</c:v>
                </c:pt>
                <c:pt idx="5">
                  <c:v>0.27623457843020804</c:v>
                </c:pt>
                <c:pt idx="6">
                  <c:v>0.2683567814787321</c:v>
                </c:pt>
                <c:pt idx="7">
                  <c:v>0.30761156024794001</c:v>
                </c:pt>
                <c:pt idx="8">
                  <c:v>0.28750931466854723</c:v>
                </c:pt>
                <c:pt idx="9">
                  <c:v>0.3000666229307401</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FB2-4580-995F-FF5EBBEC3E8D}"/>
            </c:ext>
          </c:extLst>
        </c:ser>
        <c:ser>
          <c:idx val="10"/>
          <c:order val="10"/>
          <c:tx>
            <c:strRef>
              <c:f>'1994 E Maize Graphs'!$Z$136</c:f>
              <c:strCache>
                <c:ptCount val="1"/>
                <c:pt idx="0">
                  <c:v>0</c:v>
                </c:pt>
              </c:strCache>
            </c:strRef>
          </c:tx>
          <c:xVal>
            <c:numRef>
              <c:f>'1994 E Maize Graphs'!$AM$136:$AM$147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FB2-4580-995F-FF5EBBEC3E8D}"/>
            </c:ext>
          </c:extLst>
        </c:ser>
        <c:ser>
          <c:idx val="11"/>
          <c:order val="11"/>
          <c:tx>
            <c:strRef>
              <c:f>'1994 E Maize Graphs'!$Z$149</c:f>
              <c:strCache>
                <c:ptCount val="1"/>
                <c:pt idx="0">
                  <c:v>0</c:v>
                </c:pt>
              </c:strCache>
            </c:strRef>
          </c:tx>
          <c:xVal>
            <c:numRef>
              <c:f>'1994 E Maize Graphs'!$AM$149:$AM$160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FB2-4580-995F-FF5EBBEC3E8D}"/>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Graphs'!$AM$162:$AM$173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FB2-4580-995F-FF5EBBEC3E8D}"/>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Graphs'!$AM$175:$AM$186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FB2-4580-995F-FF5EBBEC3E8D}"/>
            </c:ext>
          </c:extLst>
        </c:ser>
        <c:ser>
          <c:idx val="14"/>
          <c:order val="14"/>
          <c:tx>
            <c:strRef>
              <c:f>'1994 E Maize Graphs'!$Z$188</c:f>
              <c:strCache>
                <c:ptCount val="1"/>
                <c:pt idx="0">
                  <c:v>0</c:v>
                </c:pt>
              </c:strCache>
            </c:strRef>
          </c:tx>
          <c:xVal>
            <c:numRef>
              <c:f>'1994 E Maize Graphs'!$AM$188:$AM$199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FB2-4580-995F-FF5EBBEC3E8D}"/>
            </c:ext>
          </c:extLst>
        </c:ser>
        <c:ser>
          <c:idx val="16"/>
          <c:order val="15"/>
          <c:tx>
            <c:strRef>
              <c:f>'1994 E Maize Graphs'!$Z$201</c:f>
              <c:strCache>
                <c:ptCount val="1"/>
                <c:pt idx="0">
                  <c:v>0</c:v>
                </c:pt>
              </c:strCache>
            </c:strRef>
          </c:tx>
          <c:xVal>
            <c:numRef>
              <c:f>'1994 E Maize Graphs'!$AM$201:$AM$212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FB2-4580-995F-FF5EBBEC3E8D}"/>
            </c:ext>
          </c:extLst>
        </c:ser>
        <c:ser>
          <c:idx val="17"/>
          <c:order val="16"/>
          <c:tx>
            <c:strRef>
              <c:f>'1994 E Maize Graphs'!$Z$214</c:f>
              <c:strCache>
                <c:ptCount val="1"/>
                <c:pt idx="0">
                  <c:v>0</c:v>
                </c:pt>
              </c:strCache>
            </c:strRef>
          </c:tx>
          <c:xVal>
            <c:numRef>
              <c:f>'1994 E Maize Graphs'!$AM$214:$AM$225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FB2-4580-995F-FF5EBBEC3E8D}"/>
            </c:ext>
          </c:extLst>
        </c:ser>
        <c:ser>
          <c:idx val="18"/>
          <c:order val="17"/>
          <c:tx>
            <c:strRef>
              <c:f>'1994 E Maize Graphs'!$Z$227</c:f>
              <c:strCache>
                <c:ptCount val="1"/>
                <c:pt idx="0">
                  <c:v>0</c:v>
                </c:pt>
              </c:strCache>
            </c:strRef>
          </c:tx>
          <c:xVal>
            <c:numRef>
              <c:f>'1994 E Maize Graphs'!$AM$227:$AM$238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FB2-4580-995F-FF5EBBEC3E8D}"/>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FFB2-4580-995F-FF5EBBEC3E8D}"/>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11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'1994 E Maize Graphs'!$Z$6</c:f>
              <c:strCache>
                <c:ptCount val="1"/>
                <c:pt idx="0">
                  <c:v>126</c:v>
                </c:pt>
              </c:strCache>
            </c:strRef>
          </c:tx>
          <c:spPr>
            <a:ln>
              <a:solidFill>
                <a:srgbClr val="FF0000"/>
              </a:solidFill>
            </a:ln>
          </c:spPr>
          <c:marker>
            <c:symbol val="triangle"/>
            <c:size val="8"/>
            <c:spPr>
              <a:solidFill>
                <a:srgbClr val="FFFF00"/>
              </a:solidFill>
              <a:ln>
                <a:solidFill>
                  <a:srgbClr val="FF0000"/>
                </a:solidFill>
              </a:ln>
            </c:spPr>
          </c:marker>
          <c:xVal>
            <c:numRef>
              <c:f>'1994 E Maize Graphs'!$AN$6:$AN$17</c:f>
              <c:numCache>
                <c:formatCode>General</c:formatCode>
                <c:ptCount val="12"/>
                <c:pt idx="0">
                  <c:v>0.25551405688293366</c:v>
                </c:pt>
                <c:pt idx="1">
                  <c:v>0.29231060619478877</c:v>
                </c:pt>
                <c:pt idx="2">
                  <c:v>0.26402452928636821</c:v>
                </c:pt>
                <c:pt idx="3">
                  <c:v>0.26988793019449181</c:v>
                </c:pt>
                <c:pt idx="4">
                  <c:v>0.27819978422908465</c:v>
                </c:pt>
                <c:pt idx="5">
                  <c:v>0.282162412315344</c:v>
                </c:pt>
                <c:pt idx="6">
                  <c:v>0.27336915242372506</c:v>
                </c:pt>
                <c:pt idx="7">
                  <c:v>0.3079017501447554</c:v>
                </c:pt>
                <c:pt idx="8">
                  <c:v>0.27693057388464104</c:v>
                </c:pt>
                <c:pt idx="9">
                  <c:v>0.28529331909286615</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4A0-4597-B22D-0AD1F606C5CD}"/>
            </c:ext>
          </c:extLst>
        </c:ser>
        <c:ser>
          <c:idx val="4"/>
          <c:order val="1"/>
          <c:tx>
            <c:strRef>
              <c:f>'1994 E Maize Graphs'!$Z$19</c:f>
              <c:strCache>
                <c:ptCount val="1"/>
                <c:pt idx="0">
                  <c:v>140</c:v>
                </c:pt>
              </c:strCache>
            </c:strRef>
          </c:tx>
          <c:spPr>
            <a:ln>
              <a:solidFill>
                <a:srgbClr val="002060"/>
              </a:solidFill>
            </a:ln>
          </c:spPr>
          <c:marker>
            <c:symbol val="square"/>
            <c:size val="7"/>
            <c:spPr>
              <a:noFill/>
            </c:spPr>
          </c:marker>
          <c:xVal>
            <c:numRef>
              <c:f>'1994 E Maize Graphs'!$AN$19:$AN$30</c:f>
              <c:numCache>
                <c:formatCode>General</c:formatCode>
                <c:ptCount val="12"/>
                <c:pt idx="0">
                  <c:v>0.23347796910919749</c:v>
                </c:pt>
                <c:pt idx="1">
                  <c:v>0.29682091458565307</c:v>
                </c:pt>
                <c:pt idx="2">
                  <c:v>0.26334798302773854</c:v>
                </c:pt>
                <c:pt idx="3">
                  <c:v>0.27069334240714621</c:v>
                </c:pt>
                <c:pt idx="4">
                  <c:v>0.28167916498775142</c:v>
                </c:pt>
                <c:pt idx="5">
                  <c:v>0.28316112345903544</c:v>
                </c:pt>
                <c:pt idx="6">
                  <c:v>0.27347467602256698</c:v>
                </c:pt>
                <c:pt idx="7">
                  <c:v>0.30922079513027984</c:v>
                </c:pt>
                <c:pt idx="8">
                  <c:v>0.28138894593571373</c:v>
                </c:pt>
                <c:pt idx="9">
                  <c:v>0.28619026968302275</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4A0-4597-B22D-0AD1F606C5CD}"/>
            </c:ext>
          </c:extLst>
        </c:ser>
        <c:ser>
          <c:idx val="0"/>
          <c:order val="2"/>
          <c:tx>
            <c:strRef>
              <c:f>'1994 E Maize Graphs'!$Z$32</c:f>
              <c:strCache>
                <c:ptCount val="1"/>
                <c:pt idx="0">
                  <c:v>153</c:v>
                </c:pt>
              </c:strCache>
            </c:strRef>
          </c:tx>
          <c:xVal>
            <c:numRef>
              <c:f>'1994 E Maize Graphs'!$AN$32:$AN$43</c:f>
              <c:numCache>
                <c:formatCode>General</c:formatCode>
                <c:ptCount val="12"/>
                <c:pt idx="0">
                  <c:v>0.2308291299138891</c:v>
                </c:pt>
                <c:pt idx="1">
                  <c:v>0.30181447030411002</c:v>
                </c:pt>
                <c:pt idx="2">
                  <c:v>0.27159540408531901</c:v>
                </c:pt>
                <c:pt idx="3">
                  <c:v>0.27581576407962777</c:v>
                </c:pt>
                <c:pt idx="4">
                  <c:v>0.27465597049340551</c:v>
                </c:pt>
                <c:pt idx="5">
                  <c:v>0.28728483398782567</c:v>
                </c:pt>
                <c:pt idx="6">
                  <c:v>0.272234773736174</c:v>
                </c:pt>
                <c:pt idx="7">
                  <c:v>0.3095373659268057</c:v>
                </c:pt>
                <c:pt idx="8">
                  <c:v>0.28036009084700464</c:v>
                </c:pt>
                <c:pt idx="9">
                  <c:v>0.28729826747086329</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4A0-4597-B22D-0AD1F606C5CD}"/>
            </c:ext>
          </c:extLst>
        </c:ser>
        <c:ser>
          <c:idx val="1"/>
          <c:order val="3"/>
          <c:tx>
            <c:strRef>
              <c:f>'1994 E Maize Graphs'!$Z$45</c:f>
              <c:strCache>
                <c:ptCount val="1"/>
                <c:pt idx="0">
                  <c:v>166</c:v>
                </c:pt>
              </c:strCache>
            </c:strRef>
          </c:tx>
          <c:marker>
            <c:symbol val="square"/>
            <c:size val="5"/>
          </c:marker>
          <c:xVal>
            <c:numRef>
              <c:f>'1994 E Maize Graphs'!$AN$45:$AN$56</c:f>
              <c:numCache>
                <c:formatCode>General</c:formatCode>
                <c:ptCount val="12"/>
                <c:pt idx="0">
                  <c:v>0.26213615487120479</c:v>
                </c:pt>
                <c:pt idx="1">
                  <c:v>0.30175003732709771</c:v>
                </c:pt>
                <c:pt idx="2">
                  <c:v>0.2768144752233192</c:v>
                </c:pt>
                <c:pt idx="3">
                  <c:v>0.27475261995892408</c:v>
                </c:pt>
                <c:pt idx="4">
                  <c:v>0.28135700010268971</c:v>
                </c:pt>
                <c:pt idx="5">
                  <c:v>0.2871881845223071</c:v>
                </c:pt>
                <c:pt idx="6">
                  <c:v>0.27447715021156555</c:v>
                </c:pt>
                <c:pt idx="7">
                  <c:v>0.30821832094128127</c:v>
                </c:pt>
                <c:pt idx="8">
                  <c:v>0.28004352005047878</c:v>
                </c:pt>
                <c:pt idx="9">
                  <c:v>0.28753569556825775</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4A0-4597-B22D-0AD1F606C5CD}"/>
            </c:ext>
          </c:extLst>
        </c:ser>
        <c:ser>
          <c:idx val="2"/>
          <c:order val="4"/>
          <c:tx>
            <c:strRef>
              <c:f>'1994 E Maize Graphs'!$Z$58</c:f>
              <c:strCache>
                <c:ptCount val="1"/>
                <c:pt idx="0">
                  <c:v>180</c:v>
                </c:pt>
              </c:strCache>
            </c:strRef>
          </c:tx>
          <c:marker>
            <c:spPr>
              <a:solidFill>
                <a:srgbClr val="00B050"/>
              </a:solidFill>
            </c:spPr>
          </c:marker>
          <c:xVal>
            <c:numRef>
              <c:f>'1994 E Maize Graphs'!$AN$58:$AN$69</c:f>
              <c:numCache>
                <c:formatCode>General</c:formatCode>
                <c:ptCount val="12"/>
                <c:pt idx="0">
                  <c:v>0.30663101752431149</c:v>
                </c:pt>
                <c:pt idx="1">
                  <c:v>0.28544849414297374</c:v>
                </c:pt>
                <c:pt idx="2">
                  <c:v>0.29060313230396156</c:v>
                </c:pt>
                <c:pt idx="3">
                  <c:v>0.28541627765446759</c:v>
                </c:pt>
                <c:pt idx="4">
                  <c:v>0.28087375277509707</c:v>
                </c:pt>
                <c:pt idx="5">
                  <c:v>0.28828354513151705</c:v>
                </c:pt>
                <c:pt idx="6">
                  <c:v>0.27505753000519628</c:v>
                </c:pt>
                <c:pt idx="7">
                  <c:v>0.3055010882711009</c:v>
                </c:pt>
                <c:pt idx="8">
                  <c:v>0.28133618413629274</c:v>
                </c:pt>
                <c:pt idx="9">
                  <c:v>0.29075416533293741</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4A0-4597-B22D-0AD1F606C5CD}"/>
            </c:ext>
          </c:extLst>
        </c:ser>
        <c:ser>
          <c:idx val="5"/>
          <c:order val="5"/>
          <c:tx>
            <c:strRef>
              <c:f>'1994 E Maize Graphs'!$Z$71</c:f>
              <c:strCache>
                <c:ptCount val="1"/>
                <c:pt idx="0">
                  <c:v>193</c:v>
                </c:pt>
              </c:strCache>
            </c:strRef>
          </c:tx>
          <c:marker>
            <c:spPr>
              <a:solidFill>
                <a:schemeClr val="accent6">
                  <a:lumMod val="60000"/>
                  <a:lumOff val="40000"/>
                </a:schemeClr>
              </a:solidFill>
            </c:spPr>
          </c:marker>
          <c:xVal>
            <c:numRef>
              <c:f>'1994 E Maize Graphs'!$AN$71:$AN$82</c:f>
              <c:numCache>
                <c:formatCode>General</c:formatCode>
                <c:ptCount val="12"/>
                <c:pt idx="0">
                  <c:v>0.32903343412293073</c:v>
                </c:pt>
                <c:pt idx="1">
                  <c:v>0.32794204248261694</c:v>
                </c:pt>
                <c:pt idx="2">
                  <c:v>0.32910183606883919</c:v>
                </c:pt>
                <c:pt idx="3">
                  <c:v>0.32124101287333284</c:v>
                </c:pt>
                <c:pt idx="4">
                  <c:v>0.3142822513559993</c:v>
                </c:pt>
                <c:pt idx="5">
                  <c:v>0.31096395303986341</c:v>
                </c:pt>
                <c:pt idx="6">
                  <c:v>0.29312844630688145</c:v>
                </c:pt>
                <c:pt idx="7">
                  <c:v>0.3203535348081063</c:v>
                </c:pt>
                <c:pt idx="8">
                  <c:v>0.29315482720659192</c:v>
                </c:pt>
                <c:pt idx="9">
                  <c:v>0.29798253185361145</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4A0-4597-B22D-0AD1F606C5CD}"/>
            </c:ext>
          </c:extLst>
        </c:ser>
        <c:ser>
          <c:idx val="6"/>
          <c:order val="6"/>
          <c:tx>
            <c:strRef>
              <c:f>'1994 E Maize Graphs'!$Z$84</c:f>
              <c:strCache>
                <c:ptCount val="1"/>
                <c:pt idx="0">
                  <c:v>210</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'1994 E Maize Graphs'!$AN$84:$AN$95</c:f>
              <c:numCache>
                <c:formatCode>General</c:formatCode>
                <c:ptCount val="12"/>
                <c:pt idx="0">
                  <c:v>0.33266854323138595</c:v>
                </c:pt>
                <c:pt idx="1">
                  <c:v>0.31579642631578947</c:v>
                </c:pt>
                <c:pt idx="2">
                  <c:v>0.29095751367752948</c:v>
                </c:pt>
                <c:pt idx="3">
                  <c:v>0.29337375031549251</c:v>
                </c:pt>
                <c:pt idx="4">
                  <c:v>0.29662761565461604</c:v>
                </c:pt>
                <c:pt idx="5">
                  <c:v>0.29881833687303588</c:v>
                </c:pt>
                <c:pt idx="6">
                  <c:v>0.28291903811892211</c:v>
                </c:pt>
                <c:pt idx="7">
                  <c:v>0.31850687182837206</c:v>
                </c:pt>
                <c:pt idx="8">
                  <c:v>0.29088606983148985</c:v>
                </c:pt>
                <c:pt idx="9">
                  <c:v>0.30230899940613165</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4A0-4597-B22D-0AD1F606C5CD}"/>
            </c:ext>
          </c:extLst>
        </c:ser>
        <c:ser>
          <c:idx val="7"/>
          <c:order val="7"/>
          <c:tx>
            <c:strRef>
              <c:f>'1994 E Maize Graphs'!$Z$97</c:f>
              <c:strCache>
                <c:ptCount val="1"/>
                <c:pt idx="0">
                  <c:v>223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'1994 E Maize Graphs'!$AN$97:$AN$108</c:f>
              <c:numCache>
                <c:formatCode>General</c:formatCode>
                <c:ptCount val="12"/>
                <c:pt idx="0">
                  <c:v>0.2652922185932744</c:v>
                </c:pt>
                <c:pt idx="1">
                  <c:v>0.19740083105560086</c:v>
                </c:pt>
                <c:pt idx="2">
                  <c:v>0.29076421474649244</c:v>
                </c:pt>
                <c:pt idx="3">
                  <c:v>0.29102194665454179</c:v>
                </c:pt>
                <c:pt idx="4">
                  <c:v>0.30348972770643107</c:v>
                </c:pt>
                <c:pt idx="5">
                  <c:v>0.29665983214312219</c:v>
                </c:pt>
                <c:pt idx="6">
                  <c:v>0.2805183762452676</c:v>
                </c:pt>
                <c:pt idx="7">
                  <c:v>0.31977315501447551</c:v>
                </c:pt>
                <c:pt idx="8">
                  <c:v>0.29228425751614578</c:v>
                </c:pt>
                <c:pt idx="9">
                  <c:v>0.30940546142825326</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4A0-4597-B22D-0AD1F606C5CD}"/>
            </c:ext>
          </c:extLst>
        </c:ser>
        <c:ser>
          <c:idx val="8"/>
          <c:order val="8"/>
          <c:tx>
            <c:strRef>
              <c:f>'1994 E Maize Graphs'!$Z$110</c:f>
              <c:strCache>
                <c:ptCount val="1"/>
                <c:pt idx="0">
                  <c:v>237</c:v>
                </c:pt>
              </c:strCache>
            </c:strRef>
          </c:tx>
          <c:marker>
            <c:symbol val="circle"/>
            <c:size val="8"/>
            <c:spPr>
              <a:solidFill>
                <a:srgbClr val="FFFF99"/>
              </a:solidFill>
            </c:spPr>
          </c:marker>
          <c:xVal>
            <c:numRef>
              <c:f>'1994 E Maize Graphs'!$AN$110:$AN$121</c:f>
              <c:numCache>
                <c:formatCode>General</c:formatCode>
                <c:ptCount val="12"/>
                <c:pt idx="0">
                  <c:v>0.22750399134956573</c:v>
                </c:pt>
                <c:pt idx="1">
                  <c:v>0.24498458457921951</c:v>
                </c:pt>
                <c:pt idx="2">
                  <c:v>0.26080288043575084</c:v>
                </c:pt>
                <c:pt idx="3">
                  <c:v>0.26718174515997323</c:v>
                </c:pt>
                <c:pt idx="4">
                  <c:v>0.27761988743597354</c:v>
                </c:pt>
                <c:pt idx="5">
                  <c:v>0.29166627642466531</c:v>
                </c:pt>
                <c:pt idx="6">
                  <c:v>0.28202208752876551</c:v>
                </c:pt>
                <c:pt idx="7">
                  <c:v>0.31159507610422388</c:v>
                </c:pt>
                <c:pt idx="8">
                  <c:v>0.29144006872541012</c:v>
                </c:pt>
                <c:pt idx="9">
                  <c:v>0.31228097949669659</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4A0-4597-B22D-0AD1F606C5CD}"/>
            </c:ext>
          </c:extLst>
        </c:ser>
        <c:ser>
          <c:idx val="9"/>
          <c:order val="9"/>
          <c:tx>
            <c:strRef>
              <c:f>'1994 E Maize Graphs'!$Z$123</c:f>
              <c:strCache>
                <c:ptCount val="1"/>
                <c:pt idx="0">
                  <c:v>257</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'1994 E Maize Graphs'!$AN$123:$AN$134</c:f>
              <c:numCache>
                <c:formatCode>General</c:formatCode>
                <c:ptCount val="12"/>
                <c:pt idx="0">
                  <c:v>0.33509194930368935</c:v>
                </c:pt>
                <c:pt idx="1">
                  <c:v>0.2700812291255289</c:v>
                </c:pt>
                <c:pt idx="2">
                  <c:v>0.24524231648726891</c:v>
                </c:pt>
                <c:pt idx="3">
                  <c:v>0.25716241723455319</c:v>
                </c:pt>
                <c:pt idx="4">
                  <c:v>0.27536473324054139</c:v>
                </c:pt>
                <c:pt idx="5">
                  <c:v>0.29517787367183823</c:v>
                </c:pt>
                <c:pt idx="6">
                  <c:v>0.28500312919605075</c:v>
                </c:pt>
                <c:pt idx="7">
                  <c:v>0.31539392566253427</c:v>
                </c:pt>
                <c:pt idx="8">
                  <c:v>0.28822159896073041</c:v>
                </c:pt>
                <c:pt idx="9">
                  <c:v>0.31513011666542939</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4A0-4597-B22D-0AD1F606C5CD}"/>
            </c:ext>
          </c:extLst>
        </c:ser>
        <c:ser>
          <c:idx val="10"/>
          <c:order val="10"/>
          <c:tx>
            <c:strRef>
              <c:f>'1994 E Maize Graphs'!$Z$136</c:f>
              <c:strCache>
                <c:ptCount val="1"/>
                <c:pt idx="0">
                  <c:v>0</c:v>
                </c:pt>
              </c:strCache>
            </c:strRef>
          </c:tx>
          <c:xVal>
            <c:numRef>
              <c:f>'1994 E Maize Graphs'!$AN$136:$AN$147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4A0-4597-B22D-0AD1F606C5CD}"/>
            </c:ext>
          </c:extLst>
        </c:ser>
        <c:ser>
          <c:idx val="11"/>
          <c:order val="11"/>
          <c:tx>
            <c:strRef>
              <c:f>'1994 E Maize Graphs'!$Z$149</c:f>
              <c:strCache>
                <c:ptCount val="1"/>
                <c:pt idx="0">
                  <c:v>0</c:v>
                </c:pt>
              </c:strCache>
            </c:strRef>
          </c:tx>
          <c:xVal>
            <c:numRef>
              <c:f>'1994 E Maize Graphs'!$AN$149:$AN$160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4A0-4597-B22D-0AD1F606C5CD}"/>
            </c:ext>
          </c:extLst>
        </c:ser>
        <c:ser>
          <c:idx val="12"/>
          <c:order val="12"/>
          <c:tx>
            <c:strRef>
              <c:f>'1994 E Maize Graphs'!$Z$162</c:f>
              <c:strCache>
                <c:ptCount val="1"/>
                <c:pt idx="0">
                  <c:v>0</c:v>
                </c:pt>
              </c:strCache>
            </c:strRef>
          </c:tx>
          <c:spPr>
            <a:ln>
              <a:solidFill>
                <a:srgbClr val="5449E1"/>
              </a:solidFill>
            </a:ln>
          </c:spPr>
          <c:marker>
            <c:symbol val="circle"/>
            <c:size val="8"/>
            <c:spPr>
              <a:solidFill>
                <a:srgbClr val="160B55"/>
              </a:solidFill>
              <a:ln>
                <a:solidFill>
                  <a:srgbClr val="7030A0"/>
                </a:solidFill>
              </a:ln>
            </c:spPr>
          </c:marker>
          <c:xVal>
            <c:numRef>
              <c:f>'1994 E Maize Graphs'!$AN$162:$AN$173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4A0-4597-B22D-0AD1F606C5CD}"/>
            </c:ext>
          </c:extLst>
        </c:ser>
        <c:ser>
          <c:idx val="13"/>
          <c:order val="13"/>
          <c:tx>
            <c:strRef>
              <c:f>'1994 E Maize Graphs'!$Z$175</c:f>
              <c:strCache>
                <c:ptCount val="1"/>
                <c:pt idx="0">
                  <c:v>0</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'1994 E Maize Graphs'!$AN$175:$AN$186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4A0-4597-B22D-0AD1F606C5CD}"/>
            </c:ext>
          </c:extLst>
        </c:ser>
        <c:ser>
          <c:idx val="14"/>
          <c:order val="14"/>
          <c:tx>
            <c:strRef>
              <c:f>'1994 E Maize Graphs'!$Z$188</c:f>
              <c:strCache>
                <c:ptCount val="1"/>
                <c:pt idx="0">
                  <c:v>0</c:v>
                </c:pt>
              </c:strCache>
            </c:strRef>
          </c:tx>
          <c:xVal>
            <c:numRef>
              <c:f>'1994 E Maize Graphs'!$AN$188:$AN$199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4A0-4597-B22D-0AD1F606C5CD}"/>
            </c:ext>
          </c:extLst>
        </c:ser>
        <c:ser>
          <c:idx val="16"/>
          <c:order val="15"/>
          <c:tx>
            <c:strRef>
              <c:f>'1994 E Maize Graphs'!$Z$201</c:f>
              <c:strCache>
                <c:ptCount val="1"/>
                <c:pt idx="0">
                  <c:v>0</c:v>
                </c:pt>
              </c:strCache>
            </c:strRef>
          </c:tx>
          <c:xVal>
            <c:numRef>
              <c:f>'1994 E Maize Graphs'!$AN$201:$AN$212</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C4A0-4597-B22D-0AD1F606C5CD}"/>
            </c:ext>
          </c:extLst>
        </c:ser>
        <c:ser>
          <c:idx val="17"/>
          <c:order val="16"/>
          <c:tx>
            <c:strRef>
              <c:f>'1994 E Maize Graphs'!$Z$214</c:f>
              <c:strCache>
                <c:ptCount val="1"/>
                <c:pt idx="0">
                  <c:v>0</c:v>
                </c:pt>
              </c:strCache>
            </c:strRef>
          </c:tx>
          <c:xVal>
            <c:numRef>
              <c:f>'1994 E Maize Graphs'!$AN$214:$AN$225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C4A0-4597-B22D-0AD1F606C5CD}"/>
            </c:ext>
          </c:extLst>
        </c:ser>
        <c:ser>
          <c:idx val="18"/>
          <c:order val="17"/>
          <c:tx>
            <c:strRef>
              <c:f>'1994 E Maize Graphs'!$Z$227</c:f>
              <c:strCache>
                <c:ptCount val="1"/>
                <c:pt idx="0">
                  <c:v>0</c:v>
                </c:pt>
              </c:strCache>
            </c:strRef>
          </c:tx>
          <c:xVal>
            <c:numRef>
              <c:f>'1994 E Maize Graphs'!$AN$227:$AN$238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'1994 E Maize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C4A0-4597-B22D-0AD1F606C5CD}"/>
            </c:ext>
          </c:extLst>
        </c:ser>
        <c:ser>
          <c:idx val="15"/>
          <c:order val="18"/>
          <c:tx>
            <c:v>Porosity</c:v>
          </c:tx>
          <c:spPr>
            <a:ln w="38100">
              <a:solidFill>
                <a:srgbClr val="000000"/>
              </a:solidFill>
              <a:prstDash val="solid"/>
            </a:ln>
          </c:spPr>
          <c:marker>
            <c:symbol val="none"/>
          </c:marker>
          <c:xVal>
            <c:numRef>
              <c:f>'1994 E Maize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'1994 E Maize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2-C4A0-4597-B22D-0AD1F606C5CD}"/>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12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94202839837032"/>
          <c:h val="0.66404341347585238"/>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114300</xdr:rowOff>
    </xdr:from>
    <xdr:to>
      <xdr:col>9</xdr:col>
      <xdr:colOff>110067</xdr:colOff>
      <xdr:row>48</xdr:row>
      <xdr:rowOff>15240</xdr:rowOff>
    </xdr:to>
    <xdr:graphicFrame macro="">
      <xdr:nvGraphicFramePr>
        <xdr:cNvPr id="2" name="Chart 1">
          <a:extLst>
            <a:ext uri="{FF2B5EF4-FFF2-40B4-BE49-F238E27FC236}">
              <a16:creationId xmlns:a16="http://schemas.microsoft.com/office/drawing/2014/main" id="{F021086B-0D64-4250-B88C-B5C563B1A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0.81076</cdr:x>
      <cdr:y>0.08288</cdr:y>
    </cdr:from>
    <cdr:to>
      <cdr:x>0.94926</cdr:x>
      <cdr:y>0.20005</cdr:y>
    </cdr:to>
    <cdr:sp macro="" textlink="">
      <cdr:nvSpPr>
        <cdr:cNvPr id="2" name="TextBox 1"/>
        <cdr:cNvSpPr txBox="1"/>
      </cdr:nvSpPr>
      <cdr:spPr>
        <a:xfrm xmlns:a="http://schemas.openxmlformats.org/drawingml/2006/main">
          <a:off x="4617720" y="325246"/>
          <a:ext cx="788816" cy="4598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Maize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1054273</xdr:rowOff>
    </xdr:from>
    <xdr:to>
      <xdr:col>11</xdr:col>
      <xdr:colOff>350520</xdr:colOff>
      <xdr:row>34</xdr:row>
      <xdr:rowOff>58976</xdr:rowOff>
    </xdr:to>
    <xdr:graphicFrame macro="">
      <xdr:nvGraphicFramePr>
        <xdr:cNvPr id="2" name="Chart 1">
          <a:extLst>
            <a:ext uri="{FF2B5EF4-FFF2-40B4-BE49-F238E27FC236}">
              <a16:creationId xmlns:a16="http://schemas.microsoft.com/office/drawing/2014/main" id="{F3834C64-39FD-4498-A264-A0DAD69B5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1012521</xdr:rowOff>
    </xdr:from>
    <xdr:to>
      <xdr:col>23</xdr:col>
      <xdr:colOff>350520</xdr:colOff>
      <xdr:row>34</xdr:row>
      <xdr:rowOff>38099</xdr:rowOff>
    </xdr:to>
    <xdr:graphicFrame macro="">
      <xdr:nvGraphicFramePr>
        <xdr:cNvPr id="3" name="Chart 1">
          <a:extLst>
            <a:ext uri="{FF2B5EF4-FFF2-40B4-BE49-F238E27FC236}">
              <a16:creationId xmlns:a16="http://schemas.microsoft.com/office/drawing/2014/main" id="{05041A41-7C98-415E-95FE-16FFCDC39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D2A0899E-4F9E-4453-807E-019BD4F5F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47D1A6C5-151F-494E-9C3A-62FD7DE5E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546A9E85-E68A-4A95-9769-A4C9C581F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BBB4934C-3DDC-4A68-9493-B376E9C3A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FB48D82A-DD87-44B0-BA23-A3C4B2053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1D34C9B9-2BEA-4324-A311-80A0571E9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52C68B02-1084-42DA-BCCF-2D5CA1F36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7DF25344-D523-41E4-A07C-6FF4E1083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6B9F3E3B-7329-4C5B-8623-EA305D593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0C869887-C086-4FF3-B62B-CD0231EE7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DDBB-8D8D-423C-A581-CFE0DB06160B}">
  <dimension ref="A1:F51"/>
  <sheetViews>
    <sheetView tabSelected="1" workbookViewId="0"/>
  </sheetViews>
  <sheetFormatPr defaultColWidth="8.77734375" defaultRowHeight="13.2" x14ac:dyDescent="0.25"/>
  <cols>
    <col min="1" max="1" width="29" style="4" customWidth="1"/>
    <col min="2" max="2" width="59.33203125" style="4" customWidth="1"/>
    <col min="3" max="3" width="37.33203125" style="4" customWidth="1"/>
    <col min="4" max="4" width="33.88671875" style="4" customWidth="1"/>
    <col min="5" max="5" width="28.77734375" style="4" customWidth="1"/>
    <col min="6" max="16384" width="8.77734375" style="4"/>
  </cols>
  <sheetData>
    <row r="1" spans="1:2" x14ac:dyDescent="0.25">
      <c r="A1" s="3" t="s">
        <v>10</v>
      </c>
      <c r="B1" s="4" t="s">
        <v>11</v>
      </c>
    </row>
    <row r="2" spans="1:2" x14ac:dyDescent="0.25">
      <c r="A2" s="3" t="s">
        <v>150</v>
      </c>
      <c r="B2" s="4" t="s">
        <v>12</v>
      </c>
    </row>
    <row r="3" spans="1:2" x14ac:dyDescent="0.25">
      <c r="A3" s="3" t="s">
        <v>152</v>
      </c>
      <c r="B3" s="4" t="s">
        <v>153</v>
      </c>
    </row>
    <row r="4" spans="1:2" x14ac:dyDescent="0.25">
      <c r="A4" s="3" t="s">
        <v>151</v>
      </c>
      <c r="B4" s="4" t="s">
        <v>13</v>
      </c>
    </row>
    <row r="5" spans="1:2" x14ac:dyDescent="0.25">
      <c r="A5" s="3" t="s">
        <v>154</v>
      </c>
      <c r="B5" s="4" t="s">
        <v>156</v>
      </c>
    </row>
    <row r="6" spans="1:2" x14ac:dyDescent="0.25">
      <c r="A6" s="3" t="s">
        <v>155</v>
      </c>
      <c r="B6" s="4" t="s">
        <v>14</v>
      </c>
    </row>
    <row r="7" spans="1:2" x14ac:dyDescent="0.25">
      <c r="A7" s="32" t="s">
        <v>159</v>
      </c>
      <c r="B7" s="33" t="s">
        <v>161</v>
      </c>
    </row>
    <row r="8" spans="1:2" x14ac:dyDescent="0.25">
      <c r="A8" s="32" t="s">
        <v>160</v>
      </c>
      <c r="B8" s="33" t="s">
        <v>158</v>
      </c>
    </row>
    <row r="9" spans="1:2" x14ac:dyDescent="0.25">
      <c r="A9" s="3" t="s">
        <v>157</v>
      </c>
      <c r="B9" s="4" t="s">
        <v>15</v>
      </c>
    </row>
    <row r="10" spans="1:2" ht="24.6" customHeight="1" x14ac:dyDescent="0.25">
      <c r="A10" s="5" t="s">
        <v>16</v>
      </c>
    </row>
    <row r="11" spans="1:2" ht="14.4" x14ac:dyDescent="0.25">
      <c r="A11" s="6" t="s">
        <v>17</v>
      </c>
    </row>
    <row r="12" spans="1:2" ht="14.4" x14ac:dyDescent="0.25">
      <c r="A12" s="4" t="s">
        <v>18</v>
      </c>
      <c r="B12" s="7" t="s">
        <v>19</v>
      </c>
    </row>
    <row r="13" spans="1:2" ht="14.4" x14ac:dyDescent="0.25">
      <c r="A13" s="4" t="s">
        <v>18</v>
      </c>
      <c r="B13" s="7" t="s">
        <v>20</v>
      </c>
    </row>
    <row r="14" spans="1:2" ht="14.4" x14ac:dyDescent="0.25">
      <c r="A14" s="4" t="s">
        <v>18</v>
      </c>
      <c r="B14" s="7" t="s">
        <v>21</v>
      </c>
    </row>
    <row r="15" spans="1:2" ht="14.4" x14ac:dyDescent="0.25">
      <c r="A15" s="4" t="s">
        <v>18</v>
      </c>
      <c r="B15" s="6" t="s">
        <v>22</v>
      </c>
    </row>
    <row r="16" spans="1:2" ht="14.4" x14ac:dyDescent="0.25">
      <c r="A16" s="6" t="s">
        <v>23</v>
      </c>
    </row>
    <row r="17" spans="1:2" ht="14.4" x14ac:dyDescent="0.25">
      <c r="A17" s="6" t="s">
        <v>24</v>
      </c>
    </row>
    <row r="18" spans="1:2" ht="14.4" x14ac:dyDescent="0.25">
      <c r="A18" s="6" t="s">
        <v>25</v>
      </c>
    </row>
    <row r="19" spans="1:2" ht="14.4" x14ac:dyDescent="0.25">
      <c r="A19" s="6" t="s">
        <v>26</v>
      </c>
    </row>
    <row r="20" spans="1:2" ht="18" x14ac:dyDescent="0.25">
      <c r="A20" s="5" t="s">
        <v>27</v>
      </c>
    </row>
    <row r="21" spans="1:2" ht="14.4" x14ac:dyDescent="0.25">
      <c r="A21" s="6" t="s">
        <v>28</v>
      </c>
    </row>
    <row r="22" spans="1:2" ht="14.4" x14ac:dyDescent="0.25">
      <c r="A22" s="6" t="s">
        <v>29</v>
      </c>
    </row>
    <row r="23" spans="1:2" ht="14.4" x14ac:dyDescent="0.25">
      <c r="A23" s="6" t="s">
        <v>30</v>
      </c>
    </row>
    <row r="24" spans="1:2" ht="14.4" x14ac:dyDescent="0.25">
      <c r="A24" s="6" t="s">
        <v>31</v>
      </c>
    </row>
    <row r="25" spans="1:2" ht="18" x14ac:dyDescent="0.25">
      <c r="A25" s="5" t="s">
        <v>32</v>
      </c>
    </row>
    <row r="26" spans="1:2" ht="14.4" x14ac:dyDescent="0.25">
      <c r="A26" s="6" t="s">
        <v>33</v>
      </c>
    </row>
    <row r="27" spans="1:2" x14ac:dyDescent="0.25">
      <c r="A27" s="4" t="s">
        <v>34</v>
      </c>
    </row>
    <row r="28" spans="1:2" x14ac:dyDescent="0.25">
      <c r="A28" s="4" t="s">
        <v>35</v>
      </c>
    </row>
    <row r="29" spans="1:2" ht="21" customHeight="1" x14ac:dyDescent="0.25">
      <c r="A29" s="6" t="s">
        <v>36</v>
      </c>
    </row>
    <row r="30" spans="1:2" x14ac:dyDescent="0.25">
      <c r="A30" s="3" t="s">
        <v>37</v>
      </c>
      <c r="B30" s="4" t="s">
        <v>38</v>
      </c>
    </row>
    <row r="31" spans="1:2" x14ac:dyDescent="0.25">
      <c r="A31" s="3" t="s">
        <v>39</v>
      </c>
      <c r="B31" s="4" t="s">
        <v>40</v>
      </c>
    </row>
    <row r="32" spans="1:2" x14ac:dyDescent="0.25">
      <c r="A32" s="3" t="s">
        <v>41</v>
      </c>
      <c r="B32" s="4" t="s">
        <v>42</v>
      </c>
    </row>
    <row r="33" spans="1:2" x14ac:dyDescent="0.25">
      <c r="A33" s="3" t="s">
        <v>43</v>
      </c>
      <c r="B33" s="4" t="s">
        <v>44</v>
      </c>
    </row>
    <row r="34" spans="1:2" x14ac:dyDescent="0.25">
      <c r="A34" s="3" t="s">
        <v>45</v>
      </c>
      <c r="B34" s="4" t="s">
        <v>46</v>
      </c>
    </row>
    <row r="35" spans="1:2" x14ac:dyDescent="0.25">
      <c r="A35" s="3" t="s">
        <v>47</v>
      </c>
      <c r="B35" s="4" t="s">
        <v>48</v>
      </c>
    </row>
    <row r="36" spans="1:2" x14ac:dyDescent="0.25">
      <c r="A36" s="3" t="s">
        <v>5</v>
      </c>
      <c r="B36" s="4" t="s">
        <v>49</v>
      </c>
    </row>
    <row r="37" spans="1:2" x14ac:dyDescent="0.25">
      <c r="A37" s="3" t="s">
        <v>2</v>
      </c>
      <c r="B37" s="4" t="s">
        <v>50</v>
      </c>
    </row>
    <row r="38" spans="1:2" x14ac:dyDescent="0.25">
      <c r="A38" s="3" t="s">
        <v>51</v>
      </c>
      <c r="B38" s="4" t="s">
        <v>52</v>
      </c>
    </row>
    <row r="39" spans="1:2" x14ac:dyDescent="0.25">
      <c r="A39" s="3" t="s">
        <v>53</v>
      </c>
      <c r="B39" s="4" t="s">
        <v>54</v>
      </c>
    </row>
    <row r="40" spans="1:2" x14ac:dyDescent="0.25">
      <c r="A40" s="3" t="s">
        <v>55</v>
      </c>
      <c r="B40" s="4" t="s">
        <v>56</v>
      </c>
    </row>
    <row r="41" spans="1:2" x14ac:dyDescent="0.25">
      <c r="A41" s="3" t="s">
        <v>57</v>
      </c>
      <c r="B41" s="4" t="s">
        <v>58</v>
      </c>
    </row>
    <row r="42" spans="1:2" x14ac:dyDescent="0.25">
      <c r="A42" s="3" t="s">
        <v>59</v>
      </c>
      <c r="B42" s="4" t="s">
        <v>60</v>
      </c>
    </row>
    <row r="43" spans="1:2" x14ac:dyDescent="0.25">
      <c r="A43" s="3" t="s">
        <v>61</v>
      </c>
      <c r="B43" s="4" t="s">
        <v>62</v>
      </c>
    </row>
    <row r="44" spans="1:2" x14ac:dyDescent="0.25">
      <c r="A44" s="3" t="s">
        <v>63</v>
      </c>
      <c r="B44" s="4" t="s">
        <v>64</v>
      </c>
    </row>
    <row r="45" spans="1:2" x14ac:dyDescent="0.25">
      <c r="A45" s="3" t="s">
        <v>65</v>
      </c>
      <c r="B45" s="4" t="s">
        <v>66</v>
      </c>
    </row>
    <row r="46" spans="1:2" x14ac:dyDescent="0.25">
      <c r="A46" s="3" t="s">
        <v>67</v>
      </c>
      <c r="B46" s="4" t="s">
        <v>68</v>
      </c>
    </row>
    <row r="47" spans="1:2" x14ac:dyDescent="0.25">
      <c r="A47" s="3" t="s">
        <v>69</v>
      </c>
      <c r="B47" s="4" t="s">
        <v>70</v>
      </c>
    </row>
    <row r="48" spans="1:2" x14ac:dyDescent="0.25">
      <c r="A48" s="4" t="s">
        <v>71</v>
      </c>
      <c r="B48" s="4" t="s">
        <v>72</v>
      </c>
    </row>
    <row r="49" spans="1:6" ht="13.8" thickBot="1" x14ac:dyDescent="0.3">
      <c r="A49" s="3" t="s">
        <v>73</v>
      </c>
      <c r="B49" s="4" t="s">
        <v>74</v>
      </c>
    </row>
    <row r="50" spans="1:6" ht="13.8" thickTop="1" x14ac:dyDescent="0.25">
      <c r="A50" s="22" t="s">
        <v>53</v>
      </c>
      <c r="B50" s="23" t="s">
        <v>122</v>
      </c>
      <c r="C50" s="24" t="s">
        <v>124</v>
      </c>
      <c r="D50" s="23" t="s">
        <v>126</v>
      </c>
      <c r="E50" s="24" t="s">
        <v>128</v>
      </c>
      <c r="F50" s="25" t="s">
        <v>120</v>
      </c>
    </row>
    <row r="51" spans="1:6" x14ac:dyDescent="0.25">
      <c r="A51" s="26" t="s">
        <v>57</v>
      </c>
      <c r="B51" s="27" t="s">
        <v>123</v>
      </c>
      <c r="C51" s="24" t="s">
        <v>125</v>
      </c>
      <c r="D51" s="27" t="s">
        <v>127</v>
      </c>
      <c r="E51" s="28" t="s">
        <v>129</v>
      </c>
      <c r="F51" s="29" t="s">
        <v>121</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32C97-D8A0-49EA-A20A-F7B1207D868A}">
  <dimension ref="A1:H21"/>
  <sheetViews>
    <sheetView workbookViewId="0"/>
  </sheetViews>
  <sheetFormatPr defaultRowHeight="13.2" x14ac:dyDescent="0.25"/>
  <cols>
    <col min="1" max="1" width="27.5546875" style="4" customWidth="1"/>
    <col min="2" max="2" width="21.33203125" style="4" customWidth="1"/>
    <col min="3" max="3" width="35.88671875" style="4" customWidth="1"/>
    <col min="4" max="4" width="19" style="4" customWidth="1"/>
    <col min="5" max="5" width="13.21875" style="4" customWidth="1"/>
    <col min="6" max="6" width="14.5546875" style="4" customWidth="1"/>
    <col min="7" max="7" width="12.44140625" style="4" customWidth="1"/>
    <col min="8" max="8" width="20.33203125" style="4" customWidth="1"/>
    <col min="9" max="16384" width="8.88671875" style="4"/>
  </cols>
  <sheetData>
    <row r="1" spans="1:8" ht="27.6" x14ac:dyDescent="0.25">
      <c r="A1" s="10" t="s">
        <v>75</v>
      </c>
      <c r="B1" s="10" t="s">
        <v>76</v>
      </c>
      <c r="C1" s="10" t="s">
        <v>77</v>
      </c>
      <c r="D1" s="10" t="s">
        <v>78</v>
      </c>
      <c r="E1" s="10" t="s">
        <v>79</v>
      </c>
      <c r="F1" s="10" t="s">
        <v>80</v>
      </c>
      <c r="G1" s="10" t="s">
        <v>81</v>
      </c>
      <c r="H1" s="10" t="s">
        <v>82</v>
      </c>
    </row>
    <row r="2" spans="1:8" ht="14.4" x14ac:dyDescent="0.25">
      <c r="A2" s="4" t="s">
        <v>151</v>
      </c>
      <c r="B2" s="11" t="s">
        <v>6</v>
      </c>
      <c r="C2" s="8" t="s">
        <v>83</v>
      </c>
      <c r="D2" s="12" t="s">
        <v>84</v>
      </c>
      <c r="E2" s="4">
        <v>10</v>
      </c>
      <c r="G2" s="4" t="s">
        <v>85</v>
      </c>
      <c r="H2" s="4" t="s">
        <v>86</v>
      </c>
    </row>
    <row r="3" spans="1:8" x14ac:dyDescent="0.25">
      <c r="A3" s="4" t="s">
        <v>151</v>
      </c>
      <c r="B3" s="8" t="s">
        <v>47</v>
      </c>
      <c r="C3" s="8" t="s">
        <v>48</v>
      </c>
      <c r="D3" s="8" t="s">
        <v>87</v>
      </c>
      <c r="E3" s="4">
        <v>3</v>
      </c>
      <c r="G3" s="4" t="s">
        <v>85</v>
      </c>
      <c r="H3" s="4" t="s">
        <v>86</v>
      </c>
    </row>
    <row r="4" spans="1:8" ht="26.4" x14ac:dyDescent="0.25">
      <c r="A4" s="4" t="s">
        <v>151</v>
      </c>
      <c r="B4" s="8" t="s">
        <v>5</v>
      </c>
      <c r="C4" s="8" t="s">
        <v>88</v>
      </c>
      <c r="D4" s="8" t="s">
        <v>87</v>
      </c>
      <c r="E4" s="4">
        <v>3</v>
      </c>
      <c r="F4" s="4" t="s">
        <v>89</v>
      </c>
      <c r="G4" s="4" t="s">
        <v>85</v>
      </c>
      <c r="H4" s="4" t="s">
        <v>86</v>
      </c>
    </row>
    <row r="5" spans="1:8" ht="26.4" x14ac:dyDescent="0.25">
      <c r="A5" s="4" t="s">
        <v>151</v>
      </c>
      <c r="B5" s="8" t="s">
        <v>96</v>
      </c>
      <c r="C5" s="8" t="s">
        <v>97</v>
      </c>
      <c r="D5" s="8" t="s">
        <v>92</v>
      </c>
      <c r="G5" s="4" t="s">
        <v>85</v>
      </c>
      <c r="H5" s="4" t="s">
        <v>93</v>
      </c>
    </row>
    <row r="6" spans="1:8" ht="26.4" x14ac:dyDescent="0.25">
      <c r="A6" s="4" t="s">
        <v>151</v>
      </c>
      <c r="B6" s="8" t="s">
        <v>98</v>
      </c>
      <c r="C6" s="8" t="s">
        <v>99</v>
      </c>
      <c r="D6" s="8" t="s">
        <v>92</v>
      </c>
      <c r="G6" s="4" t="s">
        <v>85</v>
      </c>
      <c r="H6" s="4" t="s">
        <v>93</v>
      </c>
    </row>
    <row r="7" spans="1:8" ht="26.4" x14ac:dyDescent="0.25">
      <c r="A7" s="4" t="s">
        <v>151</v>
      </c>
      <c r="B7" s="8" t="s">
        <v>90</v>
      </c>
      <c r="C7" s="8" t="s">
        <v>91</v>
      </c>
      <c r="D7" s="8" t="s">
        <v>92</v>
      </c>
      <c r="G7" s="4" t="s">
        <v>85</v>
      </c>
      <c r="H7" s="4" t="s">
        <v>93</v>
      </c>
    </row>
    <row r="8" spans="1:8" ht="26.4" x14ac:dyDescent="0.25">
      <c r="A8" s="4" t="s">
        <v>151</v>
      </c>
      <c r="B8" s="8" t="s">
        <v>94</v>
      </c>
      <c r="C8" s="8" t="s">
        <v>95</v>
      </c>
      <c r="D8" s="8" t="s">
        <v>92</v>
      </c>
      <c r="G8" s="4" t="s">
        <v>85</v>
      </c>
      <c r="H8" s="4" t="s">
        <v>93</v>
      </c>
    </row>
    <row r="9" spans="1:8" ht="26.4" x14ac:dyDescent="0.25">
      <c r="A9" s="4" t="s">
        <v>151</v>
      </c>
      <c r="B9" s="8" t="s">
        <v>2</v>
      </c>
      <c r="C9" s="8" t="s">
        <v>100</v>
      </c>
      <c r="D9" s="8" t="s">
        <v>92</v>
      </c>
      <c r="G9" s="4" t="s">
        <v>85</v>
      </c>
      <c r="H9" s="4" t="s">
        <v>93</v>
      </c>
    </row>
    <row r="10" spans="1:8" ht="26.4" x14ac:dyDescent="0.25">
      <c r="A10" s="4" t="s">
        <v>151</v>
      </c>
      <c r="B10" s="8" t="s">
        <v>55</v>
      </c>
      <c r="C10" s="8" t="s">
        <v>101</v>
      </c>
      <c r="D10" s="8" t="s">
        <v>92</v>
      </c>
      <c r="G10" s="4" t="s">
        <v>85</v>
      </c>
      <c r="H10" s="4" t="s">
        <v>93</v>
      </c>
    </row>
    <row r="11" spans="1:8" ht="26.4" x14ac:dyDescent="0.25">
      <c r="A11" s="4" t="s">
        <v>151</v>
      </c>
      <c r="B11" s="8" t="s">
        <v>51</v>
      </c>
      <c r="C11" s="8" t="s">
        <v>102</v>
      </c>
      <c r="D11" s="8" t="s">
        <v>92</v>
      </c>
      <c r="G11" s="4" t="s">
        <v>85</v>
      </c>
      <c r="H11" s="4" t="s">
        <v>93</v>
      </c>
    </row>
    <row r="12" spans="1:8" ht="26.4" x14ac:dyDescent="0.25">
      <c r="A12" s="4" t="s">
        <v>151</v>
      </c>
      <c r="B12" s="8" t="s">
        <v>144</v>
      </c>
      <c r="C12" s="8" t="s">
        <v>145</v>
      </c>
      <c r="D12" s="8" t="s">
        <v>92</v>
      </c>
      <c r="G12" s="4" t="s">
        <v>85</v>
      </c>
      <c r="H12" s="4" t="s">
        <v>93</v>
      </c>
    </row>
    <row r="13" spans="1:8" ht="26.4" x14ac:dyDescent="0.25">
      <c r="A13" s="4" t="s">
        <v>151</v>
      </c>
      <c r="B13" s="8" t="s">
        <v>146</v>
      </c>
      <c r="C13" s="8" t="s">
        <v>147</v>
      </c>
      <c r="D13" s="8" t="s">
        <v>92</v>
      </c>
      <c r="G13" s="4" t="s">
        <v>85</v>
      </c>
      <c r="H13" s="4" t="s">
        <v>93</v>
      </c>
    </row>
    <row r="14" spans="1:8" ht="26.4" x14ac:dyDescent="0.25">
      <c r="A14" s="4" t="s">
        <v>151</v>
      </c>
      <c r="B14" s="8" t="s">
        <v>148</v>
      </c>
      <c r="C14" s="8" t="s">
        <v>149</v>
      </c>
      <c r="D14" s="8" t="s">
        <v>92</v>
      </c>
      <c r="G14" s="4" t="s">
        <v>85</v>
      </c>
      <c r="H14" s="4" t="s">
        <v>93</v>
      </c>
    </row>
    <row r="15" spans="1:8" ht="26.4" x14ac:dyDescent="0.25">
      <c r="A15" s="4" t="s">
        <v>151</v>
      </c>
      <c r="B15" s="8" t="s">
        <v>138</v>
      </c>
      <c r="C15" s="8" t="s">
        <v>139</v>
      </c>
      <c r="D15" s="8" t="s">
        <v>92</v>
      </c>
      <c r="G15" s="4" t="s">
        <v>85</v>
      </c>
      <c r="H15" s="4" t="s">
        <v>93</v>
      </c>
    </row>
    <row r="16" spans="1:8" ht="26.4" x14ac:dyDescent="0.25">
      <c r="A16" s="4" t="s">
        <v>151</v>
      </c>
      <c r="B16" s="8" t="s">
        <v>140</v>
      </c>
      <c r="C16" s="8" t="s">
        <v>141</v>
      </c>
      <c r="D16" s="8" t="s">
        <v>92</v>
      </c>
      <c r="G16" s="4" t="s">
        <v>85</v>
      </c>
      <c r="H16" s="4" t="s">
        <v>93</v>
      </c>
    </row>
    <row r="17" spans="1:8" ht="26.4" x14ac:dyDescent="0.25">
      <c r="A17" s="4" t="s">
        <v>151</v>
      </c>
      <c r="B17" s="8" t="s">
        <v>142</v>
      </c>
      <c r="C17" s="8" t="s">
        <v>143</v>
      </c>
      <c r="D17" s="8" t="s">
        <v>92</v>
      </c>
      <c r="G17" s="4" t="s">
        <v>85</v>
      </c>
      <c r="H17" s="4" t="s">
        <v>93</v>
      </c>
    </row>
    <row r="18" spans="1:8" x14ac:dyDescent="0.25">
      <c r="B18" s="8"/>
      <c r="C18" s="8"/>
      <c r="D18" s="8"/>
    </row>
    <row r="19" spans="1:8" x14ac:dyDescent="0.25">
      <c r="B19" s="8"/>
      <c r="C19" s="8"/>
      <c r="D19" s="8"/>
    </row>
    <row r="20" spans="1:8" x14ac:dyDescent="0.25">
      <c r="B20" s="8"/>
      <c r="C20" s="8"/>
      <c r="D20" s="8"/>
    </row>
    <row r="21" spans="1:8" x14ac:dyDescent="0.25">
      <c r="B21" s="8"/>
      <c r="C21" s="8"/>
      <c r="D21"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EE524-C9A7-44A0-A43B-4373CE948025}">
  <dimension ref="A1:T34"/>
  <sheetViews>
    <sheetView workbookViewId="0">
      <selection activeCell="K14" sqref="K14"/>
    </sheetView>
  </sheetViews>
  <sheetFormatPr defaultRowHeight="13.2" x14ac:dyDescent="0.25"/>
  <cols>
    <col min="1" max="1" width="10.33203125" style="4" bestFit="1" customWidth="1"/>
    <col min="2" max="16384" width="8.88671875" style="4"/>
  </cols>
  <sheetData>
    <row r="1" spans="1:20" ht="105.6" x14ac:dyDescent="0.25">
      <c r="A1" s="4" t="s">
        <v>6</v>
      </c>
      <c r="B1" s="4" t="s">
        <v>47</v>
      </c>
      <c r="C1" s="8" t="s">
        <v>5</v>
      </c>
      <c r="D1" s="8" t="s">
        <v>105</v>
      </c>
      <c r="E1" s="8" t="s">
        <v>106</v>
      </c>
      <c r="F1" s="8" t="s">
        <v>103</v>
      </c>
      <c r="G1" s="8" t="s">
        <v>104</v>
      </c>
      <c r="H1" s="8" t="s">
        <v>2</v>
      </c>
      <c r="I1" s="8" t="s">
        <v>55</v>
      </c>
      <c r="J1" s="8" t="s">
        <v>51</v>
      </c>
      <c r="K1" s="8" t="s">
        <v>132</v>
      </c>
      <c r="L1" s="8" t="s">
        <v>133</v>
      </c>
      <c r="M1" s="8" t="s">
        <v>134</v>
      </c>
      <c r="N1" s="8" t="s">
        <v>135</v>
      </c>
      <c r="O1" s="8" t="s">
        <v>136</v>
      </c>
      <c r="P1" s="8" t="s">
        <v>137</v>
      </c>
      <c r="Q1" s="8"/>
      <c r="R1" s="8"/>
      <c r="S1" s="8"/>
      <c r="T1" s="8"/>
    </row>
    <row r="2" spans="1:20" x14ac:dyDescent="0.25">
      <c r="A2" s="13">
        <v>34460</v>
      </c>
      <c r="B2" s="4">
        <f>C2-105</f>
        <v>21</v>
      </c>
      <c r="C2" s="4">
        <v>126</v>
      </c>
      <c r="D2" s="4">
        <v>341.21069748773908</v>
      </c>
      <c r="E2" s="4">
        <v>341.56259329676089</v>
      </c>
      <c r="F2" s="4">
        <v>414.41939980827954</v>
      </c>
      <c r="G2" s="4">
        <v>398.97117639386664</v>
      </c>
      <c r="H2" s="4">
        <v>495</v>
      </c>
      <c r="I2" s="4">
        <v>270</v>
      </c>
      <c r="J2" s="4">
        <v>360</v>
      </c>
      <c r="K2" s="4">
        <v>530.28689142496228</v>
      </c>
      <c r="L2" s="4">
        <v>595.47947296864857</v>
      </c>
      <c r="M2" s="4">
        <v>467.91933647408018</v>
      </c>
      <c r="N2" s="4">
        <v>634.84649165916915</v>
      </c>
      <c r="O2" s="4">
        <v>629.65778197738348</v>
      </c>
      <c r="P2" s="4">
        <v>555.97520915168388</v>
      </c>
    </row>
    <row r="3" spans="1:20" x14ac:dyDescent="0.25">
      <c r="A3" s="13">
        <v>34474</v>
      </c>
      <c r="B3" s="4">
        <f t="shared" ref="B3:B11" si="0">C3-105</f>
        <v>35</v>
      </c>
      <c r="C3" s="4">
        <v>140</v>
      </c>
      <c r="D3" s="4">
        <v>338.79681369564247</v>
      </c>
      <c r="E3" s="4">
        <v>341.50573107860083</v>
      </c>
      <c r="F3" s="4">
        <v>413.33760644673742</v>
      </c>
      <c r="G3" s="4">
        <v>400.34713900185585</v>
      </c>
      <c r="H3" s="4">
        <v>495</v>
      </c>
      <c r="I3" s="4">
        <v>270</v>
      </c>
      <c r="J3" s="4">
        <v>360</v>
      </c>
      <c r="K3" s="4">
        <v>527.85281880427078</v>
      </c>
      <c r="L3" s="4">
        <v>594.34656138091691</v>
      </c>
      <c r="M3" s="4">
        <v>466.14518949996284</v>
      </c>
      <c r="N3" s="4">
        <v>633.58344907114042</v>
      </c>
      <c r="O3" s="4">
        <v>631.791334019548</v>
      </c>
      <c r="P3" s="4">
        <v>555.75739025566031</v>
      </c>
    </row>
    <row r="4" spans="1:20" x14ac:dyDescent="0.25">
      <c r="A4" s="13">
        <v>34487</v>
      </c>
      <c r="B4" s="4">
        <f t="shared" si="0"/>
        <v>48</v>
      </c>
      <c r="C4" s="4">
        <v>153</v>
      </c>
      <c r="D4" s="4">
        <v>337.77678467626754</v>
      </c>
      <c r="E4" s="4">
        <v>342.13011093786645</v>
      </c>
      <c r="F4" s="4">
        <v>412.73585594788807</v>
      </c>
      <c r="G4" s="4">
        <v>393.95604335416812</v>
      </c>
      <c r="H4" s="4">
        <v>495</v>
      </c>
      <c r="I4" s="4">
        <v>270</v>
      </c>
      <c r="J4" s="4">
        <v>360</v>
      </c>
      <c r="K4" s="4">
        <v>529.46835380389962</v>
      </c>
      <c r="L4" s="4">
        <v>595.5428544076658</v>
      </c>
      <c r="M4" s="4">
        <v>465.23332216940105</v>
      </c>
      <c r="N4" s="4">
        <v>627.17523979862915</v>
      </c>
      <c r="O4" s="4">
        <v>627.01399180540909</v>
      </c>
      <c r="P4" s="4">
        <v>554.75596912619699</v>
      </c>
    </row>
    <row r="5" spans="1:20" x14ac:dyDescent="0.25">
      <c r="A5" s="13">
        <v>34500</v>
      </c>
      <c r="B5" s="4">
        <f t="shared" si="0"/>
        <v>61</v>
      </c>
      <c r="C5" s="4">
        <v>166</v>
      </c>
      <c r="D5" s="4">
        <v>384.99540380761141</v>
      </c>
      <c r="E5" s="4">
        <v>367.67210197070239</v>
      </c>
      <c r="F5" s="4">
        <v>421.4770740752233</v>
      </c>
      <c r="G5" s="4">
        <v>403.48042127439186</v>
      </c>
      <c r="H5" s="4">
        <v>495</v>
      </c>
      <c r="I5" s="4">
        <v>270</v>
      </c>
      <c r="J5" s="4">
        <v>360</v>
      </c>
      <c r="K5" s="4">
        <v>558.11803316982162</v>
      </c>
      <c r="L5" s="4">
        <v>617.34533455934979</v>
      </c>
      <c r="M5" s="4">
        <v>513.34097762098827</v>
      </c>
      <c r="N5" s="4">
        <v>641.29262351055343</v>
      </c>
      <c r="O5" s="4">
        <v>632.21708720095</v>
      </c>
      <c r="P5" s="4">
        <v>562.99463111404759</v>
      </c>
    </row>
    <row r="6" spans="1:20" x14ac:dyDescent="0.25">
      <c r="A6" s="13">
        <v>34514</v>
      </c>
      <c r="B6" s="4">
        <f t="shared" si="0"/>
        <v>75</v>
      </c>
      <c r="C6" s="4">
        <v>180</v>
      </c>
      <c r="D6" s="4">
        <v>381.67800693964813</v>
      </c>
      <c r="E6" s="4">
        <v>355.8102033379605</v>
      </c>
      <c r="F6" s="4">
        <v>430.5012089940613</v>
      </c>
      <c r="G6" s="4">
        <v>409.6726607028761</v>
      </c>
      <c r="H6" s="4">
        <v>495</v>
      </c>
      <c r="I6" s="4">
        <v>270</v>
      </c>
      <c r="J6" s="4">
        <v>360</v>
      </c>
      <c r="K6" s="4">
        <v>554.89742622205722</v>
      </c>
      <c r="L6" s="4">
        <v>597.752285281642</v>
      </c>
      <c r="M6" s="4">
        <v>509.04484937376594</v>
      </c>
      <c r="N6" s="4">
        <v>638.94438657652245</v>
      </c>
      <c r="O6" s="4">
        <v>637.00533051696232</v>
      </c>
      <c r="P6" s="4">
        <v>573.92874317192479</v>
      </c>
    </row>
    <row r="7" spans="1:20" x14ac:dyDescent="0.25">
      <c r="A7" s="13">
        <v>34527</v>
      </c>
      <c r="B7" s="4">
        <f t="shared" si="0"/>
        <v>88</v>
      </c>
      <c r="C7" s="4">
        <v>193</v>
      </c>
      <c r="D7" s="4">
        <v>386.27451681444086</v>
      </c>
      <c r="E7" s="4">
        <v>416.16785898236947</v>
      </c>
      <c r="F7" s="4">
        <v>459.66357867906373</v>
      </c>
      <c r="G7" s="4">
        <v>446.69757089142928</v>
      </c>
      <c r="H7" s="4">
        <v>495</v>
      </c>
      <c r="I7" s="4">
        <v>270</v>
      </c>
      <c r="J7" s="4">
        <v>360</v>
      </c>
      <c r="K7" s="4">
        <v>599.82739935013501</v>
      </c>
      <c r="L7" s="4">
        <v>672.54833970323898</v>
      </c>
      <c r="M7" s="4">
        <v>514.57656214329552</v>
      </c>
      <c r="N7" s="4">
        <v>677.48939056311099</v>
      </c>
      <c r="O7" s="4">
        <v>673.06443097461226</v>
      </c>
      <c r="P7" s="4">
        <v>606.5667963937841</v>
      </c>
    </row>
    <row r="8" spans="1:20" x14ac:dyDescent="0.25">
      <c r="A8" s="13">
        <v>34544</v>
      </c>
      <c r="B8" s="4">
        <f t="shared" si="0"/>
        <v>105</v>
      </c>
      <c r="C8" s="4">
        <v>210</v>
      </c>
      <c r="D8" s="4">
        <v>392.32736574708622</v>
      </c>
      <c r="E8" s="4">
        <v>417.72885021501742</v>
      </c>
      <c r="F8" s="4">
        <v>458.86965417209808</v>
      </c>
      <c r="G8" s="4">
        <v>454.81239266099192</v>
      </c>
      <c r="H8" s="4">
        <v>495</v>
      </c>
      <c r="I8" s="4">
        <v>270</v>
      </c>
      <c r="J8" s="4">
        <v>360</v>
      </c>
      <c r="K8" s="4">
        <v>605.01060338893421</v>
      </c>
      <c r="L8" s="4">
        <v>672.928670397941</v>
      </c>
      <c r="M8" s="4">
        <v>520.64655866075259</v>
      </c>
      <c r="N8" s="4">
        <v>698.89519464583157</v>
      </c>
      <c r="O8" s="4">
        <v>687.86447296704011</v>
      </c>
      <c r="P8" s="4">
        <v>607.90049144846955</v>
      </c>
    </row>
    <row r="9" spans="1:20" x14ac:dyDescent="0.25">
      <c r="A9" s="13">
        <v>34557</v>
      </c>
      <c r="B9" s="4">
        <f t="shared" si="0"/>
        <v>118</v>
      </c>
      <c r="C9" s="4">
        <v>223</v>
      </c>
      <c r="D9" s="4">
        <v>378.82656299190859</v>
      </c>
      <c r="E9" s="4">
        <v>408.34518507972689</v>
      </c>
      <c r="F9" s="4">
        <v>418.13081584260004</v>
      </c>
      <c r="G9" s="4" t="e">
        <v>#N/A</v>
      </c>
      <c r="H9" s="4">
        <v>495</v>
      </c>
      <c r="I9" s="4">
        <v>270</v>
      </c>
      <c r="J9" s="4">
        <v>360</v>
      </c>
      <c r="K9" s="4">
        <v>597.96282374649252</v>
      </c>
      <c r="L9" s="4">
        <v>662.5426742501669</v>
      </c>
      <c r="M9" s="4">
        <v>507.44122198233242</v>
      </c>
      <c r="N9" s="4">
        <v>674.71755624358491</v>
      </c>
      <c r="O9" s="4">
        <v>658.24465750431807</v>
      </c>
      <c r="P9" s="4">
        <v>570.07674253698053</v>
      </c>
    </row>
    <row r="10" spans="1:20" x14ac:dyDescent="0.25">
      <c r="A10" s="13">
        <v>34571</v>
      </c>
      <c r="B10" s="4">
        <f t="shared" si="0"/>
        <v>132</v>
      </c>
      <c r="C10" s="4">
        <v>237</v>
      </c>
      <c r="D10" s="4">
        <v>370.79866623591414</v>
      </c>
      <c r="E10" s="4">
        <v>404.39236083870287</v>
      </c>
      <c r="F10" s="4">
        <v>394.4497064744512</v>
      </c>
      <c r="G10" s="4">
        <v>395.01811198227051</v>
      </c>
      <c r="H10" s="4">
        <v>495</v>
      </c>
      <c r="I10" s="4">
        <v>270</v>
      </c>
      <c r="J10" s="4">
        <v>360</v>
      </c>
      <c r="K10" s="4">
        <v>588.96202011659614</v>
      </c>
      <c r="L10" s="4">
        <v>664.4358516142579</v>
      </c>
      <c r="M10" s="4">
        <v>498.91604526679527</v>
      </c>
      <c r="N10" s="4">
        <v>647.13129654336478</v>
      </c>
      <c r="O10" s="4">
        <v>625.39841136891584</v>
      </c>
      <c r="P10" s="4">
        <v>545.1161595328731</v>
      </c>
    </row>
    <row r="11" spans="1:20" x14ac:dyDescent="0.25">
      <c r="A11" s="13">
        <v>34591</v>
      </c>
      <c r="B11" s="4">
        <f t="shared" si="0"/>
        <v>152</v>
      </c>
      <c r="C11" s="4">
        <v>257</v>
      </c>
      <c r="D11" s="4">
        <v>384.83854062101301</v>
      </c>
      <c r="E11" s="4">
        <v>384.80803900779455</v>
      </c>
      <c r="F11" s="4">
        <v>413.27717635518269</v>
      </c>
      <c r="G11" s="4">
        <v>406.73807078834784</v>
      </c>
      <c r="H11" s="4">
        <v>495</v>
      </c>
      <c r="I11" s="4">
        <v>270</v>
      </c>
      <c r="J11" s="4">
        <v>360</v>
      </c>
      <c r="K11" s="4">
        <v>577.52861959683753</v>
      </c>
      <c r="L11" s="4">
        <v>635.62558680899713</v>
      </c>
      <c r="M11" s="4">
        <v>513.49145191601713</v>
      </c>
      <c r="N11" s="4">
        <v>656.08091622601626</v>
      </c>
      <c r="O11" s="4">
        <v>635.96191237651249</v>
      </c>
      <c r="P11" s="4">
        <v>563.52021597325108</v>
      </c>
    </row>
    <row r="12" spans="1:20" x14ac:dyDescent="0.25">
      <c r="A12" s="13"/>
      <c r="B12" s="14"/>
      <c r="C12" s="14"/>
      <c r="D12" s="14"/>
      <c r="E12" s="14"/>
      <c r="F12" s="14"/>
    </row>
    <row r="13" spans="1:20" x14ac:dyDescent="0.25">
      <c r="A13" s="13"/>
      <c r="B13" s="14"/>
      <c r="C13" s="14"/>
      <c r="D13" s="14"/>
      <c r="E13" s="14"/>
      <c r="F13" s="14"/>
    </row>
    <row r="14" spans="1:20" x14ac:dyDescent="0.25">
      <c r="A14" s="13"/>
      <c r="B14" s="14"/>
      <c r="C14" s="14"/>
      <c r="D14" s="14"/>
      <c r="E14" s="14"/>
      <c r="F14" s="14"/>
    </row>
    <row r="15" spans="1:20" x14ac:dyDescent="0.25">
      <c r="A15" s="13"/>
      <c r="B15" s="14"/>
      <c r="C15" s="14"/>
      <c r="D15" s="14"/>
      <c r="E15" s="14"/>
      <c r="F15" s="14"/>
    </row>
    <row r="16" spans="1:20" x14ac:dyDescent="0.25">
      <c r="A16" s="13"/>
      <c r="B16" s="14"/>
      <c r="C16" s="14"/>
      <c r="D16" s="14"/>
      <c r="E16" s="14"/>
      <c r="F16" s="14"/>
    </row>
    <row r="17" spans="1:6" x14ac:dyDescent="0.25">
      <c r="A17" s="13"/>
    </row>
    <row r="18" spans="1:6" x14ac:dyDescent="0.25">
      <c r="A18" s="13"/>
      <c r="E18" s="14"/>
      <c r="F18" s="14"/>
    </row>
    <row r="19" spans="1:6" x14ac:dyDescent="0.25">
      <c r="A19" s="13"/>
      <c r="B19" s="14"/>
      <c r="C19" s="14"/>
      <c r="D19" s="14"/>
      <c r="E19" s="14"/>
    </row>
    <row r="20" spans="1:6" x14ac:dyDescent="0.25">
      <c r="A20" s="13"/>
    </row>
    <row r="21" spans="1:6" x14ac:dyDescent="0.25">
      <c r="A21" s="13"/>
    </row>
    <row r="22" spans="1:6" x14ac:dyDescent="0.25">
      <c r="A22" s="13"/>
      <c r="E22" s="14"/>
      <c r="F22" s="14"/>
    </row>
    <row r="23" spans="1:6" x14ac:dyDescent="0.25">
      <c r="A23" s="13"/>
      <c r="E23" s="14"/>
      <c r="F23" s="14"/>
    </row>
    <row r="24" spans="1:6" x14ac:dyDescent="0.25">
      <c r="A24" s="13"/>
      <c r="E24" s="14"/>
      <c r="F24" s="14"/>
    </row>
    <row r="32" spans="1:6" x14ac:dyDescent="0.25">
      <c r="A32" s="14"/>
      <c r="B32" s="14"/>
      <c r="C32" s="14"/>
      <c r="D32" s="14"/>
      <c r="E32" s="14"/>
    </row>
    <row r="33" spans="1:5" x14ac:dyDescent="0.25">
      <c r="A33" s="14"/>
      <c r="B33" s="14"/>
      <c r="C33" s="14"/>
      <c r="D33" s="14"/>
      <c r="E33" s="14"/>
    </row>
    <row r="34" spans="1:5" x14ac:dyDescent="0.25">
      <c r="A34" s="14"/>
      <c r="B34" s="14"/>
      <c r="C34" s="14"/>
      <c r="D34" s="14"/>
      <c r="E34" s="1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4DA3D-C3E6-42F5-9C36-BC18B3721487}">
  <dimension ref="A1:H8"/>
  <sheetViews>
    <sheetView workbookViewId="0"/>
  </sheetViews>
  <sheetFormatPr defaultRowHeight="13.2" x14ac:dyDescent="0.25"/>
  <cols>
    <col min="1" max="1" width="20.44140625" style="4" customWidth="1"/>
    <col min="2" max="2" width="18.77734375" style="4" customWidth="1"/>
    <col min="3" max="3" width="49.5546875" style="8" customWidth="1"/>
    <col min="4" max="4" width="29.77734375" style="8" customWidth="1"/>
    <col min="5" max="5" width="18.77734375" style="4" customWidth="1"/>
    <col min="6" max="6" width="20.44140625" style="4" customWidth="1"/>
    <col min="7" max="7" width="12" style="4" customWidth="1"/>
    <col min="8" max="8" width="22.21875" style="4" customWidth="1"/>
    <col min="9" max="16384" width="8.88671875" style="4"/>
  </cols>
  <sheetData>
    <row r="1" spans="1:8" ht="34.200000000000003" customHeight="1" x14ac:dyDescent="0.25">
      <c r="A1" s="10" t="s">
        <v>75</v>
      </c>
      <c r="B1" s="10" t="s">
        <v>76</v>
      </c>
      <c r="C1" s="10" t="s">
        <v>77</v>
      </c>
      <c r="D1" s="10" t="s">
        <v>78</v>
      </c>
      <c r="E1" s="10" t="s">
        <v>79</v>
      </c>
      <c r="F1" s="10" t="s">
        <v>80</v>
      </c>
      <c r="G1" s="10" t="s">
        <v>81</v>
      </c>
      <c r="H1" s="10" t="s">
        <v>82</v>
      </c>
    </row>
    <row r="2" spans="1:8" x14ac:dyDescent="0.25">
      <c r="A2" s="4" t="s">
        <v>155</v>
      </c>
      <c r="B2" s="9" t="s">
        <v>4</v>
      </c>
      <c r="C2" s="8" t="s">
        <v>4</v>
      </c>
      <c r="D2" s="8" t="s">
        <v>107</v>
      </c>
      <c r="E2" s="4">
        <v>4</v>
      </c>
      <c r="G2" s="4" t="s">
        <v>85</v>
      </c>
      <c r="H2" s="4" t="s">
        <v>86</v>
      </c>
    </row>
    <row r="3" spans="1:8" x14ac:dyDescent="0.25">
      <c r="A3" s="4" t="s">
        <v>155</v>
      </c>
      <c r="B3" s="9" t="s">
        <v>5</v>
      </c>
      <c r="C3" s="8" t="s">
        <v>88</v>
      </c>
      <c r="D3" s="8" t="s">
        <v>87</v>
      </c>
      <c r="E3" s="4">
        <v>3</v>
      </c>
      <c r="F3" s="4" t="s">
        <v>89</v>
      </c>
      <c r="G3" s="4" t="s">
        <v>85</v>
      </c>
      <c r="H3" s="4" t="s">
        <v>86</v>
      </c>
    </row>
    <row r="4" spans="1:8" ht="28.8" x14ac:dyDescent="0.3">
      <c r="A4" s="4" t="s">
        <v>155</v>
      </c>
      <c r="B4" s="11" t="s">
        <v>6</v>
      </c>
      <c r="C4" s="8" t="s">
        <v>83</v>
      </c>
      <c r="D4" s="15" t="s">
        <v>108</v>
      </c>
      <c r="E4" s="4">
        <v>10</v>
      </c>
      <c r="G4" s="4" t="s">
        <v>85</v>
      </c>
      <c r="H4" s="4" t="s">
        <v>86</v>
      </c>
    </row>
    <row r="5" spans="1:8" ht="26.4" x14ac:dyDescent="0.25">
      <c r="A5" s="4" t="s">
        <v>155</v>
      </c>
      <c r="B5" s="9" t="s">
        <v>7</v>
      </c>
      <c r="C5" s="8" t="s">
        <v>109</v>
      </c>
      <c r="D5" s="8" t="s">
        <v>92</v>
      </c>
      <c r="G5" s="4" t="s">
        <v>85</v>
      </c>
      <c r="H5" s="4" t="s">
        <v>86</v>
      </c>
    </row>
    <row r="6" spans="1:8" ht="52.8" x14ac:dyDescent="0.25">
      <c r="A6" s="4" t="s">
        <v>155</v>
      </c>
      <c r="B6" s="9" t="s">
        <v>8</v>
      </c>
      <c r="C6" s="8" t="s">
        <v>110</v>
      </c>
      <c r="D6" s="8" t="s">
        <v>87</v>
      </c>
      <c r="F6" s="4" t="s">
        <v>111</v>
      </c>
      <c r="G6" s="4" t="s">
        <v>85</v>
      </c>
      <c r="H6" s="4" t="s">
        <v>86</v>
      </c>
    </row>
    <row r="7" spans="1:8" x14ac:dyDescent="0.25">
      <c r="A7" s="4" t="s">
        <v>155</v>
      </c>
      <c r="B7" s="16" t="s">
        <v>9</v>
      </c>
      <c r="C7" s="8" t="s">
        <v>112</v>
      </c>
      <c r="D7" s="8" t="s">
        <v>92</v>
      </c>
      <c r="F7" s="4" t="s">
        <v>113</v>
      </c>
      <c r="G7" s="4" t="s">
        <v>85</v>
      </c>
      <c r="H7" s="4" t="s">
        <v>93</v>
      </c>
    </row>
    <row r="8" spans="1:8" ht="53.4" x14ac:dyDescent="0.3">
      <c r="A8" s="4" t="s">
        <v>155</v>
      </c>
      <c r="B8" s="9" t="s">
        <v>3</v>
      </c>
      <c r="C8" s="8" t="s">
        <v>114</v>
      </c>
      <c r="D8" s="17" t="s">
        <v>115</v>
      </c>
      <c r="E8" s="4">
        <v>6</v>
      </c>
      <c r="H8" s="4" t="s">
        <v>86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AB44-9C56-487D-ACFA-3EBB022E46BC}">
  <dimension ref="A1:Y5521"/>
  <sheetViews>
    <sheetView workbookViewId="0"/>
  </sheetViews>
  <sheetFormatPr defaultRowHeight="13.2" x14ac:dyDescent="0.25"/>
  <cols>
    <col min="1" max="2" width="8.88671875" style="4"/>
    <col min="3" max="3" width="11.109375" style="4" customWidth="1"/>
    <col min="4" max="4" width="11.6640625" style="4" customWidth="1"/>
    <col min="5" max="5" width="8.88671875" style="21"/>
    <col min="6" max="8" width="8.88671875" style="4"/>
    <col min="9" max="9" width="10.109375" style="4" bestFit="1" customWidth="1"/>
    <col min="10" max="10" width="10.109375" style="4" customWidth="1"/>
    <col min="11" max="15" width="8.88671875" style="4"/>
    <col min="16" max="16" width="10.109375" style="4" bestFit="1" customWidth="1"/>
    <col min="17" max="22" width="10.109375" style="4" customWidth="1"/>
    <col min="23" max="16384" width="8.88671875" style="4"/>
  </cols>
  <sheetData>
    <row r="1" spans="1:25" x14ac:dyDescent="0.25">
      <c r="A1" s="18" t="s">
        <v>4</v>
      </c>
      <c r="B1" s="18" t="s">
        <v>5</v>
      </c>
      <c r="C1" s="19" t="s">
        <v>6</v>
      </c>
      <c r="D1" s="18" t="s">
        <v>7</v>
      </c>
      <c r="E1" s="18" t="s">
        <v>8</v>
      </c>
      <c r="F1" s="20" t="s">
        <v>9</v>
      </c>
      <c r="G1" s="4" t="s">
        <v>3</v>
      </c>
      <c r="H1" s="18"/>
      <c r="N1" s="18"/>
      <c r="O1" s="18"/>
    </row>
    <row r="2" spans="1:25" x14ac:dyDescent="0.25">
      <c r="A2" s="4">
        <v>1994</v>
      </c>
      <c r="B2" s="18">
        <v>126</v>
      </c>
      <c r="C2" s="13">
        <v>34460</v>
      </c>
      <c r="D2" s="18">
        <v>230</v>
      </c>
      <c r="E2" s="18">
        <v>1</v>
      </c>
      <c r="F2" s="20">
        <v>0.17615553699057232</v>
      </c>
      <c r="G2" s="4" t="s">
        <v>0</v>
      </c>
      <c r="H2" s="18"/>
      <c r="N2" s="18"/>
      <c r="O2" s="18"/>
      <c r="P2" s="19"/>
    </row>
    <row r="3" spans="1:25" x14ac:dyDescent="0.25">
      <c r="A3" s="4">
        <v>1994</v>
      </c>
      <c r="B3" s="18">
        <v>126</v>
      </c>
      <c r="C3" s="13">
        <v>34460</v>
      </c>
      <c r="D3" s="18">
        <v>230</v>
      </c>
      <c r="E3" s="18">
        <v>2</v>
      </c>
      <c r="F3" s="20">
        <v>0.23551256133917303</v>
      </c>
      <c r="G3" s="4" t="s">
        <v>0</v>
      </c>
      <c r="H3" s="18"/>
      <c r="N3" s="18"/>
      <c r="O3" s="18"/>
      <c r="P3" s="19"/>
    </row>
    <row r="4" spans="1:25" x14ac:dyDescent="0.25">
      <c r="A4" s="4">
        <v>1994</v>
      </c>
      <c r="B4" s="18">
        <v>126</v>
      </c>
      <c r="C4" s="13">
        <v>34460</v>
      </c>
      <c r="D4" s="18">
        <v>230</v>
      </c>
      <c r="E4" s="18">
        <v>3</v>
      </c>
      <c r="F4" s="20">
        <v>0.23965436259371981</v>
      </c>
      <c r="G4" s="4" t="s">
        <v>0</v>
      </c>
      <c r="H4" s="18"/>
      <c r="X4" s="18"/>
    </row>
    <row r="5" spans="1:25" x14ac:dyDescent="0.25">
      <c r="A5" s="4">
        <v>1994</v>
      </c>
      <c r="B5" s="18">
        <v>126</v>
      </c>
      <c r="C5" s="13">
        <v>34460</v>
      </c>
      <c r="D5" s="18">
        <v>230</v>
      </c>
      <c r="E5" s="18">
        <v>4</v>
      </c>
      <c r="F5" s="20">
        <v>0.25622156761190706</v>
      </c>
      <c r="G5" s="4" t="s">
        <v>0</v>
      </c>
      <c r="H5" s="18"/>
      <c r="Y5" s="18"/>
    </row>
    <row r="6" spans="1:25" x14ac:dyDescent="0.25">
      <c r="A6" s="4">
        <v>1994</v>
      </c>
      <c r="B6" s="18">
        <v>126</v>
      </c>
      <c r="C6" s="13">
        <v>34460</v>
      </c>
      <c r="D6" s="18">
        <v>230</v>
      </c>
      <c r="E6" s="18">
        <v>5</v>
      </c>
      <c r="F6" s="20" t="e">
        <v>#N/A</v>
      </c>
      <c r="G6" s="4" t="s">
        <v>1</v>
      </c>
      <c r="H6" s="18"/>
    </row>
    <row r="7" spans="1:25" x14ac:dyDescent="0.25">
      <c r="A7" s="4">
        <v>1994</v>
      </c>
      <c r="B7" s="18">
        <v>126</v>
      </c>
      <c r="C7" s="13">
        <v>34460</v>
      </c>
      <c r="D7" s="18">
        <v>230</v>
      </c>
      <c r="E7" s="18">
        <v>6</v>
      </c>
      <c r="F7" s="20" t="e">
        <v>#N/A</v>
      </c>
      <c r="G7" s="4" t="s">
        <v>1</v>
      </c>
      <c r="H7" s="18"/>
    </row>
    <row r="8" spans="1:25" x14ac:dyDescent="0.25">
      <c r="A8" s="4">
        <v>1994</v>
      </c>
      <c r="B8" s="18">
        <v>126</v>
      </c>
      <c r="C8" s="13">
        <v>34460</v>
      </c>
      <c r="D8" s="18">
        <v>230</v>
      </c>
      <c r="E8" s="18">
        <v>7</v>
      </c>
      <c r="F8" s="20" t="e">
        <v>#N/A</v>
      </c>
      <c r="G8" s="4" t="s">
        <v>130</v>
      </c>
      <c r="H8" s="18"/>
    </row>
    <row r="9" spans="1:25" x14ac:dyDescent="0.25">
      <c r="A9" s="4">
        <v>1994</v>
      </c>
      <c r="B9" s="18">
        <v>126</v>
      </c>
      <c r="C9" s="13">
        <v>34460</v>
      </c>
      <c r="D9" s="18">
        <v>230</v>
      </c>
      <c r="E9" s="18">
        <v>8</v>
      </c>
      <c r="F9" s="20">
        <v>0.25210614725707076</v>
      </c>
      <c r="G9" s="4" t="s">
        <v>130</v>
      </c>
      <c r="H9" s="18"/>
    </row>
    <row r="10" spans="1:25" x14ac:dyDescent="0.25">
      <c r="A10" s="4">
        <v>1994</v>
      </c>
      <c r="B10" s="18">
        <v>126</v>
      </c>
      <c r="C10" s="13">
        <v>34460</v>
      </c>
      <c r="D10" s="18">
        <v>230</v>
      </c>
      <c r="E10" s="18">
        <v>9</v>
      </c>
      <c r="F10" s="20">
        <v>0.24197588176824286</v>
      </c>
      <c r="G10" s="4" t="s">
        <v>130</v>
      </c>
      <c r="H10" s="18"/>
    </row>
    <row r="11" spans="1:25" x14ac:dyDescent="0.25">
      <c r="A11" s="4">
        <v>1994</v>
      </c>
      <c r="B11" s="18">
        <v>126</v>
      </c>
      <c r="C11" s="13">
        <v>34460</v>
      </c>
      <c r="D11" s="18">
        <v>230</v>
      </c>
      <c r="E11" s="18">
        <v>10</v>
      </c>
      <c r="F11" s="20">
        <v>0.26139222395516293</v>
      </c>
      <c r="G11" s="4" t="s">
        <v>130</v>
      </c>
      <c r="H11" s="18"/>
    </row>
    <row r="12" spans="1:25" x14ac:dyDescent="0.25">
      <c r="A12" s="4">
        <v>1994</v>
      </c>
      <c r="B12" s="18">
        <v>126</v>
      </c>
      <c r="C12" s="13">
        <v>34460</v>
      </c>
      <c r="D12" s="18">
        <v>230</v>
      </c>
      <c r="E12" s="18">
        <v>11</v>
      </c>
      <c r="F12" s="20" t="e">
        <v>#N/A</v>
      </c>
      <c r="G12" s="4" t="s">
        <v>131</v>
      </c>
      <c r="H12" s="18"/>
    </row>
    <row r="13" spans="1:25" x14ac:dyDescent="0.25">
      <c r="A13" s="4">
        <v>1994</v>
      </c>
      <c r="B13" s="18">
        <v>126</v>
      </c>
      <c r="C13" s="13">
        <v>34460</v>
      </c>
      <c r="D13" s="18">
        <v>230</v>
      </c>
      <c r="E13" s="18">
        <v>12</v>
      </c>
      <c r="F13" s="20" t="e">
        <v>#N/A</v>
      </c>
      <c r="G13" s="4" t="s">
        <v>131</v>
      </c>
      <c r="H13" s="18"/>
    </row>
    <row r="14" spans="1:25" x14ac:dyDescent="0.25">
      <c r="A14" s="4">
        <v>1994</v>
      </c>
      <c r="B14" s="18">
        <v>126</v>
      </c>
      <c r="C14" s="13">
        <v>34460</v>
      </c>
      <c r="D14" s="18">
        <v>210</v>
      </c>
      <c r="E14" s="18">
        <v>1</v>
      </c>
      <c r="F14" s="20">
        <v>0.18610113618142676</v>
      </c>
      <c r="G14" s="4" t="s">
        <v>0</v>
      </c>
      <c r="H14" s="18"/>
    </row>
    <row r="15" spans="1:25" x14ac:dyDescent="0.25">
      <c r="A15" s="4">
        <v>1994</v>
      </c>
      <c r="B15" s="18">
        <v>126</v>
      </c>
      <c r="C15" s="13">
        <v>34460</v>
      </c>
      <c r="D15" s="18">
        <v>210</v>
      </c>
      <c r="E15" s="18">
        <v>2</v>
      </c>
      <c r="F15" s="20">
        <v>0.25255462255214906</v>
      </c>
      <c r="G15" s="4" t="s">
        <v>0</v>
      </c>
      <c r="H15" s="18"/>
    </row>
    <row r="16" spans="1:25" x14ac:dyDescent="0.25">
      <c r="A16" s="4">
        <v>1994</v>
      </c>
      <c r="B16" s="18">
        <v>126</v>
      </c>
      <c r="C16" s="13">
        <v>34460</v>
      </c>
      <c r="D16" s="18">
        <v>210</v>
      </c>
      <c r="E16" s="18">
        <v>3</v>
      </c>
      <c r="F16" s="20">
        <v>0.2436642593497142</v>
      </c>
      <c r="G16" s="4" t="s">
        <v>0</v>
      </c>
      <c r="H16" s="18"/>
    </row>
    <row r="17" spans="1:8" x14ac:dyDescent="0.25">
      <c r="A17" s="4">
        <v>1994</v>
      </c>
      <c r="B17" s="18">
        <v>126</v>
      </c>
      <c r="C17" s="13">
        <v>34460</v>
      </c>
      <c r="D17" s="18">
        <v>210</v>
      </c>
      <c r="E17" s="18">
        <v>4</v>
      </c>
      <c r="F17" s="20">
        <v>0.26661564209783978</v>
      </c>
      <c r="G17" s="4" t="s">
        <v>0</v>
      </c>
      <c r="H17" s="18"/>
    </row>
    <row r="18" spans="1:8" x14ac:dyDescent="0.25">
      <c r="A18" s="4">
        <v>1994</v>
      </c>
      <c r="B18" s="18">
        <v>126</v>
      </c>
      <c r="C18" s="13">
        <v>34460</v>
      </c>
      <c r="D18" s="18">
        <v>210</v>
      </c>
      <c r="E18" s="18">
        <v>5</v>
      </c>
      <c r="F18" s="20" t="e">
        <v>#N/A</v>
      </c>
      <c r="G18" s="4" t="s">
        <v>1</v>
      </c>
      <c r="H18" s="18"/>
    </row>
    <row r="19" spans="1:8" x14ac:dyDescent="0.25">
      <c r="A19" s="4">
        <v>1994</v>
      </c>
      <c r="B19" s="18">
        <v>126</v>
      </c>
      <c r="C19" s="13">
        <v>34460</v>
      </c>
      <c r="D19" s="18">
        <v>210</v>
      </c>
      <c r="E19" s="18">
        <v>6</v>
      </c>
      <c r="F19" s="20" t="e">
        <v>#N/A</v>
      </c>
      <c r="G19" s="4" t="s">
        <v>1</v>
      </c>
      <c r="H19" s="18"/>
    </row>
    <row r="20" spans="1:8" x14ac:dyDescent="0.25">
      <c r="A20" s="4">
        <v>1994</v>
      </c>
      <c r="B20" s="18">
        <v>126</v>
      </c>
      <c r="C20" s="13">
        <v>34460</v>
      </c>
      <c r="D20" s="18">
        <v>210</v>
      </c>
      <c r="E20" s="18">
        <v>7</v>
      </c>
      <c r="F20" s="20" t="e">
        <v>#N/A</v>
      </c>
      <c r="G20" s="4" t="s">
        <v>130</v>
      </c>
      <c r="H20" s="18"/>
    </row>
    <row r="21" spans="1:8" x14ac:dyDescent="0.25">
      <c r="A21" s="4">
        <v>1994</v>
      </c>
      <c r="B21" s="18">
        <v>126</v>
      </c>
      <c r="C21" s="13">
        <v>34460</v>
      </c>
      <c r="D21" s="18">
        <v>210</v>
      </c>
      <c r="E21" s="18">
        <v>8</v>
      </c>
      <c r="F21" s="20">
        <v>0.24400721104595052</v>
      </c>
      <c r="G21" s="4" t="s">
        <v>130</v>
      </c>
      <c r="H21" s="18"/>
    </row>
    <row r="22" spans="1:8" x14ac:dyDescent="0.25">
      <c r="A22" s="4">
        <v>1994</v>
      </c>
      <c r="B22" s="18">
        <v>126</v>
      </c>
      <c r="C22" s="13">
        <v>34460</v>
      </c>
      <c r="D22" s="18">
        <v>210</v>
      </c>
      <c r="E22" s="18">
        <v>9</v>
      </c>
      <c r="F22" s="20">
        <v>0.24688272911439385</v>
      </c>
      <c r="G22" s="4" t="s">
        <v>130</v>
      </c>
      <c r="H22" s="18"/>
    </row>
    <row r="23" spans="1:8" x14ac:dyDescent="0.25">
      <c r="A23" s="4">
        <v>1994</v>
      </c>
      <c r="B23" s="18">
        <v>126</v>
      </c>
      <c r="C23" s="13">
        <v>34460</v>
      </c>
      <c r="D23" s="18">
        <v>210</v>
      </c>
      <c r="E23" s="18">
        <v>10</v>
      </c>
      <c r="F23" s="20">
        <v>0.26811935338133769</v>
      </c>
      <c r="G23" s="4" t="s">
        <v>130</v>
      </c>
      <c r="H23" s="18"/>
    </row>
    <row r="24" spans="1:8" x14ac:dyDescent="0.25">
      <c r="A24" s="4">
        <v>1994</v>
      </c>
      <c r="B24" s="18">
        <v>126</v>
      </c>
      <c r="C24" s="13">
        <v>34460</v>
      </c>
      <c r="D24" s="18">
        <v>210</v>
      </c>
      <c r="E24" s="18">
        <v>11</v>
      </c>
      <c r="F24" s="20" t="e">
        <v>#N/A</v>
      </c>
      <c r="G24" s="4" t="s">
        <v>131</v>
      </c>
      <c r="H24" s="18"/>
    </row>
    <row r="25" spans="1:8" x14ac:dyDescent="0.25">
      <c r="A25" s="4">
        <v>1994</v>
      </c>
      <c r="B25" s="18">
        <v>126</v>
      </c>
      <c r="C25" s="13">
        <v>34460</v>
      </c>
      <c r="D25" s="18">
        <v>210</v>
      </c>
      <c r="E25" s="18">
        <v>12</v>
      </c>
      <c r="F25" s="20" t="e">
        <v>#N/A</v>
      </c>
      <c r="G25" s="4" t="s">
        <v>131</v>
      </c>
      <c r="H25" s="18"/>
    </row>
    <row r="26" spans="1:8" x14ac:dyDescent="0.25">
      <c r="A26" s="4">
        <v>1994</v>
      </c>
      <c r="B26" s="18">
        <v>126</v>
      </c>
      <c r="C26" s="13">
        <v>34460</v>
      </c>
      <c r="D26" s="18">
        <v>190</v>
      </c>
      <c r="E26" s="18">
        <v>1</v>
      </c>
      <c r="F26" s="20">
        <v>0.21512012586296489</v>
      </c>
      <c r="G26" s="4" t="s">
        <v>0</v>
      </c>
      <c r="H26" s="18"/>
    </row>
    <row r="27" spans="1:8" x14ac:dyDescent="0.25">
      <c r="A27" s="4">
        <v>1994</v>
      </c>
      <c r="B27" s="18">
        <v>126</v>
      </c>
      <c r="C27" s="13">
        <v>34460</v>
      </c>
      <c r="D27" s="18">
        <v>190</v>
      </c>
      <c r="E27" s="18">
        <v>2</v>
      </c>
      <c r="F27" s="20">
        <v>0.26347631503229157</v>
      </c>
      <c r="G27" s="4" t="s">
        <v>0</v>
      </c>
      <c r="H27" s="18"/>
    </row>
    <row r="28" spans="1:8" x14ac:dyDescent="0.25">
      <c r="A28" s="4">
        <v>1994</v>
      </c>
      <c r="B28" s="18">
        <v>126</v>
      </c>
      <c r="C28" s="13">
        <v>34460</v>
      </c>
      <c r="D28" s="18">
        <v>190</v>
      </c>
      <c r="E28" s="18">
        <v>3</v>
      </c>
      <c r="F28" s="20">
        <v>0.26479536001781601</v>
      </c>
      <c r="G28" s="4" t="s">
        <v>0</v>
      </c>
      <c r="H28" s="18"/>
    </row>
    <row r="29" spans="1:8" x14ac:dyDescent="0.25">
      <c r="A29" s="4">
        <v>1994</v>
      </c>
      <c r="B29" s="18">
        <v>126</v>
      </c>
      <c r="C29" s="13">
        <v>34460</v>
      </c>
      <c r="D29" s="18">
        <v>190</v>
      </c>
      <c r="E29" s="18">
        <v>4</v>
      </c>
      <c r="F29" s="20">
        <v>0.27009792085962436</v>
      </c>
      <c r="G29" s="4" t="s">
        <v>0</v>
      </c>
      <c r="H29" s="18"/>
    </row>
    <row r="30" spans="1:8" x14ac:dyDescent="0.25">
      <c r="A30" s="4">
        <v>1994</v>
      </c>
      <c r="B30" s="18">
        <v>126</v>
      </c>
      <c r="C30" s="13">
        <v>34460</v>
      </c>
      <c r="D30" s="18">
        <v>190</v>
      </c>
      <c r="E30" s="18">
        <v>5</v>
      </c>
      <c r="F30" s="20">
        <v>0.23261066237101918</v>
      </c>
      <c r="G30" s="4" t="s">
        <v>1</v>
      </c>
      <c r="H30" s="18"/>
    </row>
    <row r="31" spans="1:8" x14ac:dyDescent="0.25">
      <c r="A31" s="4">
        <v>1994</v>
      </c>
      <c r="B31" s="18">
        <v>126</v>
      </c>
      <c r="C31" s="13">
        <v>34460</v>
      </c>
      <c r="D31" s="18">
        <v>190</v>
      </c>
      <c r="E31" s="18">
        <v>6</v>
      </c>
      <c r="F31" s="20">
        <v>0.2559841395145126</v>
      </c>
      <c r="G31" s="4" t="s">
        <v>1</v>
      </c>
      <c r="H31" s="18"/>
    </row>
    <row r="32" spans="1:8" x14ac:dyDescent="0.25">
      <c r="A32" s="4">
        <v>1994</v>
      </c>
      <c r="B32" s="18">
        <v>126</v>
      </c>
      <c r="C32" s="13">
        <v>34460</v>
      </c>
      <c r="D32" s="18">
        <v>190</v>
      </c>
      <c r="E32" s="18">
        <v>7</v>
      </c>
      <c r="F32" s="20" t="e">
        <v>#N/A</v>
      </c>
      <c r="G32" s="4" t="s">
        <v>130</v>
      </c>
      <c r="H32" s="18"/>
    </row>
    <row r="33" spans="1:8" x14ac:dyDescent="0.25">
      <c r="A33" s="4">
        <v>1994</v>
      </c>
      <c r="B33" s="18">
        <v>126</v>
      </c>
      <c r="C33" s="13">
        <v>34460</v>
      </c>
      <c r="D33" s="18">
        <v>190</v>
      </c>
      <c r="E33" s="18">
        <v>8</v>
      </c>
      <c r="F33" s="20">
        <v>0.25569394961769726</v>
      </c>
      <c r="G33" s="4" t="s">
        <v>130</v>
      </c>
      <c r="H33" s="18"/>
    </row>
    <row r="34" spans="1:8" x14ac:dyDescent="0.25">
      <c r="A34" s="4">
        <v>1994</v>
      </c>
      <c r="B34" s="18">
        <v>126</v>
      </c>
      <c r="C34" s="13">
        <v>34460</v>
      </c>
      <c r="D34" s="18">
        <v>190</v>
      </c>
      <c r="E34" s="18">
        <v>9</v>
      </c>
      <c r="F34" s="20">
        <v>0.249045962890654</v>
      </c>
      <c r="G34" s="4" t="s">
        <v>130</v>
      </c>
      <c r="H34" s="18"/>
    </row>
    <row r="35" spans="1:8" x14ac:dyDescent="0.25">
      <c r="A35" s="4">
        <v>1994</v>
      </c>
      <c r="B35" s="18">
        <v>126</v>
      </c>
      <c r="C35" s="13">
        <v>34460</v>
      </c>
      <c r="D35" s="18">
        <v>190</v>
      </c>
      <c r="E35" s="18">
        <v>10</v>
      </c>
      <c r="F35" s="20">
        <v>0.26418859932447475</v>
      </c>
      <c r="G35" s="4" t="s">
        <v>130</v>
      </c>
      <c r="H35" s="18"/>
    </row>
    <row r="36" spans="1:8" x14ac:dyDescent="0.25">
      <c r="A36" s="4">
        <v>1994</v>
      </c>
      <c r="B36" s="18">
        <v>126</v>
      </c>
      <c r="C36" s="13">
        <v>34460</v>
      </c>
      <c r="D36" s="18">
        <v>190</v>
      </c>
      <c r="E36" s="18">
        <v>11</v>
      </c>
      <c r="F36" s="20">
        <v>0.2849239864969193</v>
      </c>
      <c r="G36" s="4" t="s">
        <v>131</v>
      </c>
      <c r="H36" s="18"/>
    </row>
    <row r="37" spans="1:8" x14ac:dyDescent="0.25">
      <c r="A37" s="4">
        <v>1994</v>
      </c>
      <c r="B37" s="18">
        <v>126</v>
      </c>
      <c r="C37" s="13">
        <v>34460</v>
      </c>
      <c r="D37" s="18">
        <v>190</v>
      </c>
      <c r="E37" s="18">
        <v>12</v>
      </c>
      <c r="F37" s="20">
        <v>0.28529331909286615</v>
      </c>
      <c r="G37" s="4" t="s">
        <v>131</v>
      </c>
      <c r="H37" s="18"/>
    </row>
    <row r="38" spans="1:8" x14ac:dyDescent="0.25">
      <c r="A38" s="4">
        <v>1994</v>
      </c>
      <c r="B38" s="18">
        <v>126</v>
      </c>
      <c r="C38" s="13">
        <v>34460</v>
      </c>
      <c r="D38" s="18">
        <v>170</v>
      </c>
      <c r="E38" s="18">
        <v>1</v>
      </c>
      <c r="F38" s="20">
        <v>0.24522073243263304</v>
      </c>
      <c r="G38" s="4" t="s">
        <v>0</v>
      </c>
      <c r="H38" s="18"/>
    </row>
    <row r="39" spans="1:8" x14ac:dyDescent="0.25">
      <c r="A39" s="4">
        <v>1994</v>
      </c>
      <c r="B39" s="18">
        <v>126</v>
      </c>
      <c r="C39" s="13">
        <v>34460</v>
      </c>
      <c r="D39" s="18">
        <v>170</v>
      </c>
      <c r="E39" s="18">
        <v>2</v>
      </c>
      <c r="F39" s="20">
        <v>0.26017870256848041</v>
      </c>
      <c r="G39" s="4" t="s">
        <v>0</v>
      </c>
      <c r="H39" s="18"/>
    </row>
    <row r="40" spans="1:8" x14ac:dyDescent="0.25">
      <c r="A40" s="4">
        <v>1994</v>
      </c>
      <c r="B40" s="18">
        <v>126</v>
      </c>
      <c r="C40" s="13">
        <v>34460</v>
      </c>
      <c r="D40" s="18">
        <v>170</v>
      </c>
      <c r="E40" s="18">
        <v>3</v>
      </c>
      <c r="F40" s="20">
        <v>0.27732628738029841</v>
      </c>
      <c r="G40" s="4" t="s">
        <v>0</v>
      </c>
      <c r="H40" s="18"/>
    </row>
    <row r="41" spans="1:8" x14ac:dyDescent="0.25">
      <c r="A41" s="4">
        <v>1994</v>
      </c>
      <c r="B41" s="18">
        <v>126</v>
      </c>
      <c r="C41" s="13">
        <v>34460</v>
      </c>
      <c r="D41" s="18">
        <v>170</v>
      </c>
      <c r="E41" s="18">
        <v>4</v>
      </c>
      <c r="F41" s="20">
        <v>0.27220839283646353</v>
      </c>
      <c r="G41" s="4" t="s">
        <v>0</v>
      </c>
      <c r="H41" s="18"/>
    </row>
    <row r="42" spans="1:8" x14ac:dyDescent="0.25">
      <c r="A42" s="4">
        <v>1994</v>
      </c>
      <c r="B42" s="18">
        <v>126</v>
      </c>
      <c r="C42" s="13">
        <v>34460</v>
      </c>
      <c r="D42" s="18">
        <v>170</v>
      </c>
      <c r="E42" s="18">
        <v>5</v>
      </c>
      <c r="F42" s="20">
        <v>0.25057605507386232</v>
      </c>
      <c r="G42" s="4" t="s">
        <v>1</v>
      </c>
      <c r="H42" s="18"/>
    </row>
    <row r="43" spans="1:8" x14ac:dyDescent="0.25">
      <c r="A43" s="4">
        <v>1994</v>
      </c>
      <c r="B43" s="18">
        <v>126</v>
      </c>
      <c r="C43" s="13">
        <v>34460</v>
      </c>
      <c r="D43" s="18">
        <v>170</v>
      </c>
      <c r="E43" s="18">
        <v>6</v>
      </c>
      <c r="F43" s="20">
        <v>0.26484812181723699</v>
      </c>
      <c r="G43" s="4" t="s">
        <v>1</v>
      </c>
      <c r="H43" s="18"/>
    </row>
    <row r="44" spans="1:8" x14ac:dyDescent="0.25">
      <c r="A44" s="4">
        <v>1994</v>
      </c>
      <c r="B44" s="18">
        <v>126</v>
      </c>
      <c r="C44" s="13">
        <v>34460</v>
      </c>
      <c r="D44" s="18">
        <v>170</v>
      </c>
      <c r="E44" s="18">
        <v>7</v>
      </c>
      <c r="F44" s="20" t="e">
        <v>#N/A</v>
      </c>
      <c r="G44" s="4" t="s">
        <v>130</v>
      </c>
      <c r="H44" s="18"/>
    </row>
    <row r="45" spans="1:8" x14ac:dyDescent="0.25">
      <c r="A45" s="4">
        <v>1994</v>
      </c>
      <c r="B45" s="18">
        <v>126</v>
      </c>
      <c r="C45" s="13">
        <v>34460</v>
      </c>
      <c r="D45" s="18">
        <v>170</v>
      </c>
      <c r="E45" s="18">
        <v>8</v>
      </c>
      <c r="F45" s="20">
        <v>0.26418859932447475</v>
      </c>
      <c r="G45" s="4" t="s">
        <v>130</v>
      </c>
      <c r="H45" s="18"/>
    </row>
    <row r="46" spans="1:8" x14ac:dyDescent="0.25">
      <c r="A46" s="4">
        <v>1994</v>
      </c>
      <c r="B46" s="18">
        <v>126</v>
      </c>
      <c r="C46" s="13">
        <v>34460</v>
      </c>
      <c r="D46" s="18">
        <v>170</v>
      </c>
      <c r="E46" s="18">
        <v>9</v>
      </c>
      <c r="F46" s="20">
        <v>0.25788356429366782</v>
      </c>
      <c r="G46" s="4" t="s">
        <v>130</v>
      </c>
      <c r="H46" s="18"/>
    </row>
    <row r="47" spans="1:8" x14ac:dyDescent="0.25">
      <c r="A47" s="4">
        <v>1994</v>
      </c>
      <c r="B47" s="18">
        <v>126</v>
      </c>
      <c r="C47" s="13">
        <v>34460</v>
      </c>
      <c r="D47" s="18">
        <v>170</v>
      </c>
      <c r="E47" s="18">
        <v>10</v>
      </c>
      <c r="F47" s="20">
        <v>0.26215727004676714</v>
      </c>
      <c r="G47" s="4" t="s">
        <v>130</v>
      </c>
      <c r="H47" s="18"/>
    </row>
    <row r="48" spans="1:8" x14ac:dyDescent="0.25">
      <c r="A48" s="4">
        <v>1994</v>
      </c>
      <c r="B48" s="18">
        <v>126</v>
      </c>
      <c r="C48" s="13">
        <v>34460</v>
      </c>
      <c r="D48" s="18">
        <v>170</v>
      </c>
      <c r="E48" s="18">
        <v>11</v>
      </c>
      <c r="F48" s="20">
        <v>0.26730154549031249</v>
      </c>
      <c r="G48" s="4" t="s">
        <v>131</v>
      </c>
      <c r="H48" s="18"/>
    </row>
    <row r="49" spans="1:8" x14ac:dyDescent="0.25">
      <c r="A49" s="4">
        <v>1994</v>
      </c>
      <c r="B49" s="18">
        <v>126</v>
      </c>
      <c r="C49" s="13">
        <v>34460</v>
      </c>
      <c r="D49" s="18">
        <v>170</v>
      </c>
      <c r="E49" s="18">
        <v>12</v>
      </c>
      <c r="F49" s="20">
        <v>0.27693057388464104</v>
      </c>
      <c r="G49" s="4" t="s">
        <v>131</v>
      </c>
      <c r="H49" s="18"/>
    </row>
    <row r="50" spans="1:8" x14ac:dyDescent="0.25">
      <c r="A50" s="4">
        <v>1994</v>
      </c>
      <c r="B50" s="18">
        <v>126</v>
      </c>
      <c r="C50" s="13">
        <v>34460</v>
      </c>
      <c r="D50" s="18">
        <v>150</v>
      </c>
      <c r="E50" s="18">
        <v>1</v>
      </c>
      <c r="F50" s="20">
        <v>0.26716964099176005</v>
      </c>
      <c r="G50" s="4" t="s">
        <v>0</v>
      </c>
      <c r="H50" s="18"/>
    </row>
    <row r="51" spans="1:8" x14ac:dyDescent="0.25">
      <c r="A51" s="4">
        <v>1994</v>
      </c>
      <c r="B51" s="18">
        <v>126</v>
      </c>
      <c r="C51" s="13">
        <v>34460</v>
      </c>
      <c r="D51" s="18">
        <v>150</v>
      </c>
      <c r="E51" s="18">
        <v>2</v>
      </c>
      <c r="F51" s="20">
        <v>0.17974333935119888</v>
      </c>
      <c r="G51" s="4" t="s">
        <v>0</v>
      </c>
      <c r="H51" s="18"/>
    </row>
    <row r="52" spans="1:8" x14ac:dyDescent="0.25">
      <c r="A52" s="4">
        <v>1994</v>
      </c>
      <c r="B52" s="18">
        <v>126</v>
      </c>
      <c r="C52" s="13">
        <v>34460</v>
      </c>
      <c r="D52" s="18">
        <v>150</v>
      </c>
      <c r="E52" s="18">
        <v>3</v>
      </c>
      <c r="F52" s="20">
        <v>0.28384236960878922</v>
      </c>
      <c r="G52" s="4" t="s">
        <v>0</v>
      </c>
      <c r="H52" s="18"/>
    </row>
    <row r="53" spans="1:8" x14ac:dyDescent="0.25">
      <c r="A53" s="4">
        <v>1994</v>
      </c>
      <c r="B53" s="18">
        <v>126</v>
      </c>
      <c r="C53" s="13">
        <v>34460</v>
      </c>
      <c r="D53" s="18">
        <v>150</v>
      </c>
      <c r="E53" s="18">
        <v>4</v>
      </c>
      <c r="F53" s="20">
        <v>0.27226115463588452</v>
      </c>
      <c r="G53" s="4" t="s">
        <v>0</v>
      </c>
      <c r="H53" s="18"/>
    </row>
    <row r="54" spans="1:8" x14ac:dyDescent="0.25">
      <c r="A54" s="4">
        <v>1994</v>
      </c>
      <c r="B54" s="18">
        <v>126</v>
      </c>
      <c r="C54" s="13">
        <v>34460</v>
      </c>
      <c r="D54" s="18">
        <v>150</v>
      </c>
      <c r="E54" s="18">
        <v>5</v>
      </c>
      <c r="F54" s="20">
        <v>0.25706575640264268</v>
      </c>
      <c r="G54" s="4" t="s">
        <v>1</v>
      </c>
      <c r="H54" s="18"/>
    </row>
    <row r="55" spans="1:8" x14ac:dyDescent="0.25">
      <c r="A55" s="4">
        <v>1994</v>
      </c>
      <c r="B55" s="18">
        <v>126</v>
      </c>
      <c r="C55" s="13">
        <v>34460</v>
      </c>
      <c r="D55" s="18">
        <v>150</v>
      </c>
      <c r="E55" s="18">
        <v>6</v>
      </c>
      <c r="F55" s="20">
        <v>0.26906906577091527</v>
      </c>
      <c r="G55" s="4" t="s">
        <v>1</v>
      </c>
      <c r="H55" s="18"/>
    </row>
    <row r="56" spans="1:8" x14ac:dyDescent="0.25">
      <c r="A56" s="4">
        <v>1994</v>
      </c>
      <c r="B56" s="18">
        <v>126</v>
      </c>
      <c r="C56" s="13">
        <v>34460</v>
      </c>
      <c r="D56" s="18">
        <v>150</v>
      </c>
      <c r="E56" s="18">
        <v>7</v>
      </c>
      <c r="F56" s="20" t="e">
        <v>#N/A</v>
      </c>
      <c r="G56" s="4" t="s">
        <v>130</v>
      </c>
      <c r="H56" s="18"/>
    </row>
    <row r="57" spans="1:8" x14ac:dyDescent="0.25">
      <c r="A57" s="4">
        <v>1994</v>
      </c>
      <c r="B57" s="18">
        <v>126</v>
      </c>
      <c r="C57" s="13">
        <v>34460</v>
      </c>
      <c r="D57" s="18">
        <v>150</v>
      </c>
      <c r="E57" s="18">
        <v>8</v>
      </c>
      <c r="F57" s="20">
        <v>0.28075580434266201</v>
      </c>
      <c r="G57" s="4" t="s">
        <v>130</v>
      </c>
      <c r="H57" s="18"/>
    </row>
    <row r="58" spans="1:8" x14ac:dyDescent="0.25">
      <c r="A58" s="4">
        <v>1994</v>
      </c>
      <c r="B58" s="18">
        <v>126</v>
      </c>
      <c r="C58" s="13">
        <v>34460</v>
      </c>
      <c r="D58" s="18">
        <v>150</v>
      </c>
      <c r="E58" s="18">
        <v>9</v>
      </c>
      <c r="F58" s="20">
        <v>0.27914656946032212</v>
      </c>
      <c r="G58" s="4" t="s">
        <v>130</v>
      </c>
      <c r="H58" s="18"/>
    </row>
    <row r="59" spans="1:8" x14ac:dyDescent="0.25">
      <c r="A59" s="4">
        <v>1994</v>
      </c>
      <c r="B59" s="18">
        <v>126</v>
      </c>
      <c r="C59" s="13">
        <v>34460</v>
      </c>
      <c r="D59" s="18">
        <v>150</v>
      </c>
      <c r="E59" s="18">
        <v>10</v>
      </c>
      <c r="F59" s="20">
        <v>0.27729990648058789</v>
      </c>
      <c r="G59" s="4" t="s">
        <v>130</v>
      </c>
      <c r="H59" s="18"/>
    </row>
    <row r="60" spans="1:8" x14ac:dyDescent="0.25">
      <c r="A60" s="4">
        <v>1994</v>
      </c>
      <c r="B60" s="18">
        <v>126</v>
      </c>
      <c r="C60" s="13">
        <v>34460</v>
      </c>
      <c r="D60" s="18">
        <v>150</v>
      </c>
      <c r="E60" s="18">
        <v>11</v>
      </c>
      <c r="F60" s="20">
        <v>0.29431558679385345</v>
      </c>
      <c r="G60" s="4" t="s">
        <v>131</v>
      </c>
      <c r="H60" s="18"/>
    </row>
    <row r="61" spans="1:8" x14ac:dyDescent="0.25">
      <c r="A61" s="4">
        <v>1994</v>
      </c>
      <c r="B61" s="18">
        <v>126</v>
      </c>
      <c r="C61" s="13">
        <v>34460</v>
      </c>
      <c r="D61" s="18">
        <v>150</v>
      </c>
      <c r="E61" s="18">
        <v>12</v>
      </c>
      <c r="F61" s="20">
        <v>0.3079017501447554</v>
      </c>
      <c r="G61" s="4" t="s">
        <v>131</v>
      </c>
      <c r="H61" s="18"/>
    </row>
    <row r="62" spans="1:8" x14ac:dyDescent="0.25">
      <c r="A62" s="4">
        <v>1994</v>
      </c>
      <c r="B62" s="18">
        <v>126</v>
      </c>
      <c r="C62" s="13">
        <v>34460</v>
      </c>
      <c r="D62" s="18">
        <v>130</v>
      </c>
      <c r="E62" s="18">
        <v>1</v>
      </c>
      <c r="F62" s="20">
        <v>0.24450844814044986</v>
      </c>
      <c r="G62" s="4" t="s">
        <v>0</v>
      </c>
      <c r="H62" s="18"/>
    </row>
    <row r="63" spans="1:8" x14ac:dyDescent="0.25">
      <c r="A63" s="4">
        <v>1994</v>
      </c>
      <c r="B63" s="18">
        <v>126</v>
      </c>
      <c r="C63" s="13">
        <v>34460</v>
      </c>
      <c r="D63" s="18">
        <v>130</v>
      </c>
      <c r="E63" s="18">
        <v>2</v>
      </c>
      <c r="F63" s="20">
        <v>0.21047708751391878</v>
      </c>
      <c r="G63" s="4" t="s">
        <v>0</v>
      </c>
      <c r="H63" s="18"/>
    </row>
    <row r="64" spans="1:8" x14ac:dyDescent="0.25">
      <c r="A64" s="4">
        <v>1994</v>
      </c>
      <c r="B64" s="18">
        <v>126</v>
      </c>
      <c r="C64" s="13">
        <v>34460</v>
      </c>
      <c r="D64" s="18">
        <v>130</v>
      </c>
      <c r="E64" s="18">
        <v>3</v>
      </c>
      <c r="F64" s="20">
        <v>0.25281843154925393</v>
      </c>
      <c r="G64" s="4" t="s">
        <v>0</v>
      </c>
      <c r="H64" s="18"/>
    </row>
    <row r="65" spans="1:8" x14ac:dyDescent="0.25">
      <c r="A65" s="4">
        <v>1994</v>
      </c>
      <c r="B65" s="18">
        <v>126</v>
      </c>
      <c r="C65" s="13">
        <v>34460</v>
      </c>
      <c r="D65" s="18">
        <v>130</v>
      </c>
      <c r="E65" s="18">
        <v>4</v>
      </c>
      <c r="F65" s="20">
        <v>0.24537901783089594</v>
      </c>
      <c r="G65" s="4" t="s">
        <v>0</v>
      </c>
      <c r="H65" s="18"/>
    </row>
    <row r="66" spans="1:8" x14ac:dyDescent="0.25">
      <c r="A66" s="4">
        <v>1994</v>
      </c>
      <c r="B66" s="18">
        <v>126</v>
      </c>
      <c r="C66" s="13">
        <v>34460</v>
      </c>
      <c r="D66" s="18">
        <v>130</v>
      </c>
      <c r="E66" s="18">
        <v>5</v>
      </c>
      <c r="F66" s="20">
        <v>0.218523261925618</v>
      </c>
      <c r="G66" s="4" t="s">
        <v>1</v>
      </c>
      <c r="H66" s="18"/>
    </row>
    <row r="67" spans="1:8" x14ac:dyDescent="0.25">
      <c r="A67" s="4">
        <v>1994</v>
      </c>
      <c r="B67" s="18">
        <v>126</v>
      </c>
      <c r="C67" s="13">
        <v>34460</v>
      </c>
      <c r="D67" s="18">
        <v>130</v>
      </c>
      <c r="E67" s="18">
        <v>6</v>
      </c>
      <c r="F67" s="20">
        <v>0.22762467232573674</v>
      </c>
      <c r="G67" s="4" t="s">
        <v>1</v>
      </c>
      <c r="H67" s="18"/>
    </row>
    <row r="68" spans="1:8" x14ac:dyDescent="0.25">
      <c r="A68" s="4">
        <v>1994</v>
      </c>
      <c r="B68" s="18">
        <v>126</v>
      </c>
      <c r="C68" s="13">
        <v>34460</v>
      </c>
      <c r="D68" s="18">
        <v>130</v>
      </c>
      <c r="E68" s="18">
        <v>7</v>
      </c>
      <c r="F68" s="20" t="e">
        <v>#N/A</v>
      </c>
      <c r="G68" s="4" t="s">
        <v>130</v>
      </c>
      <c r="H68" s="18"/>
    </row>
    <row r="69" spans="1:8" x14ac:dyDescent="0.25">
      <c r="A69" s="4">
        <v>1994</v>
      </c>
      <c r="B69" s="18">
        <v>126</v>
      </c>
      <c r="C69" s="13">
        <v>34460</v>
      </c>
      <c r="D69" s="18">
        <v>130</v>
      </c>
      <c r="E69" s="18">
        <v>8</v>
      </c>
      <c r="F69" s="20">
        <v>0.26141860485487339</v>
      </c>
      <c r="G69" s="4" t="s">
        <v>130</v>
      </c>
      <c r="H69" s="18"/>
    </row>
    <row r="70" spans="1:8" x14ac:dyDescent="0.25">
      <c r="A70" s="4">
        <v>1994</v>
      </c>
      <c r="B70" s="18">
        <v>126</v>
      </c>
      <c r="C70" s="13">
        <v>34460</v>
      </c>
      <c r="D70" s="18">
        <v>130</v>
      </c>
      <c r="E70" s="18">
        <v>9</v>
      </c>
      <c r="F70" s="20">
        <v>0.27777476267537671</v>
      </c>
      <c r="G70" s="4" t="s">
        <v>130</v>
      </c>
      <c r="H70" s="18"/>
    </row>
    <row r="71" spans="1:8" x14ac:dyDescent="0.25">
      <c r="A71" s="4">
        <v>1994</v>
      </c>
      <c r="B71" s="18">
        <v>126</v>
      </c>
      <c r="C71" s="13">
        <v>34460</v>
      </c>
      <c r="D71" s="18">
        <v>130</v>
      </c>
      <c r="E71" s="18">
        <v>10</v>
      </c>
      <c r="F71" s="20">
        <v>0.24324216495434636</v>
      </c>
      <c r="G71" s="4" t="s">
        <v>130</v>
      </c>
      <c r="H71" s="18"/>
    </row>
    <row r="72" spans="1:8" x14ac:dyDescent="0.25">
      <c r="A72" s="4">
        <v>1994</v>
      </c>
      <c r="B72" s="18">
        <v>126</v>
      </c>
      <c r="C72" s="13">
        <v>34460</v>
      </c>
      <c r="D72" s="18">
        <v>130</v>
      </c>
      <c r="E72" s="18">
        <v>11</v>
      </c>
      <c r="F72" s="20">
        <v>0.26608802410362997</v>
      </c>
      <c r="G72" s="4" t="s">
        <v>131</v>
      </c>
      <c r="H72" s="18"/>
    </row>
    <row r="73" spans="1:8" x14ac:dyDescent="0.25">
      <c r="A73" s="4">
        <v>1994</v>
      </c>
      <c r="B73" s="18">
        <v>126</v>
      </c>
      <c r="C73" s="13">
        <v>34460</v>
      </c>
      <c r="D73" s="18">
        <v>130</v>
      </c>
      <c r="E73" s="18">
        <v>12</v>
      </c>
      <c r="F73" s="20">
        <v>0.27336915242372506</v>
      </c>
      <c r="G73" s="4" t="s">
        <v>131</v>
      </c>
      <c r="H73" s="18"/>
    </row>
    <row r="74" spans="1:8" x14ac:dyDescent="0.25">
      <c r="A74" s="4">
        <v>1994</v>
      </c>
      <c r="B74" s="18">
        <v>126</v>
      </c>
      <c r="C74" s="13">
        <v>34460</v>
      </c>
      <c r="D74" s="18">
        <v>110</v>
      </c>
      <c r="E74" s="18">
        <v>1</v>
      </c>
      <c r="F74" s="20">
        <v>0.22974618551579939</v>
      </c>
      <c r="G74" s="4" t="s">
        <v>0</v>
      </c>
      <c r="H74" s="18"/>
    </row>
    <row r="75" spans="1:8" x14ac:dyDescent="0.25">
      <c r="A75" s="4">
        <v>1994</v>
      </c>
      <c r="B75" s="18">
        <v>126</v>
      </c>
      <c r="C75" s="13">
        <v>34460</v>
      </c>
      <c r="D75" s="18">
        <v>110</v>
      </c>
      <c r="E75" s="18">
        <v>2</v>
      </c>
      <c r="F75" s="20">
        <v>0.21044850890060129</v>
      </c>
      <c r="G75" s="4" t="s">
        <v>0</v>
      </c>
      <c r="H75" s="18"/>
    </row>
    <row r="76" spans="1:8" x14ac:dyDescent="0.25">
      <c r="A76" s="4">
        <v>1994</v>
      </c>
      <c r="B76" s="18">
        <v>126</v>
      </c>
      <c r="C76" s="13">
        <v>34460</v>
      </c>
      <c r="D76" s="18">
        <v>110</v>
      </c>
      <c r="E76" s="18">
        <v>3</v>
      </c>
      <c r="F76" s="20">
        <v>0.23213020566525622</v>
      </c>
      <c r="G76" s="4" t="s">
        <v>0</v>
      </c>
      <c r="H76" s="18"/>
    </row>
    <row r="77" spans="1:8" x14ac:dyDescent="0.25">
      <c r="A77" s="4">
        <v>1994</v>
      </c>
      <c r="B77" s="18">
        <v>126</v>
      </c>
      <c r="C77" s="13">
        <v>34460</v>
      </c>
      <c r="D77" s="18">
        <v>110</v>
      </c>
      <c r="E77" s="18">
        <v>4</v>
      </c>
      <c r="F77" s="20">
        <v>0.24359927557345407</v>
      </c>
      <c r="G77" s="4" t="s">
        <v>0</v>
      </c>
      <c r="H77" s="18"/>
    </row>
    <row r="78" spans="1:8" x14ac:dyDescent="0.25">
      <c r="A78" s="4">
        <v>1994</v>
      </c>
      <c r="B78" s="18">
        <v>126</v>
      </c>
      <c r="C78" s="13">
        <v>34460</v>
      </c>
      <c r="D78" s="18">
        <v>110</v>
      </c>
      <c r="E78" s="18">
        <v>5</v>
      </c>
      <c r="F78" s="20">
        <v>0.22294850644099667</v>
      </c>
      <c r="G78" s="4" t="s">
        <v>1</v>
      </c>
      <c r="H78" s="18"/>
    </row>
    <row r="79" spans="1:8" x14ac:dyDescent="0.25">
      <c r="A79" s="4">
        <v>1994</v>
      </c>
      <c r="B79" s="18">
        <v>126</v>
      </c>
      <c r="C79" s="13">
        <v>34460</v>
      </c>
      <c r="D79" s="18">
        <v>110</v>
      </c>
      <c r="E79" s="18">
        <v>6</v>
      </c>
      <c r="F79" s="20">
        <v>0.22165984690074975</v>
      </c>
      <c r="G79" s="4" t="s">
        <v>1</v>
      </c>
      <c r="H79" s="18"/>
    </row>
    <row r="80" spans="1:8" x14ac:dyDescent="0.25">
      <c r="A80" s="4">
        <v>1994</v>
      </c>
      <c r="B80" s="18">
        <v>126</v>
      </c>
      <c r="C80" s="13">
        <v>34460</v>
      </c>
      <c r="D80" s="18">
        <v>110</v>
      </c>
      <c r="E80" s="18">
        <v>7</v>
      </c>
      <c r="F80" s="20" t="e">
        <v>#N/A</v>
      </c>
      <c r="G80" s="4" t="s">
        <v>130</v>
      </c>
      <c r="H80" s="18"/>
    </row>
    <row r="81" spans="1:8" x14ac:dyDescent="0.25">
      <c r="A81" s="4">
        <v>1994</v>
      </c>
      <c r="B81" s="18">
        <v>126</v>
      </c>
      <c r="C81" s="13">
        <v>34460</v>
      </c>
      <c r="D81" s="18">
        <v>110</v>
      </c>
      <c r="E81" s="18">
        <v>8</v>
      </c>
      <c r="F81" s="20">
        <v>0.27565468163709694</v>
      </c>
      <c r="G81" s="4" t="s">
        <v>130</v>
      </c>
      <c r="H81" s="18"/>
    </row>
    <row r="82" spans="1:8" x14ac:dyDescent="0.25">
      <c r="A82" s="4">
        <v>1994</v>
      </c>
      <c r="B82" s="18">
        <v>126</v>
      </c>
      <c r="C82" s="13">
        <v>34460</v>
      </c>
      <c r="D82" s="18">
        <v>110</v>
      </c>
      <c r="E82" s="18">
        <v>9</v>
      </c>
      <c r="F82" s="20">
        <v>0.27343174393017095</v>
      </c>
      <c r="G82" s="4" t="s">
        <v>130</v>
      </c>
      <c r="H82" s="18"/>
    </row>
    <row r="83" spans="1:8" x14ac:dyDescent="0.25">
      <c r="A83" s="4">
        <v>1994</v>
      </c>
      <c r="B83" s="18">
        <v>126</v>
      </c>
      <c r="C83" s="13">
        <v>34460</v>
      </c>
      <c r="D83" s="18">
        <v>110</v>
      </c>
      <c r="E83" s="18">
        <v>10</v>
      </c>
      <c r="F83" s="20">
        <v>0.25097685144136783</v>
      </c>
      <c r="G83" s="4" t="s">
        <v>130</v>
      </c>
      <c r="H83" s="18"/>
    </row>
    <row r="84" spans="1:8" x14ac:dyDescent="0.25">
      <c r="A84" s="4">
        <v>1994</v>
      </c>
      <c r="B84" s="18">
        <v>126</v>
      </c>
      <c r="C84" s="13">
        <v>34460</v>
      </c>
      <c r="D84" s="18">
        <v>110</v>
      </c>
      <c r="E84" s="18">
        <v>11</v>
      </c>
      <c r="F84" s="20">
        <v>0.27114437324623264</v>
      </c>
      <c r="G84" s="4" t="s">
        <v>131</v>
      </c>
      <c r="H84" s="18"/>
    </row>
    <row r="85" spans="1:8" x14ac:dyDescent="0.25">
      <c r="A85" s="4">
        <v>1994</v>
      </c>
      <c r="B85" s="18">
        <v>126</v>
      </c>
      <c r="C85" s="13">
        <v>34460</v>
      </c>
      <c r="D85" s="18">
        <v>110</v>
      </c>
      <c r="E85" s="18">
        <v>12</v>
      </c>
      <c r="F85" s="20">
        <v>0.282162412315344</v>
      </c>
      <c r="G85" s="4" t="s">
        <v>131</v>
      </c>
      <c r="H85" s="18"/>
    </row>
    <row r="86" spans="1:8" x14ac:dyDescent="0.25">
      <c r="A86" s="4">
        <v>1994</v>
      </c>
      <c r="B86" s="18">
        <v>126</v>
      </c>
      <c r="C86" s="13">
        <v>34460</v>
      </c>
      <c r="D86" s="18">
        <v>90</v>
      </c>
      <c r="E86" s="18">
        <v>1</v>
      </c>
      <c r="F86" s="20">
        <v>0.21338020935466306</v>
      </c>
      <c r="G86" s="4" t="s">
        <v>0</v>
      </c>
      <c r="H86" s="18"/>
    </row>
    <row r="87" spans="1:8" x14ac:dyDescent="0.25">
      <c r="A87" s="4">
        <v>1994</v>
      </c>
      <c r="B87" s="18">
        <v>126</v>
      </c>
      <c r="C87" s="13">
        <v>34460</v>
      </c>
      <c r="D87" s="18">
        <v>90</v>
      </c>
      <c r="E87" s="18">
        <v>2</v>
      </c>
      <c r="F87" s="20">
        <v>0.19978485120505773</v>
      </c>
      <c r="G87" s="4" t="s">
        <v>0</v>
      </c>
      <c r="H87" s="18"/>
    </row>
    <row r="88" spans="1:8" x14ac:dyDescent="0.25">
      <c r="A88" s="4">
        <v>1994</v>
      </c>
      <c r="B88" s="18">
        <v>126</v>
      </c>
      <c r="C88" s="13">
        <v>34460</v>
      </c>
      <c r="D88" s="18">
        <v>90</v>
      </c>
      <c r="E88" s="18">
        <v>3</v>
      </c>
      <c r="F88" s="20">
        <v>0.2177616517915027</v>
      </c>
      <c r="G88" s="4" t="s">
        <v>0</v>
      </c>
      <c r="H88" s="18"/>
    </row>
    <row r="89" spans="1:8" x14ac:dyDescent="0.25">
      <c r="A89" s="4">
        <v>1994</v>
      </c>
      <c r="B89" s="18">
        <v>126</v>
      </c>
      <c r="C89" s="13">
        <v>34460</v>
      </c>
      <c r="D89" s="18">
        <v>90</v>
      </c>
      <c r="E89" s="18">
        <v>4</v>
      </c>
      <c r="F89" s="20">
        <v>0.20532608722811962</v>
      </c>
      <c r="G89" s="4" t="s">
        <v>0</v>
      </c>
      <c r="H89" s="18"/>
    </row>
    <row r="90" spans="1:8" x14ac:dyDescent="0.25">
      <c r="A90" s="4">
        <v>1994</v>
      </c>
      <c r="B90" s="18">
        <v>126</v>
      </c>
      <c r="C90" s="13">
        <v>34460</v>
      </c>
      <c r="D90" s="18">
        <v>90</v>
      </c>
      <c r="E90" s="18">
        <v>5</v>
      </c>
      <c r="F90" s="20">
        <v>0.19614438800386014</v>
      </c>
      <c r="G90" s="4" t="s">
        <v>1</v>
      </c>
      <c r="H90" s="18"/>
    </row>
    <row r="91" spans="1:8" x14ac:dyDescent="0.25">
      <c r="A91" s="4">
        <v>1994</v>
      </c>
      <c r="B91" s="18">
        <v>126</v>
      </c>
      <c r="C91" s="13">
        <v>34460</v>
      </c>
      <c r="D91" s="18">
        <v>90</v>
      </c>
      <c r="E91" s="18">
        <v>6</v>
      </c>
      <c r="F91" s="20">
        <v>0.20348974738326775</v>
      </c>
      <c r="G91" s="4" t="s">
        <v>1</v>
      </c>
      <c r="H91" s="18"/>
    </row>
    <row r="92" spans="1:8" x14ac:dyDescent="0.25">
      <c r="A92" s="4">
        <v>1994</v>
      </c>
      <c r="B92" s="18">
        <v>126</v>
      </c>
      <c r="C92" s="13">
        <v>34460</v>
      </c>
      <c r="D92" s="18">
        <v>90</v>
      </c>
      <c r="E92" s="18">
        <v>7</v>
      </c>
      <c r="F92" s="20" t="e">
        <v>#N/A</v>
      </c>
      <c r="G92" s="4" t="s">
        <v>130</v>
      </c>
      <c r="H92" s="18"/>
    </row>
    <row r="93" spans="1:8" x14ac:dyDescent="0.25">
      <c r="A93" s="4">
        <v>1994</v>
      </c>
      <c r="B93" s="18">
        <v>126</v>
      </c>
      <c r="C93" s="13">
        <v>34460</v>
      </c>
      <c r="D93" s="18">
        <v>90</v>
      </c>
      <c r="E93" s="18">
        <v>8</v>
      </c>
      <c r="F93" s="20">
        <v>0.27043561049909676</v>
      </c>
      <c r="G93" s="4" t="s">
        <v>130</v>
      </c>
      <c r="H93" s="18"/>
    </row>
    <row r="94" spans="1:8" x14ac:dyDescent="0.25">
      <c r="A94" s="4">
        <v>1994</v>
      </c>
      <c r="B94" s="18">
        <v>126</v>
      </c>
      <c r="C94" s="13">
        <v>34460</v>
      </c>
      <c r="D94" s="18">
        <v>90</v>
      </c>
      <c r="E94" s="18">
        <v>9</v>
      </c>
      <c r="F94" s="20">
        <v>0.26724617813698559</v>
      </c>
      <c r="G94" s="4" t="s">
        <v>130</v>
      </c>
      <c r="H94" s="18"/>
    </row>
    <row r="95" spans="1:8" x14ac:dyDescent="0.25">
      <c r="A95" s="4">
        <v>1994</v>
      </c>
      <c r="B95" s="18">
        <v>126</v>
      </c>
      <c r="C95" s="13">
        <v>34460</v>
      </c>
      <c r="D95" s="18">
        <v>90</v>
      </c>
      <c r="E95" s="18">
        <v>10</v>
      </c>
      <c r="F95" s="20">
        <v>0.24743303770568875</v>
      </c>
      <c r="G95" s="4" t="s">
        <v>130</v>
      </c>
      <c r="H95" s="18"/>
    </row>
    <row r="96" spans="1:8" x14ac:dyDescent="0.25">
      <c r="A96" s="4">
        <v>1994</v>
      </c>
      <c r="B96" s="18">
        <v>126</v>
      </c>
      <c r="C96" s="13">
        <v>34460</v>
      </c>
      <c r="D96" s="18">
        <v>90</v>
      </c>
      <c r="E96" s="18">
        <v>11</v>
      </c>
      <c r="F96" s="20">
        <v>0.27307736255660309</v>
      </c>
      <c r="G96" s="4" t="s">
        <v>131</v>
      </c>
      <c r="H96" s="18"/>
    </row>
    <row r="97" spans="1:8" x14ac:dyDescent="0.25">
      <c r="A97" s="4">
        <v>1994</v>
      </c>
      <c r="B97" s="18">
        <v>126</v>
      </c>
      <c r="C97" s="13">
        <v>34460</v>
      </c>
      <c r="D97" s="18">
        <v>90</v>
      </c>
      <c r="E97" s="18">
        <v>12</v>
      </c>
      <c r="F97" s="20">
        <v>0.27819978422908465</v>
      </c>
      <c r="G97" s="4" t="s">
        <v>131</v>
      </c>
      <c r="H97" s="18"/>
    </row>
    <row r="98" spans="1:8" x14ac:dyDescent="0.25">
      <c r="A98" s="4">
        <v>1994</v>
      </c>
      <c r="B98" s="18">
        <v>126</v>
      </c>
      <c r="C98" s="13">
        <v>34460</v>
      </c>
      <c r="D98" s="18">
        <v>70</v>
      </c>
      <c r="E98" s="18">
        <v>1</v>
      </c>
      <c r="F98" s="20">
        <v>0.20835443714770002</v>
      </c>
      <c r="G98" s="4" t="s">
        <v>0</v>
      </c>
      <c r="H98" s="18"/>
    </row>
    <row r="99" spans="1:8" x14ac:dyDescent="0.25">
      <c r="A99" s="4">
        <v>1994</v>
      </c>
      <c r="B99" s="18">
        <v>126</v>
      </c>
      <c r="C99" s="13">
        <v>34460</v>
      </c>
      <c r="D99" s="18">
        <v>70</v>
      </c>
      <c r="E99" s="18">
        <v>2</v>
      </c>
      <c r="F99" s="20">
        <v>0.20510057180857638</v>
      </c>
      <c r="G99" s="4" t="s">
        <v>0</v>
      </c>
      <c r="H99" s="18"/>
    </row>
    <row r="100" spans="1:8" x14ac:dyDescent="0.25">
      <c r="A100" s="4">
        <v>1994</v>
      </c>
      <c r="B100" s="18">
        <v>126</v>
      </c>
      <c r="C100" s="13">
        <v>34460</v>
      </c>
      <c r="D100" s="18">
        <v>70</v>
      </c>
      <c r="E100" s="18">
        <v>3</v>
      </c>
      <c r="F100" s="20">
        <v>0.22272299102145349</v>
      </c>
      <c r="G100" s="4" t="s">
        <v>0</v>
      </c>
      <c r="H100" s="18"/>
    </row>
    <row r="101" spans="1:8" x14ac:dyDescent="0.25">
      <c r="A101" s="4">
        <v>1994</v>
      </c>
      <c r="B101" s="18">
        <v>126</v>
      </c>
      <c r="C101" s="13">
        <v>34460</v>
      </c>
      <c r="D101" s="18">
        <v>70</v>
      </c>
      <c r="E101" s="18">
        <v>4</v>
      </c>
      <c r="F101" s="20">
        <v>0.19601552204983547</v>
      </c>
      <c r="G101" s="4" t="s">
        <v>0</v>
      </c>
      <c r="H101" s="18"/>
    </row>
    <row r="102" spans="1:8" x14ac:dyDescent="0.25">
      <c r="A102" s="4">
        <v>1994</v>
      </c>
      <c r="B102" s="18">
        <v>126</v>
      </c>
      <c r="C102" s="13">
        <v>34460</v>
      </c>
      <c r="D102" s="18">
        <v>70</v>
      </c>
      <c r="E102" s="18">
        <v>5</v>
      </c>
      <c r="F102" s="20">
        <v>0.20406964417637885</v>
      </c>
      <c r="G102" s="4" t="s">
        <v>1</v>
      </c>
      <c r="H102" s="18"/>
    </row>
    <row r="103" spans="1:8" x14ac:dyDescent="0.25">
      <c r="A103" s="4">
        <v>1994</v>
      </c>
      <c r="B103" s="18">
        <v>126</v>
      </c>
      <c r="C103" s="13">
        <v>34460</v>
      </c>
      <c r="D103" s="18">
        <v>70</v>
      </c>
      <c r="E103" s="18">
        <v>6</v>
      </c>
      <c r="F103" s="20">
        <v>0.20432737608442825</v>
      </c>
      <c r="G103" s="4" t="s">
        <v>1</v>
      </c>
      <c r="H103" s="18"/>
    </row>
    <row r="104" spans="1:8" x14ac:dyDescent="0.25">
      <c r="A104" s="4">
        <v>1994</v>
      </c>
      <c r="B104" s="18">
        <v>126</v>
      </c>
      <c r="C104" s="13">
        <v>34460</v>
      </c>
      <c r="D104" s="18">
        <v>70</v>
      </c>
      <c r="E104" s="18">
        <v>7</v>
      </c>
      <c r="F104" s="20" t="e">
        <v>#N/A</v>
      </c>
      <c r="G104" s="4" t="s">
        <v>130</v>
      </c>
      <c r="H104" s="18"/>
    </row>
    <row r="105" spans="1:8" x14ac:dyDescent="0.25">
      <c r="A105" s="4">
        <v>1994</v>
      </c>
      <c r="B105" s="18">
        <v>126</v>
      </c>
      <c r="C105" s="13">
        <v>34460</v>
      </c>
      <c r="D105" s="18">
        <v>70</v>
      </c>
      <c r="E105" s="18">
        <v>8</v>
      </c>
      <c r="F105" s="20">
        <v>0.2703389610335783</v>
      </c>
      <c r="G105" s="4" t="s">
        <v>130</v>
      </c>
      <c r="H105" s="18"/>
    </row>
    <row r="106" spans="1:8" x14ac:dyDescent="0.25">
      <c r="A106" s="4">
        <v>1994</v>
      </c>
      <c r="B106" s="18">
        <v>126</v>
      </c>
      <c r="C106" s="13">
        <v>34460</v>
      </c>
      <c r="D106" s="18">
        <v>70</v>
      </c>
      <c r="E106" s="18">
        <v>9</v>
      </c>
      <c r="F106" s="20">
        <v>0.25944978791849155</v>
      </c>
      <c r="G106" s="4" t="s">
        <v>130</v>
      </c>
      <c r="H106" s="18"/>
    </row>
    <row r="107" spans="1:8" x14ac:dyDescent="0.25">
      <c r="A107" s="4">
        <v>1994</v>
      </c>
      <c r="B107" s="18">
        <v>126</v>
      </c>
      <c r="C107" s="13">
        <v>34460</v>
      </c>
      <c r="D107" s="18">
        <v>70</v>
      </c>
      <c r="E107" s="18">
        <v>10</v>
      </c>
      <c r="F107" s="20">
        <v>0.26511988989557811</v>
      </c>
      <c r="G107" s="4" t="s">
        <v>130</v>
      </c>
      <c r="H107" s="18"/>
    </row>
    <row r="108" spans="1:8" x14ac:dyDescent="0.25">
      <c r="A108" s="4">
        <v>1994</v>
      </c>
      <c r="B108" s="18">
        <v>126</v>
      </c>
      <c r="C108" s="13">
        <v>34460</v>
      </c>
      <c r="D108" s="18">
        <v>70</v>
      </c>
      <c r="E108" s="18">
        <v>11</v>
      </c>
      <c r="F108" s="20">
        <v>0.27600906301066486</v>
      </c>
      <c r="G108" s="4" t="s">
        <v>131</v>
      </c>
      <c r="H108" s="18"/>
    </row>
    <row r="109" spans="1:8" x14ac:dyDescent="0.25">
      <c r="A109" s="4">
        <v>1994</v>
      </c>
      <c r="B109" s="18">
        <v>126</v>
      </c>
      <c r="C109" s="13">
        <v>34460</v>
      </c>
      <c r="D109" s="18">
        <v>70</v>
      </c>
      <c r="E109" s="18">
        <v>12</v>
      </c>
      <c r="F109" s="20">
        <v>0.26988793019449181</v>
      </c>
      <c r="G109" s="4" t="s">
        <v>131</v>
      </c>
      <c r="H109" s="18"/>
    </row>
    <row r="110" spans="1:8" x14ac:dyDescent="0.25">
      <c r="A110" s="4">
        <v>1994</v>
      </c>
      <c r="B110" s="18">
        <v>126</v>
      </c>
      <c r="C110" s="13">
        <v>34460</v>
      </c>
      <c r="D110" s="18">
        <v>50</v>
      </c>
      <c r="E110" s="18">
        <v>1</v>
      </c>
      <c r="F110" s="20">
        <v>0.21183381790636668</v>
      </c>
      <c r="G110" s="4" t="s">
        <v>0</v>
      </c>
      <c r="H110" s="18"/>
    </row>
    <row r="111" spans="1:8" x14ac:dyDescent="0.25">
      <c r="A111" s="4">
        <v>1994</v>
      </c>
      <c r="B111" s="18">
        <v>126</v>
      </c>
      <c r="C111" s="13">
        <v>34460</v>
      </c>
      <c r="D111" s="18">
        <v>50</v>
      </c>
      <c r="E111" s="18">
        <v>2</v>
      </c>
      <c r="F111" s="20">
        <v>0.21821268263058913</v>
      </c>
      <c r="G111" s="4" t="s">
        <v>0</v>
      </c>
      <c r="H111" s="18"/>
    </row>
    <row r="112" spans="1:8" x14ac:dyDescent="0.25">
      <c r="A112" s="4">
        <v>1994</v>
      </c>
      <c r="B112" s="18">
        <v>126</v>
      </c>
      <c r="C112" s="13">
        <v>34460</v>
      </c>
      <c r="D112" s="18">
        <v>50</v>
      </c>
      <c r="E112" s="18">
        <v>3</v>
      </c>
      <c r="F112" s="20">
        <v>0.24218175007918241</v>
      </c>
      <c r="G112" s="4" t="s">
        <v>0</v>
      </c>
      <c r="H112" s="18"/>
    </row>
    <row r="113" spans="1:8" x14ac:dyDescent="0.25">
      <c r="A113" s="4">
        <v>1994</v>
      </c>
      <c r="B113" s="18">
        <v>126</v>
      </c>
      <c r="C113" s="13">
        <v>34460</v>
      </c>
      <c r="D113" s="18">
        <v>50</v>
      </c>
      <c r="E113" s="18">
        <v>4</v>
      </c>
      <c r="F113" s="20">
        <v>0.24211731710217005</v>
      </c>
      <c r="G113" s="4" t="s">
        <v>0</v>
      </c>
      <c r="H113" s="18"/>
    </row>
    <row r="114" spans="1:8" x14ac:dyDescent="0.25">
      <c r="A114" s="4">
        <v>1994</v>
      </c>
      <c r="B114" s="18">
        <v>126</v>
      </c>
      <c r="C114" s="13">
        <v>34460</v>
      </c>
      <c r="D114" s="18">
        <v>50</v>
      </c>
      <c r="E114" s="18">
        <v>5</v>
      </c>
      <c r="F114" s="20">
        <v>0.25461731464256548</v>
      </c>
      <c r="G114" s="4" t="s">
        <v>1</v>
      </c>
      <c r="H114" s="18"/>
    </row>
    <row r="115" spans="1:8" x14ac:dyDescent="0.25">
      <c r="A115" s="4">
        <v>1994</v>
      </c>
      <c r="B115" s="18">
        <v>126</v>
      </c>
      <c r="C115" s="13">
        <v>34460</v>
      </c>
      <c r="D115" s="18">
        <v>50</v>
      </c>
      <c r="E115" s="18">
        <v>6</v>
      </c>
      <c r="F115" s="20">
        <v>0.21260701363051487</v>
      </c>
      <c r="G115" s="4" t="s">
        <v>1</v>
      </c>
      <c r="H115" s="18"/>
    </row>
    <row r="116" spans="1:8" x14ac:dyDescent="0.25">
      <c r="A116" s="4">
        <v>1994</v>
      </c>
      <c r="B116" s="18">
        <v>126</v>
      </c>
      <c r="C116" s="13">
        <v>34460</v>
      </c>
      <c r="D116" s="18">
        <v>50</v>
      </c>
      <c r="E116" s="18">
        <v>7</v>
      </c>
      <c r="F116" s="20" t="e">
        <v>#N/A</v>
      </c>
      <c r="G116" s="4" t="s">
        <v>130</v>
      </c>
      <c r="H116" s="18"/>
    </row>
    <row r="117" spans="1:8" x14ac:dyDescent="0.25">
      <c r="A117" s="4">
        <v>1994</v>
      </c>
      <c r="B117" s="18">
        <v>126</v>
      </c>
      <c r="C117" s="13">
        <v>34460</v>
      </c>
      <c r="D117" s="18">
        <v>50</v>
      </c>
      <c r="E117" s="18">
        <v>8</v>
      </c>
      <c r="F117" s="20">
        <v>0.26795494088412142</v>
      </c>
      <c r="G117" s="4" t="s">
        <v>130</v>
      </c>
      <c r="H117" s="18"/>
    </row>
    <row r="118" spans="1:8" x14ac:dyDescent="0.25">
      <c r="A118" s="4">
        <v>1994</v>
      </c>
      <c r="B118" s="18">
        <v>126</v>
      </c>
      <c r="C118" s="13">
        <v>34460</v>
      </c>
      <c r="D118" s="18">
        <v>50</v>
      </c>
      <c r="E118" s="18">
        <v>9</v>
      </c>
      <c r="F118" s="20">
        <v>0.25793561295870138</v>
      </c>
      <c r="G118" s="4" t="s">
        <v>130</v>
      </c>
      <c r="H118" s="18"/>
    </row>
    <row r="119" spans="1:8" x14ac:dyDescent="0.25">
      <c r="A119" s="4">
        <v>1994</v>
      </c>
      <c r="B119" s="18">
        <v>126</v>
      </c>
      <c r="C119" s="13">
        <v>34460</v>
      </c>
      <c r="D119" s="18">
        <v>50</v>
      </c>
      <c r="E119" s="18">
        <v>10</v>
      </c>
      <c r="F119" s="20">
        <v>0.28886344192462821</v>
      </c>
      <c r="G119" s="4" t="s">
        <v>130</v>
      </c>
      <c r="H119" s="18"/>
    </row>
    <row r="120" spans="1:8" x14ac:dyDescent="0.25">
      <c r="A120" s="4">
        <v>1994</v>
      </c>
      <c r="B120" s="18">
        <v>126</v>
      </c>
      <c r="C120" s="13">
        <v>34460</v>
      </c>
      <c r="D120" s="18">
        <v>50</v>
      </c>
      <c r="E120" s="18">
        <v>11</v>
      </c>
      <c r="F120" s="20">
        <v>0.27249746576349193</v>
      </c>
      <c r="G120" s="4" t="s">
        <v>131</v>
      </c>
      <c r="H120" s="18"/>
    </row>
    <row r="121" spans="1:8" x14ac:dyDescent="0.25">
      <c r="A121" s="4">
        <v>1994</v>
      </c>
      <c r="B121" s="18">
        <v>126</v>
      </c>
      <c r="C121" s="13">
        <v>34460</v>
      </c>
      <c r="D121" s="18">
        <v>50</v>
      </c>
      <c r="E121" s="18">
        <v>12</v>
      </c>
      <c r="F121" s="20">
        <v>0.26402452928636821</v>
      </c>
      <c r="G121" s="4" t="s">
        <v>131</v>
      </c>
      <c r="H121" s="18"/>
    </row>
    <row r="122" spans="1:8" x14ac:dyDescent="0.25">
      <c r="A122" s="4">
        <v>1994</v>
      </c>
      <c r="B122" s="18">
        <v>126</v>
      </c>
      <c r="C122" s="13">
        <v>34460</v>
      </c>
      <c r="D122" s="18">
        <v>30</v>
      </c>
      <c r="E122" s="18">
        <v>1</v>
      </c>
      <c r="F122" s="20">
        <v>0.20874103500977409</v>
      </c>
      <c r="G122" s="4" t="s">
        <v>0</v>
      </c>
      <c r="H122" s="18"/>
    </row>
    <row r="123" spans="1:8" x14ac:dyDescent="0.25">
      <c r="A123" s="4">
        <v>1994</v>
      </c>
      <c r="B123" s="18">
        <v>126</v>
      </c>
      <c r="C123" s="13">
        <v>34460</v>
      </c>
      <c r="D123" s="18">
        <v>30</v>
      </c>
      <c r="E123" s="18">
        <v>2</v>
      </c>
      <c r="F123" s="20">
        <v>0.17707222680820528</v>
      </c>
      <c r="G123" s="4" t="s">
        <v>0</v>
      </c>
      <c r="H123" s="18"/>
    </row>
    <row r="124" spans="1:8" x14ac:dyDescent="0.25">
      <c r="A124" s="4">
        <v>1994</v>
      </c>
      <c r="B124" s="18">
        <v>126</v>
      </c>
      <c r="C124" s="13">
        <v>34460</v>
      </c>
      <c r="D124" s="18">
        <v>30</v>
      </c>
      <c r="E124" s="18">
        <v>3</v>
      </c>
      <c r="F124" s="20">
        <v>0.24959154243560239</v>
      </c>
      <c r="G124" s="4" t="s">
        <v>0</v>
      </c>
      <c r="H124" s="18"/>
    </row>
    <row r="125" spans="1:8" x14ac:dyDescent="0.25">
      <c r="A125" s="4">
        <v>1994</v>
      </c>
      <c r="B125" s="18">
        <v>126</v>
      </c>
      <c r="C125" s="13">
        <v>34460</v>
      </c>
      <c r="D125" s="18">
        <v>30</v>
      </c>
      <c r="E125" s="18">
        <v>4</v>
      </c>
      <c r="F125" s="20">
        <v>0.25419850029198526</v>
      </c>
      <c r="G125" s="4" t="s">
        <v>0</v>
      </c>
      <c r="H125" s="18"/>
    </row>
    <row r="126" spans="1:8" x14ac:dyDescent="0.25">
      <c r="A126" s="4">
        <v>1994</v>
      </c>
      <c r="B126" s="18">
        <v>126</v>
      </c>
      <c r="C126" s="13">
        <v>34460</v>
      </c>
      <c r="D126" s="18">
        <v>30</v>
      </c>
      <c r="E126" s="18">
        <v>5</v>
      </c>
      <c r="F126" s="20">
        <v>0.30416627396506069</v>
      </c>
      <c r="G126" s="4" t="s">
        <v>1</v>
      </c>
      <c r="H126" s="18"/>
    </row>
    <row r="127" spans="1:8" x14ac:dyDescent="0.25">
      <c r="A127" s="4">
        <v>1994</v>
      </c>
      <c r="B127" s="18">
        <v>126</v>
      </c>
      <c r="C127" s="13">
        <v>34460</v>
      </c>
      <c r="D127" s="18">
        <v>30</v>
      </c>
      <c r="E127" s="18">
        <v>6</v>
      </c>
      <c r="F127" s="20">
        <v>0.22095108415361392</v>
      </c>
      <c r="G127" s="4" t="s">
        <v>1</v>
      </c>
      <c r="H127" s="18"/>
    </row>
    <row r="128" spans="1:8" x14ac:dyDescent="0.25">
      <c r="A128" s="4">
        <v>1994</v>
      </c>
      <c r="B128" s="18">
        <v>126</v>
      </c>
      <c r="C128" s="13">
        <v>34460</v>
      </c>
      <c r="D128" s="18">
        <v>30</v>
      </c>
      <c r="E128" s="18">
        <v>7</v>
      </c>
      <c r="F128" s="20" t="e">
        <v>#N/A</v>
      </c>
      <c r="G128" s="4" t="s">
        <v>130</v>
      </c>
      <c r="H128" s="18"/>
    </row>
    <row r="129" spans="1:8" x14ac:dyDescent="0.25">
      <c r="A129" s="4">
        <v>1994</v>
      </c>
      <c r="B129" s="18">
        <v>126</v>
      </c>
      <c r="C129" s="13">
        <v>34460</v>
      </c>
      <c r="D129" s="18">
        <v>30</v>
      </c>
      <c r="E129" s="18">
        <v>8</v>
      </c>
      <c r="F129" s="20">
        <v>0.25903097356791133</v>
      </c>
      <c r="G129" s="4" t="s">
        <v>130</v>
      </c>
      <c r="H129" s="18"/>
    </row>
    <row r="130" spans="1:8" x14ac:dyDescent="0.25">
      <c r="A130" s="4">
        <v>1994</v>
      </c>
      <c r="B130" s="18">
        <v>126</v>
      </c>
      <c r="C130" s="13">
        <v>34460</v>
      </c>
      <c r="D130" s="18">
        <v>30</v>
      </c>
      <c r="E130" s="18">
        <v>9</v>
      </c>
      <c r="F130" s="20">
        <v>0.26199489051047925</v>
      </c>
      <c r="G130" s="4" t="s">
        <v>130</v>
      </c>
      <c r="H130" s="18"/>
    </row>
    <row r="131" spans="1:8" x14ac:dyDescent="0.25">
      <c r="A131" s="4">
        <v>1994</v>
      </c>
      <c r="B131" s="18">
        <v>126</v>
      </c>
      <c r="C131" s="13">
        <v>34460</v>
      </c>
      <c r="D131" s="18">
        <v>30</v>
      </c>
      <c r="E131" s="18">
        <v>10</v>
      </c>
      <c r="F131" s="20">
        <v>0.26908251798183747</v>
      </c>
      <c r="G131" s="4" t="s">
        <v>130</v>
      </c>
      <c r="H131" s="18"/>
    </row>
    <row r="132" spans="1:8" x14ac:dyDescent="0.25">
      <c r="A132" s="4">
        <v>1994</v>
      </c>
      <c r="B132" s="18">
        <v>126</v>
      </c>
      <c r="C132" s="13">
        <v>34460</v>
      </c>
      <c r="D132" s="18">
        <v>30</v>
      </c>
      <c r="E132" s="18">
        <v>11</v>
      </c>
      <c r="F132" s="20">
        <v>0.29936601717764083</v>
      </c>
      <c r="G132" s="4" t="s">
        <v>131</v>
      </c>
      <c r="H132" s="18"/>
    </row>
    <row r="133" spans="1:8" x14ac:dyDescent="0.25">
      <c r="A133" s="4">
        <v>1994</v>
      </c>
      <c r="B133" s="18">
        <v>126</v>
      </c>
      <c r="C133" s="13">
        <v>34460</v>
      </c>
      <c r="D133" s="18">
        <v>30</v>
      </c>
      <c r="E133" s="18">
        <v>12</v>
      </c>
      <c r="F133" s="20">
        <v>0.29231060619478877</v>
      </c>
      <c r="G133" s="4" t="s">
        <v>131</v>
      </c>
      <c r="H133" s="18"/>
    </row>
    <row r="134" spans="1:8" x14ac:dyDescent="0.25">
      <c r="A134" s="4">
        <v>1994</v>
      </c>
      <c r="B134" s="18">
        <v>126</v>
      </c>
      <c r="C134" s="13">
        <v>34460</v>
      </c>
      <c r="D134" s="18">
        <v>10</v>
      </c>
      <c r="E134" s="18">
        <v>1</v>
      </c>
      <c r="F134" s="20">
        <v>0.24731392703362781</v>
      </c>
      <c r="G134" s="4" t="s">
        <v>0</v>
      </c>
      <c r="H134" s="18"/>
    </row>
    <row r="135" spans="1:8" x14ac:dyDescent="0.25">
      <c r="A135" s="4">
        <v>1994</v>
      </c>
      <c r="B135" s="18">
        <v>126</v>
      </c>
      <c r="C135" s="13">
        <v>34460</v>
      </c>
      <c r="D135" s="18">
        <v>10</v>
      </c>
      <c r="E135" s="18">
        <v>2</v>
      </c>
      <c r="F135" s="20">
        <v>0.23666221197164278</v>
      </c>
      <c r="G135" s="4" t="s">
        <v>0</v>
      </c>
      <c r="H135" s="18"/>
    </row>
    <row r="136" spans="1:8" x14ac:dyDescent="0.25">
      <c r="A136" s="4">
        <v>1994</v>
      </c>
      <c r="B136" s="18">
        <v>126</v>
      </c>
      <c r="C136" s="13">
        <v>34460</v>
      </c>
      <c r="D136" s="18">
        <v>10</v>
      </c>
      <c r="E136" s="18">
        <v>3</v>
      </c>
      <c r="F136" s="20">
        <v>0.25368241275851827</v>
      </c>
      <c r="G136" s="4" t="s">
        <v>0</v>
      </c>
      <c r="H136" s="18"/>
    </row>
    <row r="137" spans="1:8" x14ac:dyDescent="0.25">
      <c r="A137" s="4">
        <v>1994</v>
      </c>
      <c r="B137" s="18">
        <v>126</v>
      </c>
      <c r="C137" s="13">
        <v>34460</v>
      </c>
      <c r="D137" s="18">
        <v>10</v>
      </c>
      <c r="E137" s="18">
        <v>4</v>
      </c>
      <c r="F137" s="20">
        <v>0.25058270731719989</v>
      </c>
      <c r="G137" s="4" t="s">
        <v>0</v>
      </c>
      <c r="H137" s="18"/>
    </row>
    <row r="138" spans="1:8" x14ac:dyDescent="0.25">
      <c r="A138" s="4">
        <v>1994</v>
      </c>
      <c r="B138" s="18">
        <v>126</v>
      </c>
      <c r="C138" s="13">
        <v>34460</v>
      </c>
      <c r="D138" s="18">
        <v>10</v>
      </c>
      <c r="E138" s="18">
        <v>5</v>
      </c>
      <c r="F138" s="20">
        <v>0.23660585369089154</v>
      </c>
      <c r="G138" s="4" t="s">
        <v>1</v>
      </c>
      <c r="H138" s="18"/>
    </row>
    <row r="139" spans="1:8" x14ac:dyDescent="0.25">
      <c r="A139" s="4">
        <v>1994</v>
      </c>
      <c r="B139" s="18">
        <v>126</v>
      </c>
      <c r="C139" s="13">
        <v>34460</v>
      </c>
      <c r="D139" s="18">
        <v>10</v>
      </c>
      <c r="E139" s="18">
        <v>6</v>
      </c>
      <c r="F139" s="20">
        <v>0.22130458046692897</v>
      </c>
      <c r="G139" s="4" t="s">
        <v>1</v>
      </c>
      <c r="H139" s="18"/>
    </row>
    <row r="140" spans="1:8" x14ac:dyDescent="0.25">
      <c r="A140" s="4">
        <v>1994</v>
      </c>
      <c r="B140" s="18">
        <v>126</v>
      </c>
      <c r="C140" s="13">
        <v>34460</v>
      </c>
      <c r="D140" s="18">
        <v>10</v>
      </c>
      <c r="E140" s="18">
        <v>7</v>
      </c>
      <c r="F140" s="20" t="e">
        <v>#N/A</v>
      </c>
      <c r="G140" s="4" t="s">
        <v>130</v>
      </c>
      <c r="H140" s="18"/>
    </row>
    <row r="141" spans="1:8" x14ac:dyDescent="0.25">
      <c r="A141" s="4">
        <v>1994</v>
      </c>
      <c r="B141" s="18">
        <v>126</v>
      </c>
      <c r="C141" s="13">
        <v>34460</v>
      </c>
      <c r="D141" s="18">
        <v>10</v>
      </c>
      <c r="E141" s="18">
        <v>8</v>
      </c>
      <c r="F141" s="20">
        <v>0.27264697423131168</v>
      </c>
      <c r="G141" s="4" t="s">
        <v>130</v>
      </c>
      <c r="H141" s="18"/>
    </row>
    <row r="142" spans="1:8" x14ac:dyDescent="0.25">
      <c r="A142" s="4">
        <v>1994</v>
      </c>
      <c r="B142" s="18">
        <v>126</v>
      </c>
      <c r="C142" s="13">
        <v>34460</v>
      </c>
      <c r="D142" s="18">
        <v>10</v>
      </c>
      <c r="E142" s="18">
        <v>9</v>
      </c>
      <c r="F142" s="20">
        <v>0.25345697963551334</v>
      </c>
      <c r="G142" s="4" t="s">
        <v>130</v>
      </c>
      <c r="H142" s="18"/>
    </row>
    <row r="143" spans="1:8" x14ac:dyDescent="0.25">
      <c r="A143" s="4">
        <v>1994</v>
      </c>
      <c r="B143" s="18">
        <v>126</v>
      </c>
      <c r="C143" s="13">
        <v>34460</v>
      </c>
      <c r="D143" s="18">
        <v>10</v>
      </c>
      <c r="E143" s="18">
        <v>10</v>
      </c>
      <c r="F143" s="20">
        <v>0.27247789938905798</v>
      </c>
      <c r="G143" s="4" t="s">
        <v>130</v>
      </c>
      <c r="H143" s="18"/>
    </row>
    <row r="144" spans="1:8" x14ac:dyDescent="0.25">
      <c r="A144" s="4">
        <v>1994</v>
      </c>
      <c r="B144" s="18">
        <v>126</v>
      </c>
      <c r="C144" s="13">
        <v>34460</v>
      </c>
      <c r="D144" s="18">
        <v>10</v>
      </c>
      <c r="E144" s="18">
        <v>11</v>
      </c>
      <c r="F144" s="20">
        <v>0.26943455222849083</v>
      </c>
      <c r="G144" s="4" t="s">
        <v>131</v>
      </c>
      <c r="H144" s="18"/>
    </row>
    <row r="145" spans="1:8" x14ac:dyDescent="0.25">
      <c r="A145" s="4">
        <v>1994</v>
      </c>
      <c r="B145" s="18">
        <v>126</v>
      </c>
      <c r="C145" s="13">
        <v>34460</v>
      </c>
      <c r="D145" s="18">
        <v>10</v>
      </c>
      <c r="E145" s="18">
        <v>12</v>
      </c>
      <c r="F145" s="20">
        <v>0.25551405688293366</v>
      </c>
      <c r="G145" s="4" t="s">
        <v>131</v>
      </c>
      <c r="H145" s="18"/>
    </row>
    <row r="146" spans="1:8" x14ac:dyDescent="0.25">
      <c r="A146" s="4">
        <v>1994</v>
      </c>
      <c r="B146" s="18">
        <v>140</v>
      </c>
      <c r="C146" s="13">
        <v>34474</v>
      </c>
      <c r="D146" s="18">
        <v>230</v>
      </c>
      <c r="E146" s="18">
        <v>1</v>
      </c>
      <c r="F146" s="20">
        <v>0.17626106058941426</v>
      </c>
      <c r="G146" s="4" t="s">
        <v>0</v>
      </c>
      <c r="H146" s="18"/>
    </row>
    <row r="147" spans="1:8" x14ac:dyDescent="0.25">
      <c r="A147" s="4">
        <v>1994</v>
      </c>
      <c r="B147" s="18">
        <v>140</v>
      </c>
      <c r="C147" s="13">
        <v>34474</v>
      </c>
      <c r="D147" s="18">
        <v>230</v>
      </c>
      <c r="E147" s="18">
        <v>2</v>
      </c>
      <c r="F147" s="20">
        <v>0.23445732535075342</v>
      </c>
      <c r="G147" s="4" t="s">
        <v>0</v>
      </c>
      <c r="H147" s="18"/>
    </row>
    <row r="148" spans="1:8" x14ac:dyDescent="0.25">
      <c r="A148" s="4">
        <v>1994</v>
      </c>
      <c r="B148" s="18">
        <v>140</v>
      </c>
      <c r="C148" s="13">
        <v>34474</v>
      </c>
      <c r="D148" s="18">
        <v>230</v>
      </c>
      <c r="E148" s="18">
        <v>3</v>
      </c>
      <c r="F148" s="20">
        <v>0.23764941421572267</v>
      </c>
      <c r="G148" s="4" t="s">
        <v>0</v>
      </c>
      <c r="H148" s="18"/>
    </row>
    <row r="149" spans="1:8" x14ac:dyDescent="0.25">
      <c r="A149" s="4">
        <v>1994</v>
      </c>
      <c r="B149" s="18">
        <v>140</v>
      </c>
      <c r="C149" s="13">
        <v>34474</v>
      </c>
      <c r="D149" s="18">
        <v>230</v>
      </c>
      <c r="E149" s="18">
        <v>4</v>
      </c>
      <c r="F149" s="20">
        <v>0.25727680360032662</v>
      </c>
      <c r="G149" s="4" t="s">
        <v>0</v>
      </c>
      <c r="H149" s="18"/>
    </row>
    <row r="150" spans="1:8" x14ac:dyDescent="0.25">
      <c r="A150" s="4">
        <v>1994</v>
      </c>
      <c r="B150" s="18">
        <v>140</v>
      </c>
      <c r="C150" s="13">
        <v>34474</v>
      </c>
      <c r="D150" s="18">
        <v>230</v>
      </c>
      <c r="E150" s="18">
        <v>5</v>
      </c>
      <c r="F150" s="20" t="e">
        <v>#N/A</v>
      </c>
      <c r="G150" s="4" t="s">
        <v>1</v>
      </c>
      <c r="H150" s="18"/>
    </row>
    <row r="151" spans="1:8" x14ac:dyDescent="0.25">
      <c r="A151" s="4">
        <v>1994</v>
      </c>
      <c r="B151" s="18">
        <v>140</v>
      </c>
      <c r="C151" s="13">
        <v>34474</v>
      </c>
      <c r="D151" s="18">
        <v>230</v>
      </c>
      <c r="E151" s="18">
        <v>6</v>
      </c>
      <c r="F151" s="20" t="e">
        <v>#N/A</v>
      </c>
      <c r="G151" s="4" t="s">
        <v>1</v>
      </c>
      <c r="H151" s="18"/>
    </row>
    <row r="152" spans="1:8" x14ac:dyDescent="0.25">
      <c r="A152" s="4">
        <v>1994</v>
      </c>
      <c r="B152" s="18">
        <v>140</v>
      </c>
      <c r="C152" s="13">
        <v>34474</v>
      </c>
      <c r="D152" s="18">
        <v>230</v>
      </c>
      <c r="E152" s="18">
        <v>7</v>
      </c>
      <c r="F152" s="20" t="e">
        <v>#N/A</v>
      </c>
      <c r="G152" s="4" t="s">
        <v>130</v>
      </c>
      <c r="H152" s="18"/>
    </row>
    <row r="153" spans="1:8" x14ac:dyDescent="0.25">
      <c r="A153" s="4">
        <v>1994</v>
      </c>
      <c r="B153" s="18">
        <v>140</v>
      </c>
      <c r="C153" s="13">
        <v>34474</v>
      </c>
      <c r="D153" s="18">
        <v>230</v>
      </c>
      <c r="E153" s="18">
        <v>8</v>
      </c>
      <c r="F153" s="20">
        <v>0.25200062365822878</v>
      </c>
      <c r="G153" s="4" t="s">
        <v>130</v>
      </c>
      <c r="H153" s="18"/>
    </row>
    <row r="154" spans="1:8" x14ac:dyDescent="0.25">
      <c r="A154" s="4">
        <v>1994</v>
      </c>
      <c r="B154" s="18">
        <v>140</v>
      </c>
      <c r="C154" s="13">
        <v>34474</v>
      </c>
      <c r="D154" s="18">
        <v>230</v>
      </c>
      <c r="E154" s="18">
        <v>9</v>
      </c>
      <c r="F154" s="20">
        <v>0.2435323548511617</v>
      </c>
      <c r="G154" s="4" t="s">
        <v>130</v>
      </c>
      <c r="H154" s="18"/>
    </row>
    <row r="155" spans="1:8" x14ac:dyDescent="0.25">
      <c r="A155" s="4">
        <v>1994</v>
      </c>
      <c r="B155" s="18">
        <v>140</v>
      </c>
      <c r="C155" s="13">
        <v>34474</v>
      </c>
      <c r="D155" s="18">
        <v>230</v>
      </c>
      <c r="E155" s="18">
        <v>10</v>
      </c>
      <c r="F155" s="20">
        <v>0.25785718339395736</v>
      </c>
      <c r="G155" s="4" t="s">
        <v>130</v>
      </c>
      <c r="H155" s="18"/>
    </row>
    <row r="156" spans="1:8" x14ac:dyDescent="0.25">
      <c r="A156" s="4">
        <v>1994</v>
      </c>
      <c r="B156" s="18">
        <v>140</v>
      </c>
      <c r="C156" s="13">
        <v>34474</v>
      </c>
      <c r="D156" s="18">
        <v>230</v>
      </c>
      <c r="E156" s="18">
        <v>11</v>
      </c>
      <c r="F156" s="20" t="e">
        <v>#N/A</v>
      </c>
      <c r="G156" s="4" t="s">
        <v>131</v>
      </c>
      <c r="H156" s="18"/>
    </row>
    <row r="157" spans="1:8" x14ac:dyDescent="0.25">
      <c r="A157" s="4">
        <v>1994</v>
      </c>
      <c r="B157" s="18">
        <v>140</v>
      </c>
      <c r="C157" s="13">
        <v>34474</v>
      </c>
      <c r="D157" s="18">
        <v>230</v>
      </c>
      <c r="E157" s="18">
        <v>12</v>
      </c>
      <c r="F157" s="20" t="e">
        <v>#N/A</v>
      </c>
      <c r="G157" s="4" t="s">
        <v>131</v>
      </c>
      <c r="H157" s="18"/>
    </row>
    <row r="158" spans="1:8" x14ac:dyDescent="0.25">
      <c r="A158" s="4">
        <v>1994</v>
      </c>
      <c r="B158" s="18">
        <v>140</v>
      </c>
      <c r="C158" s="13">
        <v>34474</v>
      </c>
      <c r="D158" s="18">
        <v>210</v>
      </c>
      <c r="E158" s="18">
        <v>1</v>
      </c>
      <c r="F158" s="20">
        <v>0.1799280056491723</v>
      </c>
      <c r="G158" s="4" t="s">
        <v>0</v>
      </c>
      <c r="H158" s="18"/>
    </row>
    <row r="159" spans="1:8" x14ac:dyDescent="0.25">
      <c r="A159" s="4">
        <v>1994</v>
      </c>
      <c r="B159" s="18">
        <v>140</v>
      </c>
      <c r="C159" s="13">
        <v>34474</v>
      </c>
      <c r="D159" s="18">
        <v>210</v>
      </c>
      <c r="E159" s="18">
        <v>2</v>
      </c>
      <c r="F159" s="20">
        <v>0.25047053147502041</v>
      </c>
      <c r="G159" s="4" t="s">
        <v>0</v>
      </c>
      <c r="H159" s="18"/>
    </row>
    <row r="160" spans="1:8" x14ac:dyDescent="0.25">
      <c r="A160" s="4">
        <v>1994</v>
      </c>
      <c r="B160" s="18">
        <v>140</v>
      </c>
      <c r="C160" s="13">
        <v>34474</v>
      </c>
      <c r="D160" s="18">
        <v>210</v>
      </c>
      <c r="E160" s="18">
        <v>3</v>
      </c>
      <c r="F160" s="20">
        <v>0.23952245809516737</v>
      </c>
      <c r="G160" s="4" t="s">
        <v>0</v>
      </c>
      <c r="H160" s="18"/>
    </row>
    <row r="161" spans="1:8" x14ac:dyDescent="0.25">
      <c r="A161" s="4">
        <v>1994</v>
      </c>
      <c r="B161" s="18">
        <v>140</v>
      </c>
      <c r="C161" s="13">
        <v>34474</v>
      </c>
      <c r="D161" s="18">
        <v>210</v>
      </c>
      <c r="E161" s="18">
        <v>4</v>
      </c>
      <c r="F161" s="20">
        <v>0.26305422063692374</v>
      </c>
      <c r="G161" s="4" t="s">
        <v>0</v>
      </c>
      <c r="H161" s="18"/>
    </row>
    <row r="162" spans="1:8" x14ac:dyDescent="0.25">
      <c r="A162" s="4">
        <v>1994</v>
      </c>
      <c r="B162" s="18">
        <v>140</v>
      </c>
      <c r="C162" s="13">
        <v>34474</v>
      </c>
      <c r="D162" s="18">
        <v>210</v>
      </c>
      <c r="E162" s="18">
        <v>5</v>
      </c>
      <c r="F162" s="20" t="e">
        <v>#N/A</v>
      </c>
      <c r="G162" s="4" t="s">
        <v>1</v>
      </c>
      <c r="H162" s="18"/>
    </row>
    <row r="163" spans="1:8" x14ac:dyDescent="0.25">
      <c r="A163" s="4">
        <v>1994</v>
      </c>
      <c r="B163" s="18">
        <v>140</v>
      </c>
      <c r="C163" s="13">
        <v>34474</v>
      </c>
      <c r="D163" s="18">
        <v>210</v>
      </c>
      <c r="E163" s="18">
        <v>6</v>
      </c>
      <c r="F163" s="20" t="e">
        <v>#N/A</v>
      </c>
      <c r="G163" s="4" t="s">
        <v>1</v>
      </c>
      <c r="H163" s="18"/>
    </row>
    <row r="164" spans="1:8" x14ac:dyDescent="0.25">
      <c r="A164" s="4">
        <v>1994</v>
      </c>
      <c r="B164" s="18">
        <v>140</v>
      </c>
      <c r="C164" s="13">
        <v>34474</v>
      </c>
      <c r="D164" s="18">
        <v>210</v>
      </c>
      <c r="E164" s="18">
        <v>7</v>
      </c>
      <c r="F164" s="20" t="e">
        <v>#N/A</v>
      </c>
      <c r="G164" s="4" t="s">
        <v>130</v>
      </c>
      <c r="H164" s="18"/>
    </row>
    <row r="165" spans="1:8" x14ac:dyDescent="0.25">
      <c r="A165" s="4">
        <v>1994</v>
      </c>
      <c r="B165" s="18">
        <v>140</v>
      </c>
      <c r="C165" s="13">
        <v>34474</v>
      </c>
      <c r="D165" s="18">
        <v>210</v>
      </c>
      <c r="E165" s="18">
        <v>8</v>
      </c>
      <c r="F165" s="20">
        <v>0.24448206724073934</v>
      </c>
      <c r="G165" s="4" t="s">
        <v>130</v>
      </c>
      <c r="H165" s="18"/>
    </row>
    <row r="166" spans="1:8" x14ac:dyDescent="0.25">
      <c r="A166" s="4">
        <v>1994</v>
      </c>
      <c r="B166" s="18">
        <v>140</v>
      </c>
      <c r="C166" s="13">
        <v>34474</v>
      </c>
      <c r="D166" s="18">
        <v>210</v>
      </c>
      <c r="E166" s="18">
        <v>9</v>
      </c>
      <c r="F166" s="20">
        <v>0.24917786738920639</v>
      </c>
      <c r="G166" s="4" t="s">
        <v>130</v>
      </c>
      <c r="H166" s="18"/>
    </row>
    <row r="167" spans="1:8" x14ac:dyDescent="0.25">
      <c r="A167" s="4">
        <v>1994</v>
      </c>
      <c r="B167" s="18">
        <v>140</v>
      </c>
      <c r="C167" s="13">
        <v>34474</v>
      </c>
      <c r="D167" s="18">
        <v>210</v>
      </c>
      <c r="E167" s="18">
        <v>10</v>
      </c>
      <c r="F167" s="20">
        <v>0.26476897911810554</v>
      </c>
      <c r="G167" s="4" t="s">
        <v>130</v>
      </c>
      <c r="H167" s="18"/>
    </row>
    <row r="168" spans="1:8" x14ac:dyDescent="0.25">
      <c r="A168" s="4">
        <v>1994</v>
      </c>
      <c r="B168" s="18">
        <v>140</v>
      </c>
      <c r="C168" s="13">
        <v>34474</v>
      </c>
      <c r="D168" s="18">
        <v>210</v>
      </c>
      <c r="E168" s="18">
        <v>11</v>
      </c>
      <c r="F168" s="20" t="e">
        <v>#N/A</v>
      </c>
      <c r="G168" s="4" t="s">
        <v>131</v>
      </c>
      <c r="H168" s="18"/>
    </row>
    <row r="169" spans="1:8" x14ac:dyDescent="0.25">
      <c r="A169" s="4">
        <v>1994</v>
      </c>
      <c r="B169" s="18">
        <v>140</v>
      </c>
      <c r="C169" s="13">
        <v>34474</v>
      </c>
      <c r="D169" s="18">
        <v>210</v>
      </c>
      <c r="E169" s="18">
        <v>12</v>
      </c>
      <c r="F169" s="20" t="e">
        <v>#N/A</v>
      </c>
      <c r="G169" s="4" t="s">
        <v>131</v>
      </c>
      <c r="H169" s="18"/>
    </row>
    <row r="170" spans="1:8" x14ac:dyDescent="0.25">
      <c r="A170" s="4">
        <v>1994</v>
      </c>
      <c r="B170" s="18">
        <v>140</v>
      </c>
      <c r="C170" s="13">
        <v>34474</v>
      </c>
      <c r="D170" s="18">
        <v>190</v>
      </c>
      <c r="E170" s="18">
        <v>1</v>
      </c>
      <c r="F170" s="20">
        <v>0.21010775491797196</v>
      </c>
      <c r="G170" s="4" t="s">
        <v>0</v>
      </c>
      <c r="H170" s="18"/>
    </row>
    <row r="171" spans="1:8" x14ac:dyDescent="0.25">
      <c r="A171" s="4">
        <v>1994</v>
      </c>
      <c r="B171" s="18">
        <v>140</v>
      </c>
      <c r="C171" s="13">
        <v>34474</v>
      </c>
      <c r="D171" s="18">
        <v>190</v>
      </c>
      <c r="E171" s="18">
        <v>2</v>
      </c>
      <c r="F171" s="20">
        <v>0.2610492722589266</v>
      </c>
      <c r="G171" s="4" t="s">
        <v>0</v>
      </c>
      <c r="H171" s="18"/>
    </row>
    <row r="172" spans="1:8" x14ac:dyDescent="0.25">
      <c r="A172" s="4">
        <v>1994</v>
      </c>
      <c r="B172" s="18">
        <v>140</v>
      </c>
      <c r="C172" s="13">
        <v>34474</v>
      </c>
      <c r="D172" s="18">
        <v>190</v>
      </c>
      <c r="E172" s="18">
        <v>3</v>
      </c>
      <c r="F172" s="20">
        <v>0.2649272645163685</v>
      </c>
      <c r="G172" s="4" t="s">
        <v>0</v>
      </c>
      <c r="H172" s="18"/>
    </row>
    <row r="173" spans="1:8" x14ac:dyDescent="0.25">
      <c r="A173" s="4">
        <v>1994</v>
      </c>
      <c r="B173" s="18">
        <v>140</v>
      </c>
      <c r="C173" s="13">
        <v>34474</v>
      </c>
      <c r="D173" s="18">
        <v>190</v>
      </c>
      <c r="E173" s="18">
        <v>4</v>
      </c>
      <c r="F173" s="20">
        <v>0.26830401967931106</v>
      </c>
      <c r="G173" s="4" t="s">
        <v>0</v>
      </c>
      <c r="H173" s="18"/>
    </row>
    <row r="174" spans="1:8" x14ac:dyDescent="0.25">
      <c r="A174" s="4">
        <v>1994</v>
      </c>
      <c r="B174" s="18">
        <v>140</v>
      </c>
      <c r="C174" s="13">
        <v>34474</v>
      </c>
      <c r="D174" s="18">
        <v>190</v>
      </c>
      <c r="E174" s="18">
        <v>5</v>
      </c>
      <c r="F174" s="20">
        <v>0.23363951745972827</v>
      </c>
      <c r="G174" s="4" t="s">
        <v>1</v>
      </c>
      <c r="H174" s="18"/>
    </row>
    <row r="175" spans="1:8" x14ac:dyDescent="0.25">
      <c r="A175" s="4">
        <v>1994</v>
      </c>
      <c r="B175" s="18">
        <v>140</v>
      </c>
      <c r="C175" s="13">
        <v>34474</v>
      </c>
      <c r="D175" s="18">
        <v>190</v>
      </c>
      <c r="E175" s="18">
        <v>6</v>
      </c>
      <c r="F175" s="20">
        <v>0.2558258541162497</v>
      </c>
      <c r="G175" s="4" t="s">
        <v>1</v>
      </c>
      <c r="H175" s="18"/>
    </row>
    <row r="176" spans="1:8" x14ac:dyDescent="0.25">
      <c r="A176" s="4">
        <v>1994</v>
      </c>
      <c r="B176" s="18">
        <v>140</v>
      </c>
      <c r="C176" s="13">
        <v>34474</v>
      </c>
      <c r="D176" s="18">
        <v>190</v>
      </c>
      <c r="E176" s="18">
        <v>7</v>
      </c>
      <c r="F176" s="20" t="e">
        <v>#N/A</v>
      </c>
      <c r="G176" s="4" t="s">
        <v>130</v>
      </c>
      <c r="H176" s="18"/>
    </row>
    <row r="177" spans="1:8" x14ac:dyDescent="0.25">
      <c r="A177" s="4">
        <v>1994</v>
      </c>
      <c r="B177" s="18">
        <v>140</v>
      </c>
      <c r="C177" s="13">
        <v>34474</v>
      </c>
      <c r="D177" s="18">
        <v>190</v>
      </c>
      <c r="E177" s="18">
        <v>8</v>
      </c>
      <c r="F177" s="20">
        <v>0.25492890352609304</v>
      </c>
      <c r="G177" s="4" t="s">
        <v>130</v>
      </c>
      <c r="H177" s="18"/>
    </row>
    <row r="178" spans="1:8" x14ac:dyDescent="0.25">
      <c r="A178" s="4">
        <v>1994</v>
      </c>
      <c r="B178" s="18">
        <v>140</v>
      </c>
      <c r="C178" s="13">
        <v>34474</v>
      </c>
      <c r="D178" s="18">
        <v>190</v>
      </c>
      <c r="E178" s="18">
        <v>9</v>
      </c>
      <c r="F178" s="20">
        <v>0.24946805728602178</v>
      </c>
      <c r="G178" s="4" t="s">
        <v>130</v>
      </c>
      <c r="H178" s="18"/>
    </row>
    <row r="179" spans="1:8" x14ac:dyDescent="0.25">
      <c r="A179" s="4">
        <v>1994</v>
      </c>
      <c r="B179" s="18">
        <v>140</v>
      </c>
      <c r="C179" s="13">
        <v>34474</v>
      </c>
      <c r="D179" s="18">
        <v>190</v>
      </c>
      <c r="E179" s="18">
        <v>10</v>
      </c>
      <c r="F179" s="20">
        <v>0.26223641274589854</v>
      </c>
      <c r="G179" s="4" t="s">
        <v>130</v>
      </c>
      <c r="H179" s="18"/>
    </row>
    <row r="180" spans="1:8" x14ac:dyDescent="0.25">
      <c r="A180" s="4">
        <v>1994</v>
      </c>
      <c r="B180" s="18">
        <v>140</v>
      </c>
      <c r="C180" s="13">
        <v>34474</v>
      </c>
      <c r="D180" s="18">
        <v>190</v>
      </c>
      <c r="E180" s="18">
        <v>11</v>
      </c>
      <c r="F180" s="20">
        <v>0.2841061786058941</v>
      </c>
      <c r="G180" s="4" t="s">
        <v>131</v>
      </c>
      <c r="H180" s="18"/>
    </row>
    <row r="181" spans="1:8" x14ac:dyDescent="0.25">
      <c r="A181" s="4">
        <v>1994</v>
      </c>
      <c r="B181" s="18">
        <v>140</v>
      </c>
      <c r="C181" s="13">
        <v>34474</v>
      </c>
      <c r="D181" s="18">
        <v>190</v>
      </c>
      <c r="E181" s="18">
        <v>12</v>
      </c>
      <c r="F181" s="20">
        <v>0.28619026968302275</v>
      </c>
      <c r="G181" s="4" t="s">
        <v>131</v>
      </c>
      <c r="H181" s="18"/>
    </row>
    <row r="182" spans="1:8" x14ac:dyDescent="0.25">
      <c r="A182" s="4">
        <v>1994</v>
      </c>
      <c r="B182" s="18">
        <v>140</v>
      </c>
      <c r="C182" s="13">
        <v>34474</v>
      </c>
      <c r="D182" s="18">
        <v>170</v>
      </c>
      <c r="E182" s="18">
        <v>1</v>
      </c>
      <c r="F182" s="20">
        <v>0.23667332092643451</v>
      </c>
      <c r="G182" s="4" t="s">
        <v>0</v>
      </c>
      <c r="H182" s="18"/>
    </row>
    <row r="183" spans="1:8" x14ac:dyDescent="0.25">
      <c r="A183" s="4">
        <v>1994</v>
      </c>
      <c r="B183" s="18">
        <v>140</v>
      </c>
      <c r="C183" s="13">
        <v>34474</v>
      </c>
      <c r="D183" s="18">
        <v>170</v>
      </c>
      <c r="E183" s="18">
        <v>2</v>
      </c>
      <c r="F183" s="20">
        <v>0.26782916348452229</v>
      </c>
      <c r="G183" s="4" t="s">
        <v>0</v>
      </c>
      <c r="H183" s="18"/>
    </row>
    <row r="184" spans="1:8" x14ac:dyDescent="0.25">
      <c r="A184" s="4">
        <v>1994</v>
      </c>
      <c r="B184" s="18">
        <v>140</v>
      </c>
      <c r="C184" s="13">
        <v>34474</v>
      </c>
      <c r="D184" s="18">
        <v>170</v>
      </c>
      <c r="E184" s="18">
        <v>3</v>
      </c>
      <c r="F184" s="20">
        <v>0.27115315684804392</v>
      </c>
      <c r="G184" s="4" t="s">
        <v>0</v>
      </c>
      <c r="H184" s="18"/>
    </row>
    <row r="185" spans="1:8" x14ac:dyDescent="0.25">
      <c r="A185" s="4">
        <v>1994</v>
      </c>
      <c r="B185" s="18">
        <v>140</v>
      </c>
      <c r="C185" s="13">
        <v>34474</v>
      </c>
      <c r="D185" s="18">
        <v>170</v>
      </c>
      <c r="E185" s="18">
        <v>4</v>
      </c>
      <c r="F185" s="20">
        <v>0.26957030286541456</v>
      </c>
      <c r="G185" s="4" t="s">
        <v>0</v>
      </c>
      <c r="H185" s="18"/>
    </row>
    <row r="186" spans="1:8" x14ac:dyDescent="0.25">
      <c r="A186" s="4">
        <v>1994</v>
      </c>
      <c r="B186" s="18">
        <v>140</v>
      </c>
      <c r="C186" s="13">
        <v>34474</v>
      </c>
      <c r="D186" s="18">
        <v>170</v>
      </c>
      <c r="E186" s="18">
        <v>5</v>
      </c>
      <c r="F186" s="20">
        <v>0.25440128553188329</v>
      </c>
      <c r="G186" s="4" t="s">
        <v>1</v>
      </c>
      <c r="H186" s="18"/>
    </row>
    <row r="187" spans="1:8" x14ac:dyDescent="0.25">
      <c r="A187" s="4">
        <v>1994</v>
      </c>
      <c r="B187" s="18">
        <v>140</v>
      </c>
      <c r="C187" s="13">
        <v>34474</v>
      </c>
      <c r="D187" s="18">
        <v>170</v>
      </c>
      <c r="E187" s="18">
        <v>6</v>
      </c>
      <c r="F187" s="20">
        <v>0.26830401967931106</v>
      </c>
      <c r="G187" s="4" t="s">
        <v>1</v>
      </c>
      <c r="H187" s="18"/>
    </row>
    <row r="188" spans="1:8" x14ac:dyDescent="0.25">
      <c r="A188" s="4">
        <v>1994</v>
      </c>
      <c r="B188" s="18">
        <v>140</v>
      </c>
      <c r="C188" s="13">
        <v>34474</v>
      </c>
      <c r="D188" s="18">
        <v>170</v>
      </c>
      <c r="E188" s="18">
        <v>7</v>
      </c>
      <c r="F188" s="20" t="e">
        <v>#N/A</v>
      </c>
      <c r="G188" s="4" t="s">
        <v>130</v>
      </c>
      <c r="H188" s="18"/>
    </row>
    <row r="189" spans="1:8" x14ac:dyDescent="0.25">
      <c r="A189" s="4">
        <v>1994</v>
      </c>
      <c r="B189" s="18">
        <v>140</v>
      </c>
      <c r="C189" s="13">
        <v>34474</v>
      </c>
      <c r="D189" s="18">
        <v>170</v>
      </c>
      <c r="E189" s="18">
        <v>8</v>
      </c>
      <c r="F189" s="20">
        <v>0.2649272645163685</v>
      </c>
      <c r="G189" s="4" t="s">
        <v>130</v>
      </c>
      <c r="H189" s="18"/>
    </row>
    <row r="190" spans="1:8" x14ac:dyDescent="0.25">
      <c r="A190" s="4">
        <v>1994</v>
      </c>
      <c r="B190" s="18">
        <v>140</v>
      </c>
      <c r="C190" s="13">
        <v>34474</v>
      </c>
      <c r="D190" s="18">
        <v>170</v>
      </c>
      <c r="E190" s="18">
        <v>9</v>
      </c>
      <c r="F190" s="20">
        <v>0.25463871362927765</v>
      </c>
      <c r="G190" s="4" t="s">
        <v>130</v>
      </c>
      <c r="H190" s="18"/>
    </row>
    <row r="191" spans="1:8" x14ac:dyDescent="0.25">
      <c r="A191" s="4">
        <v>1994</v>
      </c>
      <c r="B191" s="18">
        <v>140</v>
      </c>
      <c r="C191" s="13">
        <v>34474</v>
      </c>
      <c r="D191" s="18">
        <v>170</v>
      </c>
      <c r="E191" s="18">
        <v>10</v>
      </c>
      <c r="F191" s="20">
        <v>0.26442602742186916</v>
      </c>
      <c r="G191" s="4" t="s">
        <v>130</v>
      </c>
      <c r="H191" s="18"/>
    </row>
    <row r="192" spans="1:8" x14ac:dyDescent="0.25">
      <c r="A192" s="4">
        <v>1994</v>
      </c>
      <c r="B192" s="18">
        <v>140</v>
      </c>
      <c r="C192" s="13">
        <v>34474</v>
      </c>
      <c r="D192" s="18">
        <v>170</v>
      </c>
      <c r="E192" s="18">
        <v>11</v>
      </c>
      <c r="F192" s="20">
        <v>0.27139058494543833</v>
      </c>
      <c r="G192" s="4" t="s">
        <v>131</v>
      </c>
      <c r="H192" s="18"/>
    </row>
    <row r="193" spans="1:8" x14ac:dyDescent="0.25">
      <c r="A193" s="4">
        <v>1994</v>
      </c>
      <c r="B193" s="18">
        <v>140</v>
      </c>
      <c r="C193" s="13">
        <v>34474</v>
      </c>
      <c r="D193" s="18">
        <v>170</v>
      </c>
      <c r="E193" s="18">
        <v>12</v>
      </c>
      <c r="F193" s="20">
        <v>0.28138894593571373</v>
      </c>
      <c r="G193" s="4" t="s">
        <v>131</v>
      </c>
      <c r="H193" s="18"/>
    </row>
    <row r="194" spans="1:8" x14ac:dyDescent="0.25">
      <c r="A194" s="4">
        <v>1994</v>
      </c>
      <c r="B194" s="18">
        <v>140</v>
      </c>
      <c r="C194" s="13">
        <v>34474</v>
      </c>
      <c r="D194" s="18">
        <v>150</v>
      </c>
      <c r="E194" s="18">
        <v>1</v>
      </c>
      <c r="F194" s="20">
        <v>0.26344993413258105</v>
      </c>
      <c r="G194" s="4" t="s">
        <v>0</v>
      </c>
      <c r="H194" s="18"/>
    </row>
    <row r="195" spans="1:8" x14ac:dyDescent="0.25">
      <c r="A195" s="4">
        <v>1994</v>
      </c>
      <c r="B195" s="18">
        <v>140</v>
      </c>
      <c r="C195" s="13">
        <v>34474</v>
      </c>
      <c r="D195" s="18">
        <v>150</v>
      </c>
      <c r="E195" s="18">
        <v>2</v>
      </c>
      <c r="F195" s="20">
        <v>0.18206485852572191</v>
      </c>
      <c r="G195" s="4" t="s">
        <v>0</v>
      </c>
      <c r="H195" s="18"/>
    </row>
    <row r="196" spans="1:8" x14ac:dyDescent="0.25">
      <c r="A196" s="4">
        <v>1994</v>
      </c>
      <c r="B196" s="18">
        <v>140</v>
      </c>
      <c r="C196" s="13">
        <v>34474</v>
      </c>
      <c r="D196" s="18">
        <v>150</v>
      </c>
      <c r="E196" s="18">
        <v>3</v>
      </c>
      <c r="F196" s="20">
        <v>0.28803693266275704</v>
      </c>
      <c r="G196" s="4" t="s">
        <v>0</v>
      </c>
      <c r="H196" s="18"/>
    </row>
    <row r="197" spans="1:8" x14ac:dyDescent="0.25">
      <c r="A197" s="4">
        <v>1994</v>
      </c>
      <c r="B197" s="18">
        <v>140</v>
      </c>
      <c r="C197" s="13">
        <v>34474</v>
      </c>
      <c r="D197" s="18">
        <v>150</v>
      </c>
      <c r="E197" s="18">
        <v>4</v>
      </c>
      <c r="F197" s="20">
        <v>0.27373848501967185</v>
      </c>
      <c r="G197" s="4" t="s">
        <v>0</v>
      </c>
      <c r="H197" s="18"/>
    </row>
    <row r="198" spans="1:8" x14ac:dyDescent="0.25">
      <c r="A198" s="4">
        <v>1994</v>
      </c>
      <c r="B198" s="18">
        <v>140</v>
      </c>
      <c r="C198" s="13">
        <v>34474</v>
      </c>
      <c r="D198" s="18">
        <v>150</v>
      </c>
      <c r="E198" s="18">
        <v>5</v>
      </c>
      <c r="F198" s="20">
        <v>0.25585223501596022</v>
      </c>
      <c r="G198" s="4" t="s">
        <v>1</v>
      </c>
      <c r="H198" s="18"/>
    </row>
    <row r="199" spans="1:8" x14ac:dyDescent="0.25">
      <c r="A199" s="4">
        <v>1994</v>
      </c>
      <c r="B199" s="18">
        <v>140</v>
      </c>
      <c r="C199" s="13">
        <v>34474</v>
      </c>
      <c r="D199" s="18">
        <v>150</v>
      </c>
      <c r="E199" s="18">
        <v>6</v>
      </c>
      <c r="F199" s="20">
        <v>0.26677392749610274</v>
      </c>
      <c r="G199" s="4" t="s">
        <v>1</v>
      </c>
      <c r="H199" s="18"/>
    </row>
    <row r="200" spans="1:8" x14ac:dyDescent="0.25">
      <c r="A200" s="4">
        <v>1994</v>
      </c>
      <c r="B200" s="18">
        <v>140</v>
      </c>
      <c r="C200" s="13">
        <v>34474</v>
      </c>
      <c r="D200" s="18">
        <v>150</v>
      </c>
      <c r="E200" s="18">
        <v>7</v>
      </c>
      <c r="F200" s="20" t="e">
        <v>#N/A</v>
      </c>
      <c r="G200" s="4" t="s">
        <v>130</v>
      </c>
      <c r="H200" s="18"/>
    </row>
    <row r="201" spans="1:8" x14ac:dyDescent="0.25">
      <c r="A201" s="4">
        <v>1994</v>
      </c>
      <c r="B201" s="18">
        <v>140</v>
      </c>
      <c r="C201" s="13">
        <v>34474</v>
      </c>
      <c r="D201" s="18">
        <v>150</v>
      </c>
      <c r="E201" s="18">
        <v>8</v>
      </c>
      <c r="F201" s="20">
        <v>0.27912018856061166</v>
      </c>
      <c r="G201" s="4" t="s">
        <v>130</v>
      </c>
      <c r="H201" s="18"/>
    </row>
    <row r="202" spans="1:8" x14ac:dyDescent="0.25">
      <c r="A202" s="4">
        <v>1994</v>
      </c>
      <c r="B202" s="18">
        <v>140</v>
      </c>
      <c r="C202" s="13">
        <v>34474</v>
      </c>
      <c r="D202" s="18">
        <v>150</v>
      </c>
      <c r="E202" s="18">
        <v>9</v>
      </c>
      <c r="F202" s="20">
        <v>0.28101961333976688</v>
      </c>
      <c r="G202" s="4" t="s">
        <v>130</v>
      </c>
      <c r="H202" s="18"/>
    </row>
    <row r="203" spans="1:8" x14ac:dyDescent="0.25">
      <c r="A203" s="4">
        <v>1994</v>
      </c>
      <c r="B203" s="18">
        <v>140</v>
      </c>
      <c r="C203" s="13">
        <v>34474</v>
      </c>
      <c r="D203" s="18">
        <v>150</v>
      </c>
      <c r="E203" s="18">
        <v>10</v>
      </c>
      <c r="F203" s="20">
        <v>0.27621828959245787</v>
      </c>
      <c r="G203" s="4" t="s">
        <v>130</v>
      </c>
      <c r="H203" s="18"/>
    </row>
    <row r="204" spans="1:8" x14ac:dyDescent="0.25">
      <c r="A204" s="4">
        <v>1994</v>
      </c>
      <c r="B204" s="18">
        <v>140</v>
      </c>
      <c r="C204" s="13">
        <v>34474</v>
      </c>
      <c r="D204" s="18">
        <v>150</v>
      </c>
      <c r="E204" s="18">
        <v>11</v>
      </c>
      <c r="F204" s="20">
        <v>0.29302292270803942</v>
      </c>
      <c r="G204" s="4" t="s">
        <v>131</v>
      </c>
      <c r="H204" s="18"/>
    </row>
    <row r="205" spans="1:8" x14ac:dyDescent="0.25">
      <c r="A205" s="4">
        <v>1994</v>
      </c>
      <c r="B205" s="18">
        <v>140</v>
      </c>
      <c r="C205" s="13">
        <v>34474</v>
      </c>
      <c r="D205" s="18">
        <v>150</v>
      </c>
      <c r="E205" s="18">
        <v>12</v>
      </c>
      <c r="F205" s="20">
        <v>0.30922079513027984</v>
      </c>
      <c r="G205" s="4" t="s">
        <v>131</v>
      </c>
      <c r="H205" s="18"/>
    </row>
    <row r="206" spans="1:8" x14ac:dyDescent="0.25">
      <c r="A206" s="4">
        <v>1994</v>
      </c>
      <c r="B206" s="18">
        <v>140</v>
      </c>
      <c r="C206" s="13">
        <v>34474</v>
      </c>
      <c r="D206" s="18">
        <v>130</v>
      </c>
      <c r="E206" s="18">
        <v>1</v>
      </c>
      <c r="F206" s="20">
        <v>0.24398083014624006</v>
      </c>
      <c r="G206" s="4" t="s">
        <v>0</v>
      </c>
      <c r="H206" s="18"/>
    </row>
    <row r="207" spans="1:8" x14ac:dyDescent="0.25">
      <c r="A207" s="4">
        <v>1994</v>
      </c>
      <c r="B207" s="18">
        <v>140</v>
      </c>
      <c r="C207" s="13">
        <v>34474</v>
      </c>
      <c r="D207" s="18">
        <v>130</v>
      </c>
      <c r="E207" s="18">
        <v>2</v>
      </c>
      <c r="F207" s="20">
        <v>0.20219348500482515</v>
      </c>
      <c r="G207" s="4" t="s">
        <v>0</v>
      </c>
      <c r="H207" s="18"/>
    </row>
    <row r="208" spans="1:8" x14ac:dyDescent="0.25">
      <c r="A208" s="4">
        <v>1994</v>
      </c>
      <c r="B208" s="18">
        <v>140</v>
      </c>
      <c r="C208" s="13">
        <v>34474</v>
      </c>
      <c r="D208" s="18">
        <v>130</v>
      </c>
      <c r="E208" s="18">
        <v>3</v>
      </c>
      <c r="F208" s="20">
        <v>0.24912510558978546</v>
      </c>
      <c r="G208" s="4" t="s">
        <v>0</v>
      </c>
      <c r="H208" s="18"/>
    </row>
    <row r="209" spans="1:8" x14ac:dyDescent="0.25">
      <c r="A209" s="4">
        <v>1994</v>
      </c>
      <c r="B209" s="18">
        <v>140</v>
      </c>
      <c r="C209" s="13">
        <v>34474</v>
      </c>
      <c r="D209" s="18">
        <v>130</v>
      </c>
      <c r="E209" s="18">
        <v>4</v>
      </c>
      <c r="F209" s="20">
        <v>0.24263540426100511</v>
      </c>
      <c r="G209" s="4" t="s">
        <v>0</v>
      </c>
      <c r="H209" s="18"/>
    </row>
    <row r="210" spans="1:8" x14ac:dyDescent="0.25">
      <c r="A210" s="4">
        <v>1994</v>
      </c>
      <c r="B210" s="18">
        <v>140</v>
      </c>
      <c r="C210" s="13">
        <v>34474</v>
      </c>
      <c r="D210" s="18">
        <v>130</v>
      </c>
      <c r="E210" s="18">
        <v>5</v>
      </c>
      <c r="F210" s="20">
        <v>0.22018525860737881</v>
      </c>
      <c r="G210" s="4" t="s">
        <v>1</v>
      </c>
      <c r="H210" s="18"/>
    </row>
    <row r="211" spans="1:8" x14ac:dyDescent="0.25">
      <c r="A211" s="4">
        <v>1994</v>
      </c>
      <c r="B211" s="18">
        <v>140</v>
      </c>
      <c r="C211" s="13">
        <v>34474</v>
      </c>
      <c r="D211" s="18">
        <v>130</v>
      </c>
      <c r="E211" s="18">
        <v>6</v>
      </c>
      <c r="F211" s="20">
        <v>0.22662219813673817</v>
      </c>
      <c r="G211" s="4" t="s">
        <v>1</v>
      </c>
      <c r="H211" s="18"/>
    </row>
    <row r="212" spans="1:8" x14ac:dyDescent="0.25">
      <c r="A212" s="4">
        <v>1994</v>
      </c>
      <c r="B212" s="18">
        <v>140</v>
      </c>
      <c r="C212" s="13">
        <v>34474</v>
      </c>
      <c r="D212" s="18">
        <v>130</v>
      </c>
      <c r="E212" s="18">
        <v>7</v>
      </c>
      <c r="F212" s="20" t="e">
        <v>#N/A</v>
      </c>
      <c r="G212" s="4" t="s">
        <v>130</v>
      </c>
      <c r="H212" s="18"/>
    </row>
    <row r="213" spans="1:8" x14ac:dyDescent="0.25">
      <c r="A213" s="4">
        <v>1994</v>
      </c>
      <c r="B213" s="18">
        <v>140</v>
      </c>
      <c r="C213" s="13">
        <v>34474</v>
      </c>
      <c r="D213" s="18">
        <v>130</v>
      </c>
      <c r="E213" s="18">
        <v>8</v>
      </c>
      <c r="F213" s="20">
        <v>0.26205174644792517</v>
      </c>
      <c r="G213" s="4" t="s">
        <v>130</v>
      </c>
      <c r="H213" s="18"/>
    </row>
    <row r="214" spans="1:8" x14ac:dyDescent="0.25">
      <c r="A214" s="4">
        <v>1994</v>
      </c>
      <c r="B214" s="18">
        <v>140</v>
      </c>
      <c r="C214" s="13">
        <v>34474</v>
      </c>
      <c r="D214" s="18">
        <v>130</v>
      </c>
      <c r="E214" s="18">
        <v>9</v>
      </c>
      <c r="F214" s="20">
        <v>0.28175827853166058</v>
      </c>
      <c r="G214" s="4" t="s">
        <v>130</v>
      </c>
      <c r="H214" s="18"/>
    </row>
    <row r="215" spans="1:8" x14ac:dyDescent="0.25">
      <c r="A215" s="4">
        <v>1994</v>
      </c>
      <c r="B215" s="18">
        <v>140</v>
      </c>
      <c r="C215" s="13">
        <v>34474</v>
      </c>
      <c r="D215" s="18">
        <v>130</v>
      </c>
      <c r="E215" s="18">
        <v>10</v>
      </c>
      <c r="F215" s="20">
        <v>0.24094702667953383</v>
      </c>
      <c r="G215" s="4" t="s">
        <v>130</v>
      </c>
      <c r="H215" s="18"/>
    </row>
    <row r="216" spans="1:8" x14ac:dyDescent="0.25">
      <c r="A216" s="4">
        <v>1994</v>
      </c>
      <c r="B216" s="18">
        <v>140</v>
      </c>
      <c r="C216" s="13">
        <v>34474</v>
      </c>
      <c r="D216" s="18">
        <v>130</v>
      </c>
      <c r="E216" s="18">
        <v>11</v>
      </c>
      <c r="F216" s="20">
        <v>0.26954392196570409</v>
      </c>
      <c r="G216" s="4" t="s">
        <v>131</v>
      </c>
      <c r="H216" s="18"/>
    </row>
    <row r="217" spans="1:8" x14ac:dyDescent="0.25">
      <c r="A217" s="4">
        <v>1994</v>
      </c>
      <c r="B217" s="18">
        <v>140</v>
      </c>
      <c r="C217" s="13">
        <v>34474</v>
      </c>
      <c r="D217" s="18">
        <v>130</v>
      </c>
      <c r="E217" s="18">
        <v>12</v>
      </c>
      <c r="F217" s="20">
        <v>0.27347467602256698</v>
      </c>
      <c r="G217" s="4" t="s">
        <v>131</v>
      </c>
      <c r="H217" s="18"/>
    </row>
    <row r="218" spans="1:8" x14ac:dyDescent="0.25">
      <c r="A218" s="4">
        <v>1994</v>
      </c>
      <c r="B218" s="18">
        <v>140</v>
      </c>
      <c r="C218" s="13">
        <v>34474</v>
      </c>
      <c r="D218" s="18">
        <v>110</v>
      </c>
      <c r="E218" s="18">
        <v>1</v>
      </c>
      <c r="F218" s="20">
        <v>0.22971396902729319</v>
      </c>
      <c r="G218" s="4" t="s">
        <v>0</v>
      </c>
      <c r="H218" s="18"/>
    </row>
    <row r="219" spans="1:8" x14ac:dyDescent="0.25">
      <c r="A219" s="4">
        <v>1994</v>
      </c>
      <c r="B219" s="18">
        <v>140</v>
      </c>
      <c r="C219" s="13">
        <v>34474</v>
      </c>
      <c r="D219" s="18">
        <v>110</v>
      </c>
      <c r="E219" s="18">
        <v>2</v>
      </c>
      <c r="F219" s="20">
        <v>0.20864438554425552</v>
      </c>
      <c r="G219" s="4" t="s">
        <v>0</v>
      </c>
      <c r="H219" s="18"/>
    </row>
    <row r="220" spans="1:8" x14ac:dyDescent="0.25">
      <c r="A220" s="4">
        <v>1994</v>
      </c>
      <c r="B220" s="18">
        <v>140</v>
      </c>
      <c r="C220" s="13">
        <v>34474</v>
      </c>
      <c r="D220" s="18">
        <v>110</v>
      </c>
      <c r="E220" s="18">
        <v>3</v>
      </c>
      <c r="F220" s="20">
        <v>0.23519077207334271</v>
      </c>
      <c r="G220" s="4" t="s">
        <v>0</v>
      </c>
      <c r="H220" s="18"/>
    </row>
    <row r="221" spans="1:8" x14ac:dyDescent="0.25">
      <c r="A221" s="4">
        <v>1994</v>
      </c>
      <c r="B221" s="18">
        <v>140</v>
      </c>
      <c r="C221" s="13">
        <v>34474</v>
      </c>
      <c r="D221" s="18">
        <v>110</v>
      </c>
      <c r="E221" s="18">
        <v>4</v>
      </c>
      <c r="F221" s="20">
        <v>0.23908896718258971</v>
      </c>
      <c r="G221" s="4" t="s">
        <v>0</v>
      </c>
      <c r="H221" s="18"/>
    </row>
    <row r="222" spans="1:8" x14ac:dyDescent="0.25">
      <c r="A222" s="4">
        <v>1994</v>
      </c>
      <c r="B222" s="18">
        <v>140</v>
      </c>
      <c r="C222" s="13">
        <v>34474</v>
      </c>
      <c r="D222" s="18">
        <v>110</v>
      </c>
      <c r="E222" s="18">
        <v>5</v>
      </c>
      <c r="F222" s="20">
        <v>0.21979129056739166</v>
      </c>
      <c r="G222" s="4" t="s">
        <v>1</v>
      </c>
      <c r="H222" s="18"/>
    </row>
    <row r="223" spans="1:8" x14ac:dyDescent="0.25">
      <c r="A223" s="4">
        <v>1994</v>
      </c>
      <c r="B223" s="18">
        <v>140</v>
      </c>
      <c r="C223" s="13">
        <v>34474</v>
      </c>
      <c r="D223" s="18">
        <v>110</v>
      </c>
      <c r="E223" s="18">
        <v>6</v>
      </c>
      <c r="F223" s="20">
        <v>0.22359283621112014</v>
      </c>
      <c r="G223" s="4" t="s">
        <v>1</v>
      </c>
      <c r="H223" s="18"/>
    </row>
    <row r="224" spans="1:8" x14ac:dyDescent="0.25">
      <c r="A224" s="4">
        <v>1994</v>
      </c>
      <c r="B224" s="18">
        <v>140</v>
      </c>
      <c r="C224" s="13">
        <v>34474</v>
      </c>
      <c r="D224" s="18">
        <v>110</v>
      </c>
      <c r="E224" s="18">
        <v>7</v>
      </c>
      <c r="F224" s="20" t="e">
        <v>#N/A</v>
      </c>
      <c r="G224" s="4" t="s">
        <v>130</v>
      </c>
      <c r="H224" s="18"/>
    </row>
    <row r="225" spans="1:8" x14ac:dyDescent="0.25">
      <c r="A225" s="4">
        <v>1994</v>
      </c>
      <c r="B225" s="18">
        <v>140</v>
      </c>
      <c r="C225" s="13">
        <v>34474</v>
      </c>
      <c r="D225" s="18">
        <v>110</v>
      </c>
      <c r="E225" s="18">
        <v>8</v>
      </c>
      <c r="F225" s="20">
        <v>0.27736215552792415</v>
      </c>
      <c r="G225" s="4" t="s">
        <v>130</v>
      </c>
      <c r="H225" s="18"/>
    </row>
    <row r="226" spans="1:8" x14ac:dyDescent="0.25">
      <c r="A226" s="4">
        <v>1994</v>
      </c>
      <c r="B226" s="18">
        <v>140</v>
      </c>
      <c r="C226" s="13">
        <v>34474</v>
      </c>
      <c r="D226" s="18">
        <v>110</v>
      </c>
      <c r="E226" s="18">
        <v>9</v>
      </c>
      <c r="F226" s="20">
        <v>0.27523586728651667</v>
      </c>
      <c r="G226" s="4" t="s">
        <v>130</v>
      </c>
      <c r="H226" s="18"/>
    </row>
    <row r="227" spans="1:8" x14ac:dyDescent="0.25">
      <c r="A227" s="4">
        <v>1994</v>
      </c>
      <c r="B227" s="18">
        <v>140</v>
      </c>
      <c r="C227" s="13">
        <v>34474</v>
      </c>
      <c r="D227" s="18">
        <v>110</v>
      </c>
      <c r="E227" s="18">
        <v>10</v>
      </c>
      <c r="F227" s="20">
        <v>0.25178226365402218</v>
      </c>
      <c r="G227" s="4" t="s">
        <v>130</v>
      </c>
      <c r="H227" s="18"/>
    </row>
    <row r="228" spans="1:8" x14ac:dyDescent="0.25">
      <c r="A228" s="4">
        <v>1994</v>
      </c>
      <c r="B228" s="18">
        <v>140</v>
      </c>
      <c r="C228" s="13">
        <v>34474</v>
      </c>
      <c r="D228" s="18">
        <v>110</v>
      </c>
      <c r="E228" s="18">
        <v>11</v>
      </c>
      <c r="F228" s="20">
        <v>0.27855416560265256</v>
      </c>
      <c r="G228" s="4" t="s">
        <v>131</v>
      </c>
      <c r="H228" s="18"/>
    </row>
    <row r="229" spans="1:8" x14ac:dyDescent="0.25">
      <c r="A229" s="4">
        <v>1994</v>
      </c>
      <c r="B229" s="18">
        <v>140</v>
      </c>
      <c r="C229" s="13">
        <v>34474</v>
      </c>
      <c r="D229" s="18">
        <v>110</v>
      </c>
      <c r="E229" s="18">
        <v>12</v>
      </c>
      <c r="F229" s="20">
        <v>0.28316112345903544</v>
      </c>
      <c r="G229" s="4" t="s">
        <v>131</v>
      </c>
      <c r="H229" s="18"/>
    </row>
    <row r="230" spans="1:8" x14ac:dyDescent="0.25">
      <c r="A230" s="4">
        <v>1994</v>
      </c>
      <c r="B230" s="18">
        <v>140</v>
      </c>
      <c r="C230" s="13">
        <v>34474</v>
      </c>
      <c r="D230" s="18">
        <v>90</v>
      </c>
      <c r="E230" s="18">
        <v>1</v>
      </c>
      <c r="F230" s="20">
        <v>0.20993304508450245</v>
      </c>
      <c r="G230" s="4" t="s">
        <v>0</v>
      </c>
      <c r="H230" s="18"/>
    </row>
    <row r="231" spans="1:8" x14ac:dyDescent="0.25">
      <c r="A231" s="4">
        <v>1994</v>
      </c>
      <c r="B231" s="18">
        <v>140</v>
      </c>
      <c r="C231" s="13">
        <v>34474</v>
      </c>
      <c r="D231" s="18">
        <v>90</v>
      </c>
      <c r="E231" s="18">
        <v>2</v>
      </c>
      <c r="F231" s="20">
        <v>0.19997815013609477</v>
      </c>
      <c r="G231" s="4" t="s">
        <v>0</v>
      </c>
      <c r="H231" s="18"/>
    </row>
    <row r="232" spans="1:8" x14ac:dyDescent="0.25">
      <c r="A232" s="4">
        <v>1994</v>
      </c>
      <c r="B232" s="18">
        <v>140</v>
      </c>
      <c r="C232" s="13">
        <v>34474</v>
      </c>
      <c r="D232" s="18">
        <v>90</v>
      </c>
      <c r="E232" s="18">
        <v>3</v>
      </c>
      <c r="F232" s="20">
        <v>0.21979129056739166</v>
      </c>
      <c r="G232" s="4" t="s">
        <v>0</v>
      </c>
      <c r="H232" s="18"/>
    </row>
    <row r="233" spans="1:8" x14ac:dyDescent="0.25">
      <c r="A233" s="4">
        <v>1994</v>
      </c>
      <c r="B233" s="18">
        <v>140</v>
      </c>
      <c r="C233" s="13">
        <v>34474</v>
      </c>
      <c r="D233" s="18">
        <v>90</v>
      </c>
      <c r="E233" s="18">
        <v>4</v>
      </c>
      <c r="F233" s="20">
        <v>0.20584155104421842</v>
      </c>
      <c r="G233" s="4" t="s">
        <v>0</v>
      </c>
      <c r="H233" s="18"/>
    </row>
    <row r="234" spans="1:8" x14ac:dyDescent="0.25">
      <c r="A234" s="4">
        <v>1994</v>
      </c>
      <c r="B234" s="18">
        <v>140</v>
      </c>
      <c r="C234" s="13">
        <v>34474</v>
      </c>
      <c r="D234" s="18">
        <v>90</v>
      </c>
      <c r="E234" s="18">
        <v>5</v>
      </c>
      <c r="F234" s="20">
        <v>0.19430804815900821</v>
      </c>
      <c r="G234" s="4" t="s">
        <v>1</v>
      </c>
      <c r="H234" s="18"/>
    </row>
    <row r="235" spans="1:8" x14ac:dyDescent="0.25">
      <c r="A235" s="4">
        <v>1994</v>
      </c>
      <c r="B235" s="18">
        <v>140</v>
      </c>
      <c r="C235" s="13">
        <v>34474</v>
      </c>
      <c r="D235" s="18">
        <v>90</v>
      </c>
      <c r="E235" s="18">
        <v>6</v>
      </c>
      <c r="F235" s="20">
        <v>0.20413407715339116</v>
      </c>
      <c r="G235" s="4" t="s">
        <v>1</v>
      </c>
      <c r="H235" s="18"/>
    </row>
    <row r="236" spans="1:8" x14ac:dyDescent="0.25">
      <c r="A236" s="4">
        <v>1994</v>
      </c>
      <c r="B236" s="18">
        <v>140</v>
      </c>
      <c r="C236" s="13">
        <v>34474</v>
      </c>
      <c r="D236" s="18">
        <v>90</v>
      </c>
      <c r="E236" s="18">
        <v>7</v>
      </c>
      <c r="F236" s="20" t="e">
        <v>#N/A</v>
      </c>
      <c r="G236" s="4" t="s">
        <v>130</v>
      </c>
      <c r="H236" s="18"/>
    </row>
    <row r="237" spans="1:8" x14ac:dyDescent="0.25">
      <c r="A237" s="4">
        <v>1994</v>
      </c>
      <c r="B237" s="18">
        <v>140</v>
      </c>
      <c r="C237" s="13">
        <v>34474</v>
      </c>
      <c r="D237" s="18">
        <v>90</v>
      </c>
      <c r="E237" s="18">
        <v>8</v>
      </c>
      <c r="F237" s="20">
        <v>0.27617014545319574</v>
      </c>
      <c r="G237" s="4" t="s">
        <v>130</v>
      </c>
      <c r="H237" s="18"/>
    </row>
    <row r="238" spans="1:8" x14ac:dyDescent="0.25">
      <c r="A238" s="4">
        <v>1994</v>
      </c>
      <c r="B238" s="18">
        <v>140</v>
      </c>
      <c r="C238" s="13">
        <v>34474</v>
      </c>
      <c r="D238" s="18">
        <v>90</v>
      </c>
      <c r="E238" s="18">
        <v>9</v>
      </c>
      <c r="F238" s="20">
        <v>0.27269076469452896</v>
      </c>
      <c r="G238" s="4" t="s">
        <v>130</v>
      </c>
      <c r="H238" s="18"/>
    </row>
    <row r="239" spans="1:8" x14ac:dyDescent="0.25">
      <c r="A239" s="4">
        <v>1994</v>
      </c>
      <c r="B239" s="18">
        <v>140</v>
      </c>
      <c r="C239" s="13">
        <v>34474</v>
      </c>
      <c r="D239" s="18">
        <v>90</v>
      </c>
      <c r="E239" s="18">
        <v>10</v>
      </c>
      <c r="F239" s="20">
        <v>0.25084798548734316</v>
      </c>
      <c r="G239" s="4" t="s">
        <v>130</v>
      </c>
      <c r="H239" s="18"/>
    </row>
    <row r="240" spans="1:8" x14ac:dyDescent="0.25">
      <c r="A240" s="4">
        <v>1994</v>
      </c>
      <c r="B240" s="18">
        <v>140</v>
      </c>
      <c r="C240" s="13">
        <v>34474</v>
      </c>
      <c r="D240" s="18">
        <v>90</v>
      </c>
      <c r="E240" s="18">
        <v>11</v>
      </c>
      <c r="F240" s="20">
        <v>0.27227195034394869</v>
      </c>
      <c r="G240" s="4" t="s">
        <v>131</v>
      </c>
      <c r="H240" s="18"/>
    </row>
    <row r="241" spans="1:8" x14ac:dyDescent="0.25">
      <c r="A241" s="4">
        <v>1994</v>
      </c>
      <c r="B241" s="18">
        <v>140</v>
      </c>
      <c r="C241" s="13">
        <v>34474</v>
      </c>
      <c r="D241" s="18">
        <v>90</v>
      </c>
      <c r="E241" s="18">
        <v>12</v>
      </c>
      <c r="F241" s="20">
        <v>0.28167916498775142</v>
      </c>
      <c r="G241" s="4" t="s">
        <v>131</v>
      </c>
      <c r="H241" s="18"/>
    </row>
    <row r="242" spans="1:8" x14ac:dyDescent="0.25">
      <c r="A242" s="4">
        <v>1994</v>
      </c>
      <c r="B242" s="18">
        <v>140</v>
      </c>
      <c r="C242" s="13">
        <v>34474</v>
      </c>
      <c r="D242" s="18">
        <v>70</v>
      </c>
      <c r="E242" s="18">
        <v>1</v>
      </c>
      <c r="F242" s="20">
        <v>0.20706577760745298</v>
      </c>
      <c r="G242" s="4" t="s">
        <v>0</v>
      </c>
      <c r="H242" s="18"/>
    </row>
    <row r="243" spans="1:8" x14ac:dyDescent="0.25">
      <c r="A243" s="4">
        <v>1994</v>
      </c>
      <c r="B243" s="18">
        <v>140</v>
      </c>
      <c r="C243" s="13">
        <v>34474</v>
      </c>
      <c r="D243" s="18">
        <v>70</v>
      </c>
      <c r="E243" s="18">
        <v>2</v>
      </c>
      <c r="F243" s="20">
        <v>0.20870881852126788</v>
      </c>
      <c r="G243" s="4" t="s">
        <v>0</v>
      </c>
      <c r="H243" s="18"/>
    </row>
    <row r="244" spans="1:8" x14ac:dyDescent="0.25">
      <c r="A244" s="4">
        <v>1994</v>
      </c>
      <c r="B244" s="18">
        <v>140</v>
      </c>
      <c r="C244" s="13">
        <v>34474</v>
      </c>
      <c r="D244" s="18">
        <v>70</v>
      </c>
      <c r="E244" s="18">
        <v>3</v>
      </c>
      <c r="F244" s="20">
        <v>0.22050005331452749</v>
      </c>
      <c r="G244" s="4" t="s">
        <v>0</v>
      </c>
      <c r="H244" s="18"/>
    </row>
    <row r="245" spans="1:8" x14ac:dyDescent="0.25">
      <c r="A245" s="4">
        <v>1994</v>
      </c>
      <c r="B245" s="18">
        <v>140</v>
      </c>
      <c r="C245" s="13">
        <v>34474</v>
      </c>
      <c r="D245" s="18">
        <v>70</v>
      </c>
      <c r="E245" s="18">
        <v>4</v>
      </c>
      <c r="F245" s="20">
        <v>0.20133124265335411</v>
      </c>
      <c r="G245" s="4" t="s">
        <v>0</v>
      </c>
      <c r="H245" s="18"/>
    </row>
    <row r="246" spans="1:8" x14ac:dyDescent="0.25">
      <c r="A246" s="4">
        <v>1994</v>
      </c>
      <c r="B246" s="18">
        <v>140</v>
      </c>
      <c r="C246" s="13">
        <v>34474</v>
      </c>
      <c r="D246" s="18">
        <v>70</v>
      </c>
      <c r="E246" s="18">
        <v>5</v>
      </c>
      <c r="F246" s="20">
        <v>0.20448845852695913</v>
      </c>
      <c r="G246" s="4" t="s">
        <v>1</v>
      </c>
      <c r="H246" s="18"/>
    </row>
    <row r="247" spans="1:8" x14ac:dyDescent="0.25">
      <c r="A247" s="4">
        <v>1994</v>
      </c>
      <c r="B247" s="18">
        <v>140</v>
      </c>
      <c r="C247" s="13">
        <v>34474</v>
      </c>
      <c r="D247" s="18">
        <v>70</v>
      </c>
      <c r="E247" s="18">
        <v>6</v>
      </c>
      <c r="F247" s="20">
        <v>0.20703356111894683</v>
      </c>
      <c r="G247" s="4" t="s">
        <v>1</v>
      </c>
      <c r="H247" s="18"/>
    </row>
    <row r="248" spans="1:8" x14ac:dyDescent="0.25">
      <c r="A248" s="4">
        <v>1994</v>
      </c>
      <c r="B248" s="18">
        <v>140</v>
      </c>
      <c r="C248" s="13">
        <v>34474</v>
      </c>
      <c r="D248" s="18">
        <v>70</v>
      </c>
      <c r="E248" s="18">
        <v>7</v>
      </c>
      <c r="F248" s="20" t="e">
        <v>#N/A</v>
      </c>
      <c r="G248" s="4" t="s">
        <v>130</v>
      </c>
      <c r="H248" s="18"/>
    </row>
    <row r="249" spans="1:8" x14ac:dyDescent="0.25">
      <c r="A249" s="4">
        <v>1994</v>
      </c>
      <c r="B249" s="18">
        <v>140</v>
      </c>
      <c r="C249" s="13">
        <v>34474</v>
      </c>
      <c r="D249" s="18">
        <v>70</v>
      </c>
      <c r="E249" s="18">
        <v>8</v>
      </c>
      <c r="F249" s="20">
        <v>0.26740726057951647</v>
      </c>
      <c r="G249" s="4" t="s">
        <v>130</v>
      </c>
      <c r="H249" s="18"/>
    </row>
    <row r="250" spans="1:8" x14ac:dyDescent="0.25">
      <c r="A250" s="4">
        <v>1994</v>
      </c>
      <c r="B250" s="18">
        <v>140</v>
      </c>
      <c r="C250" s="13">
        <v>34474</v>
      </c>
      <c r="D250" s="18">
        <v>70</v>
      </c>
      <c r="E250" s="18">
        <v>9</v>
      </c>
      <c r="F250" s="20">
        <v>0.26289695218865211</v>
      </c>
      <c r="G250" s="4" t="s">
        <v>130</v>
      </c>
      <c r="H250" s="18"/>
    </row>
    <row r="251" spans="1:8" x14ac:dyDescent="0.25">
      <c r="A251" s="4">
        <v>1994</v>
      </c>
      <c r="B251" s="18">
        <v>140</v>
      </c>
      <c r="C251" s="13">
        <v>34474</v>
      </c>
      <c r="D251" s="18">
        <v>70</v>
      </c>
      <c r="E251" s="18">
        <v>10</v>
      </c>
      <c r="F251" s="20">
        <v>0.26431447768292377</v>
      </c>
      <c r="G251" s="4" t="s">
        <v>130</v>
      </c>
      <c r="H251" s="18"/>
    </row>
    <row r="252" spans="1:8" x14ac:dyDescent="0.25">
      <c r="A252" s="4">
        <v>1994</v>
      </c>
      <c r="B252" s="18">
        <v>140</v>
      </c>
      <c r="C252" s="13">
        <v>34474</v>
      </c>
      <c r="D252" s="18">
        <v>70</v>
      </c>
      <c r="E252" s="18">
        <v>11</v>
      </c>
      <c r="F252" s="20">
        <v>0.27778096987850442</v>
      </c>
      <c r="G252" s="4" t="s">
        <v>131</v>
      </c>
      <c r="H252" s="18"/>
    </row>
    <row r="253" spans="1:8" x14ac:dyDescent="0.25">
      <c r="A253" s="4">
        <v>1994</v>
      </c>
      <c r="B253" s="18">
        <v>140</v>
      </c>
      <c r="C253" s="13">
        <v>34474</v>
      </c>
      <c r="D253" s="18">
        <v>70</v>
      </c>
      <c r="E253" s="18">
        <v>12</v>
      </c>
      <c r="F253" s="20">
        <v>0.27069334240714621</v>
      </c>
      <c r="G253" s="4" t="s">
        <v>131</v>
      </c>
      <c r="H253" s="18"/>
    </row>
    <row r="254" spans="1:8" x14ac:dyDescent="0.25">
      <c r="A254" s="4">
        <v>1994</v>
      </c>
      <c r="B254" s="18">
        <v>140</v>
      </c>
      <c r="C254" s="13">
        <v>34474</v>
      </c>
      <c r="D254" s="18">
        <v>50</v>
      </c>
      <c r="E254" s="18">
        <v>1</v>
      </c>
      <c r="F254" s="20">
        <v>0.21122170462474943</v>
      </c>
      <c r="G254" s="4" t="s">
        <v>0</v>
      </c>
      <c r="H254" s="18"/>
    </row>
    <row r="255" spans="1:8" x14ac:dyDescent="0.25">
      <c r="A255" s="4">
        <v>1994</v>
      </c>
      <c r="B255" s="18">
        <v>140</v>
      </c>
      <c r="C255" s="13">
        <v>34474</v>
      </c>
      <c r="D255" s="18">
        <v>50</v>
      </c>
      <c r="E255" s="18">
        <v>2</v>
      </c>
      <c r="F255" s="20">
        <v>0.21695623957884835</v>
      </c>
      <c r="G255" s="4" t="s">
        <v>0</v>
      </c>
      <c r="H255" s="18"/>
    </row>
    <row r="256" spans="1:8" x14ac:dyDescent="0.25">
      <c r="A256" s="4">
        <v>1994</v>
      </c>
      <c r="B256" s="18">
        <v>140</v>
      </c>
      <c r="C256" s="13">
        <v>34474</v>
      </c>
      <c r="D256" s="18">
        <v>50</v>
      </c>
      <c r="E256" s="18">
        <v>3</v>
      </c>
      <c r="F256" s="20">
        <v>0.23970108046420702</v>
      </c>
      <c r="G256" s="4" t="s">
        <v>0</v>
      </c>
      <c r="H256" s="18"/>
    </row>
    <row r="257" spans="1:8" x14ac:dyDescent="0.25">
      <c r="A257" s="4">
        <v>1994</v>
      </c>
      <c r="B257" s="18">
        <v>140</v>
      </c>
      <c r="C257" s="13">
        <v>34474</v>
      </c>
      <c r="D257" s="18">
        <v>50</v>
      </c>
      <c r="E257" s="18">
        <v>4</v>
      </c>
      <c r="F257" s="20">
        <v>0.24298716229183676</v>
      </c>
      <c r="G257" s="4" t="s">
        <v>0</v>
      </c>
      <c r="H257" s="18"/>
    </row>
    <row r="258" spans="1:8" x14ac:dyDescent="0.25">
      <c r="A258" s="4">
        <v>1994</v>
      </c>
      <c r="B258" s="18">
        <v>140</v>
      </c>
      <c r="C258" s="13">
        <v>34474</v>
      </c>
      <c r="D258" s="18">
        <v>50</v>
      </c>
      <c r="E258" s="18">
        <v>5</v>
      </c>
      <c r="F258" s="20">
        <v>0.26064179799321996</v>
      </c>
      <c r="G258" s="4" t="s">
        <v>1</v>
      </c>
      <c r="H258" s="18"/>
    </row>
    <row r="259" spans="1:8" x14ac:dyDescent="0.25">
      <c r="A259" s="4">
        <v>1994</v>
      </c>
      <c r="B259" s="18">
        <v>140</v>
      </c>
      <c r="C259" s="13">
        <v>34474</v>
      </c>
      <c r="D259" s="18">
        <v>50</v>
      </c>
      <c r="E259" s="18">
        <v>6</v>
      </c>
      <c r="F259" s="20">
        <v>0.21251036416499641</v>
      </c>
      <c r="G259" s="4" t="s">
        <v>1</v>
      </c>
      <c r="H259" s="18"/>
    </row>
    <row r="260" spans="1:8" x14ac:dyDescent="0.25">
      <c r="A260" s="4">
        <v>1994</v>
      </c>
      <c r="B260" s="18">
        <v>140</v>
      </c>
      <c r="C260" s="13">
        <v>34474</v>
      </c>
      <c r="D260" s="18">
        <v>50</v>
      </c>
      <c r="E260" s="18">
        <v>7</v>
      </c>
      <c r="F260" s="20" t="e">
        <v>#N/A</v>
      </c>
      <c r="G260" s="4" t="s">
        <v>130</v>
      </c>
      <c r="H260" s="18"/>
    </row>
    <row r="261" spans="1:8" x14ac:dyDescent="0.25">
      <c r="A261" s="4">
        <v>1994</v>
      </c>
      <c r="B261" s="18">
        <v>140</v>
      </c>
      <c r="C261" s="13">
        <v>34474</v>
      </c>
      <c r="D261" s="18">
        <v>50</v>
      </c>
      <c r="E261" s="18">
        <v>8</v>
      </c>
      <c r="F261" s="20">
        <v>0.2756868981256031</v>
      </c>
      <c r="G261" s="4" t="s">
        <v>130</v>
      </c>
      <c r="H261" s="18"/>
    </row>
    <row r="262" spans="1:8" x14ac:dyDescent="0.25">
      <c r="A262" s="4">
        <v>1994</v>
      </c>
      <c r="B262" s="18">
        <v>140</v>
      </c>
      <c r="C262" s="13">
        <v>34474</v>
      </c>
      <c r="D262" s="18">
        <v>50</v>
      </c>
      <c r="E262" s="18">
        <v>9</v>
      </c>
      <c r="F262" s="20">
        <v>0.26118947829782491</v>
      </c>
      <c r="G262" s="4" t="s">
        <v>130</v>
      </c>
      <c r="H262" s="18"/>
    </row>
    <row r="263" spans="1:8" x14ac:dyDescent="0.25">
      <c r="A263" s="4">
        <v>1994</v>
      </c>
      <c r="B263" s="18">
        <v>140</v>
      </c>
      <c r="C263" s="13">
        <v>34474</v>
      </c>
      <c r="D263" s="18">
        <v>50</v>
      </c>
      <c r="E263" s="18">
        <v>10</v>
      </c>
      <c r="F263" s="20">
        <v>0.29566112099943082</v>
      </c>
      <c r="G263" s="4" t="s">
        <v>130</v>
      </c>
      <c r="H263" s="18"/>
    </row>
    <row r="264" spans="1:8" x14ac:dyDescent="0.25">
      <c r="A264" s="4">
        <v>1994</v>
      </c>
      <c r="B264" s="18">
        <v>140</v>
      </c>
      <c r="C264" s="13">
        <v>34474</v>
      </c>
      <c r="D264" s="18">
        <v>50</v>
      </c>
      <c r="E264" s="18">
        <v>11</v>
      </c>
      <c r="F264" s="20">
        <v>0.27417272316581293</v>
      </c>
      <c r="G264" s="4" t="s">
        <v>131</v>
      </c>
      <c r="H264" s="18"/>
    </row>
    <row r="265" spans="1:8" x14ac:dyDescent="0.25">
      <c r="A265" s="4">
        <v>1994</v>
      </c>
      <c r="B265" s="18">
        <v>140</v>
      </c>
      <c r="C265" s="13">
        <v>34474</v>
      </c>
      <c r="D265" s="18">
        <v>50</v>
      </c>
      <c r="E265" s="18">
        <v>12</v>
      </c>
      <c r="F265" s="20">
        <v>0.26334798302773854</v>
      </c>
      <c r="G265" s="4" t="s">
        <v>131</v>
      </c>
      <c r="H265" s="18"/>
    </row>
    <row r="266" spans="1:8" x14ac:dyDescent="0.25">
      <c r="A266" s="4">
        <v>1994</v>
      </c>
      <c r="B266" s="18">
        <v>140</v>
      </c>
      <c r="C266" s="13">
        <v>34474</v>
      </c>
      <c r="D266" s="18">
        <v>30</v>
      </c>
      <c r="E266" s="18">
        <v>1</v>
      </c>
      <c r="F266" s="20">
        <v>0.21292917851557663</v>
      </c>
      <c r="G266" s="4" t="s">
        <v>0</v>
      </c>
      <c r="H266" s="18"/>
    </row>
    <row r="267" spans="1:8" x14ac:dyDescent="0.25">
      <c r="A267" s="4">
        <v>1994</v>
      </c>
      <c r="B267" s="18">
        <v>140</v>
      </c>
      <c r="C267" s="13">
        <v>34474</v>
      </c>
      <c r="D267" s="18">
        <v>30</v>
      </c>
      <c r="E267" s="18">
        <v>2</v>
      </c>
      <c r="F267" s="20">
        <v>0.18383768939450174</v>
      </c>
      <c r="G267" s="4" t="s">
        <v>0</v>
      </c>
      <c r="H267" s="18"/>
    </row>
    <row r="268" spans="1:8" x14ac:dyDescent="0.25">
      <c r="A268" s="4">
        <v>1994</v>
      </c>
      <c r="B268" s="18">
        <v>140</v>
      </c>
      <c r="C268" s="13">
        <v>34474</v>
      </c>
      <c r="D268" s="18">
        <v>30</v>
      </c>
      <c r="E268" s="18">
        <v>3</v>
      </c>
      <c r="F268" s="20">
        <v>0.26379901386682503</v>
      </c>
      <c r="G268" s="4" t="s">
        <v>0</v>
      </c>
      <c r="H268" s="18"/>
    </row>
    <row r="269" spans="1:8" x14ac:dyDescent="0.25">
      <c r="A269" s="4">
        <v>1994</v>
      </c>
      <c r="B269" s="18">
        <v>140</v>
      </c>
      <c r="C269" s="13">
        <v>34474</v>
      </c>
      <c r="D269" s="18">
        <v>30</v>
      </c>
      <c r="E269" s="18">
        <v>4</v>
      </c>
      <c r="F269" s="20">
        <v>0.25851550975181248</v>
      </c>
      <c r="G269" s="4" t="s">
        <v>0</v>
      </c>
      <c r="H269" s="18"/>
    </row>
    <row r="270" spans="1:8" x14ac:dyDescent="0.25">
      <c r="A270" s="4">
        <v>1994</v>
      </c>
      <c r="B270" s="18">
        <v>140</v>
      </c>
      <c r="C270" s="13">
        <v>34474</v>
      </c>
      <c r="D270" s="18">
        <v>30</v>
      </c>
      <c r="E270" s="18">
        <v>5</v>
      </c>
      <c r="F270" s="20">
        <v>0.30352194419493728</v>
      </c>
      <c r="G270" s="4" t="s">
        <v>1</v>
      </c>
      <c r="H270" s="18"/>
    </row>
    <row r="271" spans="1:8" x14ac:dyDescent="0.25">
      <c r="A271" s="4">
        <v>1994</v>
      </c>
      <c r="B271" s="18">
        <v>140</v>
      </c>
      <c r="C271" s="13">
        <v>34474</v>
      </c>
      <c r="D271" s="18">
        <v>30</v>
      </c>
      <c r="E271" s="18">
        <v>6</v>
      </c>
      <c r="F271" s="20">
        <v>0.22175649636626826</v>
      </c>
      <c r="G271" s="4" t="s">
        <v>1</v>
      </c>
      <c r="H271" s="18"/>
    </row>
    <row r="272" spans="1:8" x14ac:dyDescent="0.25">
      <c r="A272" s="4">
        <v>1994</v>
      </c>
      <c r="B272" s="18">
        <v>140</v>
      </c>
      <c r="C272" s="13">
        <v>34474</v>
      </c>
      <c r="D272" s="18">
        <v>30</v>
      </c>
      <c r="E272" s="18">
        <v>7</v>
      </c>
      <c r="F272" s="20" t="e">
        <v>#N/A</v>
      </c>
      <c r="G272" s="4" t="s">
        <v>130</v>
      </c>
      <c r="H272" s="18"/>
    </row>
    <row r="273" spans="1:8" x14ac:dyDescent="0.25">
      <c r="A273" s="4">
        <v>1994</v>
      </c>
      <c r="B273" s="18">
        <v>140</v>
      </c>
      <c r="C273" s="13">
        <v>34474</v>
      </c>
      <c r="D273" s="18">
        <v>30</v>
      </c>
      <c r="E273" s="18">
        <v>8</v>
      </c>
      <c r="F273" s="20">
        <v>0.25854772624031869</v>
      </c>
      <c r="G273" s="4" t="s">
        <v>130</v>
      </c>
      <c r="H273" s="18"/>
    </row>
    <row r="274" spans="1:8" x14ac:dyDescent="0.25">
      <c r="A274" s="4">
        <v>1994</v>
      </c>
      <c r="B274" s="18">
        <v>140</v>
      </c>
      <c r="C274" s="13">
        <v>34474</v>
      </c>
      <c r="D274" s="18">
        <v>30</v>
      </c>
      <c r="E274" s="18">
        <v>9</v>
      </c>
      <c r="F274" s="20">
        <v>0.27085442484967703</v>
      </c>
      <c r="G274" s="4" t="s">
        <v>130</v>
      </c>
      <c r="H274" s="18"/>
    </row>
    <row r="275" spans="1:8" x14ac:dyDescent="0.25">
      <c r="A275" s="4">
        <v>1994</v>
      </c>
      <c r="B275" s="18">
        <v>140</v>
      </c>
      <c r="C275" s="13">
        <v>34474</v>
      </c>
      <c r="D275" s="18">
        <v>30</v>
      </c>
      <c r="E275" s="18">
        <v>10</v>
      </c>
      <c r="F275" s="20">
        <v>0.27085442484967703</v>
      </c>
      <c r="G275" s="4" t="s">
        <v>130</v>
      </c>
      <c r="H275" s="18"/>
    </row>
    <row r="276" spans="1:8" x14ac:dyDescent="0.25">
      <c r="A276" s="4">
        <v>1994</v>
      </c>
      <c r="B276" s="18">
        <v>140</v>
      </c>
      <c r="C276" s="13">
        <v>34474</v>
      </c>
      <c r="D276" s="18">
        <v>30</v>
      </c>
      <c r="E276" s="18">
        <v>11</v>
      </c>
      <c r="F276" s="20">
        <v>0.29936601717764083</v>
      </c>
      <c r="G276" s="4" t="s">
        <v>131</v>
      </c>
      <c r="H276" s="18"/>
    </row>
    <row r="277" spans="1:8" x14ac:dyDescent="0.25">
      <c r="A277" s="4">
        <v>1994</v>
      </c>
      <c r="B277" s="18">
        <v>140</v>
      </c>
      <c r="C277" s="13">
        <v>34474</v>
      </c>
      <c r="D277" s="18">
        <v>30</v>
      </c>
      <c r="E277" s="18">
        <v>12</v>
      </c>
      <c r="F277" s="20">
        <v>0.29682091458565307</v>
      </c>
      <c r="G277" s="4" t="s">
        <v>131</v>
      </c>
      <c r="H277" s="18"/>
    </row>
    <row r="278" spans="1:8" x14ac:dyDescent="0.25">
      <c r="A278" s="4">
        <v>1994</v>
      </c>
      <c r="B278" s="18">
        <v>140</v>
      </c>
      <c r="C278" s="13">
        <v>34474</v>
      </c>
      <c r="D278" s="18">
        <v>10</v>
      </c>
      <c r="E278" s="18">
        <v>1</v>
      </c>
      <c r="F278" s="20">
        <v>0.25092085700170735</v>
      </c>
      <c r="G278" s="4" t="s">
        <v>0</v>
      </c>
      <c r="H278" s="18"/>
    </row>
    <row r="279" spans="1:8" x14ac:dyDescent="0.25">
      <c r="A279" s="4">
        <v>1994</v>
      </c>
      <c r="B279" s="18">
        <v>140</v>
      </c>
      <c r="C279" s="13">
        <v>34474</v>
      </c>
      <c r="D279" s="18">
        <v>10</v>
      </c>
      <c r="E279" s="18">
        <v>2</v>
      </c>
      <c r="F279" s="20">
        <v>0.23015283054487418</v>
      </c>
      <c r="G279" s="4" t="s">
        <v>0</v>
      </c>
      <c r="H279" s="18"/>
    </row>
    <row r="280" spans="1:8" x14ac:dyDescent="0.25">
      <c r="A280" s="4">
        <v>1994</v>
      </c>
      <c r="B280" s="18">
        <v>140</v>
      </c>
      <c r="C280" s="13">
        <v>34474</v>
      </c>
      <c r="D280" s="18">
        <v>10</v>
      </c>
      <c r="E280" s="18">
        <v>3</v>
      </c>
      <c r="F280" s="20">
        <v>0.25328790479325958</v>
      </c>
      <c r="G280" s="4" t="s">
        <v>0</v>
      </c>
      <c r="H280" s="18"/>
    </row>
    <row r="281" spans="1:8" x14ac:dyDescent="0.25">
      <c r="A281" s="4">
        <v>1994</v>
      </c>
      <c r="B281" s="18">
        <v>140</v>
      </c>
      <c r="C281" s="13">
        <v>34474</v>
      </c>
      <c r="D281" s="18">
        <v>10</v>
      </c>
      <c r="E281" s="18">
        <v>4</v>
      </c>
      <c r="F281" s="20">
        <v>0.23843749781530693</v>
      </c>
      <c r="G281" s="4" t="s">
        <v>0</v>
      </c>
      <c r="H281" s="18"/>
    </row>
    <row r="282" spans="1:8" x14ac:dyDescent="0.25">
      <c r="A282" s="4">
        <v>1994</v>
      </c>
      <c r="B282" s="18">
        <v>140</v>
      </c>
      <c r="C282" s="13">
        <v>34474</v>
      </c>
      <c r="D282" s="18">
        <v>10</v>
      </c>
      <c r="E282" s="18">
        <v>5</v>
      </c>
      <c r="F282" s="20">
        <v>0.21893753267537674</v>
      </c>
      <c r="G282" s="4" t="s">
        <v>1</v>
      </c>
      <c r="H282" s="18"/>
    </row>
    <row r="283" spans="1:8" x14ac:dyDescent="0.25">
      <c r="A283" s="4">
        <v>1994</v>
      </c>
      <c r="B283" s="18">
        <v>140</v>
      </c>
      <c r="C283" s="13">
        <v>34474</v>
      </c>
      <c r="D283" s="18">
        <v>10</v>
      </c>
      <c r="E283" s="18">
        <v>6</v>
      </c>
      <c r="F283" s="20">
        <v>0.20913119182466039</v>
      </c>
      <c r="G283" s="4" t="s">
        <v>1</v>
      </c>
      <c r="H283" s="18"/>
    </row>
    <row r="284" spans="1:8" x14ac:dyDescent="0.25">
      <c r="A284" s="4">
        <v>1994</v>
      </c>
      <c r="B284" s="18">
        <v>140</v>
      </c>
      <c r="C284" s="13">
        <v>34474</v>
      </c>
      <c r="D284" s="18">
        <v>10</v>
      </c>
      <c r="E284" s="18">
        <v>7</v>
      </c>
      <c r="F284" s="20" t="e">
        <v>#N/A</v>
      </c>
      <c r="G284" s="4" t="s">
        <v>130</v>
      </c>
      <c r="H284" s="18"/>
    </row>
    <row r="285" spans="1:8" x14ac:dyDescent="0.25">
      <c r="A285" s="4">
        <v>1994</v>
      </c>
      <c r="B285" s="18">
        <v>140</v>
      </c>
      <c r="C285" s="13">
        <v>34474</v>
      </c>
      <c r="D285" s="18">
        <v>10</v>
      </c>
      <c r="E285" s="18">
        <v>8</v>
      </c>
      <c r="F285" s="20">
        <v>0.25523226547917749</v>
      </c>
      <c r="G285" s="4" t="s">
        <v>130</v>
      </c>
      <c r="H285" s="18"/>
    </row>
    <row r="286" spans="1:8" x14ac:dyDescent="0.25">
      <c r="A286" s="4">
        <v>1994</v>
      </c>
      <c r="B286" s="18">
        <v>140</v>
      </c>
      <c r="C286" s="13">
        <v>34474</v>
      </c>
      <c r="D286" s="18">
        <v>10</v>
      </c>
      <c r="E286" s="18">
        <v>9</v>
      </c>
      <c r="F286" s="20">
        <v>0.25776838811298347</v>
      </c>
      <c r="G286" s="4" t="s">
        <v>130</v>
      </c>
      <c r="H286" s="18"/>
    </row>
    <row r="287" spans="1:8" x14ac:dyDescent="0.25">
      <c r="A287" s="4">
        <v>1994</v>
      </c>
      <c r="B287" s="18">
        <v>140</v>
      </c>
      <c r="C287" s="13">
        <v>34474</v>
      </c>
      <c r="D287" s="18">
        <v>10</v>
      </c>
      <c r="E287" s="18">
        <v>10</v>
      </c>
      <c r="F287" s="20">
        <v>0.25776838811298347</v>
      </c>
      <c r="G287" s="4" t="s">
        <v>130</v>
      </c>
      <c r="H287" s="18"/>
    </row>
    <row r="288" spans="1:8" x14ac:dyDescent="0.25">
      <c r="A288" s="4">
        <v>1994</v>
      </c>
      <c r="B288" s="18">
        <v>140</v>
      </c>
      <c r="C288" s="13">
        <v>34474</v>
      </c>
      <c r="D288" s="18">
        <v>10</v>
      </c>
      <c r="E288" s="18">
        <v>11</v>
      </c>
      <c r="F288" s="20">
        <v>0.25790928381486156</v>
      </c>
      <c r="G288" s="4" t="s">
        <v>131</v>
      </c>
      <c r="H288" s="18"/>
    </row>
    <row r="289" spans="1:8" x14ac:dyDescent="0.25">
      <c r="A289" s="4">
        <v>1994</v>
      </c>
      <c r="B289" s="18">
        <v>140</v>
      </c>
      <c r="C289" s="13">
        <v>34474</v>
      </c>
      <c r="D289" s="18">
        <v>10</v>
      </c>
      <c r="E289" s="18">
        <v>12</v>
      </c>
      <c r="F289" s="20">
        <v>0.23347796910919749</v>
      </c>
      <c r="G289" s="4" t="s">
        <v>131</v>
      </c>
      <c r="H289" s="18"/>
    </row>
    <row r="290" spans="1:8" x14ac:dyDescent="0.25">
      <c r="A290" s="4">
        <v>1994</v>
      </c>
      <c r="B290" s="18">
        <v>153</v>
      </c>
      <c r="C290" s="13">
        <v>34487</v>
      </c>
      <c r="D290" s="18">
        <v>230</v>
      </c>
      <c r="E290" s="18">
        <v>1</v>
      </c>
      <c r="F290" s="20">
        <v>0.17391316051518074</v>
      </c>
      <c r="G290" s="4" t="s">
        <v>0</v>
      </c>
      <c r="H290" s="18"/>
    </row>
    <row r="291" spans="1:8" x14ac:dyDescent="0.25">
      <c r="A291" s="4">
        <v>1994</v>
      </c>
      <c r="B291" s="18">
        <v>153</v>
      </c>
      <c r="C291" s="13">
        <v>34487</v>
      </c>
      <c r="D291" s="18">
        <v>230</v>
      </c>
      <c r="E291" s="18">
        <v>2</v>
      </c>
      <c r="F291" s="20">
        <v>0.23234685337391431</v>
      </c>
      <c r="G291" s="4" t="s">
        <v>0</v>
      </c>
      <c r="H291" s="18"/>
    </row>
    <row r="292" spans="1:8" x14ac:dyDescent="0.25">
      <c r="A292" s="4">
        <v>1994</v>
      </c>
      <c r="B292" s="18">
        <v>153</v>
      </c>
      <c r="C292" s="13">
        <v>34487</v>
      </c>
      <c r="D292" s="18">
        <v>230</v>
      </c>
      <c r="E292" s="18">
        <v>3</v>
      </c>
      <c r="F292" s="20">
        <v>0.23617208383193522</v>
      </c>
      <c r="G292" s="4" t="s">
        <v>0</v>
      </c>
      <c r="H292" s="18"/>
    </row>
    <row r="293" spans="1:8" x14ac:dyDescent="0.25">
      <c r="A293" s="4">
        <v>1994</v>
      </c>
      <c r="B293" s="18">
        <v>153</v>
      </c>
      <c r="C293" s="13">
        <v>34487</v>
      </c>
      <c r="D293" s="18">
        <v>230</v>
      </c>
      <c r="E293" s="18">
        <v>4</v>
      </c>
      <c r="F293" s="20">
        <v>0.25930813287803428</v>
      </c>
      <c r="G293" s="4" t="s">
        <v>0</v>
      </c>
      <c r="H293" s="18"/>
    </row>
    <row r="294" spans="1:8" x14ac:dyDescent="0.25">
      <c r="A294" s="4">
        <v>1994</v>
      </c>
      <c r="B294" s="18">
        <v>153</v>
      </c>
      <c r="C294" s="13">
        <v>34487</v>
      </c>
      <c r="D294" s="18">
        <v>230</v>
      </c>
      <c r="E294" s="18">
        <v>5</v>
      </c>
      <c r="F294" s="20" t="e">
        <v>#N/A</v>
      </c>
      <c r="G294" s="4" t="s">
        <v>1</v>
      </c>
      <c r="H294" s="18"/>
    </row>
    <row r="295" spans="1:8" x14ac:dyDescent="0.25">
      <c r="A295" s="4">
        <v>1994</v>
      </c>
      <c r="B295" s="18">
        <v>153</v>
      </c>
      <c r="C295" s="13">
        <v>34487</v>
      </c>
      <c r="D295" s="18">
        <v>230</v>
      </c>
      <c r="E295" s="18">
        <v>6</v>
      </c>
      <c r="F295" s="20" t="e">
        <v>#N/A</v>
      </c>
      <c r="G295" s="4" t="s">
        <v>1</v>
      </c>
      <c r="H295" s="18"/>
    </row>
    <row r="296" spans="1:8" x14ac:dyDescent="0.25">
      <c r="A296" s="4">
        <v>1994</v>
      </c>
      <c r="B296" s="18">
        <v>153</v>
      </c>
      <c r="C296" s="13">
        <v>34487</v>
      </c>
      <c r="D296" s="18">
        <v>230</v>
      </c>
      <c r="E296" s="18">
        <v>7</v>
      </c>
      <c r="F296" s="20">
        <v>0.25379452483854203</v>
      </c>
      <c r="G296" s="4" t="s">
        <v>130</v>
      </c>
      <c r="H296" s="18"/>
    </row>
    <row r="297" spans="1:8" x14ac:dyDescent="0.25">
      <c r="A297" s="4">
        <v>1994</v>
      </c>
      <c r="B297" s="18">
        <v>153</v>
      </c>
      <c r="C297" s="13">
        <v>34487</v>
      </c>
      <c r="D297" s="18">
        <v>230</v>
      </c>
      <c r="E297" s="18">
        <v>8</v>
      </c>
      <c r="F297" s="20">
        <v>0.2529239551480959</v>
      </c>
      <c r="G297" s="4" t="s">
        <v>130</v>
      </c>
      <c r="H297" s="18"/>
    </row>
    <row r="298" spans="1:8" x14ac:dyDescent="0.25">
      <c r="A298" s="4">
        <v>1994</v>
      </c>
      <c r="B298" s="18">
        <v>153</v>
      </c>
      <c r="C298" s="13">
        <v>34487</v>
      </c>
      <c r="D298" s="18">
        <v>230</v>
      </c>
      <c r="E298" s="18">
        <v>9</v>
      </c>
      <c r="F298" s="20">
        <v>0.24260902336129464</v>
      </c>
      <c r="G298" s="4" t="s">
        <v>130</v>
      </c>
      <c r="H298" s="18"/>
    </row>
    <row r="299" spans="1:8" x14ac:dyDescent="0.25">
      <c r="A299" s="4">
        <v>1994</v>
      </c>
      <c r="B299" s="18">
        <v>153</v>
      </c>
      <c r="C299" s="13">
        <v>34487</v>
      </c>
      <c r="D299" s="18">
        <v>230</v>
      </c>
      <c r="E299" s="18">
        <v>10</v>
      </c>
      <c r="F299" s="20">
        <v>0.25933451377774475</v>
      </c>
      <c r="G299" s="4" t="s">
        <v>130</v>
      </c>
      <c r="H299" s="18"/>
    </row>
    <row r="300" spans="1:8" x14ac:dyDescent="0.25">
      <c r="A300" s="4">
        <v>1994</v>
      </c>
      <c r="B300" s="18">
        <v>153</v>
      </c>
      <c r="C300" s="13">
        <v>34487</v>
      </c>
      <c r="D300" s="18">
        <v>230</v>
      </c>
      <c r="E300" s="18">
        <v>11</v>
      </c>
      <c r="F300" s="20" t="e">
        <v>#N/A</v>
      </c>
      <c r="G300" s="4" t="s">
        <v>131</v>
      </c>
      <c r="H300" s="18"/>
    </row>
    <row r="301" spans="1:8" x14ac:dyDescent="0.25">
      <c r="A301" s="4">
        <v>1994</v>
      </c>
      <c r="B301" s="18">
        <v>153</v>
      </c>
      <c r="C301" s="13">
        <v>34487</v>
      </c>
      <c r="D301" s="18">
        <v>230</v>
      </c>
      <c r="E301" s="18">
        <v>12</v>
      </c>
      <c r="F301" s="20" t="e">
        <v>#N/A</v>
      </c>
      <c r="G301" s="4" t="s">
        <v>131</v>
      </c>
      <c r="H301" s="18"/>
    </row>
    <row r="302" spans="1:8" x14ac:dyDescent="0.25">
      <c r="A302" s="4">
        <v>1994</v>
      </c>
      <c r="B302" s="18">
        <v>153</v>
      </c>
      <c r="C302" s="13">
        <v>34487</v>
      </c>
      <c r="D302" s="18">
        <v>210</v>
      </c>
      <c r="E302" s="18">
        <v>1</v>
      </c>
      <c r="F302" s="20">
        <v>0.18290904731645755</v>
      </c>
      <c r="G302" s="4" t="s">
        <v>0</v>
      </c>
      <c r="H302" s="18"/>
    </row>
    <row r="303" spans="1:8" x14ac:dyDescent="0.25">
      <c r="A303" s="4">
        <v>1994</v>
      </c>
      <c r="B303" s="18">
        <v>153</v>
      </c>
      <c r="C303" s="13">
        <v>34487</v>
      </c>
      <c r="D303" s="18">
        <v>210</v>
      </c>
      <c r="E303" s="18">
        <v>2</v>
      </c>
      <c r="F303" s="20">
        <v>0.24870301119441762</v>
      </c>
      <c r="G303" s="4" t="s">
        <v>0</v>
      </c>
      <c r="H303" s="18"/>
    </row>
    <row r="304" spans="1:8" x14ac:dyDescent="0.25">
      <c r="A304" s="4">
        <v>1994</v>
      </c>
      <c r="B304" s="18">
        <v>153</v>
      </c>
      <c r="C304" s="13">
        <v>34487</v>
      </c>
      <c r="D304" s="18">
        <v>210</v>
      </c>
      <c r="E304" s="18">
        <v>3</v>
      </c>
      <c r="F304" s="20">
        <v>0.24184397726969042</v>
      </c>
      <c r="G304" s="4" t="s">
        <v>0</v>
      </c>
      <c r="H304" s="18"/>
    </row>
    <row r="305" spans="1:8" x14ac:dyDescent="0.25">
      <c r="A305" s="4">
        <v>1994</v>
      </c>
      <c r="B305" s="18">
        <v>153</v>
      </c>
      <c r="C305" s="13">
        <v>34487</v>
      </c>
      <c r="D305" s="18">
        <v>210</v>
      </c>
      <c r="E305" s="18">
        <v>4</v>
      </c>
      <c r="F305" s="20">
        <v>0.26498002631578943</v>
      </c>
      <c r="G305" s="4" t="s">
        <v>0</v>
      </c>
      <c r="H305" s="18"/>
    </row>
    <row r="306" spans="1:8" x14ac:dyDescent="0.25">
      <c r="A306" s="4">
        <v>1994</v>
      </c>
      <c r="B306" s="18">
        <v>153</v>
      </c>
      <c r="C306" s="13">
        <v>34487</v>
      </c>
      <c r="D306" s="18">
        <v>210</v>
      </c>
      <c r="E306" s="18">
        <v>5</v>
      </c>
      <c r="F306" s="20" t="e">
        <v>#N/A</v>
      </c>
      <c r="G306" s="4" t="s">
        <v>1</v>
      </c>
      <c r="H306" s="18"/>
    </row>
    <row r="307" spans="1:8" x14ac:dyDescent="0.25">
      <c r="A307" s="4">
        <v>1994</v>
      </c>
      <c r="B307" s="18">
        <v>153</v>
      </c>
      <c r="C307" s="13">
        <v>34487</v>
      </c>
      <c r="D307" s="18">
        <v>210</v>
      </c>
      <c r="E307" s="18">
        <v>6</v>
      </c>
      <c r="F307" s="20" t="e">
        <v>#N/A</v>
      </c>
      <c r="G307" s="4" t="s">
        <v>1</v>
      </c>
      <c r="H307" s="18"/>
    </row>
    <row r="308" spans="1:8" x14ac:dyDescent="0.25">
      <c r="A308" s="4">
        <v>1994</v>
      </c>
      <c r="B308" s="18">
        <v>153</v>
      </c>
      <c r="C308" s="13">
        <v>34487</v>
      </c>
      <c r="D308" s="18">
        <v>210</v>
      </c>
      <c r="E308" s="18">
        <v>7</v>
      </c>
      <c r="F308" s="20">
        <v>0.2603897497661643</v>
      </c>
      <c r="G308" s="4" t="s">
        <v>130</v>
      </c>
      <c r="H308" s="18"/>
    </row>
    <row r="309" spans="1:8" x14ac:dyDescent="0.25">
      <c r="A309" s="4">
        <v>1994</v>
      </c>
      <c r="B309" s="18">
        <v>153</v>
      </c>
      <c r="C309" s="13">
        <v>34487</v>
      </c>
      <c r="D309" s="18">
        <v>210</v>
      </c>
      <c r="E309" s="18">
        <v>8</v>
      </c>
      <c r="F309" s="20">
        <v>0.24582749312597429</v>
      </c>
      <c r="G309" s="4" t="s">
        <v>130</v>
      </c>
      <c r="H309" s="18"/>
    </row>
    <row r="310" spans="1:8" x14ac:dyDescent="0.25">
      <c r="A310" s="4">
        <v>1994</v>
      </c>
      <c r="B310" s="18">
        <v>153</v>
      </c>
      <c r="C310" s="13">
        <v>34487</v>
      </c>
      <c r="D310" s="18">
        <v>210</v>
      </c>
      <c r="E310" s="18">
        <v>9</v>
      </c>
      <c r="F310" s="20">
        <v>0.24569558862742186</v>
      </c>
      <c r="G310" s="4" t="s">
        <v>130</v>
      </c>
      <c r="H310" s="18"/>
    </row>
    <row r="311" spans="1:8" x14ac:dyDescent="0.25">
      <c r="A311" s="4">
        <v>1994</v>
      </c>
      <c r="B311" s="18">
        <v>153</v>
      </c>
      <c r="C311" s="13">
        <v>34487</v>
      </c>
      <c r="D311" s="18">
        <v>210</v>
      </c>
      <c r="E311" s="18">
        <v>10</v>
      </c>
      <c r="F311" s="20">
        <v>0.26479536001781601</v>
      </c>
      <c r="G311" s="4" t="s">
        <v>130</v>
      </c>
      <c r="H311" s="18"/>
    </row>
    <row r="312" spans="1:8" x14ac:dyDescent="0.25">
      <c r="A312" s="4">
        <v>1994</v>
      </c>
      <c r="B312" s="18">
        <v>153</v>
      </c>
      <c r="C312" s="13">
        <v>34487</v>
      </c>
      <c r="D312" s="18">
        <v>210</v>
      </c>
      <c r="E312" s="18">
        <v>11</v>
      </c>
      <c r="F312" s="20" t="e">
        <v>#N/A</v>
      </c>
      <c r="G312" s="4" t="s">
        <v>131</v>
      </c>
      <c r="H312" s="18"/>
    </row>
    <row r="313" spans="1:8" x14ac:dyDescent="0.25">
      <c r="A313" s="4">
        <v>1994</v>
      </c>
      <c r="B313" s="18">
        <v>153</v>
      </c>
      <c r="C313" s="13">
        <v>34487</v>
      </c>
      <c r="D313" s="18">
        <v>210</v>
      </c>
      <c r="E313" s="18">
        <v>12</v>
      </c>
      <c r="F313" s="20" t="e">
        <v>#N/A</v>
      </c>
      <c r="G313" s="4" t="s">
        <v>131</v>
      </c>
      <c r="H313" s="18"/>
    </row>
    <row r="314" spans="1:8" x14ac:dyDescent="0.25">
      <c r="A314" s="4">
        <v>1994</v>
      </c>
      <c r="B314" s="18">
        <v>153</v>
      </c>
      <c r="C314" s="13">
        <v>34487</v>
      </c>
      <c r="D314" s="18">
        <v>190</v>
      </c>
      <c r="E314" s="18">
        <v>1</v>
      </c>
      <c r="F314" s="20">
        <v>0.21118937180610198</v>
      </c>
      <c r="G314" s="4" t="s">
        <v>0</v>
      </c>
      <c r="H314" s="18"/>
    </row>
    <row r="315" spans="1:8" x14ac:dyDescent="0.25">
      <c r="A315" s="4">
        <v>1994</v>
      </c>
      <c r="B315" s="18">
        <v>153</v>
      </c>
      <c r="C315" s="13">
        <v>34487</v>
      </c>
      <c r="D315" s="18">
        <v>190</v>
      </c>
      <c r="E315" s="18">
        <v>2</v>
      </c>
      <c r="F315" s="20">
        <v>0.26268488804097689</v>
      </c>
      <c r="G315" s="4" t="s">
        <v>0</v>
      </c>
      <c r="H315" s="18"/>
    </row>
    <row r="316" spans="1:8" x14ac:dyDescent="0.25">
      <c r="A316" s="4">
        <v>1994</v>
      </c>
      <c r="B316" s="18">
        <v>153</v>
      </c>
      <c r="C316" s="13">
        <v>34487</v>
      </c>
      <c r="D316" s="18">
        <v>190</v>
      </c>
      <c r="E316" s="18">
        <v>3</v>
      </c>
      <c r="F316" s="20">
        <v>0.26028422616732239</v>
      </c>
      <c r="G316" s="4" t="s">
        <v>0</v>
      </c>
      <c r="H316" s="18"/>
    </row>
    <row r="317" spans="1:8" x14ac:dyDescent="0.25">
      <c r="A317" s="4">
        <v>1994</v>
      </c>
      <c r="B317" s="18">
        <v>153</v>
      </c>
      <c r="C317" s="13">
        <v>34487</v>
      </c>
      <c r="D317" s="18">
        <v>190</v>
      </c>
      <c r="E317" s="18">
        <v>4</v>
      </c>
      <c r="F317" s="20">
        <v>0.26920097026946771</v>
      </c>
      <c r="G317" s="4" t="s">
        <v>0</v>
      </c>
      <c r="H317" s="18"/>
    </row>
    <row r="318" spans="1:8" x14ac:dyDescent="0.25">
      <c r="A318" s="4">
        <v>1994</v>
      </c>
      <c r="B318" s="18">
        <v>153</v>
      </c>
      <c r="C318" s="13">
        <v>34487</v>
      </c>
      <c r="D318" s="18">
        <v>190</v>
      </c>
      <c r="E318" s="18">
        <v>5</v>
      </c>
      <c r="F318" s="20">
        <v>0.23221494887536187</v>
      </c>
      <c r="G318" s="4" t="s">
        <v>1</v>
      </c>
      <c r="H318" s="18"/>
    </row>
    <row r="319" spans="1:8" x14ac:dyDescent="0.25">
      <c r="A319" s="4">
        <v>1994</v>
      </c>
      <c r="B319" s="18">
        <v>153</v>
      </c>
      <c r="C319" s="13">
        <v>34487</v>
      </c>
      <c r="D319" s="18">
        <v>190</v>
      </c>
      <c r="E319" s="18">
        <v>6</v>
      </c>
      <c r="F319" s="20">
        <v>0.25608966311335457</v>
      </c>
      <c r="G319" s="4" t="s">
        <v>1</v>
      </c>
      <c r="H319" s="18"/>
    </row>
    <row r="320" spans="1:8" x14ac:dyDescent="0.25">
      <c r="A320" s="4">
        <v>1994</v>
      </c>
      <c r="B320" s="18">
        <v>153</v>
      </c>
      <c r="C320" s="13">
        <v>34487</v>
      </c>
      <c r="D320" s="18">
        <v>190</v>
      </c>
      <c r="E320" s="18">
        <v>7</v>
      </c>
      <c r="F320" s="20">
        <v>0.26025784526761192</v>
      </c>
      <c r="G320" s="4" t="s">
        <v>130</v>
      </c>
      <c r="H320" s="18"/>
    </row>
    <row r="321" spans="1:8" x14ac:dyDescent="0.25">
      <c r="A321" s="4">
        <v>1994</v>
      </c>
      <c r="B321" s="18">
        <v>153</v>
      </c>
      <c r="C321" s="13">
        <v>34487</v>
      </c>
      <c r="D321" s="18">
        <v>190</v>
      </c>
      <c r="E321" s="18">
        <v>8</v>
      </c>
      <c r="F321" s="20">
        <v>0.25297671694751683</v>
      </c>
      <c r="G321" s="4" t="s">
        <v>130</v>
      </c>
      <c r="H321" s="18"/>
    </row>
    <row r="322" spans="1:8" x14ac:dyDescent="0.25">
      <c r="A322" s="4">
        <v>1994</v>
      </c>
      <c r="B322" s="18">
        <v>153</v>
      </c>
      <c r="C322" s="13">
        <v>34487</v>
      </c>
      <c r="D322" s="18">
        <v>190</v>
      </c>
      <c r="E322" s="18">
        <v>9</v>
      </c>
      <c r="F322" s="20">
        <v>0.24799072690223445</v>
      </c>
      <c r="G322" s="4" t="s">
        <v>130</v>
      </c>
      <c r="H322" s="18"/>
    </row>
    <row r="323" spans="1:8" x14ac:dyDescent="0.25">
      <c r="A323" s="4">
        <v>1994</v>
      </c>
      <c r="B323" s="18">
        <v>153</v>
      </c>
      <c r="C323" s="13">
        <v>34487</v>
      </c>
      <c r="D323" s="18">
        <v>190</v>
      </c>
      <c r="E323" s="18">
        <v>10</v>
      </c>
      <c r="F323" s="20">
        <v>0.26252660264271394</v>
      </c>
      <c r="G323" s="4" t="s">
        <v>130</v>
      </c>
      <c r="H323" s="18"/>
    </row>
    <row r="324" spans="1:8" x14ac:dyDescent="0.25">
      <c r="A324" s="4">
        <v>1994</v>
      </c>
      <c r="B324" s="18">
        <v>153</v>
      </c>
      <c r="C324" s="13">
        <v>34487</v>
      </c>
      <c r="D324" s="18">
        <v>190</v>
      </c>
      <c r="E324" s="18">
        <v>11</v>
      </c>
      <c r="F324" s="20">
        <v>0.2817846594313711</v>
      </c>
      <c r="G324" s="4" t="s">
        <v>131</v>
      </c>
      <c r="H324" s="18"/>
    </row>
    <row r="325" spans="1:8" x14ac:dyDescent="0.25">
      <c r="A325" s="4">
        <v>1994</v>
      </c>
      <c r="B325" s="18">
        <v>153</v>
      </c>
      <c r="C325" s="13">
        <v>34487</v>
      </c>
      <c r="D325" s="18">
        <v>190</v>
      </c>
      <c r="E325" s="18">
        <v>12</v>
      </c>
      <c r="F325" s="20">
        <v>0.28729826747086329</v>
      </c>
      <c r="G325" s="4" t="s">
        <v>131</v>
      </c>
      <c r="H325" s="18"/>
    </row>
    <row r="326" spans="1:8" x14ac:dyDescent="0.25">
      <c r="A326" s="4">
        <v>1994</v>
      </c>
      <c r="B326" s="18">
        <v>153</v>
      </c>
      <c r="C326" s="13">
        <v>34487</v>
      </c>
      <c r="D326" s="18">
        <v>170</v>
      </c>
      <c r="E326" s="18">
        <v>1</v>
      </c>
      <c r="F326" s="20">
        <v>0.23849360300645833</v>
      </c>
      <c r="G326" s="4" t="s">
        <v>0</v>
      </c>
      <c r="H326" s="18"/>
    </row>
    <row r="327" spans="1:8" x14ac:dyDescent="0.25">
      <c r="A327" s="4">
        <v>1994</v>
      </c>
      <c r="B327" s="18">
        <v>153</v>
      </c>
      <c r="C327" s="13">
        <v>34487</v>
      </c>
      <c r="D327" s="18">
        <v>170</v>
      </c>
      <c r="E327" s="18">
        <v>2</v>
      </c>
      <c r="F327" s="20">
        <v>0.26569231060797266</v>
      </c>
      <c r="G327" s="4" t="s">
        <v>0</v>
      </c>
      <c r="H327" s="18"/>
    </row>
    <row r="328" spans="1:8" x14ac:dyDescent="0.25">
      <c r="A328" s="4">
        <v>1994</v>
      </c>
      <c r="B328" s="18">
        <v>153</v>
      </c>
      <c r="C328" s="13">
        <v>34487</v>
      </c>
      <c r="D328" s="18">
        <v>170</v>
      </c>
      <c r="E328" s="18">
        <v>3</v>
      </c>
      <c r="F328" s="20">
        <v>0.27392315131764533</v>
      </c>
      <c r="G328" s="4" t="s">
        <v>0</v>
      </c>
      <c r="H328" s="18"/>
    </row>
    <row r="329" spans="1:8" x14ac:dyDescent="0.25">
      <c r="A329" s="4">
        <v>1994</v>
      </c>
      <c r="B329" s="18">
        <v>153</v>
      </c>
      <c r="C329" s="13">
        <v>34487</v>
      </c>
      <c r="D329" s="18">
        <v>170</v>
      </c>
      <c r="E329" s="18">
        <v>4</v>
      </c>
      <c r="F329" s="20">
        <v>0.27656124128869419</v>
      </c>
      <c r="G329" s="4" t="s">
        <v>0</v>
      </c>
      <c r="H329" s="18"/>
    </row>
    <row r="330" spans="1:8" x14ac:dyDescent="0.25">
      <c r="A330" s="4">
        <v>1994</v>
      </c>
      <c r="B330" s="18">
        <v>153</v>
      </c>
      <c r="C330" s="13">
        <v>34487</v>
      </c>
      <c r="D330" s="18">
        <v>170</v>
      </c>
      <c r="E330" s="18">
        <v>5</v>
      </c>
      <c r="F330" s="20">
        <v>0.2565117575087224</v>
      </c>
      <c r="G330" s="4" t="s">
        <v>1</v>
      </c>
      <c r="H330" s="18"/>
    </row>
    <row r="331" spans="1:8" x14ac:dyDescent="0.25">
      <c r="A331" s="4">
        <v>1994</v>
      </c>
      <c r="B331" s="18">
        <v>153</v>
      </c>
      <c r="C331" s="13">
        <v>34487</v>
      </c>
      <c r="D331" s="18">
        <v>170</v>
      </c>
      <c r="E331" s="18">
        <v>6</v>
      </c>
      <c r="F331" s="20">
        <v>0.26574507240739365</v>
      </c>
      <c r="G331" s="4" t="s">
        <v>1</v>
      </c>
      <c r="H331" s="18"/>
    </row>
    <row r="332" spans="1:8" x14ac:dyDescent="0.25">
      <c r="A332" s="4">
        <v>1994</v>
      </c>
      <c r="B332" s="18">
        <v>153</v>
      </c>
      <c r="C332" s="13">
        <v>34487</v>
      </c>
      <c r="D332" s="18">
        <v>170</v>
      </c>
      <c r="E332" s="18">
        <v>7</v>
      </c>
      <c r="F332" s="20">
        <v>0.26983411186251949</v>
      </c>
      <c r="G332" s="4" t="s">
        <v>130</v>
      </c>
      <c r="H332" s="18"/>
    </row>
    <row r="333" spans="1:8" x14ac:dyDescent="0.25">
      <c r="A333" s="4">
        <v>1994</v>
      </c>
      <c r="B333" s="18">
        <v>153</v>
      </c>
      <c r="C333" s="13">
        <v>34487</v>
      </c>
      <c r="D333" s="18">
        <v>170</v>
      </c>
      <c r="E333" s="18">
        <v>8</v>
      </c>
      <c r="F333" s="20">
        <v>0.26442602742186916</v>
      </c>
      <c r="G333" s="4" t="s">
        <v>130</v>
      </c>
      <c r="H333" s="18"/>
    </row>
    <row r="334" spans="1:8" x14ac:dyDescent="0.25">
      <c r="A334" s="4">
        <v>1994</v>
      </c>
      <c r="B334" s="18">
        <v>153</v>
      </c>
      <c r="C334" s="13">
        <v>34487</v>
      </c>
      <c r="D334" s="18">
        <v>170</v>
      </c>
      <c r="E334" s="18">
        <v>9</v>
      </c>
      <c r="F334" s="20">
        <v>0.25748785079801051</v>
      </c>
      <c r="G334" s="4" t="s">
        <v>130</v>
      </c>
      <c r="H334" s="18"/>
    </row>
    <row r="335" spans="1:8" x14ac:dyDescent="0.25">
      <c r="A335" s="4">
        <v>1994</v>
      </c>
      <c r="B335" s="18">
        <v>153</v>
      </c>
      <c r="C335" s="13">
        <v>34487</v>
      </c>
      <c r="D335" s="18">
        <v>170</v>
      </c>
      <c r="E335" s="18">
        <v>10</v>
      </c>
      <c r="F335" s="20">
        <v>0.26561316790884121</v>
      </c>
      <c r="G335" s="4" t="s">
        <v>130</v>
      </c>
      <c r="H335" s="18"/>
    </row>
    <row r="336" spans="1:8" x14ac:dyDescent="0.25">
      <c r="A336" s="4">
        <v>1994</v>
      </c>
      <c r="B336" s="18">
        <v>153</v>
      </c>
      <c r="C336" s="13">
        <v>34487</v>
      </c>
      <c r="D336" s="18">
        <v>170</v>
      </c>
      <c r="E336" s="18">
        <v>11</v>
      </c>
      <c r="F336" s="20">
        <v>0.26698497469378663</v>
      </c>
      <c r="G336" s="4" t="s">
        <v>131</v>
      </c>
      <c r="H336" s="18"/>
    </row>
    <row r="337" spans="1:8" x14ac:dyDescent="0.25">
      <c r="A337" s="4">
        <v>1994</v>
      </c>
      <c r="B337" s="18">
        <v>153</v>
      </c>
      <c r="C337" s="13">
        <v>34487</v>
      </c>
      <c r="D337" s="18">
        <v>170</v>
      </c>
      <c r="E337" s="18">
        <v>12</v>
      </c>
      <c r="F337" s="20">
        <v>0.28036009084700464</v>
      </c>
      <c r="G337" s="4" t="s">
        <v>131</v>
      </c>
      <c r="H337" s="18"/>
    </row>
    <row r="338" spans="1:8" x14ac:dyDescent="0.25">
      <c r="A338" s="4">
        <v>1994</v>
      </c>
      <c r="B338" s="18">
        <v>153</v>
      </c>
      <c r="C338" s="13">
        <v>34487</v>
      </c>
      <c r="D338" s="18">
        <v>150</v>
      </c>
      <c r="E338" s="18">
        <v>1</v>
      </c>
      <c r="F338" s="20">
        <v>0.26785554438423281</v>
      </c>
      <c r="G338" s="4" t="s">
        <v>0</v>
      </c>
      <c r="H338" s="18"/>
    </row>
    <row r="339" spans="1:8" x14ac:dyDescent="0.25">
      <c r="A339" s="4">
        <v>1994</v>
      </c>
      <c r="B339" s="18">
        <v>153</v>
      </c>
      <c r="C339" s="13">
        <v>34487</v>
      </c>
      <c r="D339" s="18">
        <v>150</v>
      </c>
      <c r="E339" s="18">
        <v>2</v>
      </c>
      <c r="F339" s="20">
        <v>0.18301457091529952</v>
      </c>
      <c r="G339" s="4" t="s">
        <v>0</v>
      </c>
      <c r="H339" s="18"/>
    </row>
    <row r="340" spans="1:8" x14ac:dyDescent="0.25">
      <c r="A340" s="4">
        <v>1994</v>
      </c>
      <c r="B340" s="18">
        <v>153</v>
      </c>
      <c r="C340" s="13">
        <v>34487</v>
      </c>
      <c r="D340" s="18">
        <v>150</v>
      </c>
      <c r="E340" s="18">
        <v>3</v>
      </c>
      <c r="F340" s="20">
        <v>0.28824797986044093</v>
      </c>
      <c r="G340" s="4" t="s">
        <v>0</v>
      </c>
      <c r="H340" s="18"/>
    </row>
    <row r="341" spans="1:8" x14ac:dyDescent="0.25">
      <c r="A341" s="4">
        <v>1994</v>
      </c>
      <c r="B341" s="18">
        <v>153</v>
      </c>
      <c r="C341" s="13">
        <v>34487</v>
      </c>
      <c r="D341" s="18">
        <v>150</v>
      </c>
      <c r="E341" s="18">
        <v>4</v>
      </c>
      <c r="F341" s="20">
        <v>0.27948952115655851</v>
      </c>
      <c r="G341" s="4" t="s">
        <v>0</v>
      </c>
      <c r="H341" s="18"/>
    </row>
    <row r="342" spans="1:8" x14ac:dyDescent="0.25">
      <c r="A342" s="4">
        <v>1994</v>
      </c>
      <c r="B342" s="18">
        <v>153</v>
      </c>
      <c r="C342" s="13">
        <v>34487</v>
      </c>
      <c r="D342" s="18">
        <v>150</v>
      </c>
      <c r="E342" s="18">
        <v>5</v>
      </c>
      <c r="F342" s="20">
        <v>0.25907070478063987</v>
      </c>
      <c r="G342" s="4" t="s">
        <v>1</v>
      </c>
      <c r="H342" s="18"/>
    </row>
    <row r="343" spans="1:8" x14ac:dyDescent="0.25">
      <c r="A343" s="4">
        <v>1994</v>
      </c>
      <c r="B343" s="18">
        <v>153</v>
      </c>
      <c r="C343" s="13">
        <v>34487</v>
      </c>
      <c r="D343" s="18">
        <v>150</v>
      </c>
      <c r="E343" s="18">
        <v>6</v>
      </c>
      <c r="F343" s="20">
        <v>0.26893716127236283</v>
      </c>
      <c r="G343" s="4" t="s">
        <v>1</v>
      </c>
      <c r="H343" s="18"/>
    </row>
    <row r="344" spans="1:8" x14ac:dyDescent="0.25">
      <c r="A344" s="4">
        <v>1994</v>
      </c>
      <c r="B344" s="18">
        <v>153</v>
      </c>
      <c r="C344" s="13">
        <v>34487</v>
      </c>
      <c r="D344" s="18">
        <v>150</v>
      </c>
      <c r="E344" s="18">
        <v>7</v>
      </c>
      <c r="F344" s="20">
        <v>0.27938399755771653</v>
      </c>
      <c r="G344" s="4" t="s">
        <v>130</v>
      </c>
      <c r="H344" s="18"/>
    </row>
    <row r="345" spans="1:8" x14ac:dyDescent="0.25">
      <c r="A345" s="4">
        <v>1994</v>
      </c>
      <c r="B345" s="18">
        <v>153</v>
      </c>
      <c r="C345" s="13">
        <v>34487</v>
      </c>
      <c r="D345" s="18">
        <v>150</v>
      </c>
      <c r="E345" s="18">
        <v>8</v>
      </c>
      <c r="F345" s="20">
        <v>0.27885637956350673</v>
      </c>
      <c r="G345" s="4" t="s">
        <v>130</v>
      </c>
      <c r="H345" s="18"/>
    </row>
    <row r="346" spans="1:8" x14ac:dyDescent="0.25">
      <c r="A346" s="4">
        <v>1994</v>
      </c>
      <c r="B346" s="18">
        <v>153</v>
      </c>
      <c r="C346" s="13">
        <v>34487</v>
      </c>
      <c r="D346" s="18">
        <v>150</v>
      </c>
      <c r="E346" s="18">
        <v>9</v>
      </c>
      <c r="F346" s="20">
        <v>0.27571705249795858</v>
      </c>
      <c r="G346" s="4" t="s">
        <v>130</v>
      </c>
      <c r="H346" s="18"/>
    </row>
    <row r="347" spans="1:8" x14ac:dyDescent="0.25">
      <c r="A347" s="4">
        <v>1994</v>
      </c>
      <c r="B347" s="18">
        <v>153</v>
      </c>
      <c r="C347" s="13">
        <v>34487</v>
      </c>
      <c r="D347" s="18">
        <v>150</v>
      </c>
      <c r="E347" s="18">
        <v>10</v>
      </c>
      <c r="F347" s="20">
        <v>0.27861895146611237</v>
      </c>
      <c r="G347" s="4" t="s">
        <v>130</v>
      </c>
      <c r="H347" s="18"/>
    </row>
    <row r="348" spans="1:8" x14ac:dyDescent="0.25">
      <c r="A348" s="4">
        <v>1994</v>
      </c>
      <c r="B348" s="18">
        <v>153</v>
      </c>
      <c r="C348" s="13">
        <v>34487</v>
      </c>
      <c r="D348" s="18">
        <v>150</v>
      </c>
      <c r="E348" s="18">
        <v>11</v>
      </c>
      <c r="F348" s="20">
        <v>0.29800891275332192</v>
      </c>
      <c r="G348" s="4" t="s">
        <v>131</v>
      </c>
      <c r="H348" s="18"/>
    </row>
    <row r="349" spans="1:8" x14ac:dyDescent="0.25">
      <c r="A349" s="4">
        <v>1994</v>
      </c>
      <c r="B349" s="18">
        <v>153</v>
      </c>
      <c r="C349" s="13">
        <v>34487</v>
      </c>
      <c r="D349" s="18">
        <v>150</v>
      </c>
      <c r="E349" s="18">
        <v>12</v>
      </c>
      <c r="F349" s="20">
        <v>0.3095373659268057</v>
      </c>
      <c r="G349" s="4" t="s">
        <v>131</v>
      </c>
      <c r="H349" s="18"/>
    </row>
    <row r="350" spans="1:8" x14ac:dyDescent="0.25">
      <c r="A350" s="4">
        <v>1994</v>
      </c>
      <c r="B350" s="18">
        <v>153</v>
      </c>
      <c r="C350" s="13">
        <v>34487</v>
      </c>
      <c r="D350" s="18">
        <v>130</v>
      </c>
      <c r="E350" s="18">
        <v>1</v>
      </c>
      <c r="F350" s="20">
        <v>0.24503606613465967</v>
      </c>
      <c r="G350" s="4" t="s">
        <v>0</v>
      </c>
      <c r="H350" s="18"/>
    </row>
    <row r="351" spans="1:8" x14ac:dyDescent="0.25">
      <c r="A351" s="4">
        <v>1994</v>
      </c>
      <c r="B351" s="18">
        <v>153</v>
      </c>
      <c r="C351" s="13">
        <v>34487</v>
      </c>
      <c r="D351" s="18">
        <v>130</v>
      </c>
      <c r="E351" s="18">
        <v>2</v>
      </c>
      <c r="F351" s="20">
        <v>0.20351252999034963</v>
      </c>
      <c r="G351" s="4" t="s">
        <v>0</v>
      </c>
      <c r="H351" s="18"/>
    </row>
    <row r="352" spans="1:8" x14ac:dyDescent="0.25">
      <c r="A352" s="4">
        <v>1994</v>
      </c>
      <c r="B352" s="18">
        <v>153</v>
      </c>
      <c r="C352" s="13">
        <v>34487</v>
      </c>
      <c r="D352" s="18">
        <v>130</v>
      </c>
      <c r="E352" s="18">
        <v>3</v>
      </c>
      <c r="F352" s="20">
        <v>0.25603690131393358</v>
      </c>
      <c r="G352" s="4" t="s">
        <v>0</v>
      </c>
      <c r="H352" s="18"/>
    </row>
    <row r="353" spans="1:8" x14ac:dyDescent="0.25">
      <c r="A353" s="4">
        <v>1994</v>
      </c>
      <c r="B353" s="18">
        <v>153</v>
      </c>
      <c r="C353" s="13">
        <v>34487</v>
      </c>
      <c r="D353" s="18">
        <v>130</v>
      </c>
      <c r="E353" s="18">
        <v>4</v>
      </c>
      <c r="F353" s="20">
        <v>0.24957358088486375</v>
      </c>
      <c r="G353" s="4" t="s">
        <v>0</v>
      </c>
      <c r="H353" s="18"/>
    </row>
    <row r="354" spans="1:8" x14ac:dyDescent="0.25">
      <c r="A354" s="4">
        <v>1994</v>
      </c>
      <c r="B354" s="18">
        <v>153</v>
      </c>
      <c r="C354" s="13">
        <v>34487</v>
      </c>
      <c r="D354" s="18">
        <v>130</v>
      </c>
      <c r="E354" s="18">
        <v>5</v>
      </c>
      <c r="F354" s="20">
        <v>0.22234849238363891</v>
      </c>
      <c r="G354" s="4" t="s">
        <v>1</v>
      </c>
      <c r="H354" s="18"/>
    </row>
    <row r="355" spans="1:8" x14ac:dyDescent="0.25">
      <c r="A355" s="4">
        <v>1994</v>
      </c>
      <c r="B355" s="18">
        <v>153</v>
      </c>
      <c r="C355" s="13">
        <v>34487</v>
      </c>
      <c r="D355" s="18">
        <v>130</v>
      </c>
      <c r="E355" s="18">
        <v>6</v>
      </c>
      <c r="F355" s="20">
        <v>0.22730810152921088</v>
      </c>
      <c r="G355" s="4" t="s">
        <v>1</v>
      </c>
      <c r="H355" s="18"/>
    </row>
    <row r="356" spans="1:8" x14ac:dyDescent="0.25">
      <c r="A356" s="4">
        <v>1994</v>
      </c>
      <c r="B356" s="18">
        <v>153</v>
      </c>
      <c r="C356" s="13">
        <v>34487</v>
      </c>
      <c r="D356" s="18">
        <v>130</v>
      </c>
      <c r="E356" s="18">
        <v>7</v>
      </c>
      <c r="F356" s="20">
        <v>0.26355545773142308</v>
      </c>
      <c r="G356" s="4" t="s">
        <v>130</v>
      </c>
      <c r="H356" s="18"/>
    </row>
    <row r="357" spans="1:8" x14ac:dyDescent="0.25">
      <c r="A357" s="4">
        <v>1994</v>
      </c>
      <c r="B357" s="18">
        <v>153</v>
      </c>
      <c r="C357" s="13">
        <v>34487</v>
      </c>
      <c r="D357" s="18">
        <v>130</v>
      </c>
      <c r="E357" s="18">
        <v>8</v>
      </c>
      <c r="F357" s="20">
        <v>0.26323888693489716</v>
      </c>
      <c r="G357" s="4" t="s">
        <v>130</v>
      </c>
      <c r="H357" s="18"/>
    </row>
    <row r="358" spans="1:8" x14ac:dyDescent="0.25">
      <c r="A358" s="4">
        <v>1994</v>
      </c>
      <c r="B358" s="18">
        <v>153</v>
      </c>
      <c r="C358" s="13">
        <v>34487</v>
      </c>
      <c r="D358" s="18">
        <v>130</v>
      </c>
      <c r="E358" s="18">
        <v>9</v>
      </c>
      <c r="F358" s="20">
        <v>0.27439800751243409</v>
      </c>
      <c r="G358" s="4" t="s">
        <v>130</v>
      </c>
      <c r="H358" s="18"/>
    </row>
    <row r="359" spans="1:8" x14ac:dyDescent="0.25">
      <c r="A359" s="4">
        <v>1994</v>
      </c>
      <c r="B359" s="18">
        <v>153</v>
      </c>
      <c r="C359" s="13">
        <v>34487</v>
      </c>
      <c r="D359" s="18">
        <v>130</v>
      </c>
      <c r="E359" s="18">
        <v>10</v>
      </c>
      <c r="F359" s="20">
        <v>0.24332130765347781</v>
      </c>
      <c r="G359" s="4" t="s">
        <v>130</v>
      </c>
      <c r="H359" s="18"/>
    </row>
    <row r="360" spans="1:8" x14ac:dyDescent="0.25">
      <c r="A360" s="4">
        <v>1994</v>
      </c>
      <c r="B360" s="18">
        <v>153</v>
      </c>
      <c r="C360" s="13">
        <v>34487</v>
      </c>
      <c r="D360" s="18">
        <v>130</v>
      </c>
      <c r="E360" s="18">
        <v>11</v>
      </c>
      <c r="F360" s="20">
        <v>0.26645735669957687</v>
      </c>
      <c r="G360" s="4" t="s">
        <v>131</v>
      </c>
      <c r="H360" s="18"/>
    </row>
    <row r="361" spans="1:8" x14ac:dyDescent="0.25">
      <c r="A361" s="4">
        <v>1994</v>
      </c>
      <c r="B361" s="18">
        <v>153</v>
      </c>
      <c r="C361" s="13">
        <v>34487</v>
      </c>
      <c r="D361" s="18">
        <v>130</v>
      </c>
      <c r="E361" s="18">
        <v>12</v>
      </c>
      <c r="F361" s="20">
        <v>0.272234773736174</v>
      </c>
      <c r="G361" s="4" t="s">
        <v>131</v>
      </c>
      <c r="H361" s="18"/>
    </row>
    <row r="362" spans="1:8" x14ac:dyDescent="0.25">
      <c r="A362" s="4">
        <v>1994</v>
      </c>
      <c r="B362" s="18">
        <v>153</v>
      </c>
      <c r="C362" s="13">
        <v>34487</v>
      </c>
      <c r="D362" s="18">
        <v>110</v>
      </c>
      <c r="E362" s="18">
        <v>1</v>
      </c>
      <c r="F362" s="20">
        <v>0.23493304016529332</v>
      </c>
      <c r="G362" s="4" t="s">
        <v>0</v>
      </c>
      <c r="H362" s="18"/>
    </row>
    <row r="363" spans="1:8" x14ac:dyDescent="0.25">
      <c r="A363" s="4">
        <v>1994</v>
      </c>
      <c r="B363" s="18">
        <v>153</v>
      </c>
      <c r="C363" s="13">
        <v>34487</v>
      </c>
      <c r="D363" s="18">
        <v>110</v>
      </c>
      <c r="E363" s="18">
        <v>2</v>
      </c>
      <c r="F363" s="20">
        <v>0.2110606221822186</v>
      </c>
      <c r="G363" s="4" t="s">
        <v>0</v>
      </c>
      <c r="H363" s="18"/>
    </row>
    <row r="364" spans="1:8" x14ac:dyDescent="0.25">
      <c r="A364" s="4">
        <v>1994</v>
      </c>
      <c r="B364" s="18">
        <v>153</v>
      </c>
      <c r="C364" s="13">
        <v>34487</v>
      </c>
      <c r="D364" s="18">
        <v>110</v>
      </c>
      <c r="E364" s="18">
        <v>3</v>
      </c>
      <c r="F364" s="20">
        <v>0.23867015283200949</v>
      </c>
      <c r="G364" s="4" t="s">
        <v>0</v>
      </c>
      <c r="H364" s="18"/>
    </row>
    <row r="365" spans="1:8" x14ac:dyDescent="0.25">
      <c r="A365" s="4">
        <v>1994</v>
      </c>
      <c r="B365" s="18">
        <v>153</v>
      </c>
      <c r="C365" s="13">
        <v>34487</v>
      </c>
      <c r="D365" s="18">
        <v>110</v>
      </c>
      <c r="E365" s="18">
        <v>4</v>
      </c>
      <c r="F365" s="20">
        <v>0.24556448137233061</v>
      </c>
      <c r="G365" s="4" t="s">
        <v>0</v>
      </c>
      <c r="H365" s="18"/>
    </row>
    <row r="366" spans="1:8" x14ac:dyDescent="0.25">
      <c r="A366" s="4">
        <v>1994</v>
      </c>
      <c r="B366" s="18">
        <v>153</v>
      </c>
      <c r="C366" s="13">
        <v>34487</v>
      </c>
      <c r="D366" s="18">
        <v>110</v>
      </c>
      <c r="E366" s="18">
        <v>5</v>
      </c>
      <c r="F366" s="20">
        <v>0.21969464110187314</v>
      </c>
      <c r="G366" s="4" t="s">
        <v>1</v>
      </c>
      <c r="H366" s="18"/>
    </row>
    <row r="367" spans="1:8" x14ac:dyDescent="0.25">
      <c r="A367" s="4">
        <v>1994</v>
      </c>
      <c r="B367" s="18">
        <v>153</v>
      </c>
      <c r="C367" s="13">
        <v>34487</v>
      </c>
      <c r="D367" s="18">
        <v>110</v>
      </c>
      <c r="E367" s="18">
        <v>6</v>
      </c>
      <c r="F367" s="20">
        <v>0.22214309422834233</v>
      </c>
      <c r="G367" s="4" t="s">
        <v>1</v>
      </c>
      <c r="H367" s="18"/>
    </row>
    <row r="368" spans="1:8" x14ac:dyDescent="0.25">
      <c r="A368" s="4">
        <v>1994</v>
      </c>
      <c r="B368" s="18">
        <v>153</v>
      </c>
      <c r="C368" s="13">
        <v>34487</v>
      </c>
      <c r="D368" s="18">
        <v>110</v>
      </c>
      <c r="E368" s="18">
        <v>7</v>
      </c>
      <c r="F368" s="20">
        <v>0.27984282514289949</v>
      </c>
      <c r="G368" s="4" t="s">
        <v>130</v>
      </c>
      <c r="H368" s="18"/>
    </row>
    <row r="369" spans="1:8" x14ac:dyDescent="0.25">
      <c r="A369" s="4">
        <v>1994</v>
      </c>
      <c r="B369" s="18">
        <v>153</v>
      </c>
      <c r="C369" s="13">
        <v>34487</v>
      </c>
      <c r="D369" s="18">
        <v>110</v>
      </c>
      <c r="E369" s="18">
        <v>8</v>
      </c>
      <c r="F369" s="20">
        <v>0.28364437078662802</v>
      </c>
      <c r="G369" s="4" t="s">
        <v>130</v>
      </c>
      <c r="H369" s="18"/>
    </row>
    <row r="370" spans="1:8" x14ac:dyDescent="0.25">
      <c r="A370" s="4">
        <v>1994</v>
      </c>
      <c r="B370" s="18">
        <v>153</v>
      </c>
      <c r="C370" s="13">
        <v>34487</v>
      </c>
      <c r="D370" s="18">
        <v>110</v>
      </c>
      <c r="E370" s="18">
        <v>9</v>
      </c>
      <c r="F370" s="20">
        <v>0.27584798056813398</v>
      </c>
      <c r="G370" s="4" t="s">
        <v>130</v>
      </c>
      <c r="H370" s="18"/>
    </row>
    <row r="371" spans="1:8" x14ac:dyDescent="0.25">
      <c r="A371" s="4">
        <v>1994</v>
      </c>
      <c r="B371" s="18">
        <v>153</v>
      </c>
      <c r="C371" s="13">
        <v>34487</v>
      </c>
      <c r="D371" s="18">
        <v>110</v>
      </c>
      <c r="E371" s="18">
        <v>10</v>
      </c>
      <c r="F371" s="20">
        <v>0.25065468655630613</v>
      </c>
      <c r="G371" s="4" t="s">
        <v>130</v>
      </c>
      <c r="H371" s="18"/>
    </row>
    <row r="372" spans="1:8" x14ac:dyDescent="0.25">
      <c r="A372" s="4">
        <v>1994</v>
      </c>
      <c r="B372" s="18">
        <v>153</v>
      </c>
      <c r="C372" s="13">
        <v>34487</v>
      </c>
      <c r="D372" s="18">
        <v>110</v>
      </c>
      <c r="E372" s="18">
        <v>11</v>
      </c>
      <c r="F372" s="20">
        <v>0.27997169109692421</v>
      </c>
      <c r="G372" s="4" t="s">
        <v>131</v>
      </c>
      <c r="H372" s="18"/>
    </row>
    <row r="373" spans="1:8" x14ac:dyDescent="0.25">
      <c r="A373" s="4">
        <v>1994</v>
      </c>
      <c r="B373" s="18">
        <v>153</v>
      </c>
      <c r="C373" s="13">
        <v>34487</v>
      </c>
      <c r="D373" s="18">
        <v>110</v>
      </c>
      <c r="E373" s="18">
        <v>12</v>
      </c>
      <c r="F373" s="20">
        <v>0.28728483398782567</v>
      </c>
      <c r="G373" s="4" t="s">
        <v>131</v>
      </c>
      <c r="H373" s="18"/>
    </row>
    <row r="374" spans="1:8" x14ac:dyDescent="0.25">
      <c r="A374" s="4">
        <v>1994</v>
      </c>
      <c r="B374" s="18">
        <v>153</v>
      </c>
      <c r="C374" s="13">
        <v>34487</v>
      </c>
      <c r="D374" s="18">
        <v>90</v>
      </c>
      <c r="E374" s="18">
        <v>1</v>
      </c>
      <c r="F374" s="20">
        <v>0.21218819927993465</v>
      </c>
      <c r="G374" s="4" t="s">
        <v>0</v>
      </c>
      <c r="H374" s="18"/>
    </row>
    <row r="375" spans="1:8" x14ac:dyDescent="0.25">
      <c r="A375" s="4">
        <v>1994</v>
      </c>
      <c r="B375" s="18">
        <v>153</v>
      </c>
      <c r="C375" s="13">
        <v>34487</v>
      </c>
      <c r="D375" s="18">
        <v>90</v>
      </c>
      <c r="E375" s="18">
        <v>2</v>
      </c>
      <c r="F375" s="20">
        <v>0.20191113944646522</v>
      </c>
      <c r="G375" s="4" t="s">
        <v>0</v>
      </c>
      <c r="H375" s="18"/>
    </row>
    <row r="376" spans="1:8" x14ac:dyDescent="0.25">
      <c r="A376" s="4">
        <v>1994</v>
      </c>
      <c r="B376" s="18">
        <v>153</v>
      </c>
      <c r="C376" s="13">
        <v>34487</v>
      </c>
      <c r="D376" s="18">
        <v>90</v>
      </c>
      <c r="E376" s="18">
        <v>3</v>
      </c>
      <c r="F376" s="20">
        <v>0.21869592995818177</v>
      </c>
      <c r="G376" s="4" t="s">
        <v>0</v>
      </c>
      <c r="H376" s="18"/>
    </row>
    <row r="377" spans="1:8" x14ac:dyDescent="0.25">
      <c r="A377" s="4">
        <v>1994</v>
      </c>
      <c r="B377" s="18">
        <v>153</v>
      </c>
      <c r="C377" s="13">
        <v>34487</v>
      </c>
      <c r="D377" s="18">
        <v>90</v>
      </c>
      <c r="E377" s="18">
        <v>4</v>
      </c>
      <c r="F377" s="20">
        <v>0.20661474676836661</v>
      </c>
      <c r="G377" s="4" t="s">
        <v>0</v>
      </c>
      <c r="H377" s="18"/>
    </row>
    <row r="378" spans="1:8" x14ac:dyDescent="0.25">
      <c r="A378" s="4">
        <v>1994</v>
      </c>
      <c r="B378" s="18">
        <v>153</v>
      </c>
      <c r="C378" s="13">
        <v>34487</v>
      </c>
      <c r="D378" s="18">
        <v>90</v>
      </c>
      <c r="E378" s="18">
        <v>5</v>
      </c>
      <c r="F378" s="20">
        <v>0.19804516082572438</v>
      </c>
      <c r="G378" s="4" t="s">
        <v>1</v>
      </c>
      <c r="H378" s="18"/>
    </row>
    <row r="379" spans="1:8" x14ac:dyDescent="0.25">
      <c r="A379" s="4">
        <v>1994</v>
      </c>
      <c r="B379" s="18">
        <v>153</v>
      </c>
      <c r="C379" s="13">
        <v>34487</v>
      </c>
      <c r="D379" s="18">
        <v>90</v>
      </c>
      <c r="E379" s="18">
        <v>6</v>
      </c>
      <c r="F379" s="20">
        <v>0.20709799409595919</v>
      </c>
      <c r="G379" s="4" t="s">
        <v>1</v>
      </c>
      <c r="H379" s="18"/>
    </row>
    <row r="380" spans="1:8" x14ac:dyDescent="0.25">
      <c r="A380" s="4">
        <v>1994</v>
      </c>
      <c r="B380" s="18">
        <v>153</v>
      </c>
      <c r="C380" s="13">
        <v>34487</v>
      </c>
      <c r="D380" s="18">
        <v>90</v>
      </c>
      <c r="E380" s="18">
        <v>7</v>
      </c>
      <c r="F380" s="20">
        <v>0.25993303524608413</v>
      </c>
      <c r="G380" s="4" t="s">
        <v>130</v>
      </c>
      <c r="H380" s="18"/>
    </row>
    <row r="381" spans="1:8" x14ac:dyDescent="0.25">
      <c r="A381" s="4">
        <v>1994</v>
      </c>
      <c r="B381" s="18">
        <v>153</v>
      </c>
      <c r="C381" s="13">
        <v>34487</v>
      </c>
      <c r="D381" s="18">
        <v>90</v>
      </c>
      <c r="E381" s="18">
        <v>8</v>
      </c>
      <c r="F381" s="20">
        <v>0.27211086790141786</v>
      </c>
      <c r="G381" s="4" t="s">
        <v>130</v>
      </c>
      <c r="H381" s="18"/>
    </row>
    <row r="382" spans="1:8" x14ac:dyDescent="0.25">
      <c r="A382" s="4">
        <v>1994</v>
      </c>
      <c r="B382" s="18">
        <v>153</v>
      </c>
      <c r="C382" s="13">
        <v>34487</v>
      </c>
      <c r="D382" s="18">
        <v>90</v>
      </c>
      <c r="E382" s="18">
        <v>9</v>
      </c>
      <c r="F382" s="20">
        <v>0.26834153874619548</v>
      </c>
      <c r="G382" s="4" t="s">
        <v>130</v>
      </c>
      <c r="H382" s="18"/>
    </row>
    <row r="383" spans="1:8" x14ac:dyDescent="0.25">
      <c r="A383" s="4">
        <v>1994</v>
      </c>
      <c r="B383" s="18">
        <v>153</v>
      </c>
      <c r="C383" s="13">
        <v>34487</v>
      </c>
      <c r="D383" s="18">
        <v>90</v>
      </c>
      <c r="E383" s="18">
        <v>10</v>
      </c>
      <c r="F383" s="20">
        <v>0.24769076961373809</v>
      </c>
      <c r="G383" s="4" t="s">
        <v>130</v>
      </c>
      <c r="H383" s="18"/>
    </row>
    <row r="384" spans="1:8" x14ac:dyDescent="0.25">
      <c r="A384" s="4">
        <v>1994</v>
      </c>
      <c r="B384" s="18">
        <v>153</v>
      </c>
      <c r="C384" s="13">
        <v>34487</v>
      </c>
      <c r="D384" s="18">
        <v>90</v>
      </c>
      <c r="E384" s="18">
        <v>11</v>
      </c>
      <c r="F384" s="20">
        <v>0.27472040347041787</v>
      </c>
      <c r="G384" s="4" t="s">
        <v>131</v>
      </c>
      <c r="H384" s="18"/>
    </row>
    <row r="385" spans="1:8" x14ac:dyDescent="0.25">
      <c r="A385" s="4">
        <v>1994</v>
      </c>
      <c r="B385" s="18">
        <v>153</v>
      </c>
      <c r="C385" s="13">
        <v>34487</v>
      </c>
      <c r="D385" s="18">
        <v>90</v>
      </c>
      <c r="E385" s="18">
        <v>12</v>
      </c>
      <c r="F385" s="20">
        <v>0.27465597049340551</v>
      </c>
      <c r="G385" s="4" t="s">
        <v>131</v>
      </c>
      <c r="H385" s="18"/>
    </row>
    <row r="386" spans="1:8" x14ac:dyDescent="0.25">
      <c r="A386" s="4">
        <v>1994</v>
      </c>
      <c r="B386" s="18">
        <v>153</v>
      </c>
      <c r="C386" s="13">
        <v>34487</v>
      </c>
      <c r="D386" s="18">
        <v>70</v>
      </c>
      <c r="E386" s="18">
        <v>1</v>
      </c>
      <c r="F386" s="20">
        <v>0.20761345791205793</v>
      </c>
      <c r="G386" s="4" t="s">
        <v>0</v>
      </c>
      <c r="H386" s="18"/>
    </row>
    <row r="387" spans="1:8" x14ac:dyDescent="0.25">
      <c r="A387" s="4">
        <v>1994</v>
      </c>
      <c r="B387" s="18">
        <v>153</v>
      </c>
      <c r="C387" s="13">
        <v>34487</v>
      </c>
      <c r="D387" s="18">
        <v>70</v>
      </c>
      <c r="E387" s="18">
        <v>2</v>
      </c>
      <c r="F387" s="20">
        <v>0.20729129302699623</v>
      </c>
      <c r="G387" s="4" t="s">
        <v>0</v>
      </c>
      <c r="H387" s="18"/>
    </row>
    <row r="388" spans="1:8" x14ac:dyDescent="0.25">
      <c r="A388" s="4">
        <v>1994</v>
      </c>
      <c r="B388" s="18">
        <v>153</v>
      </c>
      <c r="C388" s="13">
        <v>34487</v>
      </c>
      <c r="D388" s="18">
        <v>70</v>
      </c>
      <c r="E388" s="18">
        <v>3</v>
      </c>
      <c r="F388" s="20">
        <v>0.21934025972830523</v>
      </c>
      <c r="G388" s="4" t="s">
        <v>0</v>
      </c>
      <c r="H388" s="18"/>
    </row>
    <row r="389" spans="1:8" x14ac:dyDescent="0.25">
      <c r="A389" s="4">
        <v>1994</v>
      </c>
      <c r="B389" s="18">
        <v>153</v>
      </c>
      <c r="C389" s="13">
        <v>34487</v>
      </c>
      <c r="D389" s="18">
        <v>70</v>
      </c>
      <c r="E389" s="18">
        <v>4</v>
      </c>
      <c r="F389" s="20">
        <v>0.20348974738326775</v>
      </c>
      <c r="G389" s="4" t="s">
        <v>0</v>
      </c>
      <c r="H389" s="18"/>
    </row>
    <row r="390" spans="1:8" x14ac:dyDescent="0.25">
      <c r="A390" s="4">
        <v>1994</v>
      </c>
      <c r="B390" s="18">
        <v>153</v>
      </c>
      <c r="C390" s="13">
        <v>34487</v>
      </c>
      <c r="D390" s="18">
        <v>70</v>
      </c>
      <c r="E390" s="18">
        <v>5</v>
      </c>
      <c r="F390" s="20">
        <v>0.2110284056937124</v>
      </c>
      <c r="G390" s="4" t="s">
        <v>1</v>
      </c>
      <c r="H390" s="18"/>
    </row>
    <row r="391" spans="1:8" x14ac:dyDescent="0.25">
      <c r="A391" s="4">
        <v>1994</v>
      </c>
      <c r="B391" s="18">
        <v>153</v>
      </c>
      <c r="C391" s="13">
        <v>34487</v>
      </c>
      <c r="D391" s="18">
        <v>70</v>
      </c>
      <c r="E391" s="18">
        <v>6</v>
      </c>
      <c r="F391" s="20">
        <v>0.20532608722811962</v>
      </c>
      <c r="G391" s="4" t="s">
        <v>1</v>
      </c>
      <c r="H391" s="18"/>
    </row>
    <row r="392" spans="1:8" x14ac:dyDescent="0.25">
      <c r="A392" s="4">
        <v>1994</v>
      </c>
      <c r="B392" s="18">
        <v>153</v>
      </c>
      <c r="C392" s="13">
        <v>34487</v>
      </c>
      <c r="D392" s="18">
        <v>70</v>
      </c>
      <c r="E392" s="18">
        <v>7</v>
      </c>
      <c r="F392" s="20">
        <v>0.25168561418850371</v>
      </c>
      <c r="G392" s="4" t="s">
        <v>130</v>
      </c>
      <c r="H392" s="18"/>
    </row>
    <row r="393" spans="1:8" x14ac:dyDescent="0.25">
      <c r="A393" s="4">
        <v>1994</v>
      </c>
      <c r="B393" s="18">
        <v>153</v>
      </c>
      <c r="C393" s="13">
        <v>34487</v>
      </c>
      <c r="D393" s="18">
        <v>70</v>
      </c>
      <c r="E393" s="18">
        <v>8</v>
      </c>
      <c r="F393" s="20">
        <v>0.27050004347610912</v>
      </c>
      <c r="G393" s="4" t="s">
        <v>130</v>
      </c>
      <c r="H393" s="18"/>
    </row>
    <row r="394" spans="1:8" x14ac:dyDescent="0.25">
      <c r="A394" s="4">
        <v>1994</v>
      </c>
      <c r="B394" s="18">
        <v>153</v>
      </c>
      <c r="C394" s="13">
        <v>34487</v>
      </c>
      <c r="D394" s="18">
        <v>70</v>
      </c>
      <c r="E394" s="18">
        <v>9</v>
      </c>
      <c r="F394" s="20">
        <v>0.26038406608517062</v>
      </c>
      <c r="G394" s="4" t="s">
        <v>130</v>
      </c>
      <c r="H394" s="18"/>
    </row>
    <row r="395" spans="1:8" x14ac:dyDescent="0.25">
      <c r="A395" s="4">
        <v>1994</v>
      </c>
      <c r="B395" s="18">
        <v>153</v>
      </c>
      <c r="C395" s="13">
        <v>34487</v>
      </c>
      <c r="D395" s="18">
        <v>70</v>
      </c>
      <c r="E395" s="18">
        <v>10</v>
      </c>
      <c r="F395" s="20">
        <v>0.26769720897607208</v>
      </c>
      <c r="G395" s="4" t="s">
        <v>130</v>
      </c>
      <c r="H395" s="18"/>
    </row>
    <row r="396" spans="1:8" x14ac:dyDescent="0.25">
      <c r="A396" s="4">
        <v>1994</v>
      </c>
      <c r="B396" s="18">
        <v>153</v>
      </c>
      <c r="C396" s="13">
        <v>34487</v>
      </c>
      <c r="D396" s="18">
        <v>70</v>
      </c>
      <c r="E396" s="18">
        <v>11</v>
      </c>
      <c r="F396" s="20">
        <v>0.27758767094746734</v>
      </c>
      <c r="G396" s="4" t="s">
        <v>131</v>
      </c>
      <c r="H396" s="18"/>
    </row>
    <row r="397" spans="1:8" x14ac:dyDescent="0.25">
      <c r="A397" s="4">
        <v>1994</v>
      </c>
      <c r="B397" s="18">
        <v>153</v>
      </c>
      <c r="C397" s="13">
        <v>34487</v>
      </c>
      <c r="D397" s="18">
        <v>70</v>
      </c>
      <c r="E397" s="18">
        <v>12</v>
      </c>
      <c r="F397" s="20">
        <v>0.27581576407962777</v>
      </c>
      <c r="G397" s="4" t="s">
        <v>131</v>
      </c>
      <c r="H397" s="18"/>
    </row>
    <row r="398" spans="1:8" x14ac:dyDescent="0.25">
      <c r="A398" s="4">
        <v>1994</v>
      </c>
      <c r="B398" s="18">
        <v>153</v>
      </c>
      <c r="C398" s="13">
        <v>34487</v>
      </c>
      <c r="D398" s="18">
        <v>50</v>
      </c>
      <c r="E398" s="18">
        <v>1</v>
      </c>
      <c r="F398" s="20">
        <v>0.21695623957884835</v>
      </c>
      <c r="G398" s="4" t="s">
        <v>0</v>
      </c>
      <c r="H398" s="18"/>
    </row>
    <row r="399" spans="1:8" x14ac:dyDescent="0.25">
      <c r="A399" s="4">
        <v>1994</v>
      </c>
      <c r="B399" s="18">
        <v>153</v>
      </c>
      <c r="C399" s="13">
        <v>34487</v>
      </c>
      <c r="D399" s="18">
        <v>50</v>
      </c>
      <c r="E399" s="18">
        <v>2</v>
      </c>
      <c r="F399" s="20">
        <v>0.22091886766510771</v>
      </c>
      <c r="G399" s="4" t="s">
        <v>0</v>
      </c>
      <c r="H399" s="18"/>
    </row>
    <row r="400" spans="1:8" x14ac:dyDescent="0.25">
      <c r="A400" s="4">
        <v>1994</v>
      </c>
      <c r="B400" s="18">
        <v>153</v>
      </c>
      <c r="C400" s="13">
        <v>34487</v>
      </c>
      <c r="D400" s="18">
        <v>50</v>
      </c>
      <c r="E400" s="18">
        <v>3</v>
      </c>
      <c r="F400" s="20">
        <v>0.24224618305619477</v>
      </c>
      <c r="G400" s="4" t="s">
        <v>0</v>
      </c>
      <c r="H400" s="18"/>
    </row>
    <row r="401" spans="1:8" x14ac:dyDescent="0.25">
      <c r="A401" s="4">
        <v>1994</v>
      </c>
      <c r="B401" s="18">
        <v>153</v>
      </c>
      <c r="C401" s="13">
        <v>34487</v>
      </c>
      <c r="D401" s="18">
        <v>50</v>
      </c>
      <c r="E401" s="18">
        <v>4</v>
      </c>
      <c r="F401" s="20">
        <v>0.24582221328038006</v>
      </c>
      <c r="G401" s="4" t="s">
        <v>0</v>
      </c>
      <c r="H401" s="18"/>
    </row>
    <row r="402" spans="1:8" x14ac:dyDescent="0.25">
      <c r="A402" s="4">
        <v>1994</v>
      </c>
      <c r="B402" s="18">
        <v>153</v>
      </c>
      <c r="C402" s="13">
        <v>34487</v>
      </c>
      <c r="D402" s="18">
        <v>50</v>
      </c>
      <c r="E402" s="18">
        <v>5</v>
      </c>
      <c r="F402" s="20">
        <v>0.25825777784376314</v>
      </c>
      <c r="G402" s="4" t="s">
        <v>1</v>
      </c>
      <c r="H402" s="18"/>
    </row>
    <row r="403" spans="1:8" x14ac:dyDescent="0.25">
      <c r="A403" s="4">
        <v>1994</v>
      </c>
      <c r="B403" s="18">
        <v>153</v>
      </c>
      <c r="C403" s="13">
        <v>34487</v>
      </c>
      <c r="D403" s="18">
        <v>50</v>
      </c>
      <c r="E403" s="18">
        <v>6</v>
      </c>
      <c r="F403" s="20">
        <v>0.21379902370524334</v>
      </c>
      <c r="G403" s="4" t="s">
        <v>1</v>
      </c>
      <c r="H403" s="18"/>
    </row>
    <row r="404" spans="1:8" x14ac:dyDescent="0.25">
      <c r="A404" s="4">
        <v>1994</v>
      </c>
      <c r="B404" s="18">
        <v>153</v>
      </c>
      <c r="C404" s="13">
        <v>34487</v>
      </c>
      <c r="D404" s="18">
        <v>50</v>
      </c>
      <c r="E404" s="18">
        <v>7</v>
      </c>
      <c r="F404" s="20">
        <v>0.25816112837824456</v>
      </c>
      <c r="G404" s="4" t="s">
        <v>130</v>
      </c>
      <c r="H404" s="18"/>
    </row>
    <row r="405" spans="1:8" x14ac:dyDescent="0.25">
      <c r="A405" s="4">
        <v>1994</v>
      </c>
      <c r="B405" s="18">
        <v>153</v>
      </c>
      <c r="C405" s="13">
        <v>34487</v>
      </c>
      <c r="D405" s="18">
        <v>50</v>
      </c>
      <c r="E405" s="18">
        <v>8</v>
      </c>
      <c r="F405" s="20">
        <v>0.27671782575780068</v>
      </c>
      <c r="G405" s="4" t="s">
        <v>130</v>
      </c>
      <c r="H405" s="18"/>
    </row>
    <row r="406" spans="1:8" x14ac:dyDescent="0.25">
      <c r="A406" s="4">
        <v>1994</v>
      </c>
      <c r="B406" s="18">
        <v>153</v>
      </c>
      <c r="C406" s="13">
        <v>34487</v>
      </c>
      <c r="D406" s="18">
        <v>50</v>
      </c>
      <c r="E406" s="18">
        <v>9</v>
      </c>
      <c r="F406" s="20">
        <v>0.26737504409101026</v>
      </c>
      <c r="G406" s="4" t="s">
        <v>130</v>
      </c>
      <c r="H406" s="18"/>
    </row>
    <row r="407" spans="1:8" x14ac:dyDescent="0.25">
      <c r="A407" s="4">
        <v>1994</v>
      </c>
      <c r="B407" s="18">
        <v>153</v>
      </c>
      <c r="C407" s="13">
        <v>34487</v>
      </c>
      <c r="D407" s="18">
        <v>50</v>
      </c>
      <c r="E407" s="18">
        <v>10</v>
      </c>
      <c r="F407" s="20">
        <v>0.29040983337292453</v>
      </c>
      <c r="G407" s="4" t="s">
        <v>130</v>
      </c>
      <c r="H407" s="18"/>
    </row>
    <row r="408" spans="1:8" x14ac:dyDescent="0.25">
      <c r="A408" s="4">
        <v>1994</v>
      </c>
      <c r="B408" s="18">
        <v>153</v>
      </c>
      <c r="C408" s="13">
        <v>34487</v>
      </c>
      <c r="D408" s="18">
        <v>50</v>
      </c>
      <c r="E408" s="18">
        <v>11</v>
      </c>
      <c r="F408" s="20">
        <v>0.27323844499913391</v>
      </c>
      <c r="G408" s="4" t="s">
        <v>131</v>
      </c>
      <c r="H408" s="18"/>
    </row>
    <row r="409" spans="1:8" x14ac:dyDescent="0.25">
      <c r="A409" s="4">
        <v>1994</v>
      </c>
      <c r="B409" s="18">
        <v>153</v>
      </c>
      <c r="C409" s="13">
        <v>34487</v>
      </c>
      <c r="D409" s="18">
        <v>50</v>
      </c>
      <c r="E409" s="18">
        <v>12</v>
      </c>
      <c r="F409" s="20">
        <v>0.27159540408531901</v>
      </c>
      <c r="G409" s="4" t="s">
        <v>131</v>
      </c>
      <c r="H409" s="18"/>
    </row>
    <row r="410" spans="1:8" x14ac:dyDescent="0.25">
      <c r="A410" s="4">
        <v>1994</v>
      </c>
      <c r="B410" s="18">
        <v>153</v>
      </c>
      <c r="C410" s="13">
        <v>34487</v>
      </c>
      <c r="D410" s="18">
        <v>30</v>
      </c>
      <c r="E410" s="18">
        <v>1</v>
      </c>
      <c r="F410" s="20">
        <v>0.2194691256823299</v>
      </c>
      <c r="G410" s="4" t="s">
        <v>0</v>
      </c>
      <c r="H410" s="18"/>
    </row>
    <row r="411" spans="1:8" x14ac:dyDescent="0.25">
      <c r="A411" s="4">
        <v>1994</v>
      </c>
      <c r="B411" s="18">
        <v>153</v>
      </c>
      <c r="C411" s="13">
        <v>34487</v>
      </c>
      <c r="D411" s="18">
        <v>30</v>
      </c>
      <c r="E411" s="18">
        <v>2</v>
      </c>
      <c r="F411" s="20">
        <v>0.18699490526810675</v>
      </c>
      <c r="G411" s="4" t="s">
        <v>0</v>
      </c>
      <c r="H411" s="18"/>
    </row>
    <row r="412" spans="1:8" x14ac:dyDescent="0.25">
      <c r="A412" s="4">
        <v>1994</v>
      </c>
      <c r="B412" s="18">
        <v>153</v>
      </c>
      <c r="C412" s="13">
        <v>34487</v>
      </c>
      <c r="D412" s="18">
        <v>30</v>
      </c>
      <c r="E412" s="18">
        <v>3</v>
      </c>
      <c r="F412" s="20">
        <v>0.25252324288966416</v>
      </c>
      <c r="G412" s="4" t="s">
        <v>0</v>
      </c>
      <c r="H412" s="18"/>
    </row>
    <row r="413" spans="1:8" x14ac:dyDescent="0.25">
      <c r="A413" s="4">
        <v>1994</v>
      </c>
      <c r="B413" s="18">
        <v>153</v>
      </c>
      <c r="C413" s="13">
        <v>34487</v>
      </c>
      <c r="D413" s="18">
        <v>30</v>
      </c>
      <c r="E413" s="18">
        <v>4</v>
      </c>
      <c r="F413" s="20">
        <v>0.23548072046989826</v>
      </c>
      <c r="G413" s="4" t="s">
        <v>0</v>
      </c>
      <c r="H413" s="18"/>
    </row>
    <row r="414" spans="1:8" x14ac:dyDescent="0.25">
      <c r="A414" s="4">
        <v>1994</v>
      </c>
      <c r="B414" s="18">
        <v>153</v>
      </c>
      <c r="C414" s="13">
        <v>34487</v>
      </c>
      <c r="D414" s="18">
        <v>30</v>
      </c>
      <c r="E414" s="18">
        <v>5</v>
      </c>
      <c r="F414" s="20">
        <v>0.29617658481552966</v>
      </c>
      <c r="G414" s="4" t="s">
        <v>1</v>
      </c>
      <c r="H414" s="18"/>
    </row>
    <row r="415" spans="1:8" x14ac:dyDescent="0.25">
      <c r="A415" s="4">
        <v>1994</v>
      </c>
      <c r="B415" s="18">
        <v>153</v>
      </c>
      <c r="C415" s="13">
        <v>34487</v>
      </c>
      <c r="D415" s="18">
        <v>30</v>
      </c>
      <c r="E415" s="18">
        <v>6</v>
      </c>
      <c r="F415" s="20">
        <v>0.2306482471939722</v>
      </c>
      <c r="G415" s="4" t="s">
        <v>1</v>
      </c>
      <c r="H415" s="18"/>
    </row>
    <row r="416" spans="1:8" x14ac:dyDescent="0.25">
      <c r="A416" s="4">
        <v>1994</v>
      </c>
      <c r="B416" s="18">
        <v>153</v>
      </c>
      <c r="C416" s="13">
        <v>34487</v>
      </c>
      <c r="D416" s="18">
        <v>30</v>
      </c>
      <c r="E416" s="18">
        <v>7</v>
      </c>
      <c r="F416" s="20">
        <v>0.21048072538910745</v>
      </c>
      <c r="G416" s="4" t="s">
        <v>130</v>
      </c>
      <c r="H416" s="18"/>
    </row>
    <row r="417" spans="1:8" x14ac:dyDescent="0.25">
      <c r="A417" s="4">
        <v>1994</v>
      </c>
      <c r="B417" s="18">
        <v>153</v>
      </c>
      <c r="C417" s="13">
        <v>34487</v>
      </c>
      <c r="D417" s="18">
        <v>30</v>
      </c>
      <c r="E417" s="18">
        <v>8</v>
      </c>
      <c r="F417" s="20">
        <v>0.25700133479202236</v>
      </c>
      <c r="G417" s="4" t="s">
        <v>130</v>
      </c>
      <c r="H417" s="18"/>
    </row>
    <row r="418" spans="1:8" x14ac:dyDescent="0.25">
      <c r="A418" s="4">
        <v>1994</v>
      </c>
      <c r="B418" s="18">
        <v>153</v>
      </c>
      <c r="C418" s="13">
        <v>34487</v>
      </c>
      <c r="D418" s="18">
        <v>30</v>
      </c>
      <c r="E418" s="18">
        <v>9</v>
      </c>
      <c r="F418" s="20">
        <v>0.25893432410239275</v>
      </c>
      <c r="G418" s="4" t="s">
        <v>130</v>
      </c>
      <c r="H418" s="18"/>
    </row>
    <row r="419" spans="1:8" x14ac:dyDescent="0.25">
      <c r="A419" s="4">
        <v>1994</v>
      </c>
      <c r="B419" s="18">
        <v>153</v>
      </c>
      <c r="C419" s="13">
        <v>34487</v>
      </c>
      <c r="D419" s="18">
        <v>30</v>
      </c>
      <c r="E419" s="18">
        <v>10</v>
      </c>
      <c r="F419" s="20">
        <v>0.2681804563036646</v>
      </c>
      <c r="G419" s="4" t="s">
        <v>130</v>
      </c>
      <c r="H419" s="18"/>
    </row>
    <row r="420" spans="1:8" x14ac:dyDescent="0.25">
      <c r="A420" s="4">
        <v>1994</v>
      </c>
      <c r="B420" s="18">
        <v>153</v>
      </c>
      <c r="C420" s="13">
        <v>34487</v>
      </c>
      <c r="D420" s="18">
        <v>30</v>
      </c>
      <c r="E420" s="18">
        <v>11</v>
      </c>
      <c r="F420" s="20">
        <v>0.30677580953406081</v>
      </c>
      <c r="G420" s="4" t="s">
        <v>131</v>
      </c>
      <c r="H420" s="18"/>
    </row>
    <row r="421" spans="1:8" x14ac:dyDescent="0.25">
      <c r="A421" s="4">
        <v>1994</v>
      </c>
      <c r="B421" s="18">
        <v>153</v>
      </c>
      <c r="C421" s="13">
        <v>34487</v>
      </c>
      <c r="D421" s="18">
        <v>30</v>
      </c>
      <c r="E421" s="18">
        <v>12</v>
      </c>
      <c r="F421" s="20">
        <v>0.30181447030411002</v>
      </c>
      <c r="G421" s="4" t="s">
        <v>131</v>
      </c>
      <c r="H421" s="18"/>
    </row>
    <row r="422" spans="1:8" x14ac:dyDescent="0.25">
      <c r="A422" s="4">
        <v>1994</v>
      </c>
      <c r="B422" s="18">
        <v>153</v>
      </c>
      <c r="C422" s="13">
        <v>34487</v>
      </c>
      <c r="D422" s="18">
        <v>10</v>
      </c>
      <c r="E422" s="18">
        <v>1</v>
      </c>
      <c r="F422" s="20">
        <v>0.24066364990498107</v>
      </c>
      <c r="G422" s="4" t="s">
        <v>0</v>
      </c>
      <c r="H422" s="18"/>
    </row>
    <row r="423" spans="1:8" x14ac:dyDescent="0.25">
      <c r="A423" s="4">
        <v>1994</v>
      </c>
      <c r="B423" s="18">
        <v>153</v>
      </c>
      <c r="C423" s="13">
        <v>34487</v>
      </c>
      <c r="D423" s="18">
        <v>10</v>
      </c>
      <c r="E423" s="18">
        <v>2</v>
      </c>
      <c r="F423" s="20">
        <v>0.21933204064063544</v>
      </c>
      <c r="G423" s="4" t="s">
        <v>0</v>
      </c>
      <c r="H423" s="18"/>
    </row>
    <row r="424" spans="1:8" x14ac:dyDescent="0.25">
      <c r="A424" s="4">
        <v>1994</v>
      </c>
      <c r="B424" s="18">
        <v>153</v>
      </c>
      <c r="C424" s="13">
        <v>34487</v>
      </c>
      <c r="D424" s="18">
        <v>10</v>
      </c>
      <c r="E424" s="18">
        <v>3</v>
      </c>
      <c r="F424" s="20">
        <v>0.24635583626085666</v>
      </c>
      <c r="G424" s="4" t="s">
        <v>0</v>
      </c>
      <c r="H424" s="18"/>
    </row>
    <row r="425" spans="1:8" x14ac:dyDescent="0.25">
      <c r="A425" s="4">
        <v>1994</v>
      </c>
      <c r="B425" s="18">
        <v>153</v>
      </c>
      <c r="C425" s="13">
        <v>34487</v>
      </c>
      <c r="D425" s="18">
        <v>10</v>
      </c>
      <c r="E425" s="18">
        <v>4</v>
      </c>
      <c r="F425" s="20">
        <v>0.24500323752282682</v>
      </c>
      <c r="G425" s="4" t="s">
        <v>0</v>
      </c>
      <c r="H425" s="18"/>
    </row>
    <row r="426" spans="1:8" x14ac:dyDescent="0.25">
      <c r="A426" s="4">
        <v>1994</v>
      </c>
      <c r="B426" s="18">
        <v>153</v>
      </c>
      <c r="C426" s="13">
        <v>34487</v>
      </c>
      <c r="D426" s="18">
        <v>10</v>
      </c>
      <c r="E426" s="18">
        <v>5</v>
      </c>
      <c r="F426" s="20">
        <v>0.20417166311855095</v>
      </c>
      <c r="G426" s="4" t="s">
        <v>1</v>
      </c>
      <c r="H426" s="18"/>
    </row>
    <row r="427" spans="1:8" x14ac:dyDescent="0.25">
      <c r="A427" s="4">
        <v>1994</v>
      </c>
      <c r="B427" s="18">
        <v>153</v>
      </c>
      <c r="C427" s="13">
        <v>34487</v>
      </c>
      <c r="D427" s="18">
        <v>10</v>
      </c>
      <c r="E427" s="18">
        <v>6</v>
      </c>
      <c r="F427" s="20">
        <v>0.19771863997253358</v>
      </c>
      <c r="G427" s="4" t="s">
        <v>1</v>
      </c>
      <c r="H427" s="18"/>
    </row>
    <row r="428" spans="1:8" x14ac:dyDescent="0.25">
      <c r="A428" s="4">
        <v>1994</v>
      </c>
      <c r="B428" s="18">
        <v>153</v>
      </c>
      <c r="C428" s="13">
        <v>34487</v>
      </c>
      <c r="D428" s="18">
        <v>10</v>
      </c>
      <c r="E428" s="18">
        <v>7</v>
      </c>
      <c r="F428" s="20">
        <v>0.24655309024348598</v>
      </c>
      <c r="G428" s="4" t="s">
        <v>130</v>
      </c>
      <c r="H428" s="18"/>
    </row>
    <row r="429" spans="1:8" x14ac:dyDescent="0.25">
      <c r="A429" s="4">
        <v>1994</v>
      </c>
      <c r="B429" s="18">
        <v>153</v>
      </c>
      <c r="C429" s="13">
        <v>34487</v>
      </c>
      <c r="D429" s="18">
        <v>10</v>
      </c>
      <c r="E429" s="18">
        <v>8</v>
      </c>
      <c r="F429" s="20">
        <v>0.25965639051815009</v>
      </c>
      <c r="G429" s="4" t="s">
        <v>130</v>
      </c>
      <c r="H429" s="18"/>
    </row>
    <row r="430" spans="1:8" x14ac:dyDescent="0.25">
      <c r="A430" s="4">
        <v>1994</v>
      </c>
      <c r="B430" s="18">
        <v>153</v>
      </c>
      <c r="C430" s="13">
        <v>34487</v>
      </c>
      <c r="D430" s="18">
        <v>10</v>
      </c>
      <c r="E430" s="18">
        <v>9</v>
      </c>
      <c r="F430" s="20">
        <v>0.25156897723034666</v>
      </c>
      <c r="G430" s="4" t="s">
        <v>130</v>
      </c>
      <c r="H430" s="18"/>
    </row>
    <row r="431" spans="1:8" x14ac:dyDescent="0.25">
      <c r="A431" s="4">
        <v>1994</v>
      </c>
      <c r="B431" s="18">
        <v>153</v>
      </c>
      <c r="C431" s="13">
        <v>34487</v>
      </c>
      <c r="D431" s="18">
        <v>10</v>
      </c>
      <c r="E431" s="18">
        <v>10</v>
      </c>
      <c r="F431" s="20">
        <v>0.24494687924207559</v>
      </c>
      <c r="G431" s="4" t="s">
        <v>130</v>
      </c>
      <c r="H431" s="18"/>
    </row>
    <row r="432" spans="1:8" x14ac:dyDescent="0.25">
      <c r="A432" s="4">
        <v>1994</v>
      </c>
      <c r="B432" s="18">
        <v>153</v>
      </c>
      <c r="C432" s="13">
        <v>34487</v>
      </c>
      <c r="D432" s="18">
        <v>10</v>
      </c>
      <c r="E432" s="18">
        <v>11</v>
      </c>
      <c r="F432" s="20">
        <v>0.23060369679088411</v>
      </c>
      <c r="G432" s="4" t="s">
        <v>131</v>
      </c>
      <c r="H432" s="18"/>
    </row>
    <row r="433" spans="1:8" x14ac:dyDescent="0.25">
      <c r="A433" s="4">
        <v>1994</v>
      </c>
      <c r="B433" s="18">
        <v>153</v>
      </c>
      <c r="C433" s="13">
        <v>34487</v>
      </c>
      <c r="D433" s="18">
        <v>10</v>
      </c>
      <c r="E433" s="18">
        <v>12</v>
      </c>
      <c r="F433" s="20">
        <v>0.2308291299138891</v>
      </c>
      <c r="G433" s="4" t="s">
        <v>131</v>
      </c>
      <c r="H433" s="18"/>
    </row>
    <row r="434" spans="1:8" x14ac:dyDescent="0.25">
      <c r="A434" s="4">
        <v>1994</v>
      </c>
      <c r="B434" s="18">
        <v>166</v>
      </c>
      <c r="C434" s="13">
        <v>34500</v>
      </c>
      <c r="D434" s="18">
        <v>230</v>
      </c>
      <c r="E434" s="18">
        <v>1</v>
      </c>
      <c r="F434" s="20">
        <v>0.17618191789028281</v>
      </c>
      <c r="G434" s="4" t="s">
        <v>0</v>
      </c>
      <c r="H434" s="18"/>
    </row>
    <row r="435" spans="1:8" x14ac:dyDescent="0.25">
      <c r="A435" s="4">
        <v>1994</v>
      </c>
      <c r="B435" s="18">
        <v>166</v>
      </c>
      <c r="C435" s="13">
        <v>34500</v>
      </c>
      <c r="D435" s="18">
        <v>230</v>
      </c>
      <c r="E435" s="18">
        <v>2</v>
      </c>
      <c r="F435" s="20">
        <v>0.23569722763714646</v>
      </c>
      <c r="G435" s="4" t="s">
        <v>0</v>
      </c>
      <c r="H435" s="18"/>
    </row>
    <row r="436" spans="1:8" x14ac:dyDescent="0.25">
      <c r="A436" s="4">
        <v>1994</v>
      </c>
      <c r="B436" s="18">
        <v>166</v>
      </c>
      <c r="C436" s="13">
        <v>34500</v>
      </c>
      <c r="D436" s="18">
        <v>230</v>
      </c>
      <c r="E436" s="18">
        <v>3</v>
      </c>
      <c r="F436" s="20">
        <v>0.24070959858213936</v>
      </c>
      <c r="G436" s="4" t="s">
        <v>0</v>
      </c>
      <c r="H436" s="18"/>
    </row>
    <row r="437" spans="1:8" x14ac:dyDescent="0.25">
      <c r="A437" s="4">
        <v>1994</v>
      </c>
      <c r="B437" s="18">
        <v>166</v>
      </c>
      <c r="C437" s="13">
        <v>34500</v>
      </c>
      <c r="D437" s="18">
        <v>230</v>
      </c>
      <c r="E437" s="18">
        <v>4</v>
      </c>
      <c r="F437" s="20">
        <v>0.26028422616732239</v>
      </c>
      <c r="G437" s="4" t="s">
        <v>0</v>
      </c>
      <c r="H437" s="18"/>
    </row>
    <row r="438" spans="1:8" x14ac:dyDescent="0.25">
      <c r="A438" s="4">
        <v>1994</v>
      </c>
      <c r="B438" s="18">
        <v>166</v>
      </c>
      <c r="C438" s="13">
        <v>34500</v>
      </c>
      <c r="D438" s="18">
        <v>230</v>
      </c>
      <c r="E438" s="18">
        <v>5</v>
      </c>
      <c r="F438" s="20" t="e">
        <v>#N/A</v>
      </c>
      <c r="G438" s="4" t="s">
        <v>1</v>
      </c>
      <c r="H438" s="18"/>
    </row>
    <row r="439" spans="1:8" x14ac:dyDescent="0.25">
      <c r="A439" s="4">
        <v>1994</v>
      </c>
      <c r="B439" s="18">
        <v>166</v>
      </c>
      <c r="C439" s="13">
        <v>34500</v>
      </c>
      <c r="D439" s="18">
        <v>230</v>
      </c>
      <c r="E439" s="18">
        <v>6</v>
      </c>
      <c r="F439" s="20" t="e">
        <v>#N/A</v>
      </c>
      <c r="G439" s="4" t="s">
        <v>1</v>
      </c>
      <c r="H439" s="18"/>
    </row>
    <row r="440" spans="1:8" x14ac:dyDescent="0.25">
      <c r="A440" s="4">
        <v>1994</v>
      </c>
      <c r="B440" s="18">
        <v>166</v>
      </c>
      <c r="C440" s="13">
        <v>34500</v>
      </c>
      <c r="D440" s="18">
        <v>230</v>
      </c>
      <c r="E440" s="18">
        <v>7</v>
      </c>
      <c r="F440" s="20">
        <v>0.25226443265533366</v>
      </c>
      <c r="G440" s="4" t="s">
        <v>130</v>
      </c>
      <c r="H440" s="18"/>
    </row>
    <row r="441" spans="1:8" x14ac:dyDescent="0.25">
      <c r="A441" s="4">
        <v>1994</v>
      </c>
      <c r="B441" s="18">
        <v>166</v>
      </c>
      <c r="C441" s="13">
        <v>34500</v>
      </c>
      <c r="D441" s="18">
        <v>230</v>
      </c>
      <c r="E441" s="18">
        <v>8</v>
      </c>
      <c r="F441" s="20">
        <v>0.25012757977878403</v>
      </c>
      <c r="G441" s="4" t="s">
        <v>130</v>
      </c>
      <c r="H441" s="18"/>
    </row>
    <row r="442" spans="1:8" x14ac:dyDescent="0.25">
      <c r="A442" s="4">
        <v>1994</v>
      </c>
      <c r="B442" s="18">
        <v>166</v>
      </c>
      <c r="C442" s="13">
        <v>34500</v>
      </c>
      <c r="D442" s="18">
        <v>230</v>
      </c>
      <c r="E442" s="18">
        <v>9</v>
      </c>
      <c r="F442" s="20">
        <v>0.24276730875955754</v>
      </c>
      <c r="G442" s="4" t="s">
        <v>130</v>
      </c>
      <c r="H442" s="18"/>
    </row>
    <row r="443" spans="1:8" x14ac:dyDescent="0.25">
      <c r="A443" s="4">
        <v>1994</v>
      </c>
      <c r="B443" s="18">
        <v>166</v>
      </c>
      <c r="C443" s="13">
        <v>34500</v>
      </c>
      <c r="D443" s="18">
        <v>230</v>
      </c>
      <c r="E443" s="18">
        <v>10</v>
      </c>
      <c r="F443" s="20">
        <v>0.25775165979511544</v>
      </c>
      <c r="G443" s="4" t="s">
        <v>130</v>
      </c>
      <c r="H443" s="18"/>
    </row>
    <row r="444" spans="1:8" x14ac:dyDescent="0.25">
      <c r="A444" s="4">
        <v>1994</v>
      </c>
      <c r="B444" s="18">
        <v>166</v>
      </c>
      <c r="C444" s="13">
        <v>34500</v>
      </c>
      <c r="D444" s="18">
        <v>230</v>
      </c>
      <c r="E444" s="18">
        <v>11</v>
      </c>
      <c r="F444" s="20" t="e">
        <v>#N/A</v>
      </c>
      <c r="G444" s="4" t="s">
        <v>131</v>
      </c>
      <c r="H444" s="18"/>
    </row>
    <row r="445" spans="1:8" x14ac:dyDescent="0.25">
      <c r="A445" s="4">
        <v>1994</v>
      </c>
      <c r="B445" s="18">
        <v>166</v>
      </c>
      <c r="C445" s="13">
        <v>34500</v>
      </c>
      <c r="D445" s="18">
        <v>230</v>
      </c>
      <c r="E445" s="18">
        <v>12</v>
      </c>
      <c r="F445" s="20" t="e">
        <v>#N/A</v>
      </c>
      <c r="G445" s="4" t="s">
        <v>131</v>
      </c>
      <c r="H445" s="18"/>
    </row>
    <row r="446" spans="1:8" x14ac:dyDescent="0.25">
      <c r="A446" s="4">
        <v>1994</v>
      </c>
      <c r="B446" s="18">
        <v>166</v>
      </c>
      <c r="C446" s="13">
        <v>34500</v>
      </c>
      <c r="D446" s="18">
        <v>210</v>
      </c>
      <c r="E446" s="18">
        <v>1</v>
      </c>
      <c r="F446" s="20">
        <v>0.18272438101848412</v>
      </c>
      <c r="G446" s="4" t="s">
        <v>0</v>
      </c>
      <c r="H446" s="18"/>
    </row>
    <row r="447" spans="1:8" x14ac:dyDescent="0.25">
      <c r="A447" s="4">
        <v>1994</v>
      </c>
      <c r="B447" s="18">
        <v>166</v>
      </c>
      <c r="C447" s="13">
        <v>34500</v>
      </c>
      <c r="D447" s="18">
        <v>210</v>
      </c>
      <c r="E447" s="18">
        <v>2</v>
      </c>
      <c r="F447" s="20">
        <v>0.24838644039789171</v>
      </c>
      <c r="G447" s="4" t="s">
        <v>0</v>
      </c>
      <c r="H447" s="18"/>
    </row>
    <row r="448" spans="1:8" x14ac:dyDescent="0.25">
      <c r="A448" s="4">
        <v>1994</v>
      </c>
      <c r="B448" s="18">
        <v>166</v>
      </c>
      <c r="C448" s="13">
        <v>34500</v>
      </c>
      <c r="D448" s="18">
        <v>210</v>
      </c>
      <c r="E448" s="18">
        <v>3</v>
      </c>
      <c r="F448" s="20">
        <v>0.24010283788879816</v>
      </c>
      <c r="G448" s="4" t="s">
        <v>0</v>
      </c>
      <c r="H448" s="18"/>
    </row>
    <row r="449" spans="1:8" x14ac:dyDescent="0.25">
      <c r="A449" s="4">
        <v>1994</v>
      </c>
      <c r="B449" s="18">
        <v>166</v>
      </c>
      <c r="C449" s="13">
        <v>34500</v>
      </c>
      <c r="D449" s="18">
        <v>210</v>
      </c>
      <c r="E449" s="18">
        <v>4</v>
      </c>
      <c r="F449" s="20">
        <v>0.2606799396629797</v>
      </c>
      <c r="G449" s="4" t="s">
        <v>0</v>
      </c>
      <c r="H449" s="18"/>
    </row>
    <row r="450" spans="1:8" x14ac:dyDescent="0.25">
      <c r="A450" s="4">
        <v>1994</v>
      </c>
      <c r="B450" s="18">
        <v>166</v>
      </c>
      <c r="C450" s="13">
        <v>34500</v>
      </c>
      <c r="D450" s="18">
        <v>210</v>
      </c>
      <c r="E450" s="18">
        <v>5</v>
      </c>
      <c r="F450" s="20" t="e">
        <v>#N/A</v>
      </c>
      <c r="G450" s="4" t="s">
        <v>1</v>
      </c>
      <c r="H450" s="18"/>
    </row>
    <row r="451" spans="1:8" x14ac:dyDescent="0.25">
      <c r="A451" s="4">
        <v>1994</v>
      </c>
      <c r="B451" s="18">
        <v>166</v>
      </c>
      <c r="C451" s="13">
        <v>34500</v>
      </c>
      <c r="D451" s="18">
        <v>210</v>
      </c>
      <c r="E451" s="18">
        <v>6</v>
      </c>
      <c r="F451" s="20" t="e">
        <v>#N/A</v>
      </c>
      <c r="G451" s="4" t="s">
        <v>1</v>
      </c>
      <c r="H451" s="18"/>
    </row>
    <row r="452" spans="1:8" x14ac:dyDescent="0.25">
      <c r="A452" s="4">
        <v>1994</v>
      </c>
      <c r="B452" s="18">
        <v>166</v>
      </c>
      <c r="C452" s="13">
        <v>34500</v>
      </c>
      <c r="D452" s="18">
        <v>210</v>
      </c>
      <c r="E452" s="18">
        <v>7</v>
      </c>
      <c r="F452" s="20">
        <v>0.26136584305545246</v>
      </c>
      <c r="G452" s="4" t="s">
        <v>130</v>
      </c>
      <c r="H452" s="18"/>
    </row>
    <row r="453" spans="1:8" x14ac:dyDescent="0.25">
      <c r="A453" s="4">
        <v>1994</v>
      </c>
      <c r="B453" s="18">
        <v>166</v>
      </c>
      <c r="C453" s="13">
        <v>34500</v>
      </c>
      <c r="D453" s="18">
        <v>210</v>
      </c>
      <c r="E453" s="18">
        <v>8</v>
      </c>
      <c r="F453" s="20">
        <v>0.24611768302278969</v>
      </c>
      <c r="G453" s="4" t="s">
        <v>130</v>
      </c>
      <c r="H453" s="18"/>
    </row>
    <row r="454" spans="1:8" x14ac:dyDescent="0.25">
      <c r="A454" s="4">
        <v>1994</v>
      </c>
      <c r="B454" s="18">
        <v>166</v>
      </c>
      <c r="C454" s="13">
        <v>34500</v>
      </c>
      <c r="D454" s="18">
        <v>210</v>
      </c>
      <c r="E454" s="18">
        <v>9</v>
      </c>
      <c r="F454" s="20">
        <v>0.24770053700541905</v>
      </c>
      <c r="G454" s="4" t="s">
        <v>130</v>
      </c>
      <c r="H454" s="18"/>
    </row>
    <row r="455" spans="1:8" x14ac:dyDescent="0.25">
      <c r="A455" s="4">
        <v>1994</v>
      </c>
      <c r="B455" s="18">
        <v>166</v>
      </c>
      <c r="C455" s="13">
        <v>34500</v>
      </c>
      <c r="D455" s="18">
        <v>210</v>
      </c>
      <c r="E455" s="18">
        <v>10</v>
      </c>
      <c r="F455" s="20">
        <v>0.26484812181723699</v>
      </c>
      <c r="G455" s="4" t="s">
        <v>130</v>
      </c>
      <c r="H455" s="18"/>
    </row>
    <row r="456" spans="1:8" x14ac:dyDescent="0.25">
      <c r="A456" s="4">
        <v>1994</v>
      </c>
      <c r="B456" s="18">
        <v>166</v>
      </c>
      <c r="C456" s="13">
        <v>34500</v>
      </c>
      <c r="D456" s="18">
        <v>210</v>
      </c>
      <c r="E456" s="18">
        <v>11</v>
      </c>
      <c r="F456" s="20" t="e">
        <v>#N/A</v>
      </c>
      <c r="G456" s="4" t="s">
        <v>131</v>
      </c>
      <c r="H456" s="18"/>
    </row>
    <row r="457" spans="1:8" x14ac:dyDescent="0.25">
      <c r="A457" s="4">
        <v>1994</v>
      </c>
      <c r="B457" s="18">
        <v>166</v>
      </c>
      <c r="C457" s="13">
        <v>34500</v>
      </c>
      <c r="D457" s="18">
        <v>210</v>
      </c>
      <c r="E457" s="18">
        <v>12</v>
      </c>
      <c r="F457" s="20" t="e">
        <v>#N/A</v>
      </c>
      <c r="G457" s="4" t="s">
        <v>131</v>
      </c>
      <c r="H457" s="18"/>
    </row>
    <row r="458" spans="1:8" x14ac:dyDescent="0.25">
      <c r="A458" s="4">
        <v>1994</v>
      </c>
      <c r="B458" s="18">
        <v>166</v>
      </c>
      <c r="C458" s="13">
        <v>34500</v>
      </c>
      <c r="D458" s="18">
        <v>190</v>
      </c>
      <c r="E458" s="18">
        <v>1</v>
      </c>
      <c r="F458" s="20">
        <v>0.21293051118699427</v>
      </c>
      <c r="G458" s="4" t="s">
        <v>0</v>
      </c>
      <c r="H458" s="18"/>
    </row>
    <row r="459" spans="1:8" x14ac:dyDescent="0.25">
      <c r="A459" s="4">
        <v>1994</v>
      </c>
      <c r="B459" s="18">
        <v>166</v>
      </c>
      <c r="C459" s="13">
        <v>34500</v>
      </c>
      <c r="D459" s="18">
        <v>190</v>
      </c>
      <c r="E459" s="18">
        <v>2</v>
      </c>
      <c r="F459" s="20">
        <v>0.25991489357137554</v>
      </c>
      <c r="G459" s="4" t="s">
        <v>0</v>
      </c>
      <c r="H459" s="18"/>
    </row>
    <row r="460" spans="1:8" x14ac:dyDescent="0.25">
      <c r="A460" s="4">
        <v>1994</v>
      </c>
      <c r="B460" s="18">
        <v>166</v>
      </c>
      <c r="C460" s="13">
        <v>34500</v>
      </c>
      <c r="D460" s="18">
        <v>190</v>
      </c>
      <c r="E460" s="18">
        <v>3</v>
      </c>
      <c r="F460" s="20">
        <v>0.2585167058867196</v>
      </c>
      <c r="G460" s="4" t="s">
        <v>0</v>
      </c>
      <c r="H460" s="18"/>
    </row>
    <row r="461" spans="1:8" x14ac:dyDescent="0.25">
      <c r="A461" s="4">
        <v>1994</v>
      </c>
      <c r="B461" s="18">
        <v>166</v>
      </c>
      <c r="C461" s="13">
        <v>34500</v>
      </c>
      <c r="D461" s="18">
        <v>190</v>
      </c>
      <c r="E461" s="18">
        <v>4</v>
      </c>
      <c r="F461" s="20">
        <v>0.27041449165615022</v>
      </c>
      <c r="G461" s="4" t="s">
        <v>0</v>
      </c>
      <c r="H461" s="18"/>
    </row>
    <row r="462" spans="1:8" x14ac:dyDescent="0.25">
      <c r="A462" s="4">
        <v>1994</v>
      </c>
      <c r="B462" s="18">
        <v>166</v>
      </c>
      <c r="C462" s="13">
        <v>34500</v>
      </c>
      <c r="D462" s="18">
        <v>190</v>
      </c>
      <c r="E462" s="18">
        <v>5</v>
      </c>
      <c r="F462" s="20">
        <v>0.23514322874322618</v>
      </c>
      <c r="G462" s="4" t="s">
        <v>1</v>
      </c>
      <c r="H462" s="18"/>
    </row>
    <row r="463" spans="1:8" x14ac:dyDescent="0.25">
      <c r="A463" s="4">
        <v>1994</v>
      </c>
      <c r="B463" s="18">
        <v>166</v>
      </c>
      <c r="C463" s="13">
        <v>34500</v>
      </c>
      <c r="D463" s="18">
        <v>190</v>
      </c>
      <c r="E463" s="18">
        <v>6</v>
      </c>
      <c r="F463" s="20">
        <v>0.25922899017890283</v>
      </c>
      <c r="G463" s="4" t="s">
        <v>1</v>
      </c>
      <c r="H463" s="18"/>
    </row>
    <row r="464" spans="1:8" x14ac:dyDescent="0.25">
      <c r="A464" s="4">
        <v>1994</v>
      </c>
      <c r="B464" s="18">
        <v>166</v>
      </c>
      <c r="C464" s="13">
        <v>34500</v>
      </c>
      <c r="D464" s="18">
        <v>190</v>
      </c>
      <c r="E464" s="18">
        <v>7</v>
      </c>
      <c r="F464" s="20">
        <v>0.25957194187513916</v>
      </c>
      <c r="G464" s="4" t="s">
        <v>130</v>
      </c>
      <c r="H464" s="18"/>
    </row>
    <row r="465" spans="1:8" x14ac:dyDescent="0.25">
      <c r="A465" s="4">
        <v>1994</v>
      </c>
      <c r="B465" s="18">
        <v>166</v>
      </c>
      <c r="C465" s="13">
        <v>34500</v>
      </c>
      <c r="D465" s="18">
        <v>190</v>
      </c>
      <c r="E465" s="18">
        <v>8</v>
      </c>
      <c r="F465" s="20">
        <v>0.25751423169772103</v>
      </c>
      <c r="G465" s="4" t="s">
        <v>130</v>
      </c>
      <c r="H465" s="18"/>
    </row>
    <row r="466" spans="1:8" x14ac:dyDescent="0.25">
      <c r="A466" s="4">
        <v>1994</v>
      </c>
      <c r="B466" s="18">
        <v>166</v>
      </c>
      <c r="C466" s="13">
        <v>34500</v>
      </c>
      <c r="D466" s="18">
        <v>190</v>
      </c>
      <c r="E466" s="18">
        <v>9</v>
      </c>
      <c r="F466" s="20">
        <v>0.24989015168138967</v>
      </c>
      <c r="G466" s="4" t="s">
        <v>130</v>
      </c>
      <c r="H466" s="18"/>
    </row>
    <row r="467" spans="1:8" x14ac:dyDescent="0.25">
      <c r="A467" s="4">
        <v>1994</v>
      </c>
      <c r="B467" s="18">
        <v>166</v>
      </c>
      <c r="C467" s="13">
        <v>34500</v>
      </c>
      <c r="D467" s="18">
        <v>190</v>
      </c>
      <c r="E467" s="18">
        <v>10</v>
      </c>
      <c r="F467" s="20">
        <v>0.26223641274589854</v>
      </c>
      <c r="G467" s="4" t="s">
        <v>130</v>
      </c>
      <c r="H467" s="18"/>
    </row>
    <row r="468" spans="1:8" x14ac:dyDescent="0.25">
      <c r="A468" s="4">
        <v>1994</v>
      </c>
      <c r="B468" s="18">
        <v>166</v>
      </c>
      <c r="C468" s="13">
        <v>34500</v>
      </c>
      <c r="D468" s="18">
        <v>190</v>
      </c>
      <c r="E468" s="18">
        <v>11</v>
      </c>
      <c r="F468" s="20">
        <v>0.27930485485858508</v>
      </c>
      <c r="G468" s="4" t="s">
        <v>131</v>
      </c>
      <c r="H468" s="18"/>
    </row>
    <row r="469" spans="1:8" x14ac:dyDescent="0.25">
      <c r="A469" s="4">
        <v>1994</v>
      </c>
      <c r="B469" s="18">
        <v>166</v>
      </c>
      <c r="C469" s="13">
        <v>34500</v>
      </c>
      <c r="D469" s="18">
        <v>190</v>
      </c>
      <c r="E469" s="18">
        <v>12</v>
      </c>
      <c r="F469" s="20">
        <v>0.28753569556825775</v>
      </c>
      <c r="G469" s="4" t="s">
        <v>131</v>
      </c>
      <c r="H469" s="18"/>
    </row>
    <row r="470" spans="1:8" x14ac:dyDescent="0.25">
      <c r="A470" s="4">
        <v>1994</v>
      </c>
      <c r="B470" s="18">
        <v>166</v>
      </c>
      <c r="C470" s="13">
        <v>34500</v>
      </c>
      <c r="D470" s="18">
        <v>170</v>
      </c>
      <c r="E470" s="18">
        <v>1</v>
      </c>
      <c r="F470" s="20">
        <v>0.24012921878850862</v>
      </c>
      <c r="G470" s="4" t="s">
        <v>0</v>
      </c>
      <c r="H470" s="18"/>
    </row>
    <row r="471" spans="1:8" x14ac:dyDescent="0.25">
      <c r="A471" s="4">
        <v>1994</v>
      </c>
      <c r="B471" s="18">
        <v>166</v>
      </c>
      <c r="C471" s="13">
        <v>34500</v>
      </c>
      <c r="D471" s="18">
        <v>170</v>
      </c>
      <c r="E471" s="18">
        <v>2</v>
      </c>
      <c r="F471" s="20">
        <v>0.26374012402939645</v>
      </c>
      <c r="G471" s="4" t="s">
        <v>0</v>
      </c>
      <c r="H471" s="18"/>
    </row>
    <row r="472" spans="1:8" x14ac:dyDescent="0.25">
      <c r="A472" s="4">
        <v>1994</v>
      </c>
      <c r="B472" s="18">
        <v>166</v>
      </c>
      <c r="C472" s="13">
        <v>34500</v>
      </c>
      <c r="D472" s="18">
        <v>170</v>
      </c>
      <c r="E472" s="18">
        <v>3</v>
      </c>
      <c r="F472" s="20">
        <v>0.26748621178828591</v>
      </c>
      <c r="G472" s="4" t="s">
        <v>0</v>
      </c>
      <c r="H472" s="18"/>
    </row>
    <row r="473" spans="1:8" x14ac:dyDescent="0.25">
      <c r="A473" s="4">
        <v>1994</v>
      </c>
      <c r="B473" s="18">
        <v>166</v>
      </c>
      <c r="C473" s="13">
        <v>34500</v>
      </c>
      <c r="D473" s="18">
        <v>170</v>
      </c>
      <c r="E473" s="18">
        <v>4</v>
      </c>
      <c r="F473" s="20">
        <v>0.27526857720288028</v>
      </c>
      <c r="G473" s="4" t="s">
        <v>0</v>
      </c>
      <c r="H473" s="18"/>
    </row>
    <row r="474" spans="1:8" x14ac:dyDescent="0.25">
      <c r="A474" s="4">
        <v>1994</v>
      </c>
      <c r="B474" s="18">
        <v>166</v>
      </c>
      <c r="C474" s="13">
        <v>34500</v>
      </c>
      <c r="D474" s="18">
        <v>170</v>
      </c>
      <c r="E474" s="18">
        <v>5</v>
      </c>
      <c r="F474" s="20">
        <v>0.25487614172667206</v>
      </c>
      <c r="G474" s="4" t="s">
        <v>1</v>
      </c>
      <c r="H474" s="18"/>
    </row>
    <row r="475" spans="1:8" x14ac:dyDescent="0.25">
      <c r="A475" s="4">
        <v>1994</v>
      </c>
      <c r="B475" s="18">
        <v>166</v>
      </c>
      <c r="C475" s="13">
        <v>34500</v>
      </c>
      <c r="D475" s="18">
        <v>170</v>
      </c>
      <c r="E475" s="18">
        <v>6</v>
      </c>
      <c r="F475" s="20">
        <v>0.26822487698017961</v>
      </c>
      <c r="G475" s="4" t="s">
        <v>1</v>
      </c>
      <c r="H475" s="18"/>
    </row>
    <row r="476" spans="1:8" x14ac:dyDescent="0.25">
      <c r="A476" s="4">
        <v>1994</v>
      </c>
      <c r="B476" s="18">
        <v>166</v>
      </c>
      <c r="C476" s="13">
        <v>34500</v>
      </c>
      <c r="D476" s="18">
        <v>170</v>
      </c>
      <c r="E476" s="18">
        <v>7</v>
      </c>
      <c r="F476" s="20">
        <v>0.26732792639002301</v>
      </c>
      <c r="G476" s="4" t="s">
        <v>130</v>
      </c>
      <c r="H476" s="18"/>
    </row>
    <row r="477" spans="1:8" x14ac:dyDescent="0.25">
      <c r="A477" s="4">
        <v>1994</v>
      </c>
      <c r="B477" s="18">
        <v>166</v>
      </c>
      <c r="C477" s="13">
        <v>34500</v>
      </c>
      <c r="D477" s="18">
        <v>170</v>
      </c>
      <c r="E477" s="18">
        <v>8</v>
      </c>
      <c r="F477" s="20">
        <v>0.26458431282013212</v>
      </c>
      <c r="G477" s="4" t="s">
        <v>130</v>
      </c>
      <c r="H477" s="18"/>
    </row>
    <row r="478" spans="1:8" x14ac:dyDescent="0.25">
      <c r="A478" s="4">
        <v>1994</v>
      </c>
      <c r="B478" s="18">
        <v>166</v>
      </c>
      <c r="C478" s="13">
        <v>34500</v>
      </c>
      <c r="D478" s="18">
        <v>170</v>
      </c>
      <c r="E478" s="18">
        <v>9</v>
      </c>
      <c r="F478" s="20">
        <v>0.26020508346819093</v>
      </c>
      <c r="G478" s="4" t="s">
        <v>130</v>
      </c>
      <c r="H478" s="18"/>
    </row>
    <row r="479" spans="1:8" x14ac:dyDescent="0.25">
      <c r="A479" s="4">
        <v>1994</v>
      </c>
      <c r="B479" s="18">
        <v>166</v>
      </c>
      <c r="C479" s="13">
        <v>34500</v>
      </c>
      <c r="D479" s="18">
        <v>170</v>
      </c>
      <c r="E479" s="18">
        <v>10</v>
      </c>
      <c r="F479" s="20">
        <v>0.2619462228490832</v>
      </c>
      <c r="G479" s="4" t="s">
        <v>130</v>
      </c>
      <c r="H479" s="18"/>
    </row>
    <row r="480" spans="1:8" x14ac:dyDescent="0.25">
      <c r="A480" s="4">
        <v>1994</v>
      </c>
      <c r="B480" s="18">
        <v>166</v>
      </c>
      <c r="C480" s="13">
        <v>34500</v>
      </c>
      <c r="D480" s="18">
        <v>170</v>
      </c>
      <c r="E480" s="18">
        <v>11</v>
      </c>
      <c r="F480" s="20">
        <v>0.26672116569668175</v>
      </c>
      <c r="G480" s="4" t="s">
        <v>131</v>
      </c>
      <c r="H480" s="18"/>
    </row>
    <row r="481" spans="1:8" x14ac:dyDescent="0.25">
      <c r="A481" s="4">
        <v>1994</v>
      </c>
      <c r="B481" s="18">
        <v>166</v>
      </c>
      <c r="C481" s="13">
        <v>34500</v>
      </c>
      <c r="D481" s="18">
        <v>170</v>
      </c>
      <c r="E481" s="18">
        <v>12</v>
      </c>
      <c r="F481" s="20">
        <v>0.28004352005047878</v>
      </c>
      <c r="G481" s="4" t="s">
        <v>131</v>
      </c>
      <c r="H481" s="18"/>
    </row>
    <row r="482" spans="1:8" x14ac:dyDescent="0.25">
      <c r="A482" s="4">
        <v>1994</v>
      </c>
      <c r="B482" s="18">
        <v>166</v>
      </c>
      <c r="C482" s="13">
        <v>34500</v>
      </c>
      <c r="D482" s="18">
        <v>150</v>
      </c>
      <c r="E482" s="18">
        <v>1</v>
      </c>
      <c r="F482" s="20">
        <v>0.26804021068220618</v>
      </c>
      <c r="G482" s="4" t="s">
        <v>0</v>
      </c>
      <c r="H482" s="18"/>
    </row>
    <row r="483" spans="1:8" x14ac:dyDescent="0.25">
      <c r="A483" s="4">
        <v>1994</v>
      </c>
      <c r="B483" s="18">
        <v>166</v>
      </c>
      <c r="C483" s="13">
        <v>34500</v>
      </c>
      <c r="D483" s="18">
        <v>150</v>
      </c>
      <c r="E483" s="18">
        <v>2</v>
      </c>
      <c r="F483" s="20">
        <v>0.18372685520748269</v>
      </c>
      <c r="G483" s="4" t="s">
        <v>0</v>
      </c>
      <c r="H483" s="18"/>
    </row>
    <row r="484" spans="1:8" x14ac:dyDescent="0.25">
      <c r="A484" s="4">
        <v>1994</v>
      </c>
      <c r="B484" s="18">
        <v>166</v>
      </c>
      <c r="C484" s="13">
        <v>34500</v>
      </c>
      <c r="D484" s="18">
        <v>150</v>
      </c>
      <c r="E484" s="18">
        <v>3</v>
      </c>
      <c r="F484" s="20">
        <v>0.28758845736767868</v>
      </c>
      <c r="G484" s="4" t="s">
        <v>0</v>
      </c>
      <c r="H484" s="18"/>
    </row>
    <row r="485" spans="1:8" x14ac:dyDescent="0.25">
      <c r="A485" s="4">
        <v>1994</v>
      </c>
      <c r="B485" s="18">
        <v>166</v>
      </c>
      <c r="C485" s="13">
        <v>34500</v>
      </c>
      <c r="D485" s="18">
        <v>150</v>
      </c>
      <c r="E485" s="18">
        <v>4</v>
      </c>
      <c r="F485" s="20">
        <v>0.27669314578724663</v>
      </c>
      <c r="G485" s="4" t="s">
        <v>0</v>
      </c>
      <c r="H485" s="18"/>
    </row>
    <row r="486" spans="1:8" x14ac:dyDescent="0.25">
      <c r="A486" s="4">
        <v>1994</v>
      </c>
      <c r="B486" s="18">
        <v>166</v>
      </c>
      <c r="C486" s="13">
        <v>34500</v>
      </c>
      <c r="D486" s="18">
        <v>150</v>
      </c>
      <c r="E486" s="18">
        <v>5</v>
      </c>
      <c r="F486" s="20">
        <v>0.25914984747977138</v>
      </c>
      <c r="G486" s="4" t="s">
        <v>1</v>
      </c>
      <c r="H486" s="18"/>
    </row>
    <row r="487" spans="1:8" x14ac:dyDescent="0.25">
      <c r="A487" s="4">
        <v>1994</v>
      </c>
      <c r="B487" s="18">
        <v>166</v>
      </c>
      <c r="C487" s="13">
        <v>34500</v>
      </c>
      <c r="D487" s="18">
        <v>150</v>
      </c>
      <c r="E487" s="18">
        <v>6</v>
      </c>
      <c r="F487" s="20">
        <v>0.27281515352980479</v>
      </c>
      <c r="G487" s="4" t="s">
        <v>1</v>
      </c>
      <c r="H487" s="18"/>
    </row>
    <row r="488" spans="1:8" x14ac:dyDescent="0.25">
      <c r="A488" s="4">
        <v>1994</v>
      </c>
      <c r="B488" s="18">
        <v>166</v>
      </c>
      <c r="C488" s="13">
        <v>34500</v>
      </c>
      <c r="D488" s="18">
        <v>150</v>
      </c>
      <c r="E488" s="18">
        <v>7</v>
      </c>
      <c r="F488" s="20">
        <v>0.28088770884121445</v>
      </c>
      <c r="G488" s="4" t="s">
        <v>130</v>
      </c>
      <c r="H488" s="18"/>
    </row>
    <row r="489" spans="1:8" x14ac:dyDescent="0.25">
      <c r="A489" s="4">
        <v>1994</v>
      </c>
      <c r="B489" s="18">
        <v>166</v>
      </c>
      <c r="C489" s="13">
        <v>34500</v>
      </c>
      <c r="D489" s="18">
        <v>150</v>
      </c>
      <c r="E489" s="18">
        <v>8</v>
      </c>
      <c r="F489" s="20">
        <v>0.28249694372355427</v>
      </c>
      <c r="G489" s="4" t="s">
        <v>130</v>
      </c>
      <c r="H489" s="18"/>
    </row>
    <row r="490" spans="1:8" x14ac:dyDescent="0.25">
      <c r="A490" s="4">
        <v>1994</v>
      </c>
      <c r="B490" s="18">
        <v>166</v>
      </c>
      <c r="C490" s="13">
        <v>34500</v>
      </c>
      <c r="D490" s="18">
        <v>150</v>
      </c>
      <c r="E490" s="18">
        <v>9</v>
      </c>
      <c r="F490" s="20">
        <v>0.27714162108232498</v>
      </c>
      <c r="G490" s="4" t="s">
        <v>130</v>
      </c>
      <c r="H490" s="18"/>
    </row>
    <row r="491" spans="1:8" x14ac:dyDescent="0.25">
      <c r="A491" s="4">
        <v>1994</v>
      </c>
      <c r="B491" s="18">
        <v>166</v>
      </c>
      <c r="C491" s="13">
        <v>34500</v>
      </c>
      <c r="D491" s="18">
        <v>150</v>
      </c>
      <c r="E491" s="18">
        <v>10</v>
      </c>
      <c r="F491" s="20">
        <v>0.27801219077277112</v>
      </c>
      <c r="G491" s="4" t="s">
        <v>130</v>
      </c>
      <c r="H491" s="18"/>
    </row>
    <row r="492" spans="1:8" x14ac:dyDescent="0.25">
      <c r="A492" s="4">
        <v>1994</v>
      </c>
      <c r="B492" s="18">
        <v>166</v>
      </c>
      <c r="C492" s="13">
        <v>34500</v>
      </c>
      <c r="D492" s="18">
        <v>150</v>
      </c>
      <c r="E492" s="18">
        <v>11</v>
      </c>
      <c r="F492" s="20">
        <v>0.2949223474871947</v>
      </c>
      <c r="G492" s="4" t="s">
        <v>131</v>
      </c>
      <c r="H492" s="18"/>
    </row>
    <row r="493" spans="1:8" x14ac:dyDescent="0.25">
      <c r="A493" s="4">
        <v>1994</v>
      </c>
      <c r="B493" s="18">
        <v>166</v>
      </c>
      <c r="C493" s="13">
        <v>34500</v>
      </c>
      <c r="D493" s="18">
        <v>150</v>
      </c>
      <c r="E493" s="18">
        <v>12</v>
      </c>
      <c r="F493" s="20">
        <v>0.30821832094128127</v>
      </c>
      <c r="G493" s="4" t="s">
        <v>131</v>
      </c>
      <c r="H493" s="18"/>
    </row>
    <row r="494" spans="1:8" x14ac:dyDescent="0.25">
      <c r="A494" s="4">
        <v>1994</v>
      </c>
      <c r="B494" s="18">
        <v>166</v>
      </c>
      <c r="C494" s="13">
        <v>34500</v>
      </c>
      <c r="D494" s="18">
        <v>130</v>
      </c>
      <c r="E494" s="18">
        <v>1</v>
      </c>
      <c r="F494" s="20">
        <v>0.24537901783089594</v>
      </c>
      <c r="G494" s="4" t="s">
        <v>0</v>
      </c>
      <c r="H494" s="18"/>
    </row>
    <row r="495" spans="1:8" x14ac:dyDescent="0.25">
      <c r="A495" s="4">
        <v>1994</v>
      </c>
      <c r="B495" s="18">
        <v>166</v>
      </c>
      <c r="C495" s="13">
        <v>34500</v>
      </c>
      <c r="D495" s="18">
        <v>130</v>
      </c>
      <c r="E495" s="18">
        <v>2</v>
      </c>
      <c r="F495" s="20">
        <v>0.20535919297008387</v>
      </c>
      <c r="G495" s="4" t="s">
        <v>0</v>
      </c>
      <c r="H495" s="18"/>
    </row>
    <row r="496" spans="1:8" x14ac:dyDescent="0.25">
      <c r="A496" s="4">
        <v>1994</v>
      </c>
      <c r="B496" s="18">
        <v>166</v>
      </c>
      <c r="C496" s="13">
        <v>34500</v>
      </c>
      <c r="D496" s="18">
        <v>130</v>
      </c>
      <c r="E496" s="18">
        <v>3</v>
      </c>
      <c r="F496" s="20">
        <v>0.25371538213941058</v>
      </c>
      <c r="G496" s="4" t="s">
        <v>0</v>
      </c>
      <c r="H496" s="18"/>
    </row>
    <row r="497" spans="1:8" x14ac:dyDescent="0.25">
      <c r="A497" s="4">
        <v>1994</v>
      </c>
      <c r="B497" s="18">
        <v>166</v>
      </c>
      <c r="C497" s="13">
        <v>34500</v>
      </c>
      <c r="D497" s="18">
        <v>130</v>
      </c>
      <c r="E497" s="18">
        <v>4</v>
      </c>
      <c r="F497" s="20">
        <v>0.24862386849528612</v>
      </c>
      <c r="G497" s="4" t="s">
        <v>0</v>
      </c>
      <c r="H497" s="18"/>
    </row>
    <row r="498" spans="1:8" x14ac:dyDescent="0.25">
      <c r="A498" s="4">
        <v>1994</v>
      </c>
      <c r="B498" s="18">
        <v>166</v>
      </c>
      <c r="C498" s="13">
        <v>34500</v>
      </c>
      <c r="D498" s="18">
        <v>130</v>
      </c>
      <c r="E498" s="18">
        <v>5</v>
      </c>
      <c r="F498" s="20">
        <v>0.21599069555341099</v>
      </c>
      <c r="G498" s="4" t="s">
        <v>1</v>
      </c>
      <c r="H498" s="18"/>
    </row>
    <row r="499" spans="1:8" x14ac:dyDescent="0.25">
      <c r="A499" s="4">
        <v>1994</v>
      </c>
      <c r="B499" s="18">
        <v>166</v>
      </c>
      <c r="C499" s="13">
        <v>34500</v>
      </c>
      <c r="D499" s="18">
        <v>130</v>
      </c>
      <c r="E499" s="18">
        <v>6</v>
      </c>
      <c r="F499" s="20">
        <v>0.23160818818202061</v>
      </c>
      <c r="G499" s="4" t="s">
        <v>1</v>
      </c>
      <c r="H499" s="18"/>
    </row>
    <row r="500" spans="1:8" x14ac:dyDescent="0.25">
      <c r="A500" s="4">
        <v>1994</v>
      </c>
      <c r="B500" s="18">
        <v>166</v>
      </c>
      <c r="C500" s="13">
        <v>34500</v>
      </c>
      <c r="D500" s="18">
        <v>130</v>
      </c>
      <c r="E500" s="18">
        <v>7</v>
      </c>
      <c r="F500" s="20">
        <v>0.26461069371984264</v>
      </c>
      <c r="G500" s="4" t="s">
        <v>130</v>
      </c>
      <c r="H500" s="18"/>
    </row>
    <row r="501" spans="1:8" x14ac:dyDescent="0.25">
      <c r="A501" s="4">
        <v>1994</v>
      </c>
      <c r="B501" s="18">
        <v>166</v>
      </c>
      <c r="C501" s="13">
        <v>34500</v>
      </c>
      <c r="D501" s="18">
        <v>130</v>
      </c>
      <c r="E501" s="18">
        <v>8</v>
      </c>
      <c r="F501" s="20">
        <v>0.26400393302650138</v>
      </c>
      <c r="G501" s="4" t="s">
        <v>130</v>
      </c>
      <c r="H501" s="18"/>
    </row>
    <row r="502" spans="1:8" x14ac:dyDescent="0.25">
      <c r="A502" s="4">
        <v>1994</v>
      </c>
      <c r="B502" s="18">
        <v>166</v>
      </c>
      <c r="C502" s="13">
        <v>34500</v>
      </c>
      <c r="D502" s="18">
        <v>130</v>
      </c>
      <c r="E502" s="18">
        <v>9</v>
      </c>
      <c r="F502" s="20">
        <v>0.26869973317496842</v>
      </c>
      <c r="G502" s="4" t="s">
        <v>130</v>
      </c>
      <c r="H502" s="18"/>
    </row>
    <row r="503" spans="1:8" x14ac:dyDescent="0.25">
      <c r="A503" s="4">
        <v>1994</v>
      </c>
      <c r="B503" s="18">
        <v>166</v>
      </c>
      <c r="C503" s="13">
        <v>34500</v>
      </c>
      <c r="D503" s="18">
        <v>130</v>
      </c>
      <c r="E503" s="18">
        <v>10</v>
      </c>
      <c r="F503" s="20">
        <v>0.24221330986563727</v>
      </c>
      <c r="G503" s="4" t="s">
        <v>130</v>
      </c>
      <c r="H503" s="18"/>
    </row>
    <row r="504" spans="1:8" x14ac:dyDescent="0.25">
      <c r="A504" s="4">
        <v>1994</v>
      </c>
      <c r="B504" s="18">
        <v>166</v>
      </c>
      <c r="C504" s="13">
        <v>34500</v>
      </c>
      <c r="D504" s="18">
        <v>130</v>
      </c>
      <c r="E504" s="18">
        <v>11</v>
      </c>
      <c r="F504" s="20">
        <v>0.27017706355875581</v>
      </c>
      <c r="G504" s="4" t="s">
        <v>131</v>
      </c>
      <c r="H504" s="18"/>
    </row>
    <row r="505" spans="1:8" x14ac:dyDescent="0.25">
      <c r="A505" s="4">
        <v>1994</v>
      </c>
      <c r="B505" s="18">
        <v>166</v>
      </c>
      <c r="C505" s="13">
        <v>34500</v>
      </c>
      <c r="D505" s="18">
        <v>130</v>
      </c>
      <c r="E505" s="18">
        <v>12</v>
      </c>
      <c r="F505" s="20">
        <v>0.27447715021156555</v>
      </c>
      <c r="G505" s="4" t="s">
        <v>131</v>
      </c>
      <c r="H505" s="18"/>
    </row>
    <row r="506" spans="1:8" x14ac:dyDescent="0.25">
      <c r="A506" s="4">
        <v>1994</v>
      </c>
      <c r="B506" s="18">
        <v>166</v>
      </c>
      <c r="C506" s="13">
        <v>34500</v>
      </c>
      <c r="D506" s="18">
        <v>110</v>
      </c>
      <c r="E506" s="18">
        <v>1</v>
      </c>
      <c r="F506" s="20">
        <v>0.23061603070546605</v>
      </c>
      <c r="G506" s="4" t="s">
        <v>0</v>
      </c>
      <c r="H506" s="18"/>
    </row>
    <row r="507" spans="1:8" x14ac:dyDescent="0.25">
      <c r="A507" s="4">
        <v>1994</v>
      </c>
      <c r="B507" s="18">
        <v>166</v>
      </c>
      <c r="C507" s="13">
        <v>34500</v>
      </c>
      <c r="D507" s="18">
        <v>110</v>
      </c>
      <c r="E507" s="18">
        <v>2</v>
      </c>
      <c r="F507" s="20">
        <v>0.2141211885903051</v>
      </c>
      <c r="G507" s="4" t="s">
        <v>0</v>
      </c>
      <c r="H507" s="18"/>
    </row>
    <row r="508" spans="1:8" x14ac:dyDescent="0.25">
      <c r="A508" s="4">
        <v>1994</v>
      </c>
      <c r="B508" s="18">
        <v>166</v>
      </c>
      <c r="C508" s="13">
        <v>34500</v>
      </c>
      <c r="D508" s="18">
        <v>110</v>
      </c>
      <c r="E508" s="18">
        <v>3</v>
      </c>
      <c r="F508" s="20">
        <v>0.2392822661136268</v>
      </c>
      <c r="G508" s="4" t="s">
        <v>0</v>
      </c>
      <c r="H508" s="18"/>
    </row>
    <row r="509" spans="1:8" x14ac:dyDescent="0.25">
      <c r="A509" s="4">
        <v>1994</v>
      </c>
      <c r="B509" s="18">
        <v>166</v>
      </c>
      <c r="C509" s="13">
        <v>34500</v>
      </c>
      <c r="D509" s="18">
        <v>110</v>
      </c>
      <c r="E509" s="18">
        <v>4</v>
      </c>
      <c r="F509" s="20">
        <v>0.23966886397570086</v>
      </c>
      <c r="G509" s="4" t="s">
        <v>0</v>
      </c>
      <c r="H509" s="18"/>
    </row>
    <row r="510" spans="1:8" x14ac:dyDescent="0.25">
      <c r="A510" s="4">
        <v>1994</v>
      </c>
      <c r="B510" s="18">
        <v>166</v>
      </c>
      <c r="C510" s="13">
        <v>34500</v>
      </c>
      <c r="D510" s="18">
        <v>110</v>
      </c>
      <c r="E510" s="18">
        <v>5</v>
      </c>
      <c r="F510" s="20">
        <v>0.22062891926855216</v>
      </c>
      <c r="G510" s="4" t="s">
        <v>1</v>
      </c>
      <c r="H510" s="18"/>
    </row>
    <row r="511" spans="1:8" x14ac:dyDescent="0.25">
      <c r="A511" s="4">
        <v>1994</v>
      </c>
      <c r="B511" s="18">
        <v>166</v>
      </c>
      <c r="C511" s="13">
        <v>34500</v>
      </c>
      <c r="D511" s="18">
        <v>110</v>
      </c>
      <c r="E511" s="18">
        <v>6</v>
      </c>
      <c r="F511" s="20">
        <v>0.22855417544107093</v>
      </c>
      <c r="G511" s="4" t="s">
        <v>1</v>
      </c>
      <c r="H511" s="18"/>
    </row>
    <row r="512" spans="1:8" x14ac:dyDescent="0.25">
      <c r="A512" s="4">
        <v>1994</v>
      </c>
      <c r="B512" s="18">
        <v>166</v>
      </c>
      <c r="C512" s="13">
        <v>34500</v>
      </c>
      <c r="D512" s="18">
        <v>110</v>
      </c>
      <c r="E512" s="18">
        <v>7</v>
      </c>
      <c r="F512" s="20">
        <v>0.28068045384406004</v>
      </c>
      <c r="G512" s="4" t="s">
        <v>130</v>
      </c>
      <c r="H512" s="18"/>
    </row>
    <row r="513" spans="1:8" x14ac:dyDescent="0.25">
      <c r="A513" s="4">
        <v>1994</v>
      </c>
      <c r="B513" s="18">
        <v>166</v>
      </c>
      <c r="C513" s="13">
        <v>34500</v>
      </c>
      <c r="D513" s="18">
        <v>110</v>
      </c>
      <c r="E513" s="18">
        <v>8</v>
      </c>
      <c r="F513" s="20">
        <v>0.28428870055675148</v>
      </c>
      <c r="G513" s="4" t="s">
        <v>130</v>
      </c>
      <c r="H513" s="18"/>
    </row>
    <row r="514" spans="1:8" x14ac:dyDescent="0.25">
      <c r="A514" s="4">
        <v>1994</v>
      </c>
      <c r="B514" s="18">
        <v>166</v>
      </c>
      <c r="C514" s="13">
        <v>34500</v>
      </c>
      <c r="D514" s="18">
        <v>110</v>
      </c>
      <c r="E514" s="18">
        <v>9</v>
      </c>
      <c r="F514" s="20">
        <v>0.27078999187266467</v>
      </c>
      <c r="G514" s="4" t="s">
        <v>130</v>
      </c>
      <c r="H514" s="18"/>
    </row>
    <row r="515" spans="1:8" x14ac:dyDescent="0.25">
      <c r="A515" s="4">
        <v>1994</v>
      </c>
      <c r="B515" s="18">
        <v>166</v>
      </c>
      <c r="C515" s="13">
        <v>34500</v>
      </c>
      <c r="D515" s="18">
        <v>110</v>
      </c>
      <c r="E515" s="18">
        <v>10</v>
      </c>
      <c r="F515" s="20">
        <v>0.25551937632073835</v>
      </c>
      <c r="G515" s="4" t="s">
        <v>130</v>
      </c>
      <c r="H515" s="18"/>
    </row>
    <row r="516" spans="1:8" x14ac:dyDescent="0.25">
      <c r="A516" s="4">
        <v>1994</v>
      </c>
      <c r="B516" s="18">
        <v>166</v>
      </c>
      <c r="C516" s="13">
        <v>34500</v>
      </c>
      <c r="D516" s="18">
        <v>110</v>
      </c>
      <c r="E516" s="18">
        <v>11</v>
      </c>
      <c r="F516" s="20">
        <v>0.27852194911414641</v>
      </c>
      <c r="G516" s="4" t="s">
        <v>131</v>
      </c>
      <c r="H516" s="18"/>
    </row>
    <row r="517" spans="1:8" x14ac:dyDescent="0.25">
      <c r="A517" s="4">
        <v>1994</v>
      </c>
      <c r="B517" s="18">
        <v>166</v>
      </c>
      <c r="C517" s="13">
        <v>34500</v>
      </c>
      <c r="D517" s="18">
        <v>110</v>
      </c>
      <c r="E517" s="18">
        <v>12</v>
      </c>
      <c r="F517" s="20">
        <v>0.2871881845223071</v>
      </c>
      <c r="G517" s="4" t="s">
        <v>131</v>
      </c>
      <c r="H517" s="18"/>
    </row>
    <row r="518" spans="1:8" x14ac:dyDescent="0.25">
      <c r="A518" s="4">
        <v>1994</v>
      </c>
      <c r="B518" s="18">
        <v>166</v>
      </c>
      <c r="C518" s="13">
        <v>34500</v>
      </c>
      <c r="D518" s="18">
        <v>90</v>
      </c>
      <c r="E518" s="18">
        <v>1</v>
      </c>
      <c r="F518" s="20">
        <v>0.21296139500408284</v>
      </c>
      <c r="G518" s="4" t="s">
        <v>0</v>
      </c>
      <c r="H518" s="18"/>
    </row>
    <row r="519" spans="1:8" x14ac:dyDescent="0.25">
      <c r="A519" s="4">
        <v>1994</v>
      </c>
      <c r="B519" s="18">
        <v>166</v>
      </c>
      <c r="C519" s="13">
        <v>34500</v>
      </c>
      <c r="D519" s="18">
        <v>90</v>
      </c>
      <c r="E519" s="18">
        <v>2</v>
      </c>
      <c r="F519" s="20">
        <v>0.20281320112463808</v>
      </c>
      <c r="G519" s="4" t="s">
        <v>0</v>
      </c>
      <c r="H519" s="18"/>
    </row>
    <row r="520" spans="1:8" x14ac:dyDescent="0.25">
      <c r="A520" s="4">
        <v>1994</v>
      </c>
      <c r="B520" s="18">
        <v>166</v>
      </c>
      <c r="C520" s="13">
        <v>34500</v>
      </c>
      <c r="D520" s="18">
        <v>90</v>
      </c>
      <c r="E520" s="18">
        <v>3</v>
      </c>
      <c r="F520" s="20">
        <v>0.22433381544676217</v>
      </c>
      <c r="G520" s="4" t="s">
        <v>0</v>
      </c>
      <c r="H520" s="18"/>
    </row>
    <row r="521" spans="1:8" x14ac:dyDescent="0.25">
      <c r="A521" s="4">
        <v>1994</v>
      </c>
      <c r="B521" s="18">
        <v>166</v>
      </c>
      <c r="C521" s="13">
        <v>34500</v>
      </c>
      <c r="D521" s="18">
        <v>90</v>
      </c>
      <c r="E521" s="18">
        <v>4</v>
      </c>
      <c r="F521" s="20">
        <v>0.21193046737188526</v>
      </c>
      <c r="G521" s="4" t="s">
        <v>0</v>
      </c>
      <c r="H521" s="18"/>
    </row>
    <row r="522" spans="1:8" x14ac:dyDescent="0.25">
      <c r="A522" s="4">
        <v>1994</v>
      </c>
      <c r="B522" s="18">
        <v>166</v>
      </c>
      <c r="C522" s="13">
        <v>34500</v>
      </c>
      <c r="D522" s="18">
        <v>90</v>
      </c>
      <c r="E522" s="18">
        <v>5</v>
      </c>
      <c r="F522" s="20">
        <v>0.20806448875114442</v>
      </c>
      <c r="G522" s="4" t="s">
        <v>1</v>
      </c>
      <c r="H522" s="18"/>
    </row>
    <row r="523" spans="1:8" x14ac:dyDescent="0.25">
      <c r="A523" s="4">
        <v>1994</v>
      </c>
      <c r="B523" s="18">
        <v>166</v>
      </c>
      <c r="C523" s="13">
        <v>34500</v>
      </c>
      <c r="D523" s="18">
        <v>90</v>
      </c>
      <c r="E523" s="18">
        <v>6</v>
      </c>
      <c r="F523" s="20">
        <v>0.22414051651572514</v>
      </c>
      <c r="G523" s="4" t="s">
        <v>1</v>
      </c>
      <c r="H523" s="18"/>
    </row>
    <row r="524" spans="1:8" x14ac:dyDescent="0.25">
      <c r="A524" s="4">
        <v>1994</v>
      </c>
      <c r="B524" s="18">
        <v>166</v>
      </c>
      <c r="C524" s="13">
        <v>34500</v>
      </c>
      <c r="D524" s="18">
        <v>90</v>
      </c>
      <c r="E524" s="18">
        <v>7</v>
      </c>
      <c r="F524" s="20">
        <v>0.26354128195877563</v>
      </c>
      <c r="G524" s="4" t="s">
        <v>130</v>
      </c>
      <c r="H524" s="18"/>
    </row>
    <row r="525" spans="1:8" x14ac:dyDescent="0.25">
      <c r="A525" s="4">
        <v>1994</v>
      </c>
      <c r="B525" s="18">
        <v>166</v>
      </c>
      <c r="C525" s="13">
        <v>34500</v>
      </c>
      <c r="D525" s="18">
        <v>90</v>
      </c>
      <c r="E525" s="18">
        <v>8</v>
      </c>
      <c r="F525" s="20">
        <v>0.27449488805087469</v>
      </c>
      <c r="G525" s="4" t="s">
        <v>130</v>
      </c>
      <c r="H525" s="18"/>
    </row>
    <row r="526" spans="1:8" x14ac:dyDescent="0.25">
      <c r="A526" s="4">
        <v>1994</v>
      </c>
      <c r="B526" s="18">
        <v>166</v>
      </c>
      <c r="C526" s="13">
        <v>34500</v>
      </c>
      <c r="D526" s="18">
        <v>90</v>
      </c>
      <c r="E526" s="18">
        <v>9</v>
      </c>
      <c r="F526" s="20">
        <v>0.27072555889565236</v>
      </c>
      <c r="G526" s="4" t="s">
        <v>130</v>
      </c>
      <c r="H526" s="18"/>
    </row>
    <row r="527" spans="1:8" x14ac:dyDescent="0.25">
      <c r="A527" s="4">
        <v>1994</v>
      </c>
      <c r="B527" s="18">
        <v>166</v>
      </c>
      <c r="C527" s="13">
        <v>34500</v>
      </c>
      <c r="D527" s="18">
        <v>90</v>
      </c>
      <c r="E527" s="18">
        <v>10</v>
      </c>
      <c r="F527" s="20">
        <v>0.24701422335510848</v>
      </c>
      <c r="G527" s="4" t="s">
        <v>130</v>
      </c>
      <c r="H527" s="18"/>
    </row>
    <row r="528" spans="1:8" x14ac:dyDescent="0.25">
      <c r="A528" s="4">
        <v>1994</v>
      </c>
      <c r="B528" s="18">
        <v>166</v>
      </c>
      <c r="C528" s="13">
        <v>34500</v>
      </c>
      <c r="D528" s="18">
        <v>90</v>
      </c>
      <c r="E528" s="18">
        <v>11</v>
      </c>
      <c r="F528" s="20">
        <v>0.275107001332492</v>
      </c>
      <c r="G528" s="4" t="s">
        <v>131</v>
      </c>
      <c r="H528" s="18"/>
    </row>
    <row r="529" spans="1:8" x14ac:dyDescent="0.25">
      <c r="A529" s="4">
        <v>1994</v>
      </c>
      <c r="B529" s="18">
        <v>166</v>
      </c>
      <c r="C529" s="13">
        <v>34500</v>
      </c>
      <c r="D529" s="18">
        <v>90</v>
      </c>
      <c r="E529" s="18">
        <v>12</v>
      </c>
      <c r="F529" s="20">
        <v>0.28135700010268971</v>
      </c>
      <c r="G529" s="4" t="s">
        <v>131</v>
      </c>
      <c r="H529" s="18"/>
    </row>
    <row r="530" spans="1:8" x14ac:dyDescent="0.25">
      <c r="A530" s="4">
        <v>1994</v>
      </c>
      <c r="B530" s="18">
        <v>166</v>
      </c>
      <c r="C530" s="13">
        <v>34500</v>
      </c>
      <c r="D530" s="18">
        <v>70</v>
      </c>
      <c r="E530" s="18">
        <v>1</v>
      </c>
      <c r="F530" s="20">
        <v>0.21598974492366313</v>
      </c>
      <c r="G530" s="4" t="s">
        <v>0</v>
      </c>
      <c r="H530" s="18"/>
    </row>
    <row r="531" spans="1:8" x14ac:dyDescent="0.25">
      <c r="A531" s="4">
        <v>1994</v>
      </c>
      <c r="B531" s="18">
        <v>166</v>
      </c>
      <c r="C531" s="13">
        <v>34500</v>
      </c>
      <c r="D531" s="18">
        <v>70</v>
      </c>
      <c r="E531" s="18">
        <v>2</v>
      </c>
      <c r="F531" s="20">
        <v>0.20973974615346541</v>
      </c>
      <c r="G531" s="4" t="s">
        <v>0</v>
      </c>
      <c r="H531" s="18"/>
    </row>
    <row r="532" spans="1:8" x14ac:dyDescent="0.25">
      <c r="A532" s="4">
        <v>1994</v>
      </c>
      <c r="B532" s="18">
        <v>166</v>
      </c>
      <c r="C532" s="13">
        <v>34500</v>
      </c>
      <c r="D532" s="18">
        <v>70</v>
      </c>
      <c r="E532" s="18">
        <v>3</v>
      </c>
      <c r="F532" s="20">
        <v>0.22359283621112014</v>
      </c>
      <c r="G532" s="4" t="s">
        <v>0</v>
      </c>
      <c r="H532" s="18"/>
    </row>
    <row r="533" spans="1:8" x14ac:dyDescent="0.25">
      <c r="A533" s="4">
        <v>1994</v>
      </c>
      <c r="B533" s="18">
        <v>166</v>
      </c>
      <c r="C533" s="13">
        <v>34500</v>
      </c>
      <c r="D533" s="18">
        <v>70</v>
      </c>
      <c r="E533" s="18">
        <v>4</v>
      </c>
      <c r="F533" s="20">
        <v>0.25062247006779992</v>
      </c>
      <c r="G533" s="4" t="s">
        <v>0</v>
      </c>
      <c r="H533" s="18"/>
    </row>
    <row r="534" spans="1:8" x14ac:dyDescent="0.25">
      <c r="A534" s="4">
        <v>1994</v>
      </c>
      <c r="B534" s="18">
        <v>166</v>
      </c>
      <c r="C534" s="13">
        <v>34500</v>
      </c>
      <c r="D534" s="18">
        <v>70</v>
      </c>
      <c r="E534" s="18">
        <v>5</v>
      </c>
      <c r="F534" s="20">
        <v>0.28828354513151705</v>
      </c>
      <c r="G534" s="4" t="s">
        <v>1</v>
      </c>
      <c r="H534" s="18"/>
    </row>
    <row r="535" spans="1:8" x14ac:dyDescent="0.25">
      <c r="A535" s="4">
        <v>1994</v>
      </c>
      <c r="B535" s="18">
        <v>166</v>
      </c>
      <c r="C535" s="13">
        <v>34500</v>
      </c>
      <c r="D535" s="18">
        <v>70</v>
      </c>
      <c r="E535" s="18">
        <v>6</v>
      </c>
      <c r="F535" s="20">
        <v>0.25468174761957785</v>
      </c>
      <c r="G535" s="4" t="s">
        <v>1</v>
      </c>
      <c r="H535" s="18"/>
    </row>
    <row r="536" spans="1:8" x14ac:dyDescent="0.25">
      <c r="A536" s="4">
        <v>1994</v>
      </c>
      <c r="B536" s="18">
        <v>166</v>
      </c>
      <c r="C536" s="13">
        <v>34500</v>
      </c>
      <c r="D536" s="18">
        <v>70</v>
      </c>
      <c r="E536" s="18">
        <v>7</v>
      </c>
      <c r="F536" s="20">
        <v>0.25539051036671362</v>
      </c>
      <c r="G536" s="4" t="s">
        <v>130</v>
      </c>
      <c r="H536" s="18"/>
    </row>
    <row r="537" spans="1:8" x14ac:dyDescent="0.25">
      <c r="A537" s="4">
        <v>1994</v>
      </c>
      <c r="B537" s="18">
        <v>166</v>
      </c>
      <c r="C537" s="13">
        <v>34500</v>
      </c>
      <c r="D537" s="18">
        <v>70</v>
      </c>
      <c r="E537" s="18">
        <v>8</v>
      </c>
      <c r="F537" s="20">
        <v>0.28142143307970202</v>
      </c>
      <c r="G537" s="4" t="s">
        <v>130</v>
      </c>
      <c r="H537" s="18"/>
    </row>
    <row r="538" spans="1:8" x14ac:dyDescent="0.25">
      <c r="A538" s="4">
        <v>1994</v>
      </c>
      <c r="B538" s="18">
        <v>166</v>
      </c>
      <c r="C538" s="13">
        <v>34500</v>
      </c>
      <c r="D538" s="18">
        <v>70</v>
      </c>
      <c r="E538" s="18">
        <v>9</v>
      </c>
      <c r="F538" s="20">
        <v>0.25503612899314571</v>
      </c>
      <c r="G538" s="4" t="s">
        <v>130</v>
      </c>
      <c r="H538" s="18"/>
    </row>
    <row r="539" spans="1:8" x14ac:dyDescent="0.25">
      <c r="A539" s="4">
        <v>1994</v>
      </c>
      <c r="B539" s="18">
        <v>166</v>
      </c>
      <c r="C539" s="13">
        <v>34500</v>
      </c>
      <c r="D539" s="18">
        <v>70</v>
      </c>
      <c r="E539" s="18">
        <v>10</v>
      </c>
      <c r="F539" s="20">
        <v>0.26856705416573873</v>
      </c>
      <c r="G539" s="4" t="s">
        <v>130</v>
      </c>
      <c r="H539" s="18"/>
    </row>
    <row r="540" spans="1:8" x14ac:dyDescent="0.25">
      <c r="A540" s="4">
        <v>1994</v>
      </c>
      <c r="B540" s="18">
        <v>166</v>
      </c>
      <c r="C540" s="13">
        <v>34500</v>
      </c>
      <c r="D540" s="18">
        <v>70</v>
      </c>
      <c r="E540" s="18">
        <v>11</v>
      </c>
      <c r="F540" s="20">
        <v>0.28370880376364038</v>
      </c>
      <c r="G540" s="4" t="s">
        <v>131</v>
      </c>
      <c r="H540" s="18"/>
    </row>
    <row r="541" spans="1:8" x14ac:dyDescent="0.25">
      <c r="A541" s="4">
        <v>1994</v>
      </c>
      <c r="B541" s="18">
        <v>166</v>
      </c>
      <c r="C541" s="13">
        <v>34500</v>
      </c>
      <c r="D541" s="18">
        <v>70</v>
      </c>
      <c r="E541" s="18">
        <v>12</v>
      </c>
      <c r="F541" s="20">
        <v>0.27475261995892408</v>
      </c>
      <c r="G541" s="4" t="s">
        <v>131</v>
      </c>
      <c r="H541" s="18"/>
    </row>
    <row r="542" spans="1:8" x14ac:dyDescent="0.25">
      <c r="A542" s="4">
        <v>1994</v>
      </c>
      <c r="B542" s="18">
        <v>166</v>
      </c>
      <c r="C542" s="13">
        <v>34500</v>
      </c>
      <c r="D542" s="18">
        <v>50</v>
      </c>
      <c r="E542" s="18">
        <v>1</v>
      </c>
      <c r="F542" s="20">
        <v>0.2575167986081211</v>
      </c>
      <c r="G542" s="4" t="s">
        <v>0</v>
      </c>
      <c r="H542" s="18"/>
    </row>
    <row r="543" spans="1:8" x14ac:dyDescent="0.25">
      <c r="A543" s="4">
        <v>1994</v>
      </c>
      <c r="B543" s="18">
        <v>166</v>
      </c>
      <c r="C543" s="13">
        <v>34500</v>
      </c>
      <c r="D543" s="18">
        <v>50</v>
      </c>
      <c r="E543" s="18">
        <v>2</v>
      </c>
      <c r="F543" s="20">
        <v>0.24221396656768862</v>
      </c>
      <c r="G543" s="4" t="s">
        <v>0</v>
      </c>
      <c r="H543" s="18"/>
    </row>
    <row r="544" spans="1:8" x14ac:dyDescent="0.25">
      <c r="A544" s="4">
        <v>1994</v>
      </c>
      <c r="B544" s="18">
        <v>166</v>
      </c>
      <c r="C544" s="13">
        <v>34500</v>
      </c>
      <c r="D544" s="18">
        <v>50</v>
      </c>
      <c r="E544" s="18">
        <v>3</v>
      </c>
      <c r="F544" s="20">
        <v>0.24208510061366384</v>
      </c>
      <c r="G544" s="4" t="s">
        <v>0</v>
      </c>
      <c r="H544" s="18"/>
    </row>
    <row r="545" spans="1:8" x14ac:dyDescent="0.25">
      <c r="A545" s="4">
        <v>1994</v>
      </c>
      <c r="B545" s="18">
        <v>166</v>
      </c>
      <c r="C545" s="13">
        <v>34500</v>
      </c>
      <c r="D545" s="18">
        <v>50</v>
      </c>
      <c r="E545" s="18">
        <v>4</v>
      </c>
      <c r="F545" s="20">
        <v>0.30039694480983842</v>
      </c>
      <c r="G545" s="4" t="s">
        <v>0</v>
      </c>
      <c r="H545" s="18"/>
    </row>
    <row r="546" spans="1:8" x14ac:dyDescent="0.25">
      <c r="A546" s="4">
        <v>1994</v>
      </c>
      <c r="B546" s="18">
        <v>166</v>
      </c>
      <c r="C546" s="13">
        <v>34500</v>
      </c>
      <c r="D546" s="18">
        <v>50</v>
      </c>
      <c r="E546" s="18">
        <v>5</v>
      </c>
      <c r="F546" s="20">
        <v>0.30906318021799911</v>
      </c>
      <c r="G546" s="4" t="s">
        <v>1</v>
      </c>
      <c r="H546" s="18"/>
    </row>
    <row r="547" spans="1:8" x14ac:dyDescent="0.25">
      <c r="A547" s="4">
        <v>1994</v>
      </c>
      <c r="B547" s="18">
        <v>166</v>
      </c>
      <c r="C547" s="13">
        <v>34500</v>
      </c>
      <c r="D547" s="18">
        <v>50</v>
      </c>
      <c r="E547" s="18">
        <v>6</v>
      </c>
      <c r="F547" s="20">
        <v>0.28673715368322072</v>
      </c>
      <c r="G547" s="4" t="s">
        <v>1</v>
      </c>
      <c r="H547" s="18"/>
    </row>
    <row r="548" spans="1:8" x14ac:dyDescent="0.25">
      <c r="A548" s="4">
        <v>1994</v>
      </c>
      <c r="B548" s="18">
        <v>166</v>
      </c>
      <c r="C548" s="13">
        <v>34500</v>
      </c>
      <c r="D548" s="18">
        <v>50</v>
      </c>
      <c r="E548" s="18">
        <v>7</v>
      </c>
      <c r="F548" s="20">
        <v>0.25925648898745446</v>
      </c>
      <c r="G548" s="4" t="s">
        <v>130</v>
      </c>
      <c r="H548" s="18"/>
    </row>
    <row r="549" spans="1:8" x14ac:dyDescent="0.25">
      <c r="A549" s="4">
        <v>1994</v>
      </c>
      <c r="B549" s="18">
        <v>166</v>
      </c>
      <c r="C549" s="13">
        <v>34500</v>
      </c>
      <c r="D549" s="18">
        <v>50</v>
      </c>
      <c r="E549" s="18">
        <v>8</v>
      </c>
      <c r="F549" s="20">
        <v>0.28651163826367748</v>
      </c>
      <c r="G549" s="4" t="s">
        <v>130</v>
      </c>
      <c r="H549" s="18"/>
    </row>
    <row r="550" spans="1:8" x14ac:dyDescent="0.25">
      <c r="A550" s="4">
        <v>1994</v>
      </c>
      <c r="B550" s="18">
        <v>166</v>
      </c>
      <c r="C550" s="13">
        <v>34500</v>
      </c>
      <c r="D550" s="18">
        <v>50</v>
      </c>
      <c r="E550" s="18">
        <v>9</v>
      </c>
      <c r="F550" s="20">
        <v>0.26544205478063987</v>
      </c>
      <c r="G550" s="4" t="s">
        <v>130</v>
      </c>
      <c r="H550" s="18"/>
    </row>
    <row r="551" spans="1:8" x14ac:dyDescent="0.25">
      <c r="A551" s="4">
        <v>1994</v>
      </c>
      <c r="B551" s="18">
        <v>166</v>
      </c>
      <c r="C551" s="13">
        <v>34500</v>
      </c>
      <c r="D551" s="18">
        <v>50</v>
      </c>
      <c r="E551" s="18">
        <v>10</v>
      </c>
      <c r="F551" s="20">
        <v>0.28863792650508496</v>
      </c>
      <c r="G551" s="4" t="s">
        <v>130</v>
      </c>
      <c r="H551" s="18"/>
    </row>
    <row r="552" spans="1:8" x14ac:dyDescent="0.25">
      <c r="A552" s="4">
        <v>1994</v>
      </c>
      <c r="B552" s="18">
        <v>166</v>
      </c>
      <c r="C552" s="13">
        <v>34500</v>
      </c>
      <c r="D552" s="18">
        <v>50</v>
      </c>
      <c r="E552" s="18">
        <v>11</v>
      </c>
      <c r="F552" s="20">
        <v>0.27861859857966492</v>
      </c>
      <c r="G552" s="4" t="s">
        <v>131</v>
      </c>
      <c r="H552" s="18"/>
    </row>
    <row r="553" spans="1:8" x14ac:dyDescent="0.25">
      <c r="A553" s="4">
        <v>1994</v>
      </c>
      <c r="B553" s="18">
        <v>166</v>
      </c>
      <c r="C553" s="13">
        <v>34500</v>
      </c>
      <c r="D553" s="18">
        <v>50</v>
      </c>
      <c r="E553" s="18">
        <v>12</v>
      </c>
      <c r="F553" s="20">
        <v>0.2768144752233192</v>
      </c>
      <c r="G553" s="4" t="s">
        <v>131</v>
      </c>
      <c r="H553" s="18"/>
    </row>
    <row r="554" spans="1:8" x14ac:dyDescent="0.25">
      <c r="A554" s="4">
        <v>1994</v>
      </c>
      <c r="B554" s="18">
        <v>166</v>
      </c>
      <c r="C554" s="13">
        <v>34500</v>
      </c>
      <c r="D554" s="18">
        <v>30</v>
      </c>
      <c r="E554" s="18">
        <v>1</v>
      </c>
      <c r="F554" s="20">
        <v>0.27423715614282534</v>
      </c>
      <c r="G554" s="4" t="s">
        <v>0</v>
      </c>
      <c r="H554" s="18"/>
    </row>
    <row r="555" spans="1:8" x14ac:dyDescent="0.25">
      <c r="A555" s="4">
        <v>1994</v>
      </c>
      <c r="B555" s="18">
        <v>166</v>
      </c>
      <c r="C555" s="13">
        <v>34500</v>
      </c>
      <c r="D555" s="18">
        <v>30</v>
      </c>
      <c r="E555" s="18">
        <v>2</v>
      </c>
      <c r="F555" s="20">
        <v>0.24678870793556523</v>
      </c>
      <c r="G555" s="4" t="s">
        <v>0</v>
      </c>
      <c r="H555" s="18"/>
    </row>
    <row r="556" spans="1:8" x14ac:dyDescent="0.25">
      <c r="A556" s="4">
        <v>1994</v>
      </c>
      <c r="B556" s="18">
        <v>166</v>
      </c>
      <c r="C556" s="13">
        <v>34500</v>
      </c>
      <c r="D556" s="18">
        <v>30</v>
      </c>
      <c r="E556" s="18">
        <v>3</v>
      </c>
      <c r="F556" s="20">
        <v>0.24321267771138</v>
      </c>
      <c r="G556" s="4" t="s">
        <v>0</v>
      </c>
      <c r="H556" s="18"/>
    </row>
    <row r="557" spans="1:8" x14ac:dyDescent="0.25">
      <c r="A557" s="4">
        <v>1994</v>
      </c>
      <c r="B557" s="18">
        <v>166</v>
      </c>
      <c r="C557" s="13">
        <v>34500</v>
      </c>
      <c r="D557" s="18">
        <v>30</v>
      </c>
      <c r="E557" s="18">
        <v>4</v>
      </c>
      <c r="F557" s="20">
        <v>0.28319333994754159</v>
      </c>
      <c r="G557" s="4" t="s">
        <v>0</v>
      </c>
      <c r="H557" s="18"/>
    </row>
    <row r="558" spans="1:8" x14ac:dyDescent="0.25">
      <c r="A558" s="4">
        <v>1994</v>
      </c>
      <c r="B558" s="18">
        <v>166</v>
      </c>
      <c r="C558" s="13">
        <v>34500</v>
      </c>
      <c r="D558" s="18">
        <v>30</v>
      </c>
      <c r="E558" s="18">
        <v>5</v>
      </c>
      <c r="F558" s="20">
        <v>0.31457219975255485</v>
      </c>
      <c r="G558" s="4" t="s">
        <v>1</v>
      </c>
      <c r="H558" s="18"/>
    </row>
    <row r="559" spans="1:8" x14ac:dyDescent="0.25">
      <c r="A559" s="4">
        <v>1994</v>
      </c>
      <c r="B559" s="18">
        <v>166</v>
      </c>
      <c r="C559" s="13">
        <v>34500</v>
      </c>
      <c r="D559" s="18">
        <v>30</v>
      </c>
      <c r="E559" s="18">
        <v>6</v>
      </c>
      <c r="F559" s="20">
        <v>0.31096395303986341</v>
      </c>
      <c r="G559" s="4" t="s">
        <v>1</v>
      </c>
      <c r="H559" s="18"/>
    </row>
    <row r="560" spans="1:8" x14ac:dyDescent="0.25">
      <c r="A560" s="4">
        <v>1994</v>
      </c>
      <c r="B560" s="18">
        <v>166</v>
      </c>
      <c r="C560" s="13">
        <v>34500</v>
      </c>
      <c r="D560" s="18">
        <v>30</v>
      </c>
      <c r="E560" s="18">
        <v>7</v>
      </c>
      <c r="F560" s="20">
        <v>0.22304515590651519</v>
      </c>
      <c r="G560" s="4" t="s">
        <v>130</v>
      </c>
      <c r="H560" s="18"/>
    </row>
    <row r="561" spans="1:8" x14ac:dyDescent="0.25">
      <c r="A561" s="4">
        <v>1994</v>
      </c>
      <c r="B561" s="18">
        <v>166</v>
      </c>
      <c r="C561" s="13">
        <v>34500</v>
      </c>
      <c r="D561" s="18">
        <v>30</v>
      </c>
      <c r="E561" s="18">
        <v>8</v>
      </c>
      <c r="F561" s="20">
        <v>0.27394720774626974</v>
      </c>
      <c r="G561" s="4" t="s">
        <v>130</v>
      </c>
      <c r="H561" s="18"/>
    </row>
    <row r="562" spans="1:8" x14ac:dyDescent="0.25">
      <c r="A562" s="4">
        <v>1994</v>
      </c>
      <c r="B562" s="18">
        <v>166</v>
      </c>
      <c r="C562" s="13">
        <v>34500</v>
      </c>
      <c r="D562" s="18">
        <v>30</v>
      </c>
      <c r="E562" s="18">
        <v>9</v>
      </c>
      <c r="F562" s="20">
        <v>0.27871524804518344</v>
      </c>
      <c r="G562" s="4" t="s">
        <v>130</v>
      </c>
      <c r="H562" s="18"/>
    </row>
    <row r="563" spans="1:8" x14ac:dyDescent="0.25">
      <c r="A563" s="4">
        <v>1994</v>
      </c>
      <c r="B563" s="18">
        <v>166</v>
      </c>
      <c r="C563" s="13">
        <v>34500</v>
      </c>
      <c r="D563" s="18">
        <v>30</v>
      </c>
      <c r="E563" s="18">
        <v>10</v>
      </c>
      <c r="F563" s="20">
        <v>0.24991370732066415</v>
      </c>
      <c r="G563" s="4" t="s">
        <v>130</v>
      </c>
      <c r="H563" s="18"/>
    </row>
    <row r="564" spans="1:8" x14ac:dyDescent="0.25">
      <c r="A564" s="4">
        <v>1994</v>
      </c>
      <c r="B564" s="18">
        <v>166</v>
      </c>
      <c r="C564" s="13">
        <v>34500</v>
      </c>
      <c r="D564" s="18">
        <v>30</v>
      </c>
      <c r="E564" s="18">
        <v>11</v>
      </c>
      <c r="F564" s="20">
        <v>0.29972039855120874</v>
      </c>
      <c r="G564" s="4" t="s">
        <v>131</v>
      </c>
      <c r="H564" s="18"/>
    </row>
    <row r="565" spans="1:8" x14ac:dyDescent="0.25">
      <c r="A565" s="4">
        <v>1994</v>
      </c>
      <c r="B565" s="18">
        <v>166</v>
      </c>
      <c r="C565" s="13">
        <v>34500</v>
      </c>
      <c r="D565" s="18">
        <v>30</v>
      </c>
      <c r="E565" s="18">
        <v>12</v>
      </c>
      <c r="F565" s="20">
        <v>0.30175003732709771</v>
      </c>
      <c r="G565" s="4" t="s">
        <v>131</v>
      </c>
      <c r="H565" s="18"/>
    </row>
    <row r="566" spans="1:8" x14ac:dyDescent="0.25">
      <c r="A566" s="4">
        <v>1994</v>
      </c>
      <c r="B566" s="18">
        <v>166</v>
      </c>
      <c r="C566" s="13">
        <v>34500</v>
      </c>
      <c r="D566" s="18">
        <v>10</v>
      </c>
      <c r="E566" s="18">
        <v>1</v>
      </c>
      <c r="F566" s="20">
        <v>0.2811852537651251</v>
      </c>
      <c r="G566" s="4" t="s">
        <v>0</v>
      </c>
      <c r="H566" s="18"/>
    </row>
    <row r="567" spans="1:8" x14ac:dyDescent="0.25">
      <c r="A567" s="4">
        <v>1994</v>
      </c>
      <c r="B567" s="18">
        <v>166</v>
      </c>
      <c r="C567" s="13">
        <v>34500</v>
      </c>
      <c r="D567" s="18">
        <v>10</v>
      </c>
      <c r="E567" s="18">
        <v>2</v>
      </c>
      <c r="F567" s="20">
        <v>0.27078715096652062</v>
      </c>
      <c r="G567" s="4" t="s">
        <v>0</v>
      </c>
      <c r="H567" s="18"/>
    </row>
    <row r="568" spans="1:8" x14ac:dyDescent="0.25">
      <c r="A568" s="4">
        <v>1994</v>
      </c>
      <c r="B568" s="18">
        <v>166</v>
      </c>
      <c r="C568" s="13">
        <v>34500</v>
      </c>
      <c r="D568" s="18">
        <v>10</v>
      </c>
      <c r="E568" s="18">
        <v>3</v>
      </c>
      <c r="F568" s="20">
        <v>0.27239336196793107</v>
      </c>
      <c r="G568" s="4" t="s">
        <v>0</v>
      </c>
      <c r="H568" s="18"/>
    </row>
    <row r="569" spans="1:8" x14ac:dyDescent="0.25">
      <c r="A569" s="4">
        <v>1994</v>
      </c>
      <c r="B569" s="18">
        <v>166</v>
      </c>
      <c r="C569" s="13">
        <v>34500</v>
      </c>
      <c r="D569" s="18">
        <v>10</v>
      </c>
      <c r="E569" s="18">
        <v>4</v>
      </c>
      <c r="F569" s="20">
        <v>0.30265775873134876</v>
      </c>
      <c r="G569" s="4" t="s">
        <v>0</v>
      </c>
      <c r="H569" s="18"/>
    </row>
    <row r="570" spans="1:8" x14ac:dyDescent="0.25">
      <c r="A570" s="4">
        <v>1994</v>
      </c>
      <c r="B570" s="18">
        <v>166</v>
      </c>
      <c r="C570" s="13">
        <v>34500</v>
      </c>
      <c r="D570" s="18">
        <v>10</v>
      </c>
      <c r="E570" s="18">
        <v>5</v>
      </c>
      <c r="F570" s="20">
        <v>0.24314341425803576</v>
      </c>
      <c r="G570" s="4" t="s">
        <v>1</v>
      </c>
      <c r="H570" s="18"/>
    </row>
    <row r="571" spans="1:8" x14ac:dyDescent="0.25">
      <c r="A571" s="4">
        <v>1994</v>
      </c>
      <c r="B571" s="18">
        <v>166</v>
      </c>
      <c r="C571" s="13">
        <v>34500</v>
      </c>
      <c r="D571" s="18">
        <v>10</v>
      </c>
      <c r="E571" s="18">
        <v>6</v>
      </c>
      <c r="F571" s="20">
        <v>0.24753936015663275</v>
      </c>
      <c r="G571" s="4" t="s">
        <v>1</v>
      </c>
      <c r="H571" s="18"/>
    </row>
    <row r="572" spans="1:8" x14ac:dyDescent="0.25">
      <c r="A572" s="4">
        <v>1994</v>
      </c>
      <c r="B572" s="18">
        <v>166</v>
      </c>
      <c r="C572" s="13">
        <v>34500</v>
      </c>
      <c r="D572" s="18">
        <v>10</v>
      </c>
      <c r="E572" s="18">
        <v>7</v>
      </c>
      <c r="F572" s="20">
        <v>0.2918087896867344</v>
      </c>
      <c r="G572" s="4" t="s">
        <v>130</v>
      </c>
      <c r="H572" s="18"/>
    </row>
    <row r="573" spans="1:8" x14ac:dyDescent="0.25">
      <c r="A573" s="4">
        <v>1994</v>
      </c>
      <c r="B573" s="18">
        <v>166</v>
      </c>
      <c r="C573" s="13">
        <v>34500</v>
      </c>
      <c r="D573" s="18">
        <v>10</v>
      </c>
      <c r="E573" s="18">
        <v>8</v>
      </c>
      <c r="F573" s="20">
        <v>0.28766645605151808</v>
      </c>
      <c r="G573" s="4" t="s">
        <v>130</v>
      </c>
      <c r="H573" s="18"/>
    </row>
    <row r="574" spans="1:8" x14ac:dyDescent="0.25">
      <c r="A574" s="4">
        <v>1994</v>
      </c>
      <c r="B574" s="18">
        <v>166</v>
      </c>
      <c r="C574" s="13">
        <v>34500</v>
      </c>
      <c r="D574" s="18">
        <v>10</v>
      </c>
      <c r="E574" s="18">
        <v>9</v>
      </c>
      <c r="F574" s="20">
        <v>0.27611300849751319</v>
      </c>
      <c r="G574" s="4" t="s">
        <v>130</v>
      </c>
      <c r="H574" s="18"/>
    </row>
    <row r="575" spans="1:8" x14ac:dyDescent="0.25">
      <c r="A575" s="4">
        <v>1994</v>
      </c>
      <c r="B575" s="18">
        <v>166</v>
      </c>
      <c r="C575" s="13">
        <v>34500</v>
      </c>
      <c r="D575" s="18">
        <v>10</v>
      </c>
      <c r="E575" s="18">
        <v>10</v>
      </c>
      <c r="F575" s="20">
        <v>0.28228424023977428</v>
      </c>
      <c r="G575" s="4" t="s">
        <v>130</v>
      </c>
      <c r="H575" s="18"/>
    </row>
    <row r="576" spans="1:8" x14ac:dyDescent="0.25">
      <c r="A576" s="4">
        <v>1994</v>
      </c>
      <c r="B576" s="18">
        <v>166</v>
      </c>
      <c r="C576" s="13">
        <v>34500</v>
      </c>
      <c r="D576" s="18">
        <v>10</v>
      </c>
      <c r="E576" s="18">
        <v>11</v>
      </c>
      <c r="F576" s="20">
        <v>0.26887096942097838</v>
      </c>
      <c r="G576" s="4" t="s">
        <v>131</v>
      </c>
      <c r="H576" s="18"/>
    </row>
    <row r="577" spans="1:8" x14ac:dyDescent="0.25">
      <c r="A577" s="4">
        <v>1994</v>
      </c>
      <c r="B577" s="18">
        <v>166</v>
      </c>
      <c r="C577" s="13">
        <v>34500</v>
      </c>
      <c r="D577" s="18">
        <v>10</v>
      </c>
      <c r="E577" s="18">
        <v>12</v>
      </c>
      <c r="F577" s="20">
        <v>0.26213615487120479</v>
      </c>
      <c r="G577" s="4" t="s">
        <v>131</v>
      </c>
      <c r="H577" s="18"/>
    </row>
    <row r="578" spans="1:8" x14ac:dyDescent="0.25">
      <c r="A578" s="4">
        <v>1994</v>
      </c>
      <c r="B578" s="18">
        <v>180</v>
      </c>
      <c r="C578" s="13">
        <v>34514</v>
      </c>
      <c r="D578" s="18">
        <v>230</v>
      </c>
      <c r="E578" s="18">
        <v>1</v>
      </c>
      <c r="F578" s="20">
        <v>0.17562791899636254</v>
      </c>
      <c r="G578" s="4" t="s">
        <v>0</v>
      </c>
      <c r="H578" s="18"/>
    </row>
    <row r="579" spans="1:8" x14ac:dyDescent="0.25">
      <c r="A579" s="4">
        <v>1994</v>
      </c>
      <c r="B579" s="18">
        <v>180</v>
      </c>
      <c r="C579" s="13">
        <v>34514</v>
      </c>
      <c r="D579" s="18">
        <v>230</v>
      </c>
      <c r="E579" s="18">
        <v>2</v>
      </c>
      <c r="F579" s="20">
        <v>0.23741198611832826</v>
      </c>
      <c r="G579" s="4" t="s">
        <v>0</v>
      </c>
      <c r="H579" s="18"/>
    </row>
    <row r="580" spans="1:8" x14ac:dyDescent="0.25">
      <c r="A580" s="4">
        <v>1994</v>
      </c>
      <c r="B580" s="18">
        <v>180</v>
      </c>
      <c r="C580" s="13">
        <v>34514</v>
      </c>
      <c r="D580" s="18">
        <v>230</v>
      </c>
      <c r="E580" s="18">
        <v>3</v>
      </c>
      <c r="F580" s="20">
        <v>0.23406161185509611</v>
      </c>
      <c r="G580" s="4" t="s">
        <v>0</v>
      </c>
      <c r="H580" s="18"/>
    </row>
    <row r="581" spans="1:8" x14ac:dyDescent="0.25">
      <c r="A581" s="4">
        <v>1994</v>
      </c>
      <c r="B581" s="18">
        <v>180</v>
      </c>
      <c r="C581" s="13">
        <v>34514</v>
      </c>
      <c r="D581" s="18">
        <v>230</v>
      </c>
      <c r="E581" s="18">
        <v>4</v>
      </c>
      <c r="F581" s="20">
        <v>0.25548290242001331</v>
      </c>
      <c r="G581" s="4" t="s">
        <v>0</v>
      </c>
      <c r="H581" s="18"/>
    </row>
    <row r="582" spans="1:8" x14ac:dyDescent="0.25">
      <c r="A582" s="4">
        <v>1994</v>
      </c>
      <c r="B582" s="18">
        <v>180</v>
      </c>
      <c r="C582" s="13">
        <v>34514</v>
      </c>
      <c r="D582" s="18">
        <v>230</v>
      </c>
      <c r="E582" s="18">
        <v>5</v>
      </c>
      <c r="F582" s="20" t="e">
        <v>#N/A</v>
      </c>
      <c r="G582" s="4" t="s">
        <v>1</v>
      </c>
      <c r="H582" s="18"/>
    </row>
    <row r="583" spans="1:8" x14ac:dyDescent="0.25">
      <c r="A583" s="4">
        <v>1994</v>
      </c>
      <c r="B583" s="18">
        <v>180</v>
      </c>
      <c r="C583" s="13">
        <v>34514</v>
      </c>
      <c r="D583" s="18">
        <v>230</v>
      </c>
      <c r="E583" s="18">
        <v>6</v>
      </c>
      <c r="F583" s="20" t="e">
        <v>#N/A</v>
      </c>
      <c r="G583" s="4" t="s">
        <v>1</v>
      </c>
      <c r="H583" s="18"/>
    </row>
    <row r="584" spans="1:8" x14ac:dyDescent="0.25">
      <c r="A584" s="4">
        <v>1994</v>
      </c>
      <c r="B584" s="18">
        <v>180</v>
      </c>
      <c r="C584" s="13">
        <v>34514</v>
      </c>
      <c r="D584" s="18">
        <v>230</v>
      </c>
      <c r="E584" s="18">
        <v>7</v>
      </c>
      <c r="F584" s="20">
        <v>0.25345157314230571</v>
      </c>
      <c r="G584" s="4" t="s">
        <v>130</v>
      </c>
      <c r="H584" s="18"/>
    </row>
    <row r="585" spans="1:8" x14ac:dyDescent="0.25">
      <c r="A585" s="4">
        <v>1994</v>
      </c>
      <c r="B585" s="18">
        <v>180</v>
      </c>
      <c r="C585" s="13">
        <v>34514</v>
      </c>
      <c r="D585" s="18">
        <v>230</v>
      </c>
      <c r="E585" s="18">
        <v>8</v>
      </c>
      <c r="F585" s="20">
        <v>0.24894043929181203</v>
      </c>
      <c r="G585" s="4" t="s">
        <v>130</v>
      </c>
      <c r="H585" s="18"/>
    </row>
    <row r="586" spans="1:8" x14ac:dyDescent="0.25">
      <c r="A586" s="4">
        <v>1994</v>
      </c>
      <c r="B586" s="18">
        <v>180</v>
      </c>
      <c r="C586" s="13">
        <v>34514</v>
      </c>
      <c r="D586" s="18">
        <v>230</v>
      </c>
      <c r="E586" s="18">
        <v>9</v>
      </c>
      <c r="F586" s="20">
        <v>0.24260902336129464</v>
      </c>
      <c r="G586" s="4" t="s">
        <v>130</v>
      </c>
      <c r="H586" s="18"/>
    </row>
    <row r="587" spans="1:8" x14ac:dyDescent="0.25">
      <c r="A587" s="4">
        <v>1994</v>
      </c>
      <c r="B587" s="18">
        <v>180</v>
      </c>
      <c r="C587" s="13">
        <v>34514</v>
      </c>
      <c r="D587" s="18">
        <v>230</v>
      </c>
      <c r="E587" s="18">
        <v>10</v>
      </c>
      <c r="F587" s="20">
        <v>0.25893880028208743</v>
      </c>
      <c r="G587" s="4" t="s">
        <v>130</v>
      </c>
      <c r="H587" s="18"/>
    </row>
    <row r="588" spans="1:8" x14ac:dyDescent="0.25">
      <c r="A588" s="4">
        <v>1994</v>
      </c>
      <c r="B588" s="18">
        <v>180</v>
      </c>
      <c r="C588" s="13">
        <v>34514</v>
      </c>
      <c r="D588" s="18">
        <v>230</v>
      </c>
      <c r="E588" s="18">
        <v>11</v>
      </c>
      <c r="F588" s="20" t="e">
        <v>#N/A</v>
      </c>
      <c r="G588" s="4" t="s">
        <v>131</v>
      </c>
      <c r="H588" s="18"/>
    </row>
    <row r="589" spans="1:8" x14ac:dyDescent="0.25">
      <c r="A589" s="4">
        <v>1994</v>
      </c>
      <c r="B589" s="18">
        <v>180</v>
      </c>
      <c r="C589" s="13">
        <v>34514</v>
      </c>
      <c r="D589" s="18">
        <v>230</v>
      </c>
      <c r="E589" s="18">
        <v>12</v>
      </c>
      <c r="F589" s="20" t="e">
        <v>#N/A</v>
      </c>
      <c r="G589" s="4" t="s">
        <v>131</v>
      </c>
      <c r="H589" s="18"/>
    </row>
    <row r="590" spans="1:8" x14ac:dyDescent="0.25">
      <c r="A590" s="4">
        <v>1994</v>
      </c>
      <c r="B590" s="18">
        <v>180</v>
      </c>
      <c r="C590" s="13">
        <v>34514</v>
      </c>
      <c r="D590" s="18">
        <v>210</v>
      </c>
      <c r="E590" s="18">
        <v>1</v>
      </c>
      <c r="F590" s="20">
        <v>0.18327837991240439</v>
      </c>
      <c r="G590" s="4" t="s">
        <v>0</v>
      </c>
      <c r="H590" s="18"/>
    </row>
    <row r="591" spans="1:8" x14ac:dyDescent="0.25">
      <c r="A591" s="4">
        <v>1994</v>
      </c>
      <c r="B591" s="18">
        <v>180</v>
      </c>
      <c r="C591" s="13">
        <v>34514</v>
      </c>
      <c r="D591" s="18">
        <v>210</v>
      </c>
      <c r="E591" s="18">
        <v>2</v>
      </c>
      <c r="F591" s="20">
        <v>0.25178957646054484</v>
      </c>
      <c r="G591" s="4" t="s">
        <v>0</v>
      </c>
      <c r="H591" s="18"/>
    </row>
    <row r="592" spans="1:8" x14ac:dyDescent="0.25">
      <c r="A592" s="4">
        <v>1994</v>
      </c>
      <c r="B592" s="18">
        <v>180</v>
      </c>
      <c r="C592" s="13">
        <v>34514</v>
      </c>
      <c r="D592" s="18">
        <v>210</v>
      </c>
      <c r="E592" s="18">
        <v>3</v>
      </c>
      <c r="F592" s="20">
        <v>0.24005007608937717</v>
      </c>
      <c r="G592" s="4" t="s">
        <v>0</v>
      </c>
      <c r="H592" s="18"/>
    </row>
    <row r="593" spans="1:8" x14ac:dyDescent="0.25">
      <c r="A593" s="4">
        <v>1994</v>
      </c>
      <c r="B593" s="18">
        <v>180</v>
      </c>
      <c r="C593" s="13">
        <v>34514</v>
      </c>
      <c r="D593" s="18">
        <v>210</v>
      </c>
      <c r="E593" s="18">
        <v>4</v>
      </c>
      <c r="F593" s="20">
        <v>0.26830401967931106</v>
      </c>
      <c r="G593" s="4" t="s">
        <v>0</v>
      </c>
      <c r="H593" s="18"/>
    </row>
    <row r="594" spans="1:8" x14ac:dyDescent="0.25">
      <c r="A594" s="4">
        <v>1994</v>
      </c>
      <c r="B594" s="18">
        <v>180</v>
      </c>
      <c r="C594" s="13">
        <v>34514</v>
      </c>
      <c r="D594" s="18">
        <v>210</v>
      </c>
      <c r="E594" s="18">
        <v>5</v>
      </c>
      <c r="F594" s="20" t="e">
        <v>#N/A</v>
      </c>
      <c r="G594" s="4" t="s">
        <v>1</v>
      </c>
      <c r="H594" s="18"/>
    </row>
    <row r="595" spans="1:8" x14ac:dyDescent="0.25">
      <c r="A595" s="4">
        <v>1994</v>
      </c>
      <c r="B595" s="18">
        <v>180</v>
      </c>
      <c r="C595" s="13">
        <v>34514</v>
      </c>
      <c r="D595" s="18">
        <v>210</v>
      </c>
      <c r="E595" s="18">
        <v>6</v>
      </c>
      <c r="F595" s="20" t="e">
        <v>#N/A</v>
      </c>
      <c r="G595" s="4" t="s">
        <v>1</v>
      </c>
      <c r="H595" s="18"/>
    </row>
    <row r="596" spans="1:8" x14ac:dyDescent="0.25">
      <c r="A596" s="4">
        <v>1994</v>
      </c>
      <c r="B596" s="18">
        <v>180</v>
      </c>
      <c r="C596" s="13">
        <v>34514</v>
      </c>
      <c r="D596" s="18">
        <v>210</v>
      </c>
      <c r="E596" s="18">
        <v>7</v>
      </c>
      <c r="F596" s="20">
        <v>0.26115479585776852</v>
      </c>
      <c r="G596" s="4" t="s">
        <v>130</v>
      </c>
      <c r="H596" s="18"/>
    </row>
    <row r="597" spans="1:8" x14ac:dyDescent="0.25">
      <c r="A597" s="4">
        <v>1994</v>
      </c>
      <c r="B597" s="18">
        <v>180</v>
      </c>
      <c r="C597" s="13">
        <v>34514</v>
      </c>
      <c r="D597" s="18">
        <v>210</v>
      </c>
      <c r="E597" s="18">
        <v>8</v>
      </c>
      <c r="F597" s="20">
        <v>0.24358511665058274</v>
      </c>
      <c r="G597" s="4" t="s">
        <v>130</v>
      </c>
      <c r="H597" s="18"/>
    </row>
    <row r="598" spans="1:8" x14ac:dyDescent="0.25">
      <c r="A598" s="4">
        <v>1994</v>
      </c>
      <c r="B598" s="18">
        <v>180</v>
      </c>
      <c r="C598" s="13">
        <v>34514</v>
      </c>
      <c r="D598" s="18">
        <v>210</v>
      </c>
      <c r="E598" s="18">
        <v>9</v>
      </c>
      <c r="F598" s="20">
        <v>0.24551092232944843</v>
      </c>
      <c r="G598" s="4" t="s">
        <v>130</v>
      </c>
      <c r="H598" s="18"/>
    </row>
    <row r="599" spans="1:8" x14ac:dyDescent="0.25">
      <c r="A599" s="4">
        <v>1994</v>
      </c>
      <c r="B599" s="18">
        <v>180</v>
      </c>
      <c r="C599" s="13">
        <v>34514</v>
      </c>
      <c r="D599" s="18">
        <v>210</v>
      </c>
      <c r="E599" s="18">
        <v>10</v>
      </c>
      <c r="F599" s="20">
        <v>0.2654548825105783</v>
      </c>
      <c r="G599" s="4" t="s">
        <v>130</v>
      </c>
      <c r="H599" s="18"/>
    </row>
    <row r="600" spans="1:8" x14ac:dyDescent="0.25">
      <c r="A600" s="4">
        <v>1994</v>
      </c>
      <c r="B600" s="18">
        <v>180</v>
      </c>
      <c r="C600" s="13">
        <v>34514</v>
      </c>
      <c r="D600" s="18">
        <v>210</v>
      </c>
      <c r="E600" s="18">
        <v>11</v>
      </c>
      <c r="F600" s="20" t="e">
        <v>#N/A</v>
      </c>
      <c r="G600" s="4" t="s">
        <v>131</v>
      </c>
      <c r="H600" s="18"/>
    </row>
    <row r="601" spans="1:8" x14ac:dyDescent="0.25">
      <c r="A601" s="4">
        <v>1994</v>
      </c>
      <c r="B601" s="18">
        <v>180</v>
      </c>
      <c r="C601" s="13">
        <v>34514</v>
      </c>
      <c r="D601" s="18">
        <v>210</v>
      </c>
      <c r="E601" s="18">
        <v>12</v>
      </c>
      <c r="F601" s="20" t="e">
        <v>#N/A</v>
      </c>
      <c r="G601" s="4" t="s">
        <v>131</v>
      </c>
      <c r="H601" s="18"/>
    </row>
    <row r="602" spans="1:8" x14ac:dyDescent="0.25">
      <c r="A602" s="4">
        <v>1994</v>
      </c>
      <c r="B602" s="18">
        <v>180</v>
      </c>
      <c r="C602" s="13">
        <v>34514</v>
      </c>
      <c r="D602" s="18">
        <v>190</v>
      </c>
      <c r="E602" s="18">
        <v>1</v>
      </c>
      <c r="F602" s="20">
        <v>0.21211270329596912</v>
      </c>
      <c r="G602" s="4" t="s">
        <v>0</v>
      </c>
      <c r="H602" s="18"/>
    </row>
    <row r="603" spans="1:8" x14ac:dyDescent="0.25">
      <c r="A603" s="4">
        <v>1994</v>
      </c>
      <c r="B603" s="18">
        <v>180</v>
      </c>
      <c r="C603" s="13">
        <v>34514</v>
      </c>
      <c r="D603" s="18">
        <v>190</v>
      </c>
      <c r="E603" s="18">
        <v>2</v>
      </c>
      <c r="F603" s="20">
        <v>0.26149774755400484</v>
      </c>
      <c r="G603" s="4" t="s">
        <v>0</v>
      </c>
      <c r="H603" s="18"/>
    </row>
    <row r="604" spans="1:8" x14ac:dyDescent="0.25">
      <c r="A604" s="4">
        <v>1994</v>
      </c>
      <c r="B604" s="18">
        <v>180</v>
      </c>
      <c r="C604" s="13">
        <v>34514</v>
      </c>
      <c r="D604" s="18">
        <v>190</v>
      </c>
      <c r="E604" s="18">
        <v>3</v>
      </c>
      <c r="F604" s="20">
        <v>0.26025784526761192</v>
      </c>
      <c r="G604" s="4" t="s">
        <v>0</v>
      </c>
      <c r="H604" s="18"/>
    </row>
    <row r="605" spans="1:8" x14ac:dyDescent="0.25">
      <c r="A605" s="4">
        <v>1994</v>
      </c>
      <c r="B605" s="18">
        <v>180</v>
      </c>
      <c r="C605" s="13">
        <v>34514</v>
      </c>
      <c r="D605" s="18">
        <v>190</v>
      </c>
      <c r="E605" s="18">
        <v>4</v>
      </c>
      <c r="F605" s="20">
        <v>0.26751259268799643</v>
      </c>
      <c r="G605" s="4" t="s">
        <v>0</v>
      </c>
      <c r="H605" s="18"/>
    </row>
    <row r="606" spans="1:8" x14ac:dyDescent="0.25">
      <c r="A606" s="4">
        <v>1994</v>
      </c>
      <c r="B606" s="18">
        <v>180</v>
      </c>
      <c r="C606" s="13">
        <v>34514</v>
      </c>
      <c r="D606" s="18">
        <v>190</v>
      </c>
      <c r="E606" s="18">
        <v>5</v>
      </c>
      <c r="F606" s="20">
        <v>0.2324787578724668</v>
      </c>
      <c r="G606" s="4" t="s">
        <v>1</v>
      </c>
      <c r="H606" s="18"/>
    </row>
    <row r="607" spans="1:8" x14ac:dyDescent="0.25">
      <c r="A607" s="4">
        <v>1994</v>
      </c>
      <c r="B607" s="18">
        <v>180</v>
      </c>
      <c r="C607" s="13">
        <v>34514</v>
      </c>
      <c r="D607" s="18">
        <v>190</v>
      </c>
      <c r="E607" s="18">
        <v>6</v>
      </c>
      <c r="F607" s="20">
        <v>0.25506080802464554</v>
      </c>
      <c r="G607" s="4" t="s">
        <v>1</v>
      </c>
      <c r="H607" s="18"/>
    </row>
    <row r="608" spans="1:8" x14ac:dyDescent="0.25">
      <c r="A608" s="4">
        <v>1994</v>
      </c>
      <c r="B608" s="18">
        <v>180</v>
      </c>
      <c r="C608" s="13">
        <v>34514</v>
      </c>
      <c r="D608" s="18">
        <v>190</v>
      </c>
      <c r="E608" s="18">
        <v>7</v>
      </c>
      <c r="F608" s="20">
        <v>0.25656451930814339</v>
      </c>
      <c r="G608" s="4" t="s">
        <v>130</v>
      </c>
      <c r="H608" s="18"/>
    </row>
    <row r="609" spans="1:8" x14ac:dyDescent="0.25">
      <c r="A609" s="4">
        <v>1994</v>
      </c>
      <c r="B609" s="18">
        <v>180</v>
      </c>
      <c r="C609" s="13">
        <v>34514</v>
      </c>
      <c r="D609" s="18">
        <v>190</v>
      </c>
      <c r="E609" s="18">
        <v>8</v>
      </c>
      <c r="F609" s="20">
        <v>0.25147300566401898</v>
      </c>
      <c r="G609" s="4" t="s">
        <v>130</v>
      </c>
      <c r="H609" s="18"/>
    </row>
    <row r="610" spans="1:8" x14ac:dyDescent="0.25">
      <c r="A610" s="4">
        <v>1994</v>
      </c>
      <c r="B610" s="18">
        <v>180</v>
      </c>
      <c r="C610" s="13">
        <v>34514</v>
      </c>
      <c r="D610" s="18">
        <v>190</v>
      </c>
      <c r="E610" s="18">
        <v>9</v>
      </c>
      <c r="F610" s="20">
        <v>0.24746310890802464</v>
      </c>
      <c r="G610" s="4" t="s">
        <v>130</v>
      </c>
      <c r="H610" s="18"/>
    </row>
    <row r="611" spans="1:8" x14ac:dyDescent="0.25">
      <c r="A611" s="4">
        <v>1994</v>
      </c>
      <c r="B611" s="18">
        <v>180</v>
      </c>
      <c r="C611" s="13">
        <v>34514</v>
      </c>
      <c r="D611" s="18">
        <v>190</v>
      </c>
      <c r="E611" s="18">
        <v>10</v>
      </c>
      <c r="F611" s="20">
        <v>0.26123393855689997</v>
      </c>
      <c r="G611" s="4" t="s">
        <v>130</v>
      </c>
      <c r="H611" s="18"/>
    </row>
    <row r="612" spans="1:8" x14ac:dyDescent="0.25">
      <c r="A612" s="4">
        <v>1994</v>
      </c>
      <c r="B612" s="18">
        <v>180</v>
      </c>
      <c r="C612" s="13">
        <v>34514</v>
      </c>
      <c r="D612" s="18">
        <v>190</v>
      </c>
      <c r="E612" s="18">
        <v>11</v>
      </c>
      <c r="F612" s="20">
        <v>0.28735102927028427</v>
      </c>
      <c r="G612" s="4" t="s">
        <v>131</v>
      </c>
      <c r="H612" s="18"/>
    </row>
    <row r="613" spans="1:8" x14ac:dyDescent="0.25">
      <c r="A613" s="4">
        <v>1994</v>
      </c>
      <c r="B613" s="18">
        <v>180</v>
      </c>
      <c r="C613" s="13">
        <v>34514</v>
      </c>
      <c r="D613" s="18">
        <v>190</v>
      </c>
      <c r="E613" s="18">
        <v>12</v>
      </c>
      <c r="F613" s="20">
        <v>0.29075416533293741</v>
      </c>
      <c r="G613" s="4" t="s">
        <v>131</v>
      </c>
      <c r="H613" s="18"/>
    </row>
    <row r="614" spans="1:8" x14ac:dyDescent="0.25">
      <c r="A614" s="4">
        <v>1994</v>
      </c>
      <c r="B614" s="18">
        <v>180</v>
      </c>
      <c r="C614" s="13">
        <v>34514</v>
      </c>
      <c r="D614" s="18">
        <v>170</v>
      </c>
      <c r="E614" s="18">
        <v>1</v>
      </c>
      <c r="F614" s="20">
        <v>0.23793960411253806</v>
      </c>
      <c r="G614" s="4" t="s">
        <v>0</v>
      </c>
      <c r="H614" s="18"/>
    </row>
    <row r="615" spans="1:8" x14ac:dyDescent="0.25">
      <c r="A615" s="4">
        <v>1994</v>
      </c>
      <c r="B615" s="18">
        <v>180</v>
      </c>
      <c r="C615" s="13">
        <v>34514</v>
      </c>
      <c r="D615" s="18">
        <v>170</v>
      </c>
      <c r="E615" s="18">
        <v>2</v>
      </c>
      <c r="F615" s="20">
        <v>0.26885801857323138</v>
      </c>
      <c r="G615" s="4" t="s">
        <v>0</v>
      </c>
      <c r="H615" s="18"/>
    </row>
    <row r="616" spans="1:8" x14ac:dyDescent="0.25">
      <c r="A616" s="4">
        <v>1994</v>
      </c>
      <c r="B616" s="18">
        <v>180</v>
      </c>
      <c r="C616" s="13">
        <v>34514</v>
      </c>
      <c r="D616" s="18">
        <v>170</v>
      </c>
      <c r="E616" s="18">
        <v>3</v>
      </c>
      <c r="F616" s="20">
        <v>0.27168077484225372</v>
      </c>
      <c r="G616" s="4" t="s">
        <v>0</v>
      </c>
      <c r="H616" s="18"/>
    </row>
    <row r="617" spans="1:8" x14ac:dyDescent="0.25">
      <c r="A617" s="4">
        <v>1994</v>
      </c>
      <c r="B617" s="18">
        <v>180</v>
      </c>
      <c r="C617" s="13">
        <v>34514</v>
      </c>
      <c r="D617" s="18">
        <v>170</v>
      </c>
      <c r="E617" s="18">
        <v>4</v>
      </c>
      <c r="F617" s="20">
        <v>0.27423972211417114</v>
      </c>
      <c r="G617" s="4" t="s">
        <v>0</v>
      </c>
      <c r="H617" s="18"/>
    </row>
    <row r="618" spans="1:8" x14ac:dyDescent="0.25">
      <c r="A618" s="4">
        <v>1994</v>
      </c>
      <c r="B618" s="18">
        <v>180</v>
      </c>
      <c r="C618" s="13">
        <v>34514</v>
      </c>
      <c r="D618" s="18">
        <v>170</v>
      </c>
      <c r="E618" s="18">
        <v>5</v>
      </c>
      <c r="F618" s="20">
        <v>0.25310862144606933</v>
      </c>
      <c r="G618" s="4" t="s">
        <v>1</v>
      </c>
      <c r="H618" s="18"/>
    </row>
    <row r="619" spans="1:8" x14ac:dyDescent="0.25">
      <c r="A619" s="4">
        <v>1994</v>
      </c>
      <c r="B619" s="18">
        <v>180</v>
      </c>
      <c r="C619" s="13">
        <v>34514</v>
      </c>
      <c r="D619" s="18">
        <v>170</v>
      </c>
      <c r="E619" s="18">
        <v>6</v>
      </c>
      <c r="F619" s="20">
        <v>0.26756535448741742</v>
      </c>
      <c r="G619" s="4" t="s">
        <v>1</v>
      </c>
      <c r="H619" s="18"/>
    </row>
    <row r="620" spans="1:8" x14ac:dyDescent="0.25">
      <c r="A620" s="4">
        <v>1994</v>
      </c>
      <c r="B620" s="18">
        <v>180</v>
      </c>
      <c r="C620" s="13">
        <v>34514</v>
      </c>
      <c r="D620" s="18">
        <v>170</v>
      </c>
      <c r="E620" s="18">
        <v>7</v>
      </c>
      <c r="F620" s="20">
        <v>0.26975496916338798</v>
      </c>
      <c r="G620" s="4" t="s">
        <v>130</v>
      </c>
      <c r="H620" s="18"/>
    </row>
    <row r="621" spans="1:8" x14ac:dyDescent="0.25">
      <c r="A621" s="4">
        <v>1994</v>
      </c>
      <c r="B621" s="18">
        <v>180</v>
      </c>
      <c r="C621" s="13">
        <v>34514</v>
      </c>
      <c r="D621" s="18">
        <v>170</v>
      </c>
      <c r="E621" s="18">
        <v>8</v>
      </c>
      <c r="F621" s="20">
        <v>0.26540212071115732</v>
      </c>
      <c r="G621" s="4" t="s">
        <v>130</v>
      </c>
      <c r="H621" s="18"/>
    </row>
    <row r="622" spans="1:8" x14ac:dyDescent="0.25">
      <c r="A622" s="4">
        <v>1994</v>
      </c>
      <c r="B622" s="18">
        <v>180</v>
      </c>
      <c r="C622" s="13">
        <v>34514</v>
      </c>
      <c r="D622" s="18">
        <v>170</v>
      </c>
      <c r="E622" s="18">
        <v>9</v>
      </c>
      <c r="F622" s="20">
        <v>0.25761975529656295</v>
      </c>
      <c r="G622" s="4" t="s">
        <v>130</v>
      </c>
      <c r="H622" s="18"/>
    </row>
    <row r="623" spans="1:8" x14ac:dyDescent="0.25">
      <c r="A623" s="4">
        <v>1994</v>
      </c>
      <c r="B623" s="18">
        <v>180</v>
      </c>
      <c r="C623" s="13">
        <v>34514</v>
      </c>
      <c r="D623" s="18">
        <v>170</v>
      </c>
      <c r="E623" s="18">
        <v>10</v>
      </c>
      <c r="F623" s="20">
        <v>0.26255298354242446</v>
      </c>
      <c r="G623" s="4" t="s">
        <v>130</v>
      </c>
      <c r="H623" s="18"/>
    </row>
    <row r="624" spans="1:8" x14ac:dyDescent="0.25">
      <c r="A624" s="4">
        <v>1994</v>
      </c>
      <c r="B624" s="18">
        <v>180</v>
      </c>
      <c r="C624" s="13">
        <v>34514</v>
      </c>
      <c r="D624" s="18">
        <v>170</v>
      </c>
      <c r="E624" s="18">
        <v>11</v>
      </c>
      <c r="F624" s="20">
        <v>0.27154887034370123</v>
      </c>
      <c r="G624" s="4" t="s">
        <v>131</v>
      </c>
      <c r="H624" s="18"/>
    </row>
    <row r="625" spans="1:8" x14ac:dyDescent="0.25">
      <c r="A625" s="4">
        <v>1994</v>
      </c>
      <c r="B625" s="18">
        <v>180</v>
      </c>
      <c r="C625" s="13">
        <v>34514</v>
      </c>
      <c r="D625" s="18">
        <v>170</v>
      </c>
      <c r="E625" s="18">
        <v>12</v>
      </c>
      <c r="F625" s="20">
        <v>0.28133618413629274</v>
      </c>
      <c r="G625" s="4" t="s">
        <v>131</v>
      </c>
      <c r="H625" s="18"/>
    </row>
    <row r="626" spans="1:8" x14ac:dyDescent="0.25">
      <c r="A626" s="4">
        <v>1994</v>
      </c>
      <c r="B626" s="18">
        <v>180</v>
      </c>
      <c r="C626" s="13">
        <v>34514</v>
      </c>
      <c r="D626" s="18">
        <v>150</v>
      </c>
      <c r="E626" s="18">
        <v>1</v>
      </c>
      <c r="F626" s="20">
        <v>0.26920097026946771</v>
      </c>
      <c r="G626" s="4" t="s">
        <v>0</v>
      </c>
      <c r="H626" s="18"/>
    </row>
    <row r="627" spans="1:8" x14ac:dyDescent="0.25">
      <c r="A627" s="4">
        <v>1994</v>
      </c>
      <c r="B627" s="18">
        <v>180</v>
      </c>
      <c r="C627" s="13">
        <v>34514</v>
      </c>
      <c r="D627" s="18">
        <v>150</v>
      </c>
      <c r="E627" s="18">
        <v>2</v>
      </c>
      <c r="F627" s="20">
        <v>0.187947799161161</v>
      </c>
      <c r="G627" s="4" t="s">
        <v>0</v>
      </c>
      <c r="H627" s="18"/>
    </row>
    <row r="628" spans="1:8" x14ac:dyDescent="0.25">
      <c r="A628" s="4">
        <v>1994</v>
      </c>
      <c r="B628" s="18">
        <v>180</v>
      </c>
      <c r="C628" s="13">
        <v>34514</v>
      </c>
      <c r="D628" s="18">
        <v>150</v>
      </c>
      <c r="E628" s="18">
        <v>3</v>
      </c>
      <c r="F628" s="20">
        <v>0.28938235854799199</v>
      </c>
      <c r="G628" s="4" t="s">
        <v>0</v>
      </c>
      <c r="H628" s="18"/>
    </row>
    <row r="629" spans="1:8" x14ac:dyDescent="0.25">
      <c r="A629" s="4">
        <v>1994</v>
      </c>
      <c r="B629" s="18">
        <v>180</v>
      </c>
      <c r="C629" s="13">
        <v>34514</v>
      </c>
      <c r="D629" s="18">
        <v>150</v>
      </c>
      <c r="E629" s="18">
        <v>4</v>
      </c>
      <c r="F629" s="20">
        <v>0.27384400861851382</v>
      </c>
      <c r="G629" s="4" t="s">
        <v>0</v>
      </c>
      <c r="H629" s="18"/>
    </row>
    <row r="630" spans="1:8" x14ac:dyDescent="0.25">
      <c r="A630" s="4">
        <v>1994</v>
      </c>
      <c r="B630" s="18">
        <v>180</v>
      </c>
      <c r="C630" s="13">
        <v>34514</v>
      </c>
      <c r="D630" s="18">
        <v>150</v>
      </c>
      <c r="E630" s="18">
        <v>5</v>
      </c>
      <c r="F630" s="20">
        <v>0.26025784526761192</v>
      </c>
      <c r="G630" s="4" t="s">
        <v>1</v>
      </c>
      <c r="H630" s="18"/>
    </row>
    <row r="631" spans="1:8" x14ac:dyDescent="0.25">
      <c r="A631" s="4">
        <v>1994</v>
      </c>
      <c r="B631" s="18">
        <v>180</v>
      </c>
      <c r="C631" s="13">
        <v>34514</v>
      </c>
      <c r="D631" s="18">
        <v>150</v>
      </c>
      <c r="E631" s="18">
        <v>6</v>
      </c>
      <c r="F631" s="20">
        <v>0.27065191975354463</v>
      </c>
      <c r="G631" s="4" t="s">
        <v>1</v>
      </c>
      <c r="H631" s="18"/>
    </row>
    <row r="632" spans="1:8" x14ac:dyDescent="0.25">
      <c r="A632" s="4">
        <v>1994</v>
      </c>
      <c r="B632" s="18">
        <v>180</v>
      </c>
      <c r="C632" s="13">
        <v>34514</v>
      </c>
      <c r="D632" s="18">
        <v>150</v>
      </c>
      <c r="E632" s="18">
        <v>7</v>
      </c>
      <c r="F632" s="20">
        <v>0.27830238066958651</v>
      </c>
      <c r="G632" s="4" t="s">
        <v>130</v>
      </c>
      <c r="H632" s="18"/>
    </row>
    <row r="633" spans="1:8" x14ac:dyDescent="0.25">
      <c r="A633" s="4">
        <v>1994</v>
      </c>
      <c r="B633" s="18">
        <v>180</v>
      </c>
      <c r="C633" s="13">
        <v>34514</v>
      </c>
      <c r="D633" s="18">
        <v>150</v>
      </c>
      <c r="E633" s="18">
        <v>8</v>
      </c>
      <c r="F633" s="20">
        <v>0.28017542454903127</v>
      </c>
      <c r="G633" s="4" t="s">
        <v>130</v>
      </c>
      <c r="H633" s="18"/>
    </row>
    <row r="634" spans="1:8" x14ac:dyDescent="0.25">
      <c r="A634" s="4">
        <v>1994</v>
      </c>
      <c r="B634" s="18">
        <v>180</v>
      </c>
      <c r="C634" s="13">
        <v>34514</v>
      </c>
      <c r="D634" s="18">
        <v>150</v>
      </c>
      <c r="E634" s="18">
        <v>9</v>
      </c>
      <c r="F634" s="20">
        <v>0.27748457277856131</v>
      </c>
      <c r="G634" s="4" t="s">
        <v>130</v>
      </c>
      <c r="H634" s="18"/>
    </row>
    <row r="635" spans="1:8" x14ac:dyDescent="0.25">
      <c r="A635" s="4">
        <v>1994</v>
      </c>
      <c r="B635" s="18">
        <v>180</v>
      </c>
      <c r="C635" s="13">
        <v>34514</v>
      </c>
      <c r="D635" s="18">
        <v>150</v>
      </c>
      <c r="E635" s="18">
        <v>10</v>
      </c>
      <c r="F635" s="20">
        <v>0.2792520930591641</v>
      </c>
      <c r="G635" s="4" t="s">
        <v>130</v>
      </c>
      <c r="H635" s="18"/>
    </row>
    <row r="636" spans="1:8" x14ac:dyDescent="0.25">
      <c r="A636" s="4">
        <v>1994</v>
      </c>
      <c r="B636" s="18">
        <v>180</v>
      </c>
      <c r="C636" s="13">
        <v>34514</v>
      </c>
      <c r="D636" s="18">
        <v>150</v>
      </c>
      <c r="E636" s="18">
        <v>11</v>
      </c>
      <c r="F636" s="20">
        <v>0.30106909711973867</v>
      </c>
      <c r="G636" s="4" t="s">
        <v>131</v>
      </c>
      <c r="H636" s="18"/>
    </row>
    <row r="637" spans="1:8" x14ac:dyDescent="0.25">
      <c r="A637" s="4">
        <v>1994</v>
      </c>
      <c r="B637" s="18">
        <v>180</v>
      </c>
      <c r="C637" s="13">
        <v>34514</v>
      </c>
      <c r="D637" s="18">
        <v>150</v>
      </c>
      <c r="E637" s="18">
        <v>12</v>
      </c>
      <c r="F637" s="20">
        <v>0.3055010882711009</v>
      </c>
      <c r="G637" s="4" t="s">
        <v>131</v>
      </c>
      <c r="H637" s="18"/>
    </row>
    <row r="638" spans="1:8" x14ac:dyDescent="0.25">
      <c r="A638" s="4">
        <v>1994</v>
      </c>
      <c r="B638" s="18">
        <v>180</v>
      </c>
      <c r="C638" s="13">
        <v>34514</v>
      </c>
      <c r="D638" s="18">
        <v>130</v>
      </c>
      <c r="E638" s="18">
        <v>1</v>
      </c>
      <c r="F638" s="20">
        <v>0.24485139983668619</v>
      </c>
      <c r="G638" s="4" t="s">
        <v>0</v>
      </c>
      <c r="H638" s="18"/>
    </row>
    <row r="639" spans="1:8" x14ac:dyDescent="0.25">
      <c r="A639" s="4">
        <v>1994</v>
      </c>
      <c r="B639" s="18">
        <v>180</v>
      </c>
      <c r="C639" s="13">
        <v>34514</v>
      </c>
      <c r="D639" s="18">
        <v>130</v>
      </c>
      <c r="E639" s="18">
        <v>2</v>
      </c>
      <c r="F639" s="20">
        <v>0.20200881870685175</v>
      </c>
      <c r="G639" s="4" t="s">
        <v>0</v>
      </c>
      <c r="H639" s="18"/>
    </row>
    <row r="640" spans="1:8" x14ac:dyDescent="0.25">
      <c r="A640" s="4">
        <v>1994</v>
      </c>
      <c r="B640" s="18">
        <v>180</v>
      </c>
      <c r="C640" s="13">
        <v>34514</v>
      </c>
      <c r="D640" s="18">
        <v>130</v>
      </c>
      <c r="E640" s="18">
        <v>3</v>
      </c>
      <c r="F640" s="20">
        <v>0.25495528442580356</v>
      </c>
      <c r="G640" s="4" t="s">
        <v>0</v>
      </c>
      <c r="H640" s="18"/>
    </row>
    <row r="641" spans="1:8" x14ac:dyDescent="0.25">
      <c r="A641" s="4">
        <v>1994</v>
      </c>
      <c r="B641" s="18">
        <v>180</v>
      </c>
      <c r="C641" s="13">
        <v>34514</v>
      </c>
      <c r="D641" s="18">
        <v>130</v>
      </c>
      <c r="E641" s="18">
        <v>4</v>
      </c>
      <c r="F641" s="20">
        <v>0.25031224607675745</v>
      </c>
      <c r="G641" s="4" t="s">
        <v>0</v>
      </c>
      <c r="H641" s="18"/>
    </row>
    <row r="642" spans="1:8" x14ac:dyDescent="0.25">
      <c r="A642" s="4">
        <v>1994</v>
      </c>
      <c r="B642" s="18">
        <v>180</v>
      </c>
      <c r="C642" s="13">
        <v>34514</v>
      </c>
      <c r="D642" s="18">
        <v>130</v>
      </c>
      <c r="E642" s="18">
        <v>5</v>
      </c>
      <c r="F642" s="20">
        <v>0.22369391826887386</v>
      </c>
      <c r="G642" s="4" t="s">
        <v>1</v>
      </c>
      <c r="H642" s="18"/>
    </row>
    <row r="643" spans="1:8" x14ac:dyDescent="0.25">
      <c r="A643" s="4">
        <v>1994</v>
      </c>
      <c r="B643" s="18">
        <v>180</v>
      </c>
      <c r="C643" s="13">
        <v>34514</v>
      </c>
      <c r="D643" s="18">
        <v>130</v>
      </c>
      <c r="E643" s="18">
        <v>6</v>
      </c>
      <c r="F643" s="20">
        <v>0.23617208383193522</v>
      </c>
      <c r="G643" s="4" t="s">
        <v>1</v>
      </c>
      <c r="H643" s="18"/>
    </row>
    <row r="644" spans="1:8" x14ac:dyDescent="0.25">
      <c r="A644" s="4">
        <v>1994</v>
      </c>
      <c r="B644" s="18">
        <v>180</v>
      </c>
      <c r="C644" s="13">
        <v>34514</v>
      </c>
      <c r="D644" s="18">
        <v>130</v>
      </c>
      <c r="E644" s="18">
        <v>7</v>
      </c>
      <c r="F644" s="20">
        <v>0.26302783973721328</v>
      </c>
      <c r="G644" s="4" t="s">
        <v>130</v>
      </c>
      <c r="H644" s="18"/>
    </row>
    <row r="645" spans="1:8" x14ac:dyDescent="0.25">
      <c r="A645" s="4">
        <v>1994</v>
      </c>
      <c r="B645" s="18">
        <v>180</v>
      </c>
      <c r="C645" s="13">
        <v>34514</v>
      </c>
      <c r="D645" s="18">
        <v>130</v>
      </c>
      <c r="E645" s="18">
        <v>8</v>
      </c>
      <c r="F645" s="20">
        <v>0.26429412292331672</v>
      </c>
      <c r="G645" s="4" t="s">
        <v>130</v>
      </c>
      <c r="H645" s="18"/>
    </row>
    <row r="646" spans="1:8" x14ac:dyDescent="0.25">
      <c r="A646" s="4">
        <v>1994</v>
      </c>
      <c r="B646" s="18">
        <v>180</v>
      </c>
      <c r="C646" s="13">
        <v>34514</v>
      </c>
      <c r="D646" s="18">
        <v>130</v>
      </c>
      <c r="E646" s="18">
        <v>9</v>
      </c>
      <c r="F646" s="20">
        <v>0.26946477926657264</v>
      </c>
      <c r="G646" s="4" t="s">
        <v>130</v>
      </c>
      <c r="H646" s="18"/>
    </row>
    <row r="647" spans="1:8" x14ac:dyDescent="0.25">
      <c r="A647" s="4">
        <v>1994</v>
      </c>
      <c r="B647" s="18">
        <v>180</v>
      </c>
      <c r="C647" s="13">
        <v>34514</v>
      </c>
      <c r="D647" s="18">
        <v>130</v>
      </c>
      <c r="E647" s="18">
        <v>10</v>
      </c>
      <c r="F647" s="20">
        <v>0.24068321768242895</v>
      </c>
      <c r="G647" s="4" t="s">
        <v>130</v>
      </c>
      <c r="H647" s="18"/>
    </row>
    <row r="648" spans="1:8" x14ac:dyDescent="0.25">
      <c r="A648" s="4">
        <v>1994</v>
      </c>
      <c r="B648" s="18">
        <v>180</v>
      </c>
      <c r="C648" s="13">
        <v>34514</v>
      </c>
      <c r="D648" s="18">
        <v>130</v>
      </c>
      <c r="E648" s="18">
        <v>11</v>
      </c>
      <c r="F648" s="20">
        <v>0.26450517012100067</v>
      </c>
      <c r="G648" s="4" t="s">
        <v>131</v>
      </c>
      <c r="H648" s="18"/>
    </row>
    <row r="649" spans="1:8" x14ac:dyDescent="0.25">
      <c r="A649" s="4">
        <v>1994</v>
      </c>
      <c r="B649" s="18">
        <v>180</v>
      </c>
      <c r="C649" s="13">
        <v>34514</v>
      </c>
      <c r="D649" s="18">
        <v>130</v>
      </c>
      <c r="E649" s="18">
        <v>12</v>
      </c>
      <c r="F649" s="20">
        <v>0.27505753000519628</v>
      </c>
      <c r="G649" s="4" t="s">
        <v>131</v>
      </c>
      <c r="H649" s="18"/>
    </row>
    <row r="650" spans="1:8" x14ac:dyDescent="0.25">
      <c r="A650" s="4">
        <v>1994</v>
      </c>
      <c r="B650" s="18">
        <v>180</v>
      </c>
      <c r="C650" s="13">
        <v>34514</v>
      </c>
      <c r="D650" s="18">
        <v>110</v>
      </c>
      <c r="E650" s="18">
        <v>1</v>
      </c>
      <c r="F650" s="20">
        <v>0.24169850275158977</v>
      </c>
      <c r="G650" s="4" t="s">
        <v>0</v>
      </c>
      <c r="H650" s="18"/>
    </row>
    <row r="651" spans="1:8" x14ac:dyDescent="0.25">
      <c r="A651" s="4">
        <v>1994</v>
      </c>
      <c r="B651" s="18">
        <v>180</v>
      </c>
      <c r="C651" s="13">
        <v>34514</v>
      </c>
      <c r="D651" s="18">
        <v>110</v>
      </c>
      <c r="E651" s="18">
        <v>2</v>
      </c>
      <c r="F651" s="20">
        <v>0.21202711683740383</v>
      </c>
      <c r="G651" s="4" t="s">
        <v>0</v>
      </c>
      <c r="H651" s="18"/>
    </row>
    <row r="652" spans="1:8" x14ac:dyDescent="0.25">
      <c r="A652" s="4">
        <v>1994</v>
      </c>
      <c r="B652" s="18">
        <v>180</v>
      </c>
      <c r="C652" s="13">
        <v>34514</v>
      </c>
      <c r="D652" s="18">
        <v>110</v>
      </c>
      <c r="E652" s="18">
        <v>3</v>
      </c>
      <c r="F652" s="20">
        <v>0.2351585555848365</v>
      </c>
      <c r="G652" s="4" t="s">
        <v>0</v>
      </c>
      <c r="H652" s="18"/>
    </row>
    <row r="653" spans="1:8" x14ac:dyDescent="0.25">
      <c r="A653" s="4">
        <v>1994</v>
      </c>
      <c r="B653" s="18">
        <v>180</v>
      </c>
      <c r="C653" s="13">
        <v>34514</v>
      </c>
      <c r="D653" s="18">
        <v>110</v>
      </c>
      <c r="E653" s="18">
        <v>4</v>
      </c>
      <c r="F653" s="20">
        <v>0.24240726549872565</v>
      </c>
      <c r="G653" s="4" t="s">
        <v>0</v>
      </c>
      <c r="H653" s="18"/>
    </row>
    <row r="654" spans="1:8" x14ac:dyDescent="0.25">
      <c r="A654" s="4">
        <v>1994</v>
      </c>
      <c r="B654" s="18">
        <v>180</v>
      </c>
      <c r="C654" s="13">
        <v>34514</v>
      </c>
      <c r="D654" s="18">
        <v>110</v>
      </c>
      <c r="E654" s="18">
        <v>5</v>
      </c>
      <c r="F654" s="20">
        <v>0.22626680475713262</v>
      </c>
      <c r="G654" s="4" t="s">
        <v>1</v>
      </c>
      <c r="H654" s="18"/>
    </row>
    <row r="655" spans="1:8" x14ac:dyDescent="0.25">
      <c r="A655" s="4">
        <v>1994</v>
      </c>
      <c r="B655" s="18">
        <v>180</v>
      </c>
      <c r="C655" s="13">
        <v>34514</v>
      </c>
      <c r="D655" s="18">
        <v>110</v>
      </c>
      <c r="E655" s="18">
        <v>6</v>
      </c>
      <c r="F655" s="20">
        <v>0.2499459238091703</v>
      </c>
      <c r="G655" s="4" t="s">
        <v>1</v>
      </c>
      <c r="H655" s="18"/>
    </row>
    <row r="656" spans="1:8" x14ac:dyDescent="0.25">
      <c r="A656" s="4">
        <v>1994</v>
      </c>
      <c r="B656" s="18">
        <v>180</v>
      </c>
      <c r="C656" s="13">
        <v>34514</v>
      </c>
      <c r="D656" s="18">
        <v>110</v>
      </c>
      <c r="E656" s="18">
        <v>7</v>
      </c>
      <c r="F656" s="20">
        <v>0.28026163949347976</v>
      </c>
      <c r="G656" s="4" t="s">
        <v>130</v>
      </c>
      <c r="H656" s="18"/>
    </row>
    <row r="657" spans="1:8" x14ac:dyDescent="0.25">
      <c r="A657" s="4">
        <v>1994</v>
      </c>
      <c r="B657" s="18">
        <v>180</v>
      </c>
      <c r="C657" s="13">
        <v>34514</v>
      </c>
      <c r="D657" s="18">
        <v>110</v>
      </c>
      <c r="E657" s="18">
        <v>8</v>
      </c>
      <c r="F657" s="20">
        <v>0.28019720651646746</v>
      </c>
      <c r="G657" s="4" t="s">
        <v>130</v>
      </c>
      <c r="H657" s="18"/>
    </row>
    <row r="658" spans="1:8" x14ac:dyDescent="0.25">
      <c r="A658" s="4">
        <v>1994</v>
      </c>
      <c r="B658" s="18">
        <v>180</v>
      </c>
      <c r="C658" s="13">
        <v>34514</v>
      </c>
      <c r="D658" s="18">
        <v>110</v>
      </c>
      <c r="E658" s="18">
        <v>9</v>
      </c>
      <c r="F658" s="20">
        <v>0.27662117629228217</v>
      </c>
      <c r="G658" s="4" t="s">
        <v>130</v>
      </c>
      <c r="H658" s="18"/>
    </row>
    <row r="659" spans="1:8" x14ac:dyDescent="0.25">
      <c r="A659" s="4">
        <v>1994</v>
      </c>
      <c r="B659" s="18">
        <v>180</v>
      </c>
      <c r="C659" s="13">
        <v>34514</v>
      </c>
      <c r="D659" s="18">
        <v>110</v>
      </c>
      <c r="E659" s="18">
        <v>10</v>
      </c>
      <c r="F659" s="20">
        <v>0.25191112960804685</v>
      </c>
      <c r="G659" s="4" t="s">
        <v>130</v>
      </c>
      <c r="H659" s="18"/>
    </row>
    <row r="660" spans="1:8" x14ac:dyDescent="0.25">
      <c r="A660" s="4">
        <v>1994</v>
      </c>
      <c r="B660" s="18">
        <v>180</v>
      </c>
      <c r="C660" s="13">
        <v>34514</v>
      </c>
      <c r="D660" s="18">
        <v>110</v>
      </c>
      <c r="E660" s="18">
        <v>11</v>
      </c>
      <c r="F660" s="20">
        <v>0.27861859857966492</v>
      </c>
      <c r="G660" s="4" t="s">
        <v>131</v>
      </c>
      <c r="H660" s="18"/>
    </row>
    <row r="661" spans="1:8" x14ac:dyDescent="0.25">
      <c r="A661" s="4">
        <v>1994</v>
      </c>
      <c r="B661" s="18">
        <v>180</v>
      </c>
      <c r="C661" s="13">
        <v>34514</v>
      </c>
      <c r="D661" s="18">
        <v>110</v>
      </c>
      <c r="E661" s="18">
        <v>12</v>
      </c>
      <c r="F661" s="20">
        <v>0.28828354513151705</v>
      </c>
      <c r="G661" s="4" t="s">
        <v>131</v>
      </c>
      <c r="H661" s="18"/>
    </row>
    <row r="662" spans="1:8" x14ac:dyDescent="0.25">
      <c r="A662" s="4">
        <v>1994</v>
      </c>
      <c r="B662" s="18">
        <v>180</v>
      </c>
      <c r="C662" s="13">
        <v>34514</v>
      </c>
      <c r="D662" s="18">
        <v>90</v>
      </c>
      <c r="E662" s="18">
        <v>1</v>
      </c>
      <c r="F662" s="20">
        <v>0.23686602947566376</v>
      </c>
      <c r="G662" s="4" t="s">
        <v>0</v>
      </c>
      <c r="H662" s="18"/>
    </row>
    <row r="663" spans="1:8" x14ac:dyDescent="0.25">
      <c r="A663" s="4">
        <v>1994</v>
      </c>
      <c r="B663" s="18">
        <v>180</v>
      </c>
      <c r="C663" s="13">
        <v>34514</v>
      </c>
      <c r="D663" s="18">
        <v>90</v>
      </c>
      <c r="E663" s="18">
        <v>2</v>
      </c>
      <c r="F663" s="20">
        <v>0.20381191226832945</v>
      </c>
      <c r="G663" s="4" t="s">
        <v>0</v>
      </c>
      <c r="H663" s="18"/>
    </row>
    <row r="664" spans="1:8" x14ac:dyDescent="0.25">
      <c r="A664" s="4">
        <v>1994</v>
      </c>
      <c r="B664" s="18">
        <v>180</v>
      </c>
      <c r="C664" s="13">
        <v>34514</v>
      </c>
      <c r="D664" s="18">
        <v>90</v>
      </c>
      <c r="E664" s="18">
        <v>3</v>
      </c>
      <c r="F664" s="20">
        <v>0.21830933209610764</v>
      </c>
      <c r="G664" s="4" t="s">
        <v>0</v>
      </c>
      <c r="H664" s="18"/>
    </row>
    <row r="665" spans="1:8" x14ac:dyDescent="0.25">
      <c r="A665" s="4">
        <v>1994</v>
      </c>
      <c r="B665" s="18">
        <v>180</v>
      </c>
      <c r="C665" s="13">
        <v>34514</v>
      </c>
      <c r="D665" s="18">
        <v>90</v>
      </c>
      <c r="E665" s="18">
        <v>4</v>
      </c>
      <c r="F665" s="20">
        <v>0.21128613760176174</v>
      </c>
      <c r="G665" s="4" t="s">
        <v>0</v>
      </c>
      <c r="H665" s="18"/>
    </row>
    <row r="666" spans="1:8" x14ac:dyDescent="0.25">
      <c r="A666" s="4">
        <v>1994</v>
      </c>
      <c r="B666" s="18">
        <v>180</v>
      </c>
      <c r="C666" s="13">
        <v>34514</v>
      </c>
      <c r="D666" s="18">
        <v>90</v>
      </c>
      <c r="E666" s="18">
        <v>5</v>
      </c>
      <c r="F666" s="20">
        <v>0.21080289027416921</v>
      </c>
      <c r="G666" s="4" t="s">
        <v>1</v>
      </c>
      <c r="H666" s="18"/>
    </row>
    <row r="667" spans="1:8" x14ac:dyDescent="0.25">
      <c r="A667" s="4">
        <v>1994</v>
      </c>
      <c r="B667" s="18">
        <v>180</v>
      </c>
      <c r="C667" s="13">
        <v>34514</v>
      </c>
      <c r="D667" s="18">
        <v>90</v>
      </c>
      <c r="E667" s="18">
        <v>6</v>
      </c>
      <c r="F667" s="20">
        <v>0.26685958027491152</v>
      </c>
      <c r="G667" s="4" t="s">
        <v>1</v>
      </c>
      <c r="H667" s="18"/>
    </row>
    <row r="668" spans="1:8" x14ac:dyDescent="0.25">
      <c r="A668" s="4">
        <v>1994</v>
      </c>
      <c r="B668" s="18">
        <v>180</v>
      </c>
      <c r="C668" s="13">
        <v>34514</v>
      </c>
      <c r="D668" s="18">
        <v>90</v>
      </c>
      <c r="E668" s="18">
        <v>7</v>
      </c>
      <c r="F668" s="20">
        <v>0.25787117998168907</v>
      </c>
      <c r="G668" s="4" t="s">
        <v>130</v>
      </c>
      <c r="H668" s="18"/>
    </row>
    <row r="669" spans="1:8" x14ac:dyDescent="0.25">
      <c r="A669" s="4">
        <v>1994</v>
      </c>
      <c r="B669" s="18">
        <v>180</v>
      </c>
      <c r="C669" s="13">
        <v>34514</v>
      </c>
      <c r="D669" s="18">
        <v>90</v>
      </c>
      <c r="E669" s="18">
        <v>8</v>
      </c>
      <c r="F669" s="20">
        <v>0.28026163949347976</v>
      </c>
      <c r="G669" s="4" t="s">
        <v>130</v>
      </c>
      <c r="H669" s="18"/>
    </row>
    <row r="670" spans="1:8" x14ac:dyDescent="0.25">
      <c r="A670" s="4">
        <v>1994</v>
      </c>
      <c r="B670" s="18">
        <v>180</v>
      </c>
      <c r="C670" s="13">
        <v>34514</v>
      </c>
      <c r="D670" s="18">
        <v>90</v>
      </c>
      <c r="E670" s="18">
        <v>9</v>
      </c>
      <c r="F670" s="20">
        <v>0.27407607370029441</v>
      </c>
      <c r="G670" s="4" t="s">
        <v>130</v>
      </c>
      <c r="H670" s="18"/>
    </row>
    <row r="671" spans="1:8" x14ac:dyDescent="0.25">
      <c r="A671" s="4">
        <v>1994</v>
      </c>
      <c r="B671" s="18">
        <v>180</v>
      </c>
      <c r="C671" s="13">
        <v>34514</v>
      </c>
      <c r="D671" s="18">
        <v>90</v>
      </c>
      <c r="E671" s="18">
        <v>10</v>
      </c>
      <c r="F671" s="20">
        <v>0.2543917992230223</v>
      </c>
      <c r="G671" s="4" t="s">
        <v>130</v>
      </c>
      <c r="H671" s="18"/>
    </row>
    <row r="672" spans="1:8" x14ac:dyDescent="0.25">
      <c r="A672" s="4">
        <v>1994</v>
      </c>
      <c r="B672" s="18">
        <v>180</v>
      </c>
      <c r="C672" s="13">
        <v>34514</v>
      </c>
      <c r="D672" s="18">
        <v>90</v>
      </c>
      <c r="E672" s="18">
        <v>11</v>
      </c>
      <c r="F672" s="20">
        <v>0.27774875338999822</v>
      </c>
      <c r="G672" s="4" t="s">
        <v>131</v>
      </c>
      <c r="H672" s="18"/>
    </row>
    <row r="673" spans="1:8" x14ac:dyDescent="0.25">
      <c r="A673" s="4">
        <v>1994</v>
      </c>
      <c r="B673" s="18">
        <v>180</v>
      </c>
      <c r="C673" s="13">
        <v>34514</v>
      </c>
      <c r="D673" s="18">
        <v>90</v>
      </c>
      <c r="E673" s="18">
        <v>12</v>
      </c>
      <c r="F673" s="20">
        <v>0.28087375277509707</v>
      </c>
      <c r="G673" s="4" t="s">
        <v>131</v>
      </c>
      <c r="H673" s="18"/>
    </row>
    <row r="674" spans="1:8" x14ac:dyDescent="0.25">
      <c r="A674" s="4">
        <v>1994</v>
      </c>
      <c r="B674" s="18">
        <v>180</v>
      </c>
      <c r="C674" s="13">
        <v>34514</v>
      </c>
      <c r="D674" s="18">
        <v>70</v>
      </c>
      <c r="E674" s="18">
        <v>1</v>
      </c>
      <c r="F674" s="20">
        <v>0.24392144045851577</v>
      </c>
      <c r="G674" s="4" t="s">
        <v>0</v>
      </c>
      <c r="H674" s="18"/>
    </row>
    <row r="675" spans="1:8" x14ac:dyDescent="0.25">
      <c r="A675" s="4">
        <v>1994</v>
      </c>
      <c r="B675" s="18">
        <v>180</v>
      </c>
      <c r="C675" s="13">
        <v>34514</v>
      </c>
      <c r="D675" s="18">
        <v>70</v>
      </c>
      <c r="E675" s="18">
        <v>2</v>
      </c>
      <c r="F675" s="20">
        <v>0.20329644845223072</v>
      </c>
      <c r="G675" s="4" t="s">
        <v>0</v>
      </c>
      <c r="H675" s="18"/>
    </row>
    <row r="676" spans="1:8" x14ac:dyDescent="0.25">
      <c r="A676" s="4">
        <v>1994</v>
      </c>
      <c r="B676" s="18">
        <v>180</v>
      </c>
      <c r="C676" s="13">
        <v>34514</v>
      </c>
      <c r="D676" s="18">
        <v>70</v>
      </c>
      <c r="E676" s="18">
        <v>3</v>
      </c>
      <c r="F676" s="20">
        <v>0.22107995010763865</v>
      </c>
      <c r="G676" s="4" t="s">
        <v>0</v>
      </c>
      <c r="H676" s="18"/>
    </row>
    <row r="677" spans="1:8" x14ac:dyDescent="0.25">
      <c r="A677" s="4">
        <v>1994</v>
      </c>
      <c r="B677" s="18">
        <v>180</v>
      </c>
      <c r="C677" s="13">
        <v>34514</v>
      </c>
      <c r="D677" s="18">
        <v>70</v>
      </c>
      <c r="E677" s="18">
        <v>4</v>
      </c>
      <c r="F677" s="20">
        <v>0.23854128687798476</v>
      </c>
      <c r="G677" s="4" t="s">
        <v>0</v>
      </c>
      <c r="H677" s="18"/>
    </row>
    <row r="678" spans="1:8" x14ac:dyDescent="0.25">
      <c r="A678" s="4">
        <v>1994</v>
      </c>
      <c r="B678" s="18">
        <v>180</v>
      </c>
      <c r="C678" s="13">
        <v>34514</v>
      </c>
      <c r="D678" s="18">
        <v>70</v>
      </c>
      <c r="E678" s="18">
        <v>5</v>
      </c>
      <c r="F678" s="20">
        <v>0.26685958027491152</v>
      </c>
      <c r="G678" s="4" t="s">
        <v>1</v>
      </c>
      <c r="H678" s="18"/>
    </row>
    <row r="679" spans="1:8" x14ac:dyDescent="0.25">
      <c r="A679" s="4">
        <v>1994</v>
      </c>
      <c r="B679" s="18">
        <v>180</v>
      </c>
      <c r="C679" s="13">
        <v>34514</v>
      </c>
      <c r="D679" s="18">
        <v>70</v>
      </c>
      <c r="E679" s="18">
        <v>6</v>
      </c>
      <c r="F679" s="20">
        <v>0.27185313599336847</v>
      </c>
      <c r="G679" s="4" t="s">
        <v>1</v>
      </c>
      <c r="H679" s="18"/>
    </row>
    <row r="680" spans="1:8" x14ac:dyDescent="0.25">
      <c r="A680" s="4">
        <v>1994</v>
      </c>
      <c r="B680" s="18">
        <v>180</v>
      </c>
      <c r="C680" s="13">
        <v>34514</v>
      </c>
      <c r="D680" s="18">
        <v>70</v>
      </c>
      <c r="E680" s="18">
        <v>7</v>
      </c>
      <c r="F680" s="20">
        <v>0.25661473692994824</v>
      </c>
      <c r="G680" s="4" t="s">
        <v>130</v>
      </c>
      <c r="H680" s="18"/>
    </row>
    <row r="681" spans="1:8" x14ac:dyDescent="0.25">
      <c r="A681" s="4">
        <v>1994</v>
      </c>
      <c r="B681" s="18">
        <v>180</v>
      </c>
      <c r="C681" s="13">
        <v>34514</v>
      </c>
      <c r="D681" s="18">
        <v>70</v>
      </c>
      <c r="E681" s="18">
        <v>8</v>
      </c>
      <c r="F681" s="20">
        <v>0.2896366376487764</v>
      </c>
      <c r="G681" s="4" t="s">
        <v>130</v>
      </c>
      <c r="H681" s="18"/>
    </row>
    <row r="682" spans="1:8" x14ac:dyDescent="0.25">
      <c r="A682" s="4">
        <v>1994</v>
      </c>
      <c r="B682" s="18">
        <v>180</v>
      </c>
      <c r="C682" s="13">
        <v>34514</v>
      </c>
      <c r="D682" s="18">
        <v>70</v>
      </c>
      <c r="E682" s="18">
        <v>9</v>
      </c>
      <c r="F682" s="20">
        <v>0.27481705293593645</v>
      </c>
      <c r="G682" s="4" t="s">
        <v>130</v>
      </c>
      <c r="H682" s="18"/>
    </row>
    <row r="683" spans="1:8" x14ac:dyDescent="0.25">
      <c r="A683" s="4">
        <v>1994</v>
      </c>
      <c r="B683" s="18">
        <v>180</v>
      </c>
      <c r="C683" s="13">
        <v>34514</v>
      </c>
      <c r="D683" s="18">
        <v>70</v>
      </c>
      <c r="E683" s="18">
        <v>10</v>
      </c>
      <c r="F683" s="20">
        <v>0.26663406485536828</v>
      </c>
      <c r="G683" s="4" t="s">
        <v>130</v>
      </c>
      <c r="H683" s="18"/>
    </row>
    <row r="684" spans="1:8" x14ac:dyDescent="0.25">
      <c r="A684" s="4">
        <v>1994</v>
      </c>
      <c r="B684" s="18">
        <v>180</v>
      </c>
      <c r="C684" s="13">
        <v>34514</v>
      </c>
      <c r="D684" s="18">
        <v>70</v>
      </c>
      <c r="E684" s="18">
        <v>11</v>
      </c>
      <c r="F684" s="20">
        <v>0.27910184590725751</v>
      </c>
      <c r="G684" s="4" t="s">
        <v>131</v>
      </c>
      <c r="H684" s="18"/>
    </row>
    <row r="685" spans="1:8" x14ac:dyDescent="0.25">
      <c r="A685" s="4">
        <v>1994</v>
      </c>
      <c r="B685" s="18">
        <v>180</v>
      </c>
      <c r="C685" s="13">
        <v>34514</v>
      </c>
      <c r="D685" s="18">
        <v>70</v>
      </c>
      <c r="E685" s="18">
        <v>12</v>
      </c>
      <c r="F685" s="20">
        <v>0.28541627765446759</v>
      </c>
      <c r="G685" s="4" t="s">
        <v>131</v>
      </c>
      <c r="H685" s="18"/>
    </row>
    <row r="686" spans="1:8" x14ac:dyDescent="0.25">
      <c r="A686" s="4">
        <v>1994</v>
      </c>
      <c r="B686" s="18">
        <v>180</v>
      </c>
      <c r="C686" s="13">
        <v>34514</v>
      </c>
      <c r="D686" s="18">
        <v>50</v>
      </c>
      <c r="E686" s="18">
        <v>1</v>
      </c>
      <c r="F686" s="20">
        <v>0.27410829018880056</v>
      </c>
      <c r="G686" s="4" t="s">
        <v>0</v>
      </c>
      <c r="H686" s="18"/>
    </row>
    <row r="687" spans="1:8" x14ac:dyDescent="0.25">
      <c r="A687" s="4">
        <v>1994</v>
      </c>
      <c r="B687" s="18">
        <v>180</v>
      </c>
      <c r="C687" s="13">
        <v>34514</v>
      </c>
      <c r="D687" s="18">
        <v>50</v>
      </c>
      <c r="E687" s="18">
        <v>2</v>
      </c>
      <c r="F687" s="20">
        <v>0.23035829879741665</v>
      </c>
      <c r="G687" s="4" t="s">
        <v>0</v>
      </c>
      <c r="H687" s="18"/>
    </row>
    <row r="688" spans="1:8" x14ac:dyDescent="0.25">
      <c r="A688" s="4">
        <v>1994</v>
      </c>
      <c r="B688" s="18">
        <v>180</v>
      </c>
      <c r="C688" s="13">
        <v>34514</v>
      </c>
      <c r="D688" s="18">
        <v>50</v>
      </c>
      <c r="E688" s="18">
        <v>3</v>
      </c>
      <c r="F688" s="20">
        <v>0.24392144045851577</v>
      </c>
      <c r="G688" s="4" t="s">
        <v>0</v>
      </c>
      <c r="H688" s="18"/>
    </row>
    <row r="689" spans="1:8" x14ac:dyDescent="0.25">
      <c r="A689" s="4">
        <v>1994</v>
      </c>
      <c r="B689" s="18">
        <v>180</v>
      </c>
      <c r="C689" s="13">
        <v>34514</v>
      </c>
      <c r="D689" s="18">
        <v>50</v>
      </c>
      <c r="E689" s="18">
        <v>4</v>
      </c>
      <c r="F689" s="20">
        <v>0.26019076715413358</v>
      </c>
      <c r="G689" s="4" t="s">
        <v>0</v>
      </c>
      <c r="H689" s="18"/>
    </row>
    <row r="690" spans="1:8" x14ac:dyDescent="0.25">
      <c r="A690" s="4">
        <v>1994</v>
      </c>
      <c r="B690" s="18">
        <v>180</v>
      </c>
      <c r="C690" s="13">
        <v>34514</v>
      </c>
      <c r="D690" s="18">
        <v>50</v>
      </c>
      <c r="E690" s="18">
        <v>5</v>
      </c>
      <c r="F690" s="20">
        <v>0.2692758169128745</v>
      </c>
      <c r="G690" s="4" t="s">
        <v>1</v>
      </c>
      <c r="H690" s="18"/>
    </row>
    <row r="691" spans="1:8" x14ac:dyDescent="0.25">
      <c r="A691" s="4">
        <v>1994</v>
      </c>
      <c r="B691" s="18">
        <v>180</v>
      </c>
      <c r="C691" s="13">
        <v>34514</v>
      </c>
      <c r="D691" s="18">
        <v>50</v>
      </c>
      <c r="E691" s="18">
        <v>6</v>
      </c>
      <c r="F691" s="20">
        <v>0.27310957904510919</v>
      </c>
      <c r="G691" s="4" t="s">
        <v>1</v>
      </c>
      <c r="H691" s="18"/>
    </row>
    <row r="692" spans="1:8" x14ac:dyDescent="0.25">
      <c r="A692" s="4">
        <v>1994</v>
      </c>
      <c r="B692" s="18">
        <v>180</v>
      </c>
      <c r="C692" s="13">
        <v>34514</v>
      </c>
      <c r="D692" s="18">
        <v>50</v>
      </c>
      <c r="E692" s="18">
        <v>7</v>
      </c>
      <c r="F692" s="20">
        <v>0.25626035555638033</v>
      </c>
      <c r="G692" s="4" t="s">
        <v>130</v>
      </c>
      <c r="H692" s="18"/>
    </row>
    <row r="693" spans="1:8" x14ac:dyDescent="0.25">
      <c r="A693" s="4">
        <v>1994</v>
      </c>
      <c r="B693" s="18">
        <v>180</v>
      </c>
      <c r="C693" s="13">
        <v>34514</v>
      </c>
      <c r="D693" s="18">
        <v>50</v>
      </c>
      <c r="E693" s="18">
        <v>8</v>
      </c>
      <c r="F693" s="20">
        <v>0.29788405870635681</v>
      </c>
      <c r="G693" s="4" t="s">
        <v>130</v>
      </c>
      <c r="H693" s="18"/>
    </row>
    <row r="694" spans="1:8" x14ac:dyDescent="0.25">
      <c r="A694" s="4">
        <v>1994</v>
      </c>
      <c r="B694" s="18">
        <v>180</v>
      </c>
      <c r="C694" s="13">
        <v>34514</v>
      </c>
      <c r="D694" s="18">
        <v>50</v>
      </c>
      <c r="E694" s="18">
        <v>9</v>
      </c>
      <c r="F694" s="20">
        <v>0.28097040224061565</v>
      </c>
      <c r="G694" s="4" t="s">
        <v>130</v>
      </c>
      <c r="H694" s="18"/>
    </row>
    <row r="695" spans="1:8" x14ac:dyDescent="0.25">
      <c r="A695" s="4">
        <v>1994</v>
      </c>
      <c r="B695" s="18">
        <v>180</v>
      </c>
      <c r="C695" s="13">
        <v>34514</v>
      </c>
      <c r="D695" s="18">
        <v>50</v>
      </c>
      <c r="E695" s="18">
        <v>10</v>
      </c>
      <c r="F695" s="20">
        <v>0.27385055828075122</v>
      </c>
      <c r="G695" s="4" t="s">
        <v>130</v>
      </c>
      <c r="H695" s="18"/>
    </row>
    <row r="696" spans="1:8" x14ac:dyDescent="0.25">
      <c r="A696" s="4">
        <v>1994</v>
      </c>
      <c r="B696" s="18">
        <v>180</v>
      </c>
      <c r="C696" s="13">
        <v>34514</v>
      </c>
      <c r="D696" s="18">
        <v>50</v>
      </c>
      <c r="E696" s="18">
        <v>11</v>
      </c>
      <c r="F696" s="20">
        <v>0.28499746330388737</v>
      </c>
      <c r="G696" s="4" t="s">
        <v>131</v>
      </c>
      <c r="H696" s="18"/>
    </row>
    <row r="697" spans="1:8" x14ac:dyDescent="0.25">
      <c r="A697" s="4">
        <v>1994</v>
      </c>
      <c r="B697" s="18">
        <v>180</v>
      </c>
      <c r="C697" s="13">
        <v>34514</v>
      </c>
      <c r="D697" s="18">
        <v>50</v>
      </c>
      <c r="E697" s="18">
        <v>12</v>
      </c>
      <c r="F697" s="20">
        <v>0.29060313230396156</v>
      </c>
      <c r="G697" s="4" t="s">
        <v>131</v>
      </c>
      <c r="H697" s="18"/>
    </row>
    <row r="698" spans="1:8" x14ac:dyDescent="0.25">
      <c r="A698" s="4">
        <v>1994</v>
      </c>
      <c r="B698" s="18">
        <v>180</v>
      </c>
      <c r="C698" s="13">
        <v>34514</v>
      </c>
      <c r="D698" s="18">
        <v>30</v>
      </c>
      <c r="E698" s="18">
        <v>1</v>
      </c>
      <c r="F698" s="20">
        <v>0.25774231402766434</v>
      </c>
      <c r="G698" s="4" t="s">
        <v>0</v>
      </c>
      <c r="H698" s="18"/>
    </row>
    <row r="699" spans="1:8" x14ac:dyDescent="0.25">
      <c r="A699" s="4">
        <v>1994</v>
      </c>
      <c r="B699" s="18">
        <v>180</v>
      </c>
      <c r="C699" s="13">
        <v>34514</v>
      </c>
      <c r="D699" s="18">
        <v>30</v>
      </c>
      <c r="E699" s="18">
        <v>2</v>
      </c>
      <c r="F699" s="20">
        <v>0.19575779014178601</v>
      </c>
      <c r="G699" s="4" t="s">
        <v>0</v>
      </c>
      <c r="H699" s="18"/>
    </row>
    <row r="700" spans="1:8" x14ac:dyDescent="0.25">
      <c r="A700" s="4">
        <v>1994</v>
      </c>
      <c r="B700" s="18">
        <v>180</v>
      </c>
      <c r="C700" s="13">
        <v>34514</v>
      </c>
      <c r="D700" s="18">
        <v>30</v>
      </c>
      <c r="E700" s="18">
        <v>3</v>
      </c>
      <c r="F700" s="20">
        <v>0.23010056688936725</v>
      </c>
      <c r="G700" s="4" t="s">
        <v>0</v>
      </c>
      <c r="H700" s="18"/>
    </row>
    <row r="701" spans="1:8" x14ac:dyDescent="0.25">
      <c r="A701" s="4">
        <v>1994</v>
      </c>
      <c r="B701" s="18">
        <v>180</v>
      </c>
      <c r="C701" s="13">
        <v>34514</v>
      </c>
      <c r="D701" s="18">
        <v>30</v>
      </c>
      <c r="E701" s="18">
        <v>4</v>
      </c>
      <c r="F701" s="20">
        <v>0.22240082613639173</v>
      </c>
      <c r="G701" s="4" t="s">
        <v>0</v>
      </c>
      <c r="H701" s="18"/>
    </row>
    <row r="702" spans="1:8" x14ac:dyDescent="0.25">
      <c r="A702" s="4">
        <v>1994</v>
      </c>
      <c r="B702" s="18">
        <v>180</v>
      </c>
      <c r="C702" s="13">
        <v>34514</v>
      </c>
      <c r="D702" s="18">
        <v>30</v>
      </c>
      <c r="E702" s="18">
        <v>5</v>
      </c>
      <c r="F702" s="20">
        <v>0.26106061234380024</v>
      </c>
      <c r="G702" s="4" t="s">
        <v>1</v>
      </c>
      <c r="H702" s="18"/>
    </row>
    <row r="703" spans="1:8" x14ac:dyDescent="0.25">
      <c r="A703" s="4">
        <v>1994</v>
      </c>
      <c r="B703" s="18">
        <v>180</v>
      </c>
      <c r="C703" s="13">
        <v>34514</v>
      </c>
      <c r="D703" s="18">
        <v>30</v>
      </c>
      <c r="E703" s="18">
        <v>6</v>
      </c>
      <c r="F703" s="20">
        <v>0.25052582060228146</v>
      </c>
      <c r="G703" s="4" t="s">
        <v>1</v>
      </c>
      <c r="H703" s="18"/>
    </row>
    <row r="704" spans="1:8" x14ac:dyDescent="0.25">
      <c r="A704" s="4">
        <v>1994</v>
      </c>
      <c r="B704" s="18">
        <v>180</v>
      </c>
      <c r="C704" s="13">
        <v>34514</v>
      </c>
      <c r="D704" s="18">
        <v>30</v>
      </c>
      <c r="E704" s="18">
        <v>7</v>
      </c>
      <c r="F704" s="20">
        <v>0.22288407346398431</v>
      </c>
      <c r="G704" s="4" t="s">
        <v>130</v>
      </c>
      <c r="H704" s="18"/>
    </row>
    <row r="705" spans="1:8" x14ac:dyDescent="0.25">
      <c r="A705" s="4">
        <v>1994</v>
      </c>
      <c r="B705" s="18">
        <v>180</v>
      </c>
      <c r="C705" s="13">
        <v>34514</v>
      </c>
      <c r="D705" s="18">
        <v>30</v>
      </c>
      <c r="E705" s="18">
        <v>8</v>
      </c>
      <c r="F705" s="20">
        <v>0.24991370732066415</v>
      </c>
      <c r="G705" s="4" t="s">
        <v>130</v>
      </c>
      <c r="H705" s="18"/>
    </row>
    <row r="706" spans="1:8" x14ac:dyDescent="0.25">
      <c r="A706" s="4">
        <v>1994</v>
      </c>
      <c r="B706" s="18">
        <v>180</v>
      </c>
      <c r="C706" s="13">
        <v>34514</v>
      </c>
      <c r="D706" s="18">
        <v>30</v>
      </c>
      <c r="E706" s="18">
        <v>9</v>
      </c>
      <c r="F706" s="20">
        <v>0.2692758169128745</v>
      </c>
      <c r="G706" s="4" t="s">
        <v>130</v>
      </c>
      <c r="H706" s="18"/>
    </row>
    <row r="707" spans="1:8" x14ac:dyDescent="0.25">
      <c r="A707" s="4">
        <v>1994</v>
      </c>
      <c r="B707" s="18">
        <v>180</v>
      </c>
      <c r="C707" s="13">
        <v>34514</v>
      </c>
      <c r="D707" s="18">
        <v>30</v>
      </c>
      <c r="E707" s="18">
        <v>10</v>
      </c>
      <c r="F707" s="20">
        <v>0.24327711068839231</v>
      </c>
      <c r="G707" s="4" t="s">
        <v>130</v>
      </c>
      <c r="H707" s="18"/>
    </row>
    <row r="708" spans="1:8" x14ac:dyDescent="0.25">
      <c r="A708" s="4">
        <v>1994</v>
      </c>
      <c r="B708" s="18">
        <v>180</v>
      </c>
      <c r="C708" s="13">
        <v>34514</v>
      </c>
      <c r="D708" s="18">
        <v>30</v>
      </c>
      <c r="E708" s="18">
        <v>11</v>
      </c>
      <c r="F708" s="20">
        <v>0.29459797687872713</v>
      </c>
      <c r="G708" s="4" t="s">
        <v>131</v>
      </c>
      <c r="H708" s="18"/>
    </row>
    <row r="709" spans="1:8" x14ac:dyDescent="0.25">
      <c r="A709" s="4">
        <v>1994</v>
      </c>
      <c r="B709" s="18">
        <v>180</v>
      </c>
      <c r="C709" s="13">
        <v>34514</v>
      </c>
      <c r="D709" s="18">
        <v>30</v>
      </c>
      <c r="E709" s="18">
        <v>12</v>
      </c>
      <c r="F709" s="20">
        <v>0.28544849414297374</v>
      </c>
      <c r="G709" s="4" t="s">
        <v>131</v>
      </c>
      <c r="H709" s="18"/>
    </row>
    <row r="710" spans="1:8" x14ac:dyDescent="0.25">
      <c r="A710" s="4">
        <v>1994</v>
      </c>
      <c r="B710" s="18">
        <v>180</v>
      </c>
      <c r="C710" s="13">
        <v>34514</v>
      </c>
      <c r="D710" s="18">
        <v>10</v>
      </c>
      <c r="E710" s="18">
        <v>1</v>
      </c>
      <c r="F710" s="20">
        <v>0.28715923152475686</v>
      </c>
      <c r="G710" s="4" t="s">
        <v>0</v>
      </c>
      <c r="H710" s="18"/>
    </row>
    <row r="711" spans="1:8" x14ac:dyDescent="0.25">
      <c r="A711" s="4">
        <v>1994</v>
      </c>
      <c r="B711" s="18">
        <v>180</v>
      </c>
      <c r="C711" s="13">
        <v>34514</v>
      </c>
      <c r="D711" s="18">
        <v>10</v>
      </c>
      <c r="E711" s="18">
        <v>2</v>
      </c>
      <c r="F711" s="20">
        <v>0.22970196429886419</v>
      </c>
      <c r="G711" s="4" t="s">
        <v>0</v>
      </c>
      <c r="H711" s="18"/>
    </row>
    <row r="712" spans="1:8" x14ac:dyDescent="0.25">
      <c r="A712" s="4">
        <v>1994</v>
      </c>
      <c r="B712" s="18">
        <v>180</v>
      </c>
      <c r="C712" s="13">
        <v>34514</v>
      </c>
      <c r="D712" s="18">
        <v>10</v>
      </c>
      <c r="E712" s="18">
        <v>3</v>
      </c>
      <c r="F712" s="20">
        <v>0.23085730905426471</v>
      </c>
      <c r="G712" s="4" t="s">
        <v>0</v>
      </c>
      <c r="H712" s="18"/>
    </row>
    <row r="713" spans="1:8" x14ac:dyDescent="0.25">
      <c r="A713" s="4">
        <v>1994</v>
      </c>
      <c r="B713" s="18">
        <v>180</v>
      </c>
      <c r="C713" s="13">
        <v>34514</v>
      </c>
      <c r="D713" s="18">
        <v>10</v>
      </c>
      <c r="E713" s="18">
        <v>4</v>
      </c>
      <c r="F713" s="20">
        <v>0.28318597273179419</v>
      </c>
      <c r="G713" s="4" t="s">
        <v>0</v>
      </c>
      <c r="H713" s="18"/>
    </row>
    <row r="714" spans="1:8" x14ac:dyDescent="0.25">
      <c r="A714" s="4">
        <v>1994</v>
      </c>
      <c r="B714" s="18">
        <v>180</v>
      </c>
      <c r="C714" s="13">
        <v>34514</v>
      </c>
      <c r="D714" s="18">
        <v>10</v>
      </c>
      <c r="E714" s="18">
        <v>5</v>
      </c>
      <c r="F714" s="20">
        <v>0.2820869862571449</v>
      </c>
      <c r="G714" s="4" t="s">
        <v>1</v>
      </c>
      <c r="H714" s="18"/>
    </row>
    <row r="715" spans="1:8" x14ac:dyDescent="0.25">
      <c r="A715" s="4">
        <v>1994</v>
      </c>
      <c r="B715" s="18">
        <v>180</v>
      </c>
      <c r="C715" s="13">
        <v>34514</v>
      </c>
      <c r="D715" s="18">
        <v>10</v>
      </c>
      <c r="E715" s="18">
        <v>6</v>
      </c>
      <c r="F715" s="20">
        <v>0.26281245424021971</v>
      </c>
      <c r="G715" s="4" t="s">
        <v>1</v>
      </c>
      <c r="H715" s="18"/>
    </row>
    <row r="716" spans="1:8" x14ac:dyDescent="0.25">
      <c r="A716" s="4">
        <v>1994</v>
      </c>
      <c r="B716" s="18">
        <v>180</v>
      </c>
      <c r="C716" s="13">
        <v>34514</v>
      </c>
      <c r="D716" s="18">
        <v>10</v>
      </c>
      <c r="E716" s="18">
        <v>7</v>
      </c>
      <c r="F716" s="20">
        <v>0.28901905478954787</v>
      </c>
      <c r="G716" s="4" t="s">
        <v>130</v>
      </c>
      <c r="H716" s="18"/>
    </row>
    <row r="717" spans="1:8" x14ac:dyDescent="0.25">
      <c r="A717" s="4">
        <v>1994</v>
      </c>
      <c r="B717" s="18">
        <v>180</v>
      </c>
      <c r="C717" s="13">
        <v>34514</v>
      </c>
      <c r="D717" s="18">
        <v>10</v>
      </c>
      <c r="E717" s="18">
        <v>8</v>
      </c>
      <c r="F717" s="20">
        <v>0.292513268196125</v>
      </c>
      <c r="G717" s="4" t="s">
        <v>130</v>
      </c>
      <c r="H717" s="18"/>
    </row>
    <row r="718" spans="1:8" x14ac:dyDescent="0.25">
      <c r="A718" s="4">
        <v>1994</v>
      </c>
      <c r="B718" s="18">
        <v>180</v>
      </c>
      <c r="C718" s="13">
        <v>34514</v>
      </c>
      <c r="D718" s="18">
        <v>10</v>
      </c>
      <c r="E718" s="18">
        <v>9</v>
      </c>
      <c r="F718" s="20">
        <v>0.31905801842996062</v>
      </c>
      <c r="G718" s="4" t="s">
        <v>130</v>
      </c>
      <c r="H718" s="18"/>
    </row>
    <row r="719" spans="1:8" x14ac:dyDescent="0.25">
      <c r="A719" s="4">
        <v>1994</v>
      </c>
      <c r="B719" s="18">
        <v>180</v>
      </c>
      <c r="C719" s="13">
        <v>34514</v>
      </c>
      <c r="D719" s="18">
        <v>10</v>
      </c>
      <c r="E719" s="18">
        <v>10</v>
      </c>
      <c r="F719" s="20">
        <v>0.27690202442803052</v>
      </c>
      <c r="G719" s="4" t="s">
        <v>130</v>
      </c>
      <c r="H719" s="18"/>
    </row>
    <row r="720" spans="1:8" x14ac:dyDescent="0.25">
      <c r="A720" s="4">
        <v>1994</v>
      </c>
      <c r="B720" s="18">
        <v>180</v>
      </c>
      <c r="C720" s="13">
        <v>34514</v>
      </c>
      <c r="D720" s="18">
        <v>10</v>
      </c>
      <c r="E720" s="18">
        <v>11</v>
      </c>
      <c r="F720" s="20">
        <v>0.30984343952713234</v>
      </c>
      <c r="G720" s="4" t="s">
        <v>131</v>
      </c>
      <c r="H720" s="18"/>
    </row>
    <row r="721" spans="1:8" x14ac:dyDescent="0.25">
      <c r="A721" s="4">
        <v>1994</v>
      </c>
      <c r="B721" s="18">
        <v>180</v>
      </c>
      <c r="C721" s="13">
        <v>34514</v>
      </c>
      <c r="D721" s="18">
        <v>10</v>
      </c>
      <c r="E721" s="18">
        <v>12</v>
      </c>
      <c r="F721" s="20">
        <v>0.30663101752431149</v>
      </c>
      <c r="G721" s="4" t="s">
        <v>131</v>
      </c>
      <c r="H721" s="18"/>
    </row>
    <row r="722" spans="1:8" x14ac:dyDescent="0.25">
      <c r="A722" s="4">
        <v>1994</v>
      </c>
      <c r="B722" s="18">
        <v>193</v>
      </c>
      <c r="C722" s="13">
        <v>34527</v>
      </c>
      <c r="D722" s="18">
        <v>230</v>
      </c>
      <c r="E722" s="18">
        <v>1</v>
      </c>
      <c r="F722" s="20">
        <v>0.1742561122114171</v>
      </c>
      <c r="G722" s="4" t="s">
        <v>0</v>
      </c>
      <c r="H722" s="18"/>
    </row>
    <row r="723" spans="1:8" x14ac:dyDescent="0.25">
      <c r="A723" s="4">
        <v>1994</v>
      </c>
      <c r="B723" s="18">
        <v>193</v>
      </c>
      <c r="C723" s="13">
        <v>34527</v>
      </c>
      <c r="D723" s="18">
        <v>230</v>
      </c>
      <c r="E723" s="18">
        <v>2</v>
      </c>
      <c r="F723" s="20">
        <v>0.23516960964293665</v>
      </c>
      <c r="G723" s="4" t="s">
        <v>0</v>
      </c>
      <c r="H723" s="18"/>
    </row>
    <row r="724" spans="1:8" x14ac:dyDescent="0.25">
      <c r="A724" s="4">
        <v>1994</v>
      </c>
      <c r="B724" s="18">
        <v>193</v>
      </c>
      <c r="C724" s="13">
        <v>34527</v>
      </c>
      <c r="D724" s="18">
        <v>230</v>
      </c>
      <c r="E724" s="18">
        <v>3</v>
      </c>
      <c r="F724" s="20">
        <v>0.23754389061688069</v>
      </c>
      <c r="G724" s="4" t="s">
        <v>0</v>
      </c>
      <c r="H724" s="18"/>
    </row>
    <row r="725" spans="1:8" x14ac:dyDescent="0.25">
      <c r="A725" s="4">
        <v>1994</v>
      </c>
      <c r="B725" s="18">
        <v>193</v>
      </c>
      <c r="C725" s="13">
        <v>34527</v>
      </c>
      <c r="D725" s="18">
        <v>230</v>
      </c>
      <c r="E725" s="18">
        <v>4</v>
      </c>
      <c r="F725" s="20">
        <v>0.25656451930814339</v>
      </c>
      <c r="G725" s="4" t="s">
        <v>0</v>
      </c>
      <c r="H725" s="18"/>
    </row>
    <row r="726" spans="1:8" x14ac:dyDescent="0.25">
      <c r="A726" s="4">
        <v>1994</v>
      </c>
      <c r="B726" s="18">
        <v>193</v>
      </c>
      <c r="C726" s="13">
        <v>34527</v>
      </c>
      <c r="D726" s="18">
        <v>230</v>
      </c>
      <c r="E726" s="18">
        <v>5</v>
      </c>
      <c r="F726" s="20" t="e">
        <v>#N/A</v>
      </c>
      <c r="G726" s="4" t="s">
        <v>1</v>
      </c>
      <c r="H726" s="18"/>
    </row>
    <row r="727" spans="1:8" x14ac:dyDescent="0.25">
      <c r="A727" s="4">
        <v>1994</v>
      </c>
      <c r="B727" s="18">
        <v>193</v>
      </c>
      <c r="C727" s="13">
        <v>34527</v>
      </c>
      <c r="D727" s="18">
        <v>230</v>
      </c>
      <c r="E727" s="18">
        <v>6</v>
      </c>
      <c r="F727" s="20" t="e">
        <v>#N/A</v>
      </c>
      <c r="G727" s="4" t="s">
        <v>1</v>
      </c>
      <c r="H727" s="18"/>
    </row>
    <row r="728" spans="1:8" x14ac:dyDescent="0.25">
      <c r="A728" s="4">
        <v>1994</v>
      </c>
      <c r="B728" s="18">
        <v>193</v>
      </c>
      <c r="C728" s="13">
        <v>34527</v>
      </c>
      <c r="D728" s="18">
        <v>230</v>
      </c>
      <c r="E728" s="18">
        <v>7</v>
      </c>
      <c r="F728" s="20">
        <v>0.25231719445475465</v>
      </c>
      <c r="G728" s="4" t="s">
        <v>130</v>
      </c>
      <c r="H728" s="18"/>
    </row>
    <row r="729" spans="1:8" x14ac:dyDescent="0.25">
      <c r="A729" s="4">
        <v>1994</v>
      </c>
      <c r="B729" s="18">
        <v>193</v>
      </c>
      <c r="C729" s="13">
        <v>34527</v>
      </c>
      <c r="D729" s="18">
        <v>230</v>
      </c>
      <c r="E729" s="18">
        <v>8</v>
      </c>
      <c r="F729" s="20">
        <v>0.24954719998515329</v>
      </c>
      <c r="G729" s="4" t="s">
        <v>130</v>
      </c>
      <c r="H729" s="18"/>
    </row>
    <row r="730" spans="1:8" x14ac:dyDescent="0.25">
      <c r="A730" s="4">
        <v>1994</v>
      </c>
      <c r="B730" s="18">
        <v>193</v>
      </c>
      <c r="C730" s="13">
        <v>34527</v>
      </c>
      <c r="D730" s="18">
        <v>230</v>
      </c>
      <c r="E730" s="18">
        <v>9</v>
      </c>
      <c r="F730" s="20">
        <v>0.24350597395145124</v>
      </c>
      <c r="G730" s="4" t="s">
        <v>130</v>
      </c>
      <c r="H730" s="18"/>
    </row>
    <row r="731" spans="1:8" x14ac:dyDescent="0.25">
      <c r="A731" s="4">
        <v>1994</v>
      </c>
      <c r="B731" s="18">
        <v>193</v>
      </c>
      <c r="C731" s="13">
        <v>34527</v>
      </c>
      <c r="D731" s="18">
        <v>230</v>
      </c>
      <c r="E731" s="18">
        <v>10</v>
      </c>
      <c r="F731" s="20">
        <v>0.25812099239106229</v>
      </c>
      <c r="G731" s="4" t="s">
        <v>130</v>
      </c>
      <c r="H731" s="18"/>
    </row>
    <row r="732" spans="1:8" x14ac:dyDescent="0.25">
      <c r="A732" s="4">
        <v>1994</v>
      </c>
      <c r="B732" s="18">
        <v>193</v>
      </c>
      <c r="C732" s="13">
        <v>34527</v>
      </c>
      <c r="D732" s="18">
        <v>230</v>
      </c>
      <c r="E732" s="18">
        <v>11</v>
      </c>
      <c r="F732" s="20" t="e">
        <v>#N/A</v>
      </c>
      <c r="G732" s="4" t="s">
        <v>131</v>
      </c>
      <c r="H732" s="18"/>
    </row>
    <row r="733" spans="1:8" x14ac:dyDescent="0.25">
      <c r="A733" s="4">
        <v>1994</v>
      </c>
      <c r="B733" s="18">
        <v>193</v>
      </c>
      <c r="C733" s="13">
        <v>34527</v>
      </c>
      <c r="D733" s="18">
        <v>230</v>
      </c>
      <c r="E733" s="18">
        <v>12</v>
      </c>
      <c r="F733" s="20" t="e">
        <v>#N/A</v>
      </c>
      <c r="G733" s="4" t="s">
        <v>131</v>
      </c>
      <c r="H733" s="18"/>
    </row>
    <row r="734" spans="1:8" x14ac:dyDescent="0.25">
      <c r="A734" s="4">
        <v>1994</v>
      </c>
      <c r="B734" s="18">
        <v>193</v>
      </c>
      <c r="C734" s="13">
        <v>34527</v>
      </c>
      <c r="D734" s="18">
        <v>210</v>
      </c>
      <c r="E734" s="18">
        <v>1</v>
      </c>
      <c r="F734" s="20">
        <v>0.1812734315344072</v>
      </c>
      <c r="G734" s="4" t="s">
        <v>0</v>
      </c>
      <c r="H734" s="18"/>
    </row>
    <row r="735" spans="1:8" x14ac:dyDescent="0.25">
      <c r="A735" s="4">
        <v>1994</v>
      </c>
      <c r="B735" s="18">
        <v>193</v>
      </c>
      <c r="C735" s="13">
        <v>34527</v>
      </c>
      <c r="D735" s="18">
        <v>210</v>
      </c>
      <c r="E735" s="18">
        <v>2</v>
      </c>
      <c r="F735" s="20">
        <v>0.24556368412886942</v>
      </c>
      <c r="G735" s="4" t="s">
        <v>0</v>
      </c>
      <c r="H735" s="18"/>
    </row>
    <row r="736" spans="1:8" x14ac:dyDescent="0.25">
      <c r="A736" s="4">
        <v>1994</v>
      </c>
      <c r="B736" s="18">
        <v>193</v>
      </c>
      <c r="C736" s="13">
        <v>34527</v>
      </c>
      <c r="D736" s="18">
        <v>210</v>
      </c>
      <c r="E736" s="18">
        <v>3</v>
      </c>
      <c r="F736" s="20">
        <v>0.23970712439314079</v>
      </c>
      <c r="G736" s="4" t="s">
        <v>0</v>
      </c>
      <c r="H736" s="18"/>
    </row>
    <row r="737" spans="1:8" x14ac:dyDescent="0.25">
      <c r="A737" s="4">
        <v>1994</v>
      </c>
      <c r="B737" s="18">
        <v>193</v>
      </c>
      <c r="C737" s="13">
        <v>34527</v>
      </c>
      <c r="D737" s="18">
        <v>210</v>
      </c>
      <c r="E737" s="18">
        <v>4</v>
      </c>
      <c r="F737" s="20">
        <v>0.26598250050478806</v>
      </c>
      <c r="G737" s="4" t="s">
        <v>0</v>
      </c>
      <c r="H737" s="18"/>
    </row>
    <row r="738" spans="1:8" x14ac:dyDescent="0.25">
      <c r="A738" s="4">
        <v>1994</v>
      </c>
      <c r="B738" s="18">
        <v>193</v>
      </c>
      <c r="C738" s="13">
        <v>34527</v>
      </c>
      <c r="D738" s="18">
        <v>210</v>
      </c>
      <c r="E738" s="18">
        <v>5</v>
      </c>
      <c r="F738" s="20" t="e">
        <v>#N/A</v>
      </c>
      <c r="G738" s="4" t="s">
        <v>1</v>
      </c>
      <c r="H738" s="18"/>
    </row>
    <row r="739" spans="1:8" x14ac:dyDescent="0.25">
      <c r="A739" s="4">
        <v>1994</v>
      </c>
      <c r="B739" s="18">
        <v>193</v>
      </c>
      <c r="C739" s="13">
        <v>34527</v>
      </c>
      <c r="D739" s="18">
        <v>210</v>
      </c>
      <c r="E739" s="18">
        <v>6</v>
      </c>
      <c r="F739" s="20" t="e">
        <v>#N/A</v>
      </c>
      <c r="G739" s="4" t="s">
        <v>1</v>
      </c>
      <c r="H739" s="18"/>
    </row>
    <row r="740" spans="1:8" x14ac:dyDescent="0.25">
      <c r="A740" s="4">
        <v>1994</v>
      </c>
      <c r="B740" s="18">
        <v>193</v>
      </c>
      <c r="C740" s="13">
        <v>34527</v>
      </c>
      <c r="D740" s="18">
        <v>210</v>
      </c>
      <c r="E740" s="18">
        <v>7</v>
      </c>
      <c r="F740" s="20">
        <v>0.25885965758295598</v>
      </c>
      <c r="G740" s="4" t="s">
        <v>130</v>
      </c>
      <c r="H740" s="18"/>
    </row>
    <row r="741" spans="1:8" x14ac:dyDescent="0.25">
      <c r="A741" s="4">
        <v>1994</v>
      </c>
      <c r="B741" s="18">
        <v>193</v>
      </c>
      <c r="C741" s="13">
        <v>34527</v>
      </c>
      <c r="D741" s="18">
        <v>210</v>
      </c>
      <c r="E741" s="18">
        <v>8</v>
      </c>
      <c r="F741" s="20">
        <v>0.24292559415782045</v>
      </c>
      <c r="G741" s="4" t="s">
        <v>130</v>
      </c>
      <c r="H741" s="18"/>
    </row>
    <row r="742" spans="1:8" x14ac:dyDescent="0.25">
      <c r="A742" s="4">
        <v>1994</v>
      </c>
      <c r="B742" s="18">
        <v>193</v>
      </c>
      <c r="C742" s="13">
        <v>34527</v>
      </c>
      <c r="D742" s="18">
        <v>210</v>
      </c>
      <c r="E742" s="18">
        <v>9</v>
      </c>
      <c r="F742" s="20">
        <v>0.24675082461584141</v>
      </c>
      <c r="G742" s="4" t="s">
        <v>130</v>
      </c>
      <c r="H742" s="18"/>
    </row>
    <row r="743" spans="1:8" x14ac:dyDescent="0.25">
      <c r="A743" s="4">
        <v>1994</v>
      </c>
      <c r="B743" s="18">
        <v>193</v>
      </c>
      <c r="C743" s="13">
        <v>34527</v>
      </c>
      <c r="D743" s="18">
        <v>210</v>
      </c>
      <c r="E743" s="18">
        <v>10</v>
      </c>
      <c r="F743" s="20">
        <v>0.26476897911810554</v>
      </c>
      <c r="G743" s="4" t="s">
        <v>130</v>
      </c>
      <c r="H743" s="18"/>
    </row>
    <row r="744" spans="1:8" x14ac:dyDescent="0.25">
      <c r="A744" s="4">
        <v>1994</v>
      </c>
      <c r="B744" s="18">
        <v>193</v>
      </c>
      <c r="C744" s="13">
        <v>34527</v>
      </c>
      <c r="D744" s="18">
        <v>210</v>
      </c>
      <c r="E744" s="18">
        <v>11</v>
      </c>
      <c r="F744" s="20" t="e">
        <v>#N/A</v>
      </c>
      <c r="G744" s="4" t="s">
        <v>131</v>
      </c>
      <c r="H744" s="18"/>
    </row>
    <row r="745" spans="1:8" x14ac:dyDescent="0.25">
      <c r="A745" s="4">
        <v>1994</v>
      </c>
      <c r="B745" s="18">
        <v>193</v>
      </c>
      <c r="C745" s="13">
        <v>34527</v>
      </c>
      <c r="D745" s="18">
        <v>210</v>
      </c>
      <c r="E745" s="18">
        <v>12</v>
      </c>
      <c r="F745" s="20" t="e">
        <v>#N/A</v>
      </c>
      <c r="G745" s="4" t="s">
        <v>131</v>
      </c>
      <c r="H745" s="18"/>
    </row>
    <row r="746" spans="1:8" x14ac:dyDescent="0.25">
      <c r="A746" s="4">
        <v>1994</v>
      </c>
      <c r="B746" s="18">
        <v>193</v>
      </c>
      <c r="C746" s="13">
        <v>34527</v>
      </c>
      <c r="D746" s="18">
        <v>190</v>
      </c>
      <c r="E746" s="18">
        <v>1</v>
      </c>
      <c r="F746" s="20">
        <v>0.21422317527280824</v>
      </c>
      <c r="G746" s="4" t="s">
        <v>0</v>
      </c>
      <c r="H746" s="18"/>
    </row>
    <row r="747" spans="1:8" x14ac:dyDescent="0.25">
      <c r="A747" s="4">
        <v>1994</v>
      </c>
      <c r="B747" s="18">
        <v>193</v>
      </c>
      <c r="C747" s="13">
        <v>34527</v>
      </c>
      <c r="D747" s="18">
        <v>190</v>
      </c>
      <c r="E747" s="18">
        <v>2</v>
      </c>
      <c r="F747" s="20">
        <v>0.26315974423576571</v>
      </c>
      <c r="G747" s="4" t="s">
        <v>0</v>
      </c>
      <c r="H747" s="18"/>
    </row>
    <row r="748" spans="1:8" x14ac:dyDescent="0.25">
      <c r="A748" s="4">
        <v>1994</v>
      </c>
      <c r="B748" s="18">
        <v>193</v>
      </c>
      <c r="C748" s="13">
        <v>34527</v>
      </c>
      <c r="D748" s="18">
        <v>190</v>
      </c>
      <c r="E748" s="18">
        <v>3</v>
      </c>
      <c r="F748" s="20">
        <v>0.25648537660901194</v>
      </c>
      <c r="G748" s="4" t="s">
        <v>0</v>
      </c>
      <c r="H748" s="18"/>
    </row>
    <row r="749" spans="1:8" x14ac:dyDescent="0.25">
      <c r="A749" s="4">
        <v>1994</v>
      </c>
      <c r="B749" s="18">
        <v>193</v>
      </c>
      <c r="C749" s="13">
        <v>34527</v>
      </c>
      <c r="D749" s="18">
        <v>190</v>
      </c>
      <c r="E749" s="18">
        <v>4</v>
      </c>
      <c r="F749" s="20">
        <v>0.26801382978249572</v>
      </c>
      <c r="G749" s="4" t="s">
        <v>0</v>
      </c>
      <c r="H749" s="18"/>
    </row>
    <row r="750" spans="1:8" x14ac:dyDescent="0.25">
      <c r="A750" s="4">
        <v>1994</v>
      </c>
      <c r="B750" s="18">
        <v>193</v>
      </c>
      <c r="C750" s="13">
        <v>34527</v>
      </c>
      <c r="D750" s="18">
        <v>190</v>
      </c>
      <c r="E750" s="18">
        <v>5</v>
      </c>
      <c r="F750" s="20">
        <v>0.23226771067478286</v>
      </c>
      <c r="G750" s="4" t="s">
        <v>1</v>
      </c>
      <c r="H750" s="18"/>
    </row>
    <row r="751" spans="1:8" x14ac:dyDescent="0.25">
      <c r="A751" s="4">
        <v>1994</v>
      </c>
      <c r="B751" s="18">
        <v>193</v>
      </c>
      <c r="C751" s="13">
        <v>34527</v>
      </c>
      <c r="D751" s="18">
        <v>190</v>
      </c>
      <c r="E751" s="18">
        <v>6</v>
      </c>
      <c r="F751" s="20">
        <v>0.25928175197832376</v>
      </c>
      <c r="G751" s="4" t="s">
        <v>1</v>
      </c>
      <c r="H751" s="18"/>
    </row>
    <row r="752" spans="1:8" x14ac:dyDescent="0.25">
      <c r="A752" s="4">
        <v>1994</v>
      </c>
      <c r="B752" s="18">
        <v>193</v>
      </c>
      <c r="C752" s="13">
        <v>34527</v>
      </c>
      <c r="D752" s="18">
        <v>190</v>
      </c>
      <c r="E752" s="18">
        <v>7</v>
      </c>
      <c r="F752" s="20">
        <v>0.25574671141711824</v>
      </c>
      <c r="G752" s="4" t="s">
        <v>130</v>
      </c>
      <c r="H752" s="18"/>
    </row>
    <row r="753" spans="1:8" x14ac:dyDescent="0.25">
      <c r="A753" s="4">
        <v>1994</v>
      </c>
      <c r="B753" s="18">
        <v>193</v>
      </c>
      <c r="C753" s="13">
        <v>34527</v>
      </c>
      <c r="D753" s="18">
        <v>190</v>
      </c>
      <c r="E753" s="18">
        <v>8</v>
      </c>
      <c r="F753" s="20">
        <v>0.25184233825996588</v>
      </c>
      <c r="G753" s="4" t="s">
        <v>130</v>
      </c>
      <c r="H753" s="18"/>
    </row>
    <row r="754" spans="1:8" x14ac:dyDescent="0.25">
      <c r="A754" s="4">
        <v>1994</v>
      </c>
      <c r="B754" s="18">
        <v>193</v>
      </c>
      <c r="C754" s="13">
        <v>34527</v>
      </c>
      <c r="D754" s="18">
        <v>190</v>
      </c>
      <c r="E754" s="18">
        <v>9</v>
      </c>
      <c r="F754" s="20">
        <v>0.24952081908544277</v>
      </c>
      <c r="G754" s="4" t="s">
        <v>130</v>
      </c>
      <c r="H754" s="18"/>
    </row>
    <row r="755" spans="1:8" x14ac:dyDescent="0.25">
      <c r="A755" s="4">
        <v>1994</v>
      </c>
      <c r="B755" s="18">
        <v>193</v>
      </c>
      <c r="C755" s="13">
        <v>34527</v>
      </c>
      <c r="D755" s="18">
        <v>190</v>
      </c>
      <c r="E755" s="18">
        <v>10</v>
      </c>
      <c r="F755" s="20">
        <v>0.26218365094647761</v>
      </c>
      <c r="G755" s="4" t="s">
        <v>130</v>
      </c>
      <c r="H755" s="18"/>
    </row>
    <row r="756" spans="1:8" x14ac:dyDescent="0.25">
      <c r="A756" s="4">
        <v>1994</v>
      </c>
      <c r="B756" s="18">
        <v>193</v>
      </c>
      <c r="C756" s="13">
        <v>34527</v>
      </c>
      <c r="D756" s="18">
        <v>190</v>
      </c>
      <c r="E756" s="18">
        <v>11</v>
      </c>
      <c r="F756" s="20">
        <v>0.29067502263380596</v>
      </c>
      <c r="G756" s="4" t="s">
        <v>131</v>
      </c>
      <c r="H756" s="18"/>
    </row>
    <row r="757" spans="1:8" x14ac:dyDescent="0.25">
      <c r="A757" s="4">
        <v>1994</v>
      </c>
      <c r="B757" s="18">
        <v>193</v>
      </c>
      <c r="C757" s="13">
        <v>34527</v>
      </c>
      <c r="D757" s="18">
        <v>190</v>
      </c>
      <c r="E757" s="18">
        <v>12</v>
      </c>
      <c r="F757" s="20">
        <v>0.29798253185361145</v>
      </c>
      <c r="G757" s="4" t="s">
        <v>131</v>
      </c>
      <c r="H757" s="18"/>
    </row>
    <row r="758" spans="1:8" x14ac:dyDescent="0.25">
      <c r="A758" s="4">
        <v>1994</v>
      </c>
      <c r="B758" s="18">
        <v>193</v>
      </c>
      <c r="C758" s="13">
        <v>34527</v>
      </c>
      <c r="D758" s="18">
        <v>170</v>
      </c>
      <c r="E758" s="18">
        <v>1</v>
      </c>
      <c r="F758" s="20">
        <v>0.24675082461584141</v>
      </c>
      <c r="G758" s="4" t="s">
        <v>0</v>
      </c>
      <c r="H758" s="18"/>
    </row>
    <row r="759" spans="1:8" x14ac:dyDescent="0.25">
      <c r="A759" s="4">
        <v>1994</v>
      </c>
      <c r="B759" s="18">
        <v>193</v>
      </c>
      <c r="C759" s="13">
        <v>34527</v>
      </c>
      <c r="D759" s="18">
        <v>170</v>
      </c>
      <c r="E759" s="18">
        <v>2</v>
      </c>
      <c r="F759" s="20">
        <v>0.2653757398114468</v>
      </c>
      <c r="G759" s="4" t="s">
        <v>0</v>
      </c>
      <c r="H759" s="18"/>
    </row>
    <row r="760" spans="1:8" x14ac:dyDescent="0.25">
      <c r="A760" s="4">
        <v>1994</v>
      </c>
      <c r="B760" s="18">
        <v>193</v>
      </c>
      <c r="C760" s="13">
        <v>34527</v>
      </c>
      <c r="D760" s="18">
        <v>170</v>
      </c>
      <c r="E760" s="18">
        <v>3</v>
      </c>
      <c r="F760" s="20">
        <v>0.27175991754138518</v>
      </c>
      <c r="G760" s="4" t="s">
        <v>0</v>
      </c>
      <c r="H760" s="18"/>
    </row>
    <row r="761" spans="1:8" x14ac:dyDescent="0.25">
      <c r="A761" s="4">
        <v>1994</v>
      </c>
      <c r="B761" s="18">
        <v>193</v>
      </c>
      <c r="C761" s="13">
        <v>34527</v>
      </c>
      <c r="D761" s="18">
        <v>170</v>
      </c>
      <c r="E761" s="18">
        <v>4</v>
      </c>
      <c r="F761" s="20">
        <v>0.27199734563877959</v>
      </c>
      <c r="G761" s="4" t="s">
        <v>0</v>
      </c>
      <c r="H761" s="18"/>
    </row>
    <row r="762" spans="1:8" x14ac:dyDescent="0.25">
      <c r="A762" s="4">
        <v>1994</v>
      </c>
      <c r="B762" s="18">
        <v>193</v>
      </c>
      <c r="C762" s="13">
        <v>34527</v>
      </c>
      <c r="D762" s="18">
        <v>170</v>
      </c>
      <c r="E762" s="18">
        <v>5</v>
      </c>
      <c r="F762" s="20">
        <v>0.25429576193304138</v>
      </c>
      <c r="G762" s="4" t="s">
        <v>1</v>
      </c>
      <c r="H762" s="18"/>
    </row>
    <row r="763" spans="1:8" x14ac:dyDescent="0.25">
      <c r="A763" s="4">
        <v>1994</v>
      </c>
      <c r="B763" s="18">
        <v>193</v>
      </c>
      <c r="C763" s="13">
        <v>34527</v>
      </c>
      <c r="D763" s="18">
        <v>170</v>
      </c>
      <c r="E763" s="18">
        <v>6</v>
      </c>
      <c r="F763" s="20">
        <v>0.26785554438423281</v>
      </c>
      <c r="G763" s="4" t="s">
        <v>1</v>
      </c>
      <c r="H763" s="18"/>
    </row>
    <row r="764" spans="1:8" x14ac:dyDescent="0.25">
      <c r="A764" s="4">
        <v>1994</v>
      </c>
      <c r="B764" s="18">
        <v>193</v>
      </c>
      <c r="C764" s="13">
        <v>34527</v>
      </c>
      <c r="D764" s="18">
        <v>170</v>
      </c>
      <c r="E764" s="18">
        <v>7</v>
      </c>
      <c r="F764" s="20">
        <v>0.26983411186251949</v>
      </c>
      <c r="G764" s="4" t="s">
        <v>130</v>
      </c>
      <c r="H764" s="18"/>
    </row>
    <row r="765" spans="1:8" x14ac:dyDescent="0.25">
      <c r="A765" s="4">
        <v>1994</v>
      </c>
      <c r="B765" s="18">
        <v>193</v>
      </c>
      <c r="C765" s="13">
        <v>34527</v>
      </c>
      <c r="D765" s="18">
        <v>170</v>
      </c>
      <c r="E765" s="18">
        <v>8</v>
      </c>
      <c r="F765" s="20">
        <v>0.26318612513547618</v>
      </c>
      <c r="G765" s="4" t="s">
        <v>130</v>
      </c>
      <c r="H765" s="18"/>
    </row>
    <row r="766" spans="1:8" x14ac:dyDescent="0.25">
      <c r="A766" s="4">
        <v>1994</v>
      </c>
      <c r="B766" s="18">
        <v>193</v>
      </c>
      <c r="C766" s="13">
        <v>34527</v>
      </c>
      <c r="D766" s="18">
        <v>170</v>
      </c>
      <c r="E766" s="18">
        <v>9</v>
      </c>
      <c r="F766" s="20">
        <v>0.2585167058867196</v>
      </c>
      <c r="G766" s="4" t="s">
        <v>130</v>
      </c>
      <c r="H766" s="18"/>
    </row>
    <row r="767" spans="1:8" x14ac:dyDescent="0.25">
      <c r="A767" s="4">
        <v>1994</v>
      </c>
      <c r="B767" s="18">
        <v>193</v>
      </c>
      <c r="C767" s="13">
        <v>34527</v>
      </c>
      <c r="D767" s="18">
        <v>170</v>
      </c>
      <c r="E767" s="18">
        <v>10</v>
      </c>
      <c r="F767" s="20">
        <v>0.26189346104966221</v>
      </c>
      <c r="G767" s="4" t="s">
        <v>130</v>
      </c>
      <c r="H767" s="18"/>
    </row>
    <row r="768" spans="1:8" x14ac:dyDescent="0.25">
      <c r="A768" s="4">
        <v>1994</v>
      </c>
      <c r="B768" s="18">
        <v>193</v>
      </c>
      <c r="C768" s="13">
        <v>34527</v>
      </c>
      <c r="D768" s="18">
        <v>170</v>
      </c>
      <c r="E768" s="18">
        <v>11</v>
      </c>
      <c r="F768" s="20">
        <v>0.27774838177566624</v>
      </c>
      <c r="G768" s="4" t="s">
        <v>131</v>
      </c>
      <c r="H768" s="18"/>
    </row>
    <row r="769" spans="1:8" x14ac:dyDescent="0.25">
      <c r="A769" s="4">
        <v>1994</v>
      </c>
      <c r="B769" s="18">
        <v>193</v>
      </c>
      <c r="C769" s="13">
        <v>34527</v>
      </c>
      <c r="D769" s="18">
        <v>170</v>
      </c>
      <c r="E769" s="18">
        <v>12</v>
      </c>
      <c r="F769" s="20">
        <v>0.29315482720659192</v>
      </c>
      <c r="G769" s="4" t="s">
        <v>131</v>
      </c>
      <c r="H769" s="18"/>
    </row>
    <row r="770" spans="1:8" x14ac:dyDescent="0.25">
      <c r="A770" s="4">
        <v>1994</v>
      </c>
      <c r="B770" s="18">
        <v>193</v>
      </c>
      <c r="C770" s="13">
        <v>34527</v>
      </c>
      <c r="D770" s="18">
        <v>150</v>
      </c>
      <c r="E770" s="18">
        <v>1</v>
      </c>
      <c r="F770" s="20">
        <v>0.2676181162868384</v>
      </c>
      <c r="G770" s="4" t="s">
        <v>0</v>
      </c>
      <c r="H770" s="18"/>
    </row>
    <row r="771" spans="1:8" x14ac:dyDescent="0.25">
      <c r="A771" s="4">
        <v>1994</v>
      </c>
      <c r="B771" s="18">
        <v>193</v>
      </c>
      <c r="C771" s="13">
        <v>34527</v>
      </c>
      <c r="D771" s="18">
        <v>150</v>
      </c>
      <c r="E771" s="18">
        <v>2</v>
      </c>
      <c r="F771" s="20">
        <v>0.18211762032514286</v>
      </c>
      <c r="G771" s="4" t="s">
        <v>0</v>
      </c>
      <c r="H771" s="18"/>
    </row>
    <row r="772" spans="1:8" x14ac:dyDescent="0.25">
      <c r="A772" s="4">
        <v>1994</v>
      </c>
      <c r="B772" s="18">
        <v>193</v>
      </c>
      <c r="C772" s="13">
        <v>34527</v>
      </c>
      <c r="D772" s="18">
        <v>150</v>
      </c>
      <c r="E772" s="18">
        <v>3</v>
      </c>
      <c r="F772" s="20">
        <v>0.28745655286912625</v>
      </c>
      <c r="G772" s="4" t="s">
        <v>0</v>
      </c>
      <c r="H772" s="18"/>
    </row>
    <row r="773" spans="1:8" x14ac:dyDescent="0.25">
      <c r="A773" s="4">
        <v>1994</v>
      </c>
      <c r="B773" s="18">
        <v>193</v>
      </c>
      <c r="C773" s="13">
        <v>34527</v>
      </c>
      <c r="D773" s="18">
        <v>150</v>
      </c>
      <c r="E773" s="18">
        <v>4</v>
      </c>
      <c r="F773" s="20">
        <v>0.27595448059535294</v>
      </c>
      <c r="G773" s="4" t="s">
        <v>0</v>
      </c>
      <c r="H773" s="18"/>
    </row>
    <row r="774" spans="1:8" x14ac:dyDescent="0.25">
      <c r="A774" s="4">
        <v>1994</v>
      </c>
      <c r="B774" s="18">
        <v>193</v>
      </c>
      <c r="C774" s="13">
        <v>34527</v>
      </c>
      <c r="D774" s="18">
        <v>150</v>
      </c>
      <c r="E774" s="18">
        <v>5</v>
      </c>
      <c r="F774" s="20">
        <v>0.26487450271694751</v>
      </c>
      <c r="G774" s="4" t="s">
        <v>1</v>
      </c>
      <c r="H774" s="18"/>
    </row>
    <row r="775" spans="1:8" x14ac:dyDescent="0.25">
      <c r="A775" s="4">
        <v>1994</v>
      </c>
      <c r="B775" s="18">
        <v>193</v>
      </c>
      <c r="C775" s="13">
        <v>34527</v>
      </c>
      <c r="D775" s="18">
        <v>150</v>
      </c>
      <c r="E775" s="18">
        <v>6</v>
      </c>
      <c r="F775" s="20">
        <v>0.27376486591938237</v>
      </c>
      <c r="G775" s="4" t="s">
        <v>1</v>
      </c>
      <c r="H775" s="18"/>
    </row>
    <row r="776" spans="1:8" x14ac:dyDescent="0.25">
      <c r="A776" s="4">
        <v>1994</v>
      </c>
      <c r="B776" s="18">
        <v>193</v>
      </c>
      <c r="C776" s="13">
        <v>34527</v>
      </c>
      <c r="D776" s="18">
        <v>150</v>
      </c>
      <c r="E776" s="18">
        <v>7</v>
      </c>
      <c r="F776" s="20">
        <v>0.27935761665800607</v>
      </c>
      <c r="G776" s="4" t="s">
        <v>130</v>
      </c>
      <c r="H776" s="18"/>
    </row>
    <row r="777" spans="1:8" x14ac:dyDescent="0.25">
      <c r="A777" s="4">
        <v>1994</v>
      </c>
      <c r="B777" s="18">
        <v>193</v>
      </c>
      <c r="C777" s="13">
        <v>34527</v>
      </c>
      <c r="D777" s="18">
        <v>150</v>
      </c>
      <c r="E777" s="18">
        <v>8</v>
      </c>
      <c r="F777" s="20">
        <v>0.27967418745453193</v>
      </c>
      <c r="G777" s="4" t="s">
        <v>130</v>
      </c>
      <c r="H777" s="18"/>
    </row>
    <row r="778" spans="1:8" x14ac:dyDescent="0.25">
      <c r="A778" s="4">
        <v>1994</v>
      </c>
      <c r="B778" s="18">
        <v>193</v>
      </c>
      <c r="C778" s="13">
        <v>34527</v>
      </c>
      <c r="D778" s="18">
        <v>150</v>
      </c>
      <c r="E778" s="18">
        <v>9</v>
      </c>
      <c r="F778" s="20">
        <v>0.27788028627421868</v>
      </c>
      <c r="G778" s="4" t="s">
        <v>130</v>
      </c>
      <c r="H778" s="18"/>
    </row>
    <row r="779" spans="1:8" x14ac:dyDescent="0.25">
      <c r="A779" s="4">
        <v>1994</v>
      </c>
      <c r="B779" s="18">
        <v>193</v>
      </c>
      <c r="C779" s="13">
        <v>34527</v>
      </c>
      <c r="D779" s="18">
        <v>150</v>
      </c>
      <c r="E779" s="18">
        <v>10</v>
      </c>
      <c r="F779" s="20">
        <v>0.27698333568406203</v>
      </c>
      <c r="G779" s="4" t="s">
        <v>130</v>
      </c>
      <c r="H779" s="18"/>
    </row>
    <row r="780" spans="1:8" x14ac:dyDescent="0.25">
      <c r="A780" s="4">
        <v>1994</v>
      </c>
      <c r="B780" s="18">
        <v>193</v>
      </c>
      <c r="C780" s="13">
        <v>34527</v>
      </c>
      <c r="D780" s="18">
        <v>150</v>
      </c>
      <c r="E780" s="18">
        <v>11</v>
      </c>
      <c r="F780" s="20">
        <v>0.29858929254695271</v>
      </c>
      <c r="G780" s="4" t="s">
        <v>131</v>
      </c>
      <c r="H780" s="18"/>
    </row>
    <row r="781" spans="1:8" x14ac:dyDescent="0.25">
      <c r="A781" s="4">
        <v>1994</v>
      </c>
      <c r="B781" s="18">
        <v>193</v>
      </c>
      <c r="C781" s="13">
        <v>34527</v>
      </c>
      <c r="D781" s="18">
        <v>150</v>
      </c>
      <c r="E781" s="18">
        <v>12</v>
      </c>
      <c r="F781" s="20">
        <v>0.3203535348081063</v>
      </c>
      <c r="G781" s="4" t="s">
        <v>131</v>
      </c>
      <c r="H781" s="18"/>
    </row>
    <row r="782" spans="1:8" x14ac:dyDescent="0.25">
      <c r="A782" s="4">
        <v>1994</v>
      </c>
      <c r="B782" s="18">
        <v>193</v>
      </c>
      <c r="C782" s="13">
        <v>34527</v>
      </c>
      <c r="D782" s="18">
        <v>130</v>
      </c>
      <c r="E782" s="18">
        <v>1</v>
      </c>
      <c r="F782" s="20">
        <v>0.26028422616732239</v>
      </c>
      <c r="G782" s="4" t="s">
        <v>0</v>
      </c>
      <c r="H782" s="18"/>
    </row>
    <row r="783" spans="1:8" x14ac:dyDescent="0.25">
      <c r="A783" s="4">
        <v>1994</v>
      </c>
      <c r="B783" s="18">
        <v>193</v>
      </c>
      <c r="C783" s="13">
        <v>34527</v>
      </c>
      <c r="D783" s="18">
        <v>130</v>
      </c>
      <c r="E783" s="18">
        <v>2</v>
      </c>
      <c r="F783" s="20">
        <v>0.20944823242520968</v>
      </c>
      <c r="G783" s="4" t="s">
        <v>0</v>
      </c>
      <c r="H783" s="18"/>
    </row>
    <row r="784" spans="1:8" x14ac:dyDescent="0.25">
      <c r="A784" s="4">
        <v>1994</v>
      </c>
      <c r="B784" s="18">
        <v>193</v>
      </c>
      <c r="C784" s="13">
        <v>34527</v>
      </c>
      <c r="D784" s="18">
        <v>130</v>
      </c>
      <c r="E784" s="18">
        <v>3</v>
      </c>
      <c r="F784" s="20">
        <v>0.25946641827629724</v>
      </c>
      <c r="G784" s="4" t="s">
        <v>0</v>
      </c>
      <c r="H784" s="18"/>
    </row>
    <row r="785" spans="1:8" x14ac:dyDescent="0.25">
      <c r="A785" s="4">
        <v>1994</v>
      </c>
      <c r="B785" s="18">
        <v>193</v>
      </c>
      <c r="C785" s="13">
        <v>34527</v>
      </c>
      <c r="D785" s="18">
        <v>130</v>
      </c>
      <c r="E785" s="18">
        <v>4</v>
      </c>
      <c r="F785" s="20">
        <v>0.25711851820206366</v>
      </c>
      <c r="G785" s="4" t="s">
        <v>0</v>
      </c>
      <c r="H785" s="18"/>
    </row>
    <row r="786" spans="1:8" x14ac:dyDescent="0.25">
      <c r="A786" s="4">
        <v>1994</v>
      </c>
      <c r="B786" s="18">
        <v>193</v>
      </c>
      <c r="C786" s="13">
        <v>34527</v>
      </c>
      <c r="D786" s="18">
        <v>130</v>
      </c>
      <c r="E786" s="18">
        <v>5</v>
      </c>
      <c r="F786" s="20">
        <v>0.22298163397669069</v>
      </c>
      <c r="G786" s="4" t="s">
        <v>1</v>
      </c>
      <c r="H786" s="18"/>
    </row>
    <row r="787" spans="1:8" x14ac:dyDescent="0.25">
      <c r="A787" s="4">
        <v>1994</v>
      </c>
      <c r="B787" s="18">
        <v>193</v>
      </c>
      <c r="C787" s="13">
        <v>34527</v>
      </c>
      <c r="D787" s="18">
        <v>130</v>
      </c>
      <c r="E787" s="18">
        <v>6</v>
      </c>
      <c r="F787" s="20">
        <v>0.23582913213569889</v>
      </c>
      <c r="G787" s="4" t="s">
        <v>1</v>
      </c>
      <c r="H787" s="18"/>
    </row>
    <row r="788" spans="1:8" x14ac:dyDescent="0.25">
      <c r="A788" s="4">
        <v>1994</v>
      </c>
      <c r="B788" s="18">
        <v>193</v>
      </c>
      <c r="C788" s="13">
        <v>34527</v>
      </c>
      <c r="D788" s="18">
        <v>130</v>
      </c>
      <c r="E788" s="18">
        <v>7</v>
      </c>
      <c r="F788" s="20">
        <v>0.2632125060351867</v>
      </c>
      <c r="G788" s="4" t="s">
        <v>130</v>
      </c>
      <c r="H788" s="18"/>
    </row>
    <row r="789" spans="1:8" x14ac:dyDescent="0.25">
      <c r="A789" s="4">
        <v>1994</v>
      </c>
      <c r="B789" s="18">
        <v>193</v>
      </c>
      <c r="C789" s="13">
        <v>34527</v>
      </c>
      <c r="D789" s="18">
        <v>130</v>
      </c>
      <c r="E789" s="18">
        <v>8</v>
      </c>
      <c r="F789" s="20">
        <v>0.26735430728973353</v>
      </c>
      <c r="G789" s="4" t="s">
        <v>130</v>
      </c>
      <c r="H789" s="18"/>
    </row>
    <row r="790" spans="1:8" x14ac:dyDescent="0.25">
      <c r="A790" s="4">
        <v>1994</v>
      </c>
      <c r="B790" s="18">
        <v>193</v>
      </c>
      <c r="C790" s="13">
        <v>34527</v>
      </c>
      <c r="D790" s="18">
        <v>130</v>
      </c>
      <c r="E790" s="18">
        <v>9</v>
      </c>
      <c r="F790" s="20">
        <v>0.2817846594313711</v>
      </c>
      <c r="G790" s="4" t="s">
        <v>130</v>
      </c>
      <c r="H790" s="18"/>
    </row>
    <row r="791" spans="1:8" x14ac:dyDescent="0.25">
      <c r="A791" s="4">
        <v>1994</v>
      </c>
      <c r="B791" s="18">
        <v>193</v>
      </c>
      <c r="C791" s="13">
        <v>34527</v>
      </c>
      <c r="D791" s="18">
        <v>130</v>
      </c>
      <c r="E791" s="18">
        <v>10</v>
      </c>
      <c r="F791" s="20">
        <v>0.24450844814044986</v>
      </c>
      <c r="G791" s="4" t="s">
        <v>130</v>
      </c>
      <c r="H791" s="18"/>
    </row>
    <row r="792" spans="1:8" x14ac:dyDescent="0.25">
      <c r="A792" s="4">
        <v>1994</v>
      </c>
      <c r="B792" s="18">
        <v>193</v>
      </c>
      <c r="C792" s="13">
        <v>34527</v>
      </c>
      <c r="D792" s="18">
        <v>130</v>
      </c>
      <c r="E792" s="18">
        <v>11</v>
      </c>
      <c r="F792" s="20">
        <v>0.26658926119812931</v>
      </c>
      <c r="G792" s="4" t="s">
        <v>131</v>
      </c>
      <c r="H792" s="18"/>
    </row>
    <row r="793" spans="1:8" x14ac:dyDescent="0.25">
      <c r="A793" s="4">
        <v>1994</v>
      </c>
      <c r="B793" s="18">
        <v>193</v>
      </c>
      <c r="C793" s="13">
        <v>34527</v>
      </c>
      <c r="D793" s="18">
        <v>130</v>
      </c>
      <c r="E793" s="18">
        <v>12</v>
      </c>
      <c r="F793" s="20">
        <v>0.29312844630688145</v>
      </c>
      <c r="G793" s="4" t="s">
        <v>131</v>
      </c>
      <c r="H793" s="18"/>
    </row>
    <row r="794" spans="1:8" x14ac:dyDescent="0.25">
      <c r="A794" s="4">
        <v>1994</v>
      </c>
      <c r="B794" s="18">
        <v>193</v>
      </c>
      <c r="C794" s="13">
        <v>34527</v>
      </c>
      <c r="D794" s="18">
        <v>110</v>
      </c>
      <c r="E794" s="18">
        <v>1</v>
      </c>
      <c r="F794" s="20">
        <v>0.29405029657412218</v>
      </c>
      <c r="G794" s="4" t="s">
        <v>0</v>
      </c>
      <c r="H794" s="18"/>
    </row>
    <row r="795" spans="1:8" x14ac:dyDescent="0.25">
      <c r="A795" s="4">
        <v>1994</v>
      </c>
      <c r="B795" s="18">
        <v>193</v>
      </c>
      <c r="C795" s="13">
        <v>34527</v>
      </c>
      <c r="D795" s="18">
        <v>110</v>
      </c>
      <c r="E795" s="18">
        <v>2</v>
      </c>
      <c r="F795" s="20">
        <v>0.21508768324549032</v>
      </c>
      <c r="G795" s="4" t="s">
        <v>0</v>
      </c>
      <c r="H795" s="18"/>
    </row>
    <row r="796" spans="1:8" x14ac:dyDescent="0.25">
      <c r="A796" s="4">
        <v>1994</v>
      </c>
      <c r="B796" s="18">
        <v>193</v>
      </c>
      <c r="C796" s="13">
        <v>34527</v>
      </c>
      <c r="D796" s="18">
        <v>110</v>
      </c>
      <c r="E796" s="18">
        <v>3</v>
      </c>
      <c r="F796" s="20">
        <v>0.25819334486675077</v>
      </c>
      <c r="G796" s="4" t="s">
        <v>0</v>
      </c>
      <c r="H796" s="18"/>
    </row>
    <row r="797" spans="1:8" x14ac:dyDescent="0.25">
      <c r="A797" s="4">
        <v>1994</v>
      </c>
      <c r="B797" s="18">
        <v>193</v>
      </c>
      <c r="C797" s="13">
        <v>34527</v>
      </c>
      <c r="D797" s="18">
        <v>110</v>
      </c>
      <c r="E797" s="18">
        <v>4</v>
      </c>
      <c r="F797" s="20">
        <v>0.28899230787865288</v>
      </c>
      <c r="G797" s="4" t="s">
        <v>0</v>
      </c>
      <c r="H797" s="18"/>
    </row>
    <row r="798" spans="1:8" x14ac:dyDescent="0.25">
      <c r="A798" s="4">
        <v>1994</v>
      </c>
      <c r="B798" s="18">
        <v>193</v>
      </c>
      <c r="C798" s="13">
        <v>34527</v>
      </c>
      <c r="D798" s="18">
        <v>110</v>
      </c>
      <c r="E798" s="18">
        <v>5</v>
      </c>
      <c r="F798" s="20">
        <v>0.23312891680894759</v>
      </c>
      <c r="G798" s="4" t="s">
        <v>1</v>
      </c>
      <c r="H798" s="18"/>
    </row>
    <row r="799" spans="1:8" x14ac:dyDescent="0.25">
      <c r="A799" s="4">
        <v>1994</v>
      </c>
      <c r="B799" s="18">
        <v>193</v>
      </c>
      <c r="C799" s="13">
        <v>34527</v>
      </c>
      <c r="D799" s="18">
        <v>110</v>
      </c>
      <c r="E799" s="18">
        <v>6</v>
      </c>
      <c r="F799" s="20">
        <v>0.25977195280355331</v>
      </c>
      <c r="G799" s="4" t="s">
        <v>1</v>
      </c>
      <c r="H799" s="18"/>
    </row>
    <row r="800" spans="1:8" x14ac:dyDescent="0.25">
      <c r="A800" s="4">
        <v>1994</v>
      </c>
      <c r="B800" s="18">
        <v>193</v>
      </c>
      <c r="C800" s="13">
        <v>34527</v>
      </c>
      <c r="D800" s="18">
        <v>110</v>
      </c>
      <c r="E800" s="18">
        <v>7</v>
      </c>
      <c r="F800" s="20">
        <v>0.29437246145918389</v>
      </c>
      <c r="G800" s="4" t="s">
        <v>130</v>
      </c>
      <c r="H800" s="18"/>
    </row>
    <row r="801" spans="1:8" x14ac:dyDescent="0.25">
      <c r="A801" s="4">
        <v>1994</v>
      </c>
      <c r="B801" s="18">
        <v>193</v>
      </c>
      <c r="C801" s="13">
        <v>34527</v>
      </c>
      <c r="D801" s="18">
        <v>110</v>
      </c>
      <c r="E801" s="18">
        <v>8</v>
      </c>
      <c r="F801" s="20">
        <v>0.29066756528097387</v>
      </c>
      <c r="G801" s="4" t="s">
        <v>130</v>
      </c>
      <c r="H801" s="18"/>
    </row>
    <row r="802" spans="1:8" x14ac:dyDescent="0.25">
      <c r="A802" s="4">
        <v>1994</v>
      </c>
      <c r="B802" s="18">
        <v>193</v>
      </c>
      <c r="C802" s="13">
        <v>34527</v>
      </c>
      <c r="D802" s="18">
        <v>110</v>
      </c>
      <c r="E802" s="18">
        <v>9</v>
      </c>
      <c r="F802" s="20">
        <v>0.30136343946502359</v>
      </c>
      <c r="G802" s="4" t="s">
        <v>130</v>
      </c>
      <c r="H802" s="18"/>
    </row>
    <row r="803" spans="1:8" x14ac:dyDescent="0.25">
      <c r="A803" s="4">
        <v>1994</v>
      </c>
      <c r="B803" s="18">
        <v>193</v>
      </c>
      <c r="C803" s="13">
        <v>34527</v>
      </c>
      <c r="D803" s="18">
        <v>110</v>
      </c>
      <c r="E803" s="18">
        <v>10</v>
      </c>
      <c r="F803" s="20">
        <v>0.25861215921733105</v>
      </c>
      <c r="G803" s="4" t="s">
        <v>130</v>
      </c>
      <c r="H803" s="18"/>
    </row>
    <row r="804" spans="1:8" x14ac:dyDescent="0.25">
      <c r="A804" s="4">
        <v>1994</v>
      </c>
      <c r="B804" s="18">
        <v>193</v>
      </c>
      <c r="C804" s="13">
        <v>34527</v>
      </c>
      <c r="D804" s="18">
        <v>110</v>
      </c>
      <c r="E804" s="18">
        <v>11</v>
      </c>
      <c r="F804" s="20">
        <v>0.27723328957389948</v>
      </c>
      <c r="G804" s="4" t="s">
        <v>131</v>
      </c>
      <c r="H804" s="18"/>
    </row>
    <row r="805" spans="1:8" x14ac:dyDescent="0.25">
      <c r="A805" s="4">
        <v>1994</v>
      </c>
      <c r="B805" s="18">
        <v>193</v>
      </c>
      <c r="C805" s="13">
        <v>34527</v>
      </c>
      <c r="D805" s="18">
        <v>110</v>
      </c>
      <c r="E805" s="18">
        <v>12</v>
      </c>
      <c r="F805" s="20">
        <v>0.31096395303986341</v>
      </c>
      <c r="G805" s="4" t="s">
        <v>131</v>
      </c>
      <c r="H805" s="18"/>
    </row>
    <row r="806" spans="1:8" x14ac:dyDescent="0.25">
      <c r="A806" s="4">
        <v>1994</v>
      </c>
      <c r="B806" s="18">
        <v>193</v>
      </c>
      <c r="C806" s="13">
        <v>34527</v>
      </c>
      <c r="D806" s="18">
        <v>90</v>
      </c>
      <c r="E806" s="18">
        <v>1</v>
      </c>
      <c r="F806" s="20">
        <v>0.29524230664885059</v>
      </c>
      <c r="G806" s="4" t="s">
        <v>0</v>
      </c>
      <c r="H806" s="18"/>
    </row>
    <row r="807" spans="1:8" x14ac:dyDescent="0.25">
      <c r="A807" s="4">
        <v>1994</v>
      </c>
      <c r="B807" s="18">
        <v>193</v>
      </c>
      <c r="C807" s="13">
        <v>34527</v>
      </c>
      <c r="D807" s="18">
        <v>90</v>
      </c>
      <c r="E807" s="18">
        <v>2</v>
      </c>
      <c r="F807" s="20">
        <v>0.2006546963947245</v>
      </c>
      <c r="G807" s="4" t="s">
        <v>0</v>
      </c>
      <c r="H807" s="18"/>
    </row>
    <row r="808" spans="1:8" x14ac:dyDescent="0.25">
      <c r="A808" s="4">
        <v>1994</v>
      </c>
      <c r="B808" s="18">
        <v>193</v>
      </c>
      <c r="C808" s="13">
        <v>34527</v>
      </c>
      <c r="D808" s="18">
        <v>90</v>
      </c>
      <c r="E808" s="18">
        <v>3</v>
      </c>
      <c r="F808" s="20">
        <v>0.27149875461980055</v>
      </c>
      <c r="G808" s="4" t="s">
        <v>0</v>
      </c>
      <c r="H808" s="18"/>
    </row>
    <row r="809" spans="1:8" x14ac:dyDescent="0.25">
      <c r="A809" s="4">
        <v>1994</v>
      </c>
      <c r="B809" s="18">
        <v>193</v>
      </c>
      <c r="C809" s="13">
        <v>34527</v>
      </c>
      <c r="D809" s="18">
        <v>90</v>
      </c>
      <c r="E809" s="18">
        <v>4</v>
      </c>
      <c r="F809" s="20">
        <v>0.28683380314873924</v>
      </c>
      <c r="G809" s="4" t="s">
        <v>0</v>
      </c>
      <c r="H809" s="18"/>
    </row>
    <row r="810" spans="1:8" x14ac:dyDescent="0.25">
      <c r="A810" s="4">
        <v>1994</v>
      </c>
      <c r="B810" s="18">
        <v>193</v>
      </c>
      <c r="C810" s="13">
        <v>34527</v>
      </c>
      <c r="D810" s="18">
        <v>90</v>
      </c>
      <c r="E810" s="18">
        <v>5</v>
      </c>
      <c r="F810" s="20">
        <v>0.21180160141786059</v>
      </c>
      <c r="G810" s="4" t="s">
        <v>1</v>
      </c>
      <c r="H810" s="18"/>
    </row>
    <row r="811" spans="1:8" x14ac:dyDescent="0.25">
      <c r="A811" s="4">
        <v>1994</v>
      </c>
      <c r="B811" s="18">
        <v>193</v>
      </c>
      <c r="C811" s="13">
        <v>34527</v>
      </c>
      <c r="D811" s="18">
        <v>90</v>
      </c>
      <c r="E811" s="18">
        <v>6</v>
      </c>
      <c r="F811" s="20">
        <v>0.25906319005641743</v>
      </c>
      <c r="G811" s="4" t="s">
        <v>1</v>
      </c>
      <c r="H811" s="18"/>
    </row>
    <row r="812" spans="1:8" x14ac:dyDescent="0.25">
      <c r="A812" s="4">
        <v>1994</v>
      </c>
      <c r="B812" s="18">
        <v>193</v>
      </c>
      <c r="C812" s="13">
        <v>34527</v>
      </c>
      <c r="D812" s="18">
        <v>90</v>
      </c>
      <c r="E812" s="18">
        <v>7</v>
      </c>
      <c r="F812" s="20">
        <v>0.27836086667161553</v>
      </c>
      <c r="G812" s="4" t="s">
        <v>130</v>
      </c>
      <c r="H812" s="18"/>
    </row>
    <row r="813" spans="1:8" x14ac:dyDescent="0.25">
      <c r="A813" s="4">
        <v>1994</v>
      </c>
      <c r="B813" s="18">
        <v>193</v>
      </c>
      <c r="C813" s="13">
        <v>34527</v>
      </c>
      <c r="D813" s="18">
        <v>90</v>
      </c>
      <c r="E813" s="18">
        <v>8</v>
      </c>
      <c r="F813" s="20">
        <v>0.3000747799247766</v>
      </c>
      <c r="G813" s="4" t="s">
        <v>130</v>
      </c>
      <c r="H813" s="18"/>
    </row>
    <row r="814" spans="1:8" x14ac:dyDescent="0.25">
      <c r="A814" s="4">
        <v>1994</v>
      </c>
      <c r="B814" s="18">
        <v>193</v>
      </c>
      <c r="C814" s="13">
        <v>34527</v>
      </c>
      <c r="D814" s="18">
        <v>90</v>
      </c>
      <c r="E814" s="18">
        <v>9</v>
      </c>
      <c r="F814" s="20">
        <v>0.30751678876970279</v>
      </c>
      <c r="G814" s="4" t="s">
        <v>130</v>
      </c>
      <c r="H814" s="18"/>
    </row>
    <row r="815" spans="1:8" x14ac:dyDescent="0.25">
      <c r="A815" s="4">
        <v>1994</v>
      </c>
      <c r="B815" s="18">
        <v>193</v>
      </c>
      <c r="C815" s="13">
        <v>34527</v>
      </c>
      <c r="D815" s="18">
        <v>90</v>
      </c>
      <c r="E815" s="18">
        <v>10</v>
      </c>
      <c r="F815" s="20">
        <v>0.25329643861381235</v>
      </c>
      <c r="G815" s="4" t="s">
        <v>130</v>
      </c>
      <c r="H815" s="18"/>
    </row>
    <row r="816" spans="1:8" x14ac:dyDescent="0.25">
      <c r="A816" s="4">
        <v>1994</v>
      </c>
      <c r="B816" s="18">
        <v>193</v>
      </c>
      <c r="C816" s="13">
        <v>34527</v>
      </c>
      <c r="D816" s="18">
        <v>90</v>
      </c>
      <c r="E816" s="18">
        <v>11</v>
      </c>
      <c r="F816" s="20">
        <v>0.27252968225199808</v>
      </c>
      <c r="G816" s="4" t="s">
        <v>131</v>
      </c>
      <c r="H816" s="18"/>
    </row>
    <row r="817" spans="1:8" x14ac:dyDescent="0.25">
      <c r="A817" s="4">
        <v>1994</v>
      </c>
      <c r="B817" s="18">
        <v>193</v>
      </c>
      <c r="C817" s="13">
        <v>34527</v>
      </c>
      <c r="D817" s="18">
        <v>90</v>
      </c>
      <c r="E817" s="18">
        <v>12</v>
      </c>
      <c r="F817" s="20">
        <v>0.3142822513559993</v>
      </c>
      <c r="G817" s="4" t="s">
        <v>131</v>
      </c>
      <c r="H817" s="18"/>
    </row>
    <row r="818" spans="1:8" x14ac:dyDescent="0.25">
      <c r="A818" s="4">
        <v>1994</v>
      </c>
      <c r="B818" s="18">
        <v>193</v>
      </c>
      <c r="C818" s="13">
        <v>34527</v>
      </c>
      <c r="D818" s="18">
        <v>70</v>
      </c>
      <c r="E818" s="18">
        <v>1</v>
      </c>
      <c r="F818" s="20">
        <v>0.30042916129834457</v>
      </c>
      <c r="G818" s="4" t="s">
        <v>0</v>
      </c>
      <c r="H818" s="18"/>
    </row>
    <row r="819" spans="1:8" x14ac:dyDescent="0.25">
      <c r="A819" s="4">
        <v>1994</v>
      </c>
      <c r="B819" s="18">
        <v>193</v>
      </c>
      <c r="C819" s="13">
        <v>34527</v>
      </c>
      <c r="D819" s="18">
        <v>70</v>
      </c>
      <c r="E819" s="18">
        <v>2</v>
      </c>
      <c r="F819" s="20">
        <v>0.20361861333729242</v>
      </c>
      <c r="G819" s="4" t="s">
        <v>0</v>
      </c>
      <c r="H819" s="18"/>
    </row>
    <row r="820" spans="1:8" x14ac:dyDescent="0.25">
      <c r="A820" s="4">
        <v>1994</v>
      </c>
      <c r="B820" s="18">
        <v>193</v>
      </c>
      <c r="C820" s="13">
        <v>34527</v>
      </c>
      <c r="D820" s="18">
        <v>70</v>
      </c>
      <c r="E820" s="18">
        <v>3</v>
      </c>
      <c r="F820" s="20">
        <v>0.2953067396258629</v>
      </c>
      <c r="G820" s="4" t="s">
        <v>0</v>
      </c>
      <c r="H820" s="18"/>
    </row>
    <row r="821" spans="1:8" x14ac:dyDescent="0.25">
      <c r="A821" s="4">
        <v>1994</v>
      </c>
      <c r="B821" s="18">
        <v>193</v>
      </c>
      <c r="C821" s="13">
        <v>34527</v>
      </c>
      <c r="D821" s="18">
        <v>70</v>
      </c>
      <c r="E821" s="18">
        <v>4</v>
      </c>
      <c r="F821" s="20">
        <v>0.29424359550515922</v>
      </c>
      <c r="G821" s="4" t="s">
        <v>0</v>
      </c>
      <c r="H821" s="18"/>
    </row>
    <row r="822" spans="1:8" x14ac:dyDescent="0.25">
      <c r="A822" s="4">
        <v>1994</v>
      </c>
      <c r="B822" s="18">
        <v>193</v>
      </c>
      <c r="C822" s="13">
        <v>34527</v>
      </c>
      <c r="D822" s="18">
        <v>70</v>
      </c>
      <c r="E822" s="18">
        <v>5</v>
      </c>
      <c r="F822" s="20">
        <v>0.23386989604458958</v>
      </c>
      <c r="G822" s="4" t="s">
        <v>1</v>
      </c>
      <c r="H822" s="18"/>
    </row>
    <row r="823" spans="1:8" x14ac:dyDescent="0.25">
      <c r="A823" s="4">
        <v>1994</v>
      </c>
      <c r="B823" s="18">
        <v>193</v>
      </c>
      <c r="C823" s="13">
        <v>34527</v>
      </c>
      <c r="D823" s="18">
        <v>70</v>
      </c>
      <c r="E823" s="18">
        <v>6</v>
      </c>
      <c r="F823" s="20">
        <v>0.25194334609655306</v>
      </c>
      <c r="G823" s="4" t="s">
        <v>1</v>
      </c>
      <c r="H823" s="18"/>
    </row>
    <row r="824" spans="1:8" x14ac:dyDescent="0.25">
      <c r="A824" s="4">
        <v>1994</v>
      </c>
      <c r="B824" s="18">
        <v>193</v>
      </c>
      <c r="C824" s="13">
        <v>34527</v>
      </c>
      <c r="D824" s="18">
        <v>70</v>
      </c>
      <c r="E824" s="18">
        <v>7</v>
      </c>
      <c r="F824" s="20">
        <v>0.26988793019449181</v>
      </c>
      <c r="G824" s="4" t="s">
        <v>130</v>
      </c>
      <c r="H824" s="18"/>
    </row>
    <row r="825" spans="1:8" x14ac:dyDescent="0.25">
      <c r="A825" s="4">
        <v>1994</v>
      </c>
      <c r="B825" s="18">
        <v>193</v>
      </c>
      <c r="C825" s="13">
        <v>34527</v>
      </c>
      <c r="D825" s="18">
        <v>70</v>
      </c>
      <c r="E825" s="18">
        <v>8</v>
      </c>
      <c r="F825" s="20">
        <v>0.31383122051691281</v>
      </c>
      <c r="G825" s="4" t="s">
        <v>130</v>
      </c>
      <c r="H825" s="18"/>
    </row>
    <row r="826" spans="1:8" x14ac:dyDescent="0.25">
      <c r="A826" s="4">
        <v>1994</v>
      </c>
      <c r="B826" s="18">
        <v>193</v>
      </c>
      <c r="C826" s="13">
        <v>34527</v>
      </c>
      <c r="D826" s="18">
        <v>70</v>
      </c>
      <c r="E826" s="18">
        <v>9</v>
      </c>
      <c r="F826" s="20">
        <v>0.31048070571227077</v>
      </c>
      <c r="G826" s="4" t="s">
        <v>130</v>
      </c>
      <c r="H826" s="18"/>
    </row>
    <row r="827" spans="1:8" x14ac:dyDescent="0.25">
      <c r="A827" s="4">
        <v>1994</v>
      </c>
      <c r="B827" s="18">
        <v>193</v>
      </c>
      <c r="C827" s="13">
        <v>34527</v>
      </c>
      <c r="D827" s="18">
        <v>70</v>
      </c>
      <c r="E827" s="18">
        <v>10</v>
      </c>
      <c r="F827" s="20">
        <v>0.26905030149333137</v>
      </c>
      <c r="G827" s="4" t="s">
        <v>130</v>
      </c>
      <c r="H827" s="18"/>
    </row>
    <row r="828" spans="1:8" x14ac:dyDescent="0.25">
      <c r="A828" s="4">
        <v>1994</v>
      </c>
      <c r="B828" s="18">
        <v>193</v>
      </c>
      <c r="C828" s="13">
        <v>34527</v>
      </c>
      <c r="D828" s="18">
        <v>70</v>
      </c>
      <c r="E828" s="18">
        <v>11</v>
      </c>
      <c r="F828" s="20">
        <v>0.27088664133818324</v>
      </c>
      <c r="G828" s="4" t="s">
        <v>131</v>
      </c>
      <c r="H828" s="18"/>
    </row>
    <row r="829" spans="1:8" x14ac:dyDescent="0.25">
      <c r="A829" s="4">
        <v>1994</v>
      </c>
      <c r="B829" s="18">
        <v>193</v>
      </c>
      <c r="C829" s="13">
        <v>34527</v>
      </c>
      <c r="D829" s="18">
        <v>70</v>
      </c>
      <c r="E829" s="18">
        <v>12</v>
      </c>
      <c r="F829" s="20">
        <v>0.32124101287333284</v>
      </c>
      <c r="G829" s="4" t="s">
        <v>131</v>
      </c>
      <c r="H829" s="18"/>
    </row>
    <row r="830" spans="1:8" x14ac:dyDescent="0.25">
      <c r="A830" s="4">
        <v>1994</v>
      </c>
      <c r="B830" s="18">
        <v>193</v>
      </c>
      <c r="C830" s="13">
        <v>34527</v>
      </c>
      <c r="D830" s="18">
        <v>50</v>
      </c>
      <c r="E830" s="18">
        <v>1</v>
      </c>
      <c r="F830" s="20">
        <v>0.31582864280429562</v>
      </c>
      <c r="G830" s="4" t="s">
        <v>0</v>
      </c>
      <c r="H830" s="18"/>
    </row>
    <row r="831" spans="1:8" x14ac:dyDescent="0.25">
      <c r="A831" s="4">
        <v>1994</v>
      </c>
      <c r="B831" s="18">
        <v>193</v>
      </c>
      <c r="C831" s="13">
        <v>34527</v>
      </c>
      <c r="D831" s="18">
        <v>50</v>
      </c>
      <c r="E831" s="18">
        <v>2</v>
      </c>
      <c r="F831" s="20">
        <v>0.23490082367678716</v>
      </c>
      <c r="G831" s="4" t="s">
        <v>0</v>
      </c>
      <c r="H831" s="18"/>
    </row>
    <row r="832" spans="1:8" x14ac:dyDescent="0.25">
      <c r="A832" s="4">
        <v>1994</v>
      </c>
      <c r="B832" s="18">
        <v>193</v>
      </c>
      <c r="C832" s="13">
        <v>34527</v>
      </c>
      <c r="D832" s="18">
        <v>50</v>
      </c>
      <c r="E832" s="18">
        <v>3</v>
      </c>
      <c r="F832" s="20">
        <v>0.31051292220077692</v>
      </c>
      <c r="G832" s="4" t="s">
        <v>0</v>
      </c>
      <c r="H832" s="18"/>
    </row>
    <row r="833" spans="1:8" x14ac:dyDescent="0.25">
      <c r="A833" s="4">
        <v>1994</v>
      </c>
      <c r="B833" s="18">
        <v>193</v>
      </c>
      <c r="C833" s="13">
        <v>34527</v>
      </c>
      <c r="D833" s="18">
        <v>50</v>
      </c>
      <c r="E833" s="18">
        <v>4</v>
      </c>
      <c r="F833" s="20">
        <v>0.31595750875832029</v>
      </c>
      <c r="G833" s="4" t="s">
        <v>0</v>
      </c>
      <c r="H833" s="18"/>
    </row>
    <row r="834" spans="1:8" x14ac:dyDescent="0.25">
      <c r="A834" s="4">
        <v>1994</v>
      </c>
      <c r="B834" s="18">
        <v>193</v>
      </c>
      <c r="C834" s="13">
        <v>34527</v>
      </c>
      <c r="D834" s="18">
        <v>50</v>
      </c>
      <c r="E834" s="18">
        <v>5</v>
      </c>
      <c r="F834" s="20">
        <v>0.24640211007349117</v>
      </c>
      <c r="G834" s="4" t="s">
        <v>1</v>
      </c>
      <c r="H834" s="18"/>
    </row>
    <row r="835" spans="1:8" x14ac:dyDescent="0.25">
      <c r="A835" s="4">
        <v>1994</v>
      </c>
      <c r="B835" s="18">
        <v>193</v>
      </c>
      <c r="C835" s="13">
        <v>34527</v>
      </c>
      <c r="D835" s="18">
        <v>50</v>
      </c>
      <c r="E835" s="18">
        <v>6</v>
      </c>
      <c r="F835" s="20">
        <v>0.24859283129191101</v>
      </c>
      <c r="G835" s="4" t="s">
        <v>1</v>
      </c>
      <c r="H835" s="18"/>
    </row>
    <row r="836" spans="1:8" x14ac:dyDescent="0.25">
      <c r="A836" s="4">
        <v>1994</v>
      </c>
      <c r="B836" s="18">
        <v>193</v>
      </c>
      <c r="C836" s="13">
        <v>34527</v>
      </c>
      <c r="D836" s="18">
        <v>50</v>
      </c>
      <c r="E836" s="18">
        <v>7</v>
      </c>
      <c r="F836" s="20">
        <v>0.30287761442481376</v>
      </c>
      <c r="G836" s="4" t="s">
        <v>130</v>
      </c>
      <c r="H836" s="18"/>
    </row>
    <row r="837" spans="1:8" x14ac:dyDescent="0.25">
      <c r="A837" s="4">
        <v>1994</v>
      </c>
      <c r="B837" s="18">
        <v>193</v>
      </c>
      <c r="C837" s="13">
        <v>34527</v>
      </c>
      <c r="D837" s="18">
        <v>50</v>
      </c>
      <c r="E837" s="18">
        <v>8</v>
      </c>
      <c r="F837" s="20">
        <v>0.3252036409595922</v>
      </c>
      <c r="G837" s="4" t="s">
        <v>130</v>
      </c>
      <c r="H837" s="18"/>
    </row>
    <row r="838" spans="1:8" x14ac:dyDescent="0.25">
      <c r="A838" s="4">
        <v>1994</v>
      </c>
      <c r="B838" s="18">
        <v>193</v>
      </c>
      <c r="C838" s="13">
        <v>34527</v>
      </c>
      <c r="D838" s="18">
        <v>50</v>
      </c>
      <c r="E838" s="18">
        <v>9</v>
      </c>
      <c r="F838" s="20">
        <v>0.31801936402271541</v>
      </c>
      <c r="G838" s="4" t="s">
        <v>130</v>
      </c>
      <c r="H838" s="18"/>
    </row>
    <row r="839" spans="1:8" x14ac:dyDescent="0.25">
      <c r="A839" s="4">
        <v>1994</v>
      </c>
      <c r="B839" s="18">
        <v>193</v>
      </c>
      <c r="C839" s="13">
        <v>34527</v>
      </c>
      <c r="D839" s="18">
        <v>50</v>
      </c>
      <c r="E839" s="18">
        <v>10</v>
      </c>
      <c r="F839" s="20">
        <v>0.30046137778685073</v>
      </c>
      <c r="G839" s="4" t="s">
        <v>130</v>
      </c>
      <c r="H839" s="18"/>
    </row>
    <row r="840" spans="1:8" x14ac:dyDescent="0.25">
      <c r="A840" s="4">
        <v>1994</v>
      </c>
      <c r="B840" s="18">
        <v>193</v>
      </c>
      <c r="C840" s="13">
        <v>34527</v>
      </c>
      <c r="D840" s="18">
        <v>50</v>
      </c>
      <c r="E840" s="18">
        <v>11</v>
      </c>
      <c r="F840" s="20">
        <v>0.31044848922376461</v>
      </c>
      <c r="G840" s="4" t="s">
        <v>131</v>
      </c>
      <c r="H840" s="18"/>
    </row>
    <row r="841" spans="1:8" x14ac:dyDescent="0.25">
      <c r="A841" s="4">
        <v>1994</v>
      </c>
      <c r="B841" s="18">
        <v>193</v>
      </c>
      <c r="C841" s="13">
        <v>34527</v>
      </c>
      <c r="D841" s="18">
        <v>50</v>
      </c>
      <c r="E841" s="18">
        <v>12</v>
      </c>
      <c r="F841" s="20">
        <v>0.32910183606883919</v>
      </c>
      <c r="G841" s="4" t="s">
        <v>131</v>
      </c>
      <c r="H841" s="18"/>
    </row>
    <row r="842" spans="1:8" x14ac:dyDescent="0.25">
      <c r="A842" s="4">
        <v>1994</v>
      </c>
      <c r="B842" s="18">
        <v>193</v>
      </c>
      <c r="C842" s="13">
        <v>34527</v>
      </c>
      <c r="D842" s="18">
        <v>30</v>
      </c>
      <c r="E842" s="18">
        <v>1</v>
      </c>
      <c r="F842" s="20">
        <v>0.31743946722960426</v>
      </c>
      <c r="G842" s="4" t="s">
        <v>0</v>
      </c>
      <c r="H842" s="18"/>
    </row>
    <row r="843" spans="1:8" x14ac:dyDescent="0.25">
      <c r="A843" s="4">
        <v>1994</v>
      </c>
      <c r="B843" s="18">
        <v>193</v>
      </c>
      <c r="C843" s="13">
        <v>34527</v>
      </c>
      <c r="D843" s="18">
        <v>30</v>
      </c>
      <c r="E843" s="18">
        <v>2</v>
      </c>
      <c r="F843" s="20">
        <v>0.25516499494717043</v>
      </c>
      <c r="G843" s="4" t="s">
        <v>0</v>
      </c>
      <c r="H843" s="18"/>
    </row>
    <row r="844" spans="1:8" x14ac:dyDescent="0.25">
      <c r="A844" s="4">
        <v>1994</v>
      </c>
      <c r="B844" s="18">
        <v>193</v>
      </c>
      <c r="C844" s="13">
        <v>34527</v>
      </c>
      <c r="D844" s="18">
        <v>30</v>
      </c>
      <c r="E844" s="18">
        <v>3</v>
      </c>
      <c r="F844" s="20">
        <v>0.30835441747086334</v>
      </c>
      <c r="G844" s="4" t="s">
        <v>0</v>
      </c>
      <c r="H844" s="18"/>
    </row>
    <row r="845" spans="1:8" x14ac:dyDescent="0.25">
      <c r="A845" s="4">
        <v>1994</v>
      </c>
      <c r="B845" s="18">
        <v>193</v>
      </c>
      <c r="C845" s="13">
        <v>34527</v>
      </c>
      <c r="D845" s="18">
        <v>30</v>
      </c>
      <c r="E845" s="18">
        <v>4</v>
      </c>
      <c r="F845" s="20">
        <v>0.31463663272956721</v>
      </c>
      <c r="G845" s="4" t="s">
        <v>0</v>
      </c>
      <c r="H845" s="18"/>
    </row>
    <row r="846" spans="1:8" x14ac:dyDescent="0.25">
      <c r="A846" s="4">
        <v>1994</v>
      </c>
      <c r="B846" s="18">
        <v>193</v>
      </c>
      <c r="C846" s="13">
        <v>34527</v>
      </c>
      <c r="D846" s="18">
        <v>30</v>
      </c>
      <c r="E846" s="18">
        <v>5</v>
      </c>
      <c r="F846" s="20">
        <v>0.31347683914334495</v>
      </c>
      <c r="G846" s="4" t="s">
        <v>1</v>
      </c>
      <c r="H846" s="18"/>
    </row>
    <row r="847" spans="1:8" x14ac:dyDescent="0.25">
      <c r="A847" s="4">
        <v>1994</v>
      </c>
      <c r="B847" s="18">
        <v>193</v>
      </c>
      <c r="C847" s="13">
        <v>34527</v>
      </c>
      <c r="D847" s="18">
        <v>30</v>
      </c>
      <c r="E847" s="18">
        <v>6</v>
      </c>
      <c r="F847" s="20">
        <v>0.2807448868210724</v>
      </c>
      <c r="G847" s="4" t="s">
        <v>1</v>
      </c>
      <c r="H847" s="18"/>
    </row>
    <row r="848" spans="1:8" x14ac:dyDescent="0.25">
      <c r="A848" s="4">
        <v>1994</v>
      </c>
      <c r="B848" s="18">
        <v>193</v>
      </c>
      <c r="C848" s="13">
        <v>34527</v>
      </c>
      <c r="D848" s="18">
        <v>30</v>
      </c>
      <c r="E848" s="18">
        <v>7</v>
      </c>
      <c r="F848" s="20">
        <v>0.28986215306831953</v>
      </c>
      <c r="G848" s="4" t="s">
        <v>130</v>
      </c>
      <c r="H848" s="18"/>
    </row>
    <row r="849" spans="1:8" x14ac:dyDescent="0.25">
      <c r="A849" s="4">
        <v>1994</v>
      </c>
      <c r="B849" s="18">
        <v>193</v>
      </c>
      <c r="C849" s="13">
        <v>34527</v>
      </c>
      <c r="D849" s="18">
        <v>30</v>
      </c>
      <c r="E849" s="18">
        <v>8</v>
      </c>
      <c r="F849" s="20">
        <v>0.3210154974537896</v>
      </c>
      <c r="G849" s="4" t="s">
        <v>130</v>
      </c>
      <c r="H849" s="18"/>
    </row>
    <row r="850" spans="1:8" x14ac:dyDescent="0.25">
      <c r="A850" s="4">
        <v>1994</v>
      </c>
      <c r="B850" s="18">
        <v>193</v>
      </c>
      <c r="C850" s="13">
        <v>34527</v>
      </c>
      <c r="D850" s="18">
        <v>30</v>
      </c>
      <c r="E850" s="18">
        <v>9</v>
      </c>
      <c r="F850" s="20">
        <v>0.32136987882735751</v>
      </c>
      <c r="G850" s="4" t="s">
        <v>130</v>
      </c>
      <c r="H850" s="18"/>
    </row>
    <row r="851" spans="1:8" x14ac:dyDescent="0.25">
      <c r="A851" s="4">
        <v>1994</v>
      </c>
      <c r="B851" s="18">
        <v>193</v>
      </c>
      <c r="C851" s="13">
        <v>34527</v>
      </c>
      <c r="D851" s="18">
        <v>30</v>
      </c>
      <c r="E851" s="18">
        <v>10</v>
      </c>
      <c r="F851" s="20">
        <v>0.31241369502264116</v>
      </c>
      <c r="G851" s="4" t="s">
        <v>130</v>
      </c>
      <c r="H851" s="18"/>
    </row>
    <row r="852" spans="1:8" x14ac:dyDescent="0.25">
      <c r="A852" s="4">
        <v>1994</v>
      </c>
      <c r="B852" s="18">
        <v>193</v>
      </c>
      <c r="C852" s="13">
        <v>34527</v>
      </c>
      <c r="D852" s="18">
        <v>30</v>
      </c>
      <c r="E852" s="18">
        <v>11</v>
      </c>
      <c r="F852" s="20">
        <v>0.33145363972978992</v>
      </c>
      <c r="G852" s="4" t="s">
        <v>131</v>
      </c>
      <c r="H852" s="18"/>
    </row>
    <row r="853" spans="1:8" x14ac:dyDescent="0.25">
      <c r="A853" s="4">
        <v>1994</v>
      </c>
      <c r="B853" s="18">
        <v>193</v>
      </c>
      <c r="C853" s="13">
        <v>34527</v>
      </c>
      <c r="D853" s="18">
        <v>30</v>
      </c>
      <c r="E853" s="18">
        <v>12</v>
      </c>
      <c r="F853" s="20">
        <v>0.32794204248261694</v>
      </c>
      <c r="G853" s="4" t="s">
        <v>131</v>
      </c>
      <c r="H853" s="18"/>
    </row>
    <row r="854" spans="1:8" x14ac:dyDescent="0.25">
      <c r="A854" s="4">
        <v>1994</v>
      </c>
      <c r="B854" s="18">
        <v>193</v>
      </c>
      <c r="C854" s="13">
        <v>34527</v>
      </c>
      <c r="D854" s="18">
        <v>10</v>
      </c>
      <c r="E854" s="18">
        <v>1</v>
      </c>
      <c r="F854" s="20">
        <v>0.32148142450226408</v>
      </c>
      <c r="G854" s="4" t="s">
        <v>0</v>
      </c>
      <c r="H854" s="18"/>
    </row>
    <row r="855" spans="1:8" x14ac:dyDescent="0.25">
      <c r="A855" s="4">
        <v>1994</v>
      </c>
      <c r="B855" s="18">
        <v>193</v>
      </c>
      <c r="C855" s="13">
        <v>34527</v>
      </c>
      <c r="D855" s="18">
        <v>10</v>
      </c>
      <c r="E855" s="18">
        <v>2</v>
      </c>
      <c r="F855" s="20">
        <v>0.29913536618439607</v>
      </c>
      <c r="G855" s="4" t="s">
        <v>0</v>
      </c>
      <c r="H855" s="18"/>
    </row>
    <row r="856" spans="1:8" x14ac:dyDescent="0.25">
      <c r="A856" s="4">
        <v>1994</v>
      </c>
      <c r="B856" s="18">
        <v>193</v>
      </c>
      <c r="C856" s="13">
        <v>34527</v>
      </c>
      <c r="D856" s="18">
        <v>10</v>
      </c>
      <c r="E856" s="18">
        <v>3</v>
      </c>
      <c r="F856" s="20">
        <v>0.29366861295152547</v>
      </c>
      <c r="G856" s="4" t="s">
        <v>0</v>
      </c>
      <c r="H856" s="18"/>
    </row>
    <row r="857" spans="1:8" x14ac:dyDescent="0.25">
      <c r="A857" s="4">
        <v>1994</v>
      </c>
      <c r="B857" s="18">
        <v>193</v>
      </c>
      <c r="C857" s="13">
        <v>34527</v>
      </c>
      <c r="D857" s="18">
        <v>10</v>
      </c>
      <c r="E857" s="18">
        <v>4</v>
      </c>
      <c r="F857" s="20">
        <v>0.33923428293890578</v>
      </c>
      <c r="G857" s="4" t="s">
        <v>0</v>
      </c>
      <c r="H857" s="18"/>
    </row>
    <row r="858" spans="1:8" x14ac:dyDescent="0.25">
      <c r="A858" s="4">
        <v>1994</v>
      </c>
      <c r="B858" s="18">
        <v>193</v>
      </c>
      <c r="C858" s="13">
        <v>34527</v>
      </c>
      <c r="D858" s="18">
        <v>10</v>
      </c>
      <c r="E858" s="18">
        <v>5</v>
      </c>
      <c r="F858" s="20">
        <v>0.31046338061539597</v>
      </c>
      <c r="G858" s="4" t="s">
        <v>1</v>
      </c>
      <c r="H858" s="18"/>
    </row>
    <row r="859" spans="1:8" x14ac:dyDescent="0.25">
      <c r="A859" s="4">
        <v>1994</v>
      </c>
      <c r="B859" s="18">
        <v>193</v>
      </c>
      <c r="C859" s="13">
        <v>34527</v>
      </c>
      <c r="D859" s="18">
        <v>10</v>
      </c>
      <c r="E859" s="18">
        <v>6</v>
      </c>
      <c r="F859" s="20">
        <v>0.28535576654071709</v>
      </c>
      <c r="G859" s="4" t="s">
        <v>1</v>
      </c>
      <c r="H859" s="18"/>
    </row>
    <row r="860" spans="1:8" x14ac:dyDescent="0.25">
      <c r="A860" s="4">
        <v>1994</v>
      </c>
      <c r="B860" s="18">
        <v>193</v>
      </c>
      <c r="C860" s="13">
        <v>34527</v>
      </c>
      <c r="D860" s="18">
        <v>10</v>
      </c>
      <c r="E860" s="18">
        <v>7</v>
      </c>
      <c r="F860" s="20">
        <v>0.32035425888723923</v>
      </c>
      <c r="G860" s="4" t="s">
        <v>130</v>
      </c>
      <c r="H860" s="18"/>
    </row>
    <row r="861" spans="1:8" x14ac:dyDescent="0.25">
      <c r="A861" s="4">
        <v>1994</v>
      </c>
      <c r="B861" s="18">
        <v>193</v>
      </c>
      <c r="C861" s="13">
        <v>34527</v>
      </c>
      <c r="D861" s="18">
        <v>10</v>
      </c>
      <c r="E861" s="18">
        <v>8</v>
      </c>
      <c r="F861" s="20">
        <v>0.3345283664961769</v>
      </c>
      <c r="G861" s="4" t="s">
        <v>130</v>
      </c>
      <c r="H861" s="18"/>
    </row>
    <row r="862" spans="1:8" x14ac:dyDescent="0.25">
      <c r="A862" s="4">
        <v>1994</v>
      </c>
      <c r="B862" s="18">
        <v>193</v>
      </c>
      <c r="C862" s="13">
        <v>34527</v>
      </c>
      <c r="D862" s="18">
        <v>10</v>
      </c>
      <c r="E862" s="18">
        <v>9</v>
      </c>
      <c r="F862" s="20">
        <v>0.3317949898797416</v>
      </c>
      <c r="G862" s="4" t="s">
        <v>130</v>
      </c>
      <c r="H862" s="18"/>
    </row>
    <row r="863" spans="1:8" x14ac:dyDescent="0.25">
      <c r="A863" s="4">
        <v>1994</v>
      </c>
      <c r="B863" s="18">
        <v>193</v>
      </c>
      <c r="C863" s="13">
        <v>34527</v>
      </c>
      <c r="D863" s="18">
        <v>10</v>
      </c>
      <c r="E863" s="18">
        <v>10</v>
      </c>
      <c r="F863" s="20">
        <v>0.31984703436047807</v>
      </c>
      <c r="G863" s="4" t="s">
        <v>130</v>
      </c>
      <c r="H863" s="18"/>
    </row>
    <row r="864" spans="1:8" x14ac:dyDescent="0.25">
      <c r="A864" s="4">
        <v>1994</v>
      </c>
      <c r="B864" s="18">
        <v>193</v>
      </c>
      <c r="C864" s="13">
        <v>34527</v>
      </c>
      <c r="D864" s="18">
        <v>10</v>
      </c>
      <c r="E864" s="18">
        <v>11</v>
      </c>
      <c r="F864" s="20">
        <v>0.33233039354687843</v>
      </c>
      <c r="G864" s="4" t="s">
        <v>131</v>
      </c>
      <c r="H864" s="18"/>
    </row>
    <row r="865" spans="1:8" x14ac:dyDescent="0.25">
      <c r="A865" s="4">
        <v>1994</v>
      </c>
      <c r="B865" s="18">
        <v>193</v>
      </c>
      <c r="C865" s="13">
        <v>34527</v>
      </c>
      <c r="D865" s="18">
        <v>10</v>
      </c>
      <c r="E865" s="18">
        <v>12</v>
      </c>
      <c r="F865" s="20">
        <v>0.32903343412293073</v>
      </c>
      <c r="G865" s="4" t="s">
        <v>131</v>
      </c>
      <c r="H865" s="18"/>
    </row>
    <row r="866" spans="1:8" x14ac:dyDescent="0.25">
      <c r="A866" s="4">
        <v>1994</v>
      </c>
      <c r="B866" s="18">
        <v>210</v>
      </c>
      <c r="C866" s="13">
        <v>34544</v>
      </c>
      <c r="D866" s="18">
        <v>230</v>
      </c>
      <c r="E866" s="18">
        <v>1</v>
      </c>
      <c r="F866" s="20">
        <v>0.17541687179867863</v>
      </c>
      <c r="G866" s="4" t="s">
        <v>0</v>
      </c>
      <c r="H866" s="18"/>
    </row>
    <row r="867" spans="1:8" x14ac:dyDescent="0.25">
      <c r="A867" s="4">
        <v>1994</v>
      </c>
      <c r="B867" s="18">
        <v>210</v>
      </c>
      <c r="C867" s="13">
        <v>34544</v>
      </c>
      <c r="D867" s="18">
        <v>230</v>
      </c>
      <c r="E867" s="18">
        <v>2</v>
      </c>
      <c r="F867" s="20">
        <v>0.23414075455422761</v>
      </c>
      <c r="G867" s="4" t="s">
        <v>0</v>
      </c>
      <c r="H867" s="18"/>
    </row>
    <row r="868" spans="1:8" x14ac:dyDescent="0.25">
      <c r="A868" s="4">
        <v>1994</v>
      </c>
      <c r="B868" s="18">
        <v>210</v>
      </c>
      <c r="C868" s="13">
        <v>34544</v>
      </c>
      <c r="D868" s="18">
        <v>230</v>
      </c>
      <c r="E868" s="18">
        <v>3</v>
      </c>
      <c r="F868" s="20">
        <v>0.24026112328706106</v>
      </c>
      <c r="G868" s="4" t="s">
        <v>0</v>
      </c>
      <c r="H868" s="18"/>
    </row>
    <row r="869" spans="1:8" x14ac:dyDescent="0.25">
      <c r="A869" s="4">
        <v>1994</v>
      </c>
      <c r="B869" s="18">
        <v>210</v>
      </c>
      <c r="C869" s="13">
        <v>34544</v>
      </c>
      <c r="D869" s="18">
        <v>230</v>
      </c>
      <c r="E869" s="18">
        <v>4</v>
      </c>
      <c r="F869" s="20">
        <v>0.26310698243634473</v>
      </c>
      <c r="G869" s="4" t="s">
        <v>0</v>
      </c>
      <c r="H869" s="18"/>
    </row>
    <row r="870" spans="1:8" x14ac:dyDescent="0.25">
      <c r="A870" s="4">
        <v>1994</v>
      </c>
      <c r="B870" s="18">
        <v>210</v>
      </c>
      <c r="C870" s="13">
        <v>34544</v>
      </c>
      <c r="D870" s="18">
        <v>230</v>
      </c>
      <c r="E870" s="18">
        <v>5</v>
      </c>
      <c r="F870" s="20" t="e">
        <v>#N/A</v>
      </c>
      <c r="G870" s="4" t="s">
        <v>1</v>
      </c>
      <c r="H870" s="18"/>
    </row>
    <row r="871" spans="1:8" x14ac:dyDescent="0.25">
      <c r="A871" s="4">
        <v>1994</v>
      </c>
      <c r="B871" s="18">
        <v>210</v>
      </c>
      <c r="C871" s="13">
        <v>34544</v>
      </c>
      <c r="D871" s="18">
        <v>230</v>
      </c>
      <c r="E871" s="18">
        <v>6</v>
      </c>
      <c r="F871" s="20" t="e">
        <v>#N/A</v>
      </c>
      <c r="G871" s="4" t="s">
        <v>1</v>
      </c>
      <c r="H871" s="18"/>
    </row>
    <row r="872" spans="1:8" x14ac:dyDescent="0.25">
      <c r="A872" s="4">
        <v>1994</v>
      </c>
      <c r="B872" s="18">
        <v>210</v>
      </c>
      <c r="C872" s="13">
        <v>34544</v>
      </c>
      <c r="D872" s="18">
        <v>230</v>
      </c>
      <c r="E872" s="18">
        <v>7</v>
      </c>
      <c r="F872" s="20">
        <v>0.25941365647687625</v>
      </c>
      <c r="G872" s="4" t="s">
        <v>130</v>
      </c>
      <c r="H872" s="18"/>
    </row>
    <row r="873" spans="1:8" x14ac:dyDescent="0.25">
      <c r="A873" s="4">
        <v>1994</v>
      </c>
      <c r="B873" s="18">
        <v>210</v>
      </c>
      <c r="C873" s="13">
        <v>34544</v>
      </c>
      <c r="D873" s="18">
        <v>230</v>
      </c>
      <c r="E873" s="18">
        <v>8</v>
      </c>
      <c r="F873" s="20">
        <v>0.25453319003043573</v>
      </c>
      <c r="G873" s="4" t="s">
        <v>130</v>
      </c>
      <c r="H873" s="18"/>
    </row>
    <row r="874" spans="1:8" x14ac:dyDescent="0.25">
      <c r="A874" s="4">
        <v>1994</v>
      </c>
      <c r="B874" s="18">
        <v>210</v>
      </c>
      <c r="C874" s="13">
        <v>34544</v>
      </c>
      <c r="D874" s="18">
        <v>230</v>
      </c>
      <c r="E874" s="18">
        <v>9</v>
      </c>
      <c r="F874" s="20">
        <v>0.25326690684433223</v>
      </c>
      <c r="G874" s="4" t="s">
        <v>130</v>
      </c>
      <c r="H874" s="18"/>
    </row>
    <row r="875" spans="1:8" x14ac:dyDescent="0.25">
      <c r="A875" s="4">
        <v>1994</v>
      </c>
      <c r="B875" s="18">
        <v>210</v>
      </c>
      <c r="C875" s="13">
        <v>34544</v>
      </c>
      <c r="D875" s="18">
        <v>230</v>
      </c>
      <c r="E875" s="18">
        <v>10</v>
      </c>
      <c r="F875" s="20">
        <v>0.26123393855689997</v>
      </c>
      <c r="G875" s="4" t="s">
        <v>130</v>
      </c>
      <c r="H875" s="18"/>
    </row>
    <row r="876" spans="1:8" x14ac:dyDescent="0.25">
      <c r="A876" s="4">
        <v>1994</v>
      </c>
      <c r="B876" s="18">
        <v>210</v>
      </c>
      <c r="C876" s="13">
        <v>34544</v>
      </c>
      <c r="D876" s="18">
        <v>230</v>
      </c>
      <c r="E876" s="18">
        <v>11</v>
      </c>
      <c r="F876" s="20" t="e">
        <v>#N/A</v>
      </c>
      <c r="G876" s="4" t="s">
        <v>131</v>
      </c>
      <c r="H876" s="18"/>
    </row>
    <row r="877" spans="1:8" x14ac:dyDescent="0.25">
      <c r="A877" s="4">
        <v>1994</v>
      </c>
      <c r="B877" s="18">
        <v>210</v>
      </c>
      <c r="C877" s="13">
        <v>34544</v>
      </c>
      <c r="D877" s="18">
        <v>230</v>
      </c>
      <c r="E877" s="18">
        <v>12</v>
      </c>
      <c r="F877" s="20" t="e">
        <v>#N/A</v>
      </c>
      <c r="G877" s="4" t="s">
        <v>131</v>
      </c>
      <c r="H877" s="18"/>
    </row>
    <row r="878" spans="1:8" x14ac:dyDescent="0.25">
      <c r="A878" s="4">
        <v>1994</v>
      </c>
      <c r="B878" s="18">
        <v>210</v>
      </c>
      <c r="C878" s="13">
        <v>34544</v>
      </c>
      <c r="D878" s="18">
        <v>210</v>
      </c>
      <c r="E878" s="18">
        <v>1</v>
      </c>
      <c r="F878" s="20">
        <v>0.18159000233093311</v>
      </c>
      <c r="G878" s="4" t="s">
        <v>0</v>
      </c>
      <c r="H878" s="18"/>
    </row>
    <row r="879" spans="1:8" x14ac:dyDescent="0.25">
      <c r="A879" s="4">
        <v>1994</v>
      </c>
      <c r="B879" s="18">
        <v>210</v>
      </c>
      <c r="C879" s="13">
        <v>34544</v>
      </c>
      <c r="D879" s="18">
        <v>210</v>
      </c>
      <c r="E879" s="18">
        <v>2</v>
      </c>
      <c r="F879" s="20">
        <v>0.25110367306807213</v>
      </c>
      <c r="G879" s="4" t="s">
        <v>0</v>
      </c>
      <c r="H879" s="18"/>
    </row>
    <row r="880" spans="1:8" x14ac:dyDescent="0.25">
      <c r="A880" s="4">
        <v>1994</v>
      </c>
      <c r="B880" s="18">
        <v>210</v>
      </c>
      <c r="C880" s="13">
        <v>34544</v>
      </c>
      <c r="D880" s="18">
        <v>210</v>
      </c>
      <c r="E880" s="18">
        <v>3</v>
      </c>
      <c r="F880" s="20">
        <v>0.24041940868532402</v>
      </c>
      <c r="G880" s="4" t="s">
        <v>0</v>
      </c>
      <c r="H880" s="18"/>
    </row>
    <row r="881" spans="1:8" x14ac:dyDescent="0.25">
      <c r="A881" s="4">
        <v>1994</v>
      </c>
      <c r="B881" s="18">
        <v>210</v>
      </c>
      <c r="C881" s="13">
        <v>34544</v>
      </c>
      <c r="D881" s="18">
        <v>210</v>
      </c>
      <c r="E881" s="18">
        <v>4</v>
      </c>
      <c r="F881" s="20">
        <v>0.2653757398114468</v>
      </c>
      <c r="G881" s="4" t="s">
        <v>0</v>
      </c>
      <c r="H881" s="18"/>
    </row>
    <row r="882" spans="1:8" x14ac:dyDescent="0.25">
      <c r="A882" s="4">
        <v>1994</v>
      </c>
      <c r="B882" s="18">
        <v>210</v>
      </c>
      <c r="C882" s="13">
        <v>34544</v>
      </c>
      <c r="D882" s="18">
        <v>210</v>
      </c>
      <c r="E882" s="18">
        <v>5</v>
      </c>
      <c r="F882" s="20" t="e">
        <v>#N/A</v>
      </c>
      <c r="G882" s="4" t="s">
        <v>1</v>
      </c>
      <c r="H882" s="18"/>
    </row>
    <row r="883" spans="1:8" x14ac:dyDescent="0.25">
      <c r="A883" s="4">
        <v>1994</v>
      </c>
      <c r="B883" s="18">
        <v>210</v>
      </c>
      <c r="C883" s="13">
        <v>34544</v>
      </c>
      <c r="D883" s="18">
        <v>210</v>
      </c>
      <c r="E883" s="18">
        <v>6</v>
      </c>
      <c r="F883" s="20" t="e">
        <v>#N/A</v>
      </c>
      <c r="G883" s="4" t="s">
        <v>1</v>
      </c>
      <c r="H883" s="18"/>
    </row>
    <row r="884" spans="1:8" x14ac:dyDescent="0.25">
      <c r="A884" s="4">
        <v>1994</v>
      </c>
      <c r="B884" s="18">
        <v>210</v>
      </c>
      <c r="C884" s="13">
        <v>34544</v>
      </c>
      <c r="D884" s="18">
        <v>210</v>
      </c>
      <c r="E884" s="18">
        <v>7</v>
      </c>
      <c r="F884" s="20">
        <v>0.26550764430999924</v>
      </c>
      <c r="G884" s="4" t="s">
        <v>130</v>
      </c>
      <c r="H884" s="18"/>
    </row>
    <row r="885" spans="1:8" x14ac:dyDescent="0.25">
      <c r="A885" s="4">
        <v>1994</v>
      </c>
      <c r="B885" s="18">
        <v>210</v>
      </c>
      <c r="C885" s="13">
        <v>34544</v>
      </c>
      <c r="D885" s="18">
        <v>210</v>
      </c>
      <c r="E885" s="18">
        <v>8</v>
      </c>
      <c r="F885" s="20">
        <v>0.25793632609308881</v>
      </c>
      <c r="G885" s="4" t="s">
        <v>130</v>
      </c>
      <c r="H885" s="18"/>
    </row>
    <row r="886" spans="1:8" x14ac:dyDescent="0.25">
      <c r="A886" s="4">
        <v>1994</v>
      </c>
      <c r="B886" s="18">
        <v>210</v>
      </c>
      <c r="C886" s="13">
        <v>34544</v>
      </c>
      <c r="D886" s="18">
        <v>210</v>
      </c>
      <c r="E886" s="18">
        <v>9</v>
      </c>
      <c r="F886" s="20">
        <v>0.25748785079801051</v>
      </c>
      <c r="G886" s="4" t="s">
        <v>130</v>
      </c>
      <c r="H886" s="18"/>
    </row>
    <row r="887" spans="1:8" x14ac:dyDescent="0.25">
      <c r="A887" s="4">
        <v>1994</v>
      </c>
      <c r="B887" s="18">
        <v>210</v>
      </c>
      <c r="C887" s="13">
        <v>34544</v>
      </c>
      <c r="D887" s="18">
        <v>210</v>
      </c>
      <c r="E887" s="18">
        <v>10</v>
      </c>
      <c r="F887" s="20">
        <v>0.26432050382302724</v>
      </c>
      <c r="G887" s="4" t="s">
        <v>130</v>
      </c>
      <c r="H887" s="18"/>
    </row>
    <row r="888" spans="1:8" x14ac:dyDescent="0.25">
      <c r="A888" s="4">
        <v>1994</v>
      </c>
      <c r="B888" s="18">
        <v>210</v>
      </c>
      <c r="C888" s="13">
        <v>34544</v>
      </c>
      <c r="D888" s="18">
        <v>210</v>
      </c>
      <c r="E888" s="18">
        <v>11</v>
      </c>
      <c r="F888" s="20" t="e">
        <v>#N/A</v>
      </c>
      <c r="G888" s="4" t="s">
        <v>131</v>
      </c>
      <c r="H888" s="18"/>
    </row>
    <row r="889" spans="1:8" x14ac:dyDescent="0.25">
      <c r="A889" s="4">
        <v>1994</v>
      </c>
      <c r="B889" s="18">
        <v>210</v>
      </c>
      <c r="C889" s="13">
        <v>34544</v>
      </c>
      <c r="D889" s="18">
        <v>210</v>
      </c>
      <c r="E889" s="18">
        <v>12</v>
      </c>
      <c r="F889" s="20" t="e">
        <v>#N/A</v>
      </c>
      <c r="G889" s="4" t="s">
        <v>131</v>
      </c>
      <c r="H889" s="18"/>
    </row>
    <row r="890" spans="1:8" x14ac:dyDescent="0.25">
      <c r="A890" s="4">
        <v>1994</v>
      </c>
      <c r="B890" s="18">
        <v>210</v>
      </c>
      <c r="C890" s="13">
        <v>34544</v>
      </c>
      <c r="D890" s="18">
        <v>190</v>
      </c>
      <c r="E890" s="18">
        <v>1</v>
      </c>
      <c r="F890" s="20">
        <v>0.21274584488902082</v>
      </c>
      <c r="G890" s="4" t="s">
        <v>0</v>
      </c>
      <c r="H890" s="18"/>
    </row>
    <row r="891" spans="1:8" x14ac:dyDescent="0.25">
      <c r="A891" s="4">
        <v>1994</v>
      </c>
      <c r="B891" s="18">
        <v>210</v>
      </c>
      <c r="C891" s="13">
        <v>34544</v>
      </c>
      <c r="D891" s="18">
        <v>190</v>
      </c>
      <c r="E891" s="18">
        <v>2</v>
      </c>
      <c r="F891" s="20">
        <v>0.26041613066587482</v>
      </c>
      <c r="G891" s="4" t="s">
        <v>0</v>
      </c>
      <c r="H891" s="18"/>
    </row>
    <row r="892" spans="1:8" x14ac:dyDescent="0.25">
      <c r="A892" s="4">
        <v>1994</v>
      </c>
      <c r="B892" s="18">
        <v>210</v>
      </c>
      <c r="C892" s="13">
        <v>34544</v>
      </c>
      <c r="D892" s="18">
        <v>190</v>
      </c>
      <c r="E892" s="18">
        <v>3</v>
      </c>
      <c r="F892" s="20">
        <v>0.26250022174300347</v>
      </c>
      <c r="G892" s="4" t="s">
        <v>0</v>
      </c>
      <c r="H892" s="18"/>
    </row>
    <row r="893" spans="1:8" x14ac:dyDescent="0.25">
      <c r="A893" s="4">
        <v>1994</v>
      </c>
      <c r="B893" s="18">
        <v>210</v>
      </c>
      <c r="C893" s="13">
        <v>34544</v>
      </c>
      <c r="D893" s="18">
        <v>190</v>
      </c>
      <c r="E893" s="18">
        <v>4</v>
      </c>
      <c r="F893" s="20">
        <v>0.26986049276222995</v>
      </c>
      <c r="G893" s="4" t="s">
        <v>0</v>
      </c>
      <c r="H893" s="18"/>
    </row>
    <row r="894" spans="1:8" x14ac:dyDescent="0.25">
      <c r="A894" s="4">
        <v>1994</v>
      </c>
      <c r="B894" s="18">
        <v>210</v>
      </c>
      <c r="C894" s="13">
        <v>34544</v>
      </c>
      <c r="D894" s="18">
        <v>190</v>
      </c>
      <c r="E894" s="18">
        <v>5</v>
      </c>
      <c r="F894" s="20">
        <v>0.23319104216464998</v>
      </c>
      <c r="G894" s="4" t="s">
        <v>1</v>
      </c>
      <c r="H894" s="18"/>
    </row>
    <row r="895" spans="1:8" x14ac:dyDescent="0.25">
      <c r="A895" s="4">
        <v>1994</v>
      </c>
      <c r="B895" s="18">
        <v>210</v>
      </c>
      <c r="C895" s="13">
        <v>34544</v>
      </c>
      <c r="D895" s="18">
        <v>190</v>
      </c>
      <c r="E895" s="18">
        <v>6</v>
      </c>
      <c r="F895" s="20">
        <v>0.25775165979511544</v>
      </c>
      <c r="G895" s="4" t="s">
        <v>1</v>
      </c>
      <c r="H895" s="18"/>
    </row>
    <row r="896" spans="1:8" x14ac:dyDescent="0.25">
      <c r="A896" s="4">
        <v>1994</v>
      </c>
      <c r="B896" s="18">
        <v>210</v>
      </c>
      <c r="C896" s="13">
        <v>34544</v>
      </c>
      <c r="D896" s="18">
        <v>190</v>
      </c>
      <c r="E896" s="18">
        <v>7</v>
      </c>
      <c r="F896" s="20">
        <v>0.26323888693489716</v>
      </c>
      <c r="G896" s="4" t="s">
        <v>130</v>
      </c>
      <c r="H896" s="18"/>
    </row>
    <row r="897" spans="1:8" x14ac:dyDescent="0.25">
      <c r="A897" s="4">
        <v>1994</v>
      </c>
      <c r="B897" s="18">
        <v>210</v>
      </c>
      <c r="C897" s="13">
        <v>34544</v>
      </c>
      <c r="D897" s="18">
        <v>190</v>
      </c>
      <c r="E897" s="18">
        <v>8</v>
      </c>
      <c r="F897" s="20">
        <v>0.26189346104966221</v>
      </c>
      <c r="G897" s="4" t="s">
        <v>130</v>
      </c>
      <c r="H897" s="18"/>
    </row>
    <row r="898" spans="1:8" x14ac:dyDescent="0.25">
      <c r="A898" s="4">
        <v>1994</v>
      </c>
      <c r="B898" s="18">
        <v>210</v>
      </c>
      <c r="C898" s="13">
        <v>34544</v>
      </c>
      <c r="D898" s="18">
        <v>190</v>
      </c>
      <c r="E898" s="18">
        <v>9</v>
      </c>
      <c r="F898" s="20">
        <v>0.26128670035632096</v>
      </c>
      <c r="G898" s="4" t="s">
        <v>130</v>
      </c>
      <c r="H898" s="18"/>
    </row>
    <row r="899" spans="1:8" x14ac:dyDescent="0.25">
      <c r="A899" s="4">
        <v>1994</v>
      </c>
      <c r="B899" s="18">
        <v>210</v>
      </c>
      <c r="C899" s="13">
        <v>34544</v>
      </c>
      <c r="D899" s="18">
        <v>190</v>
      </c>
      <c r="E899" s="18">
        <v>10</v>
      </c>
      <c r="F899" s="20">
        <v>0.26305422063692374</v>
      </c>
      <c r="G899" s="4" t="s">
        <v>130</v>
      </c>
      <c r="H899" s="18"/>
    </row>
    <row r="900" spans="1:8" x14ac:dyDescent="0.25">
      <c r="A900" s="4">
        <v>1994</v>
      </c>
      <c r="B900" s="18">
        <v>210</v>
      </c>
      <c r="C900" s="13">
        <v>34544</v>
      </c>
      <c r="D900" s="18">
        <v>190</v>
      </c>
      <c r="E900" s="18">
        <v>11</v>
      </c>
      <c r="F900" s="20">
        <v>0.29795615095390093</v>
      </c>
      <c r="G900" s="4" t="s">
        <v>131</v>
      </c>
      <c r="H900" s="18"/>
    </row>
    <row r="901" spans="1:8" x14ac:dyDescent="0.25">
      <c r="A901" s="4">
        <v>1994</v>
      </c>
      <c r="B901" s="18">
        <v>210</v>
      </c>
      <c r="C901" s="13">
        <v>34544</v>
      </c>
      <c r="D901" s="18">
        <v>190</v>
      </c>
      <c r="E901" s="18">
        <v>12</v>
      </c>
      <c r="F901" s="20">
        <v>0.30230899940613165</v>
      </c>
      <c r="G901" s="4" t="s">
        <v>131</v>
      </c>
      <c r="H901" s="18"/>
    </row>
    <row r="902" spans="1:8" x14ac:dyDescent="0.25">
      <c r="A902" s="4">
        <v>1994</v>
      </c>
      <c r="B902" s="18">
        <v>210</v>
      </c>
      <c r="C902" s="13">
        <v>34544</v>
      </c>
      <c r="D902" s="18">
        <v>170</v>
      </c>
      <c r="E902" s="18">
        <v>1</v>
      </c>
      <c r="F902" s="20">
        <v>0.24833367859847078</v>
      </c>
      <c r="G902" s="4" t="s">
        <v>0</v>
      </c>
      <c r="H902" s="18"/>
    </row>
    <row r="903" spans="1:8" x14ac:dyDescent="0.25">
      <c r="A903" s="4">
        <v>1994</v>
      </c>
      <c r="B903" s="18">
        <v>210</v>
      </c>
      <c r="C903" s="13">
        <v>34544</v>
      </c>
      <c r="D903" s="18">
        <v>170</v>
      </c>
      <c r="E903" s="18">
        <v>2</v>
      </c>
      <c r="F903" s="20">
        <v>0.26434688472273771</v>
      </c>
      <c r="G903" s="4" t="s">
        <v>0</v>
      </c>
      <c r="H903" s="18"/>
    </row>
    <row r="904" spans="1:8" x14ac:dyDescent="0.25">
      <c r="A904" s="4">
        <v>1994</v>
      </c>
      <c r="B904" s="18">
        <v>210</v>
      </c>
      <c r="C904" s="13">
        <v>34544</v>
      </c>
      <c r="D904" s="18">
        <v>170</v>
      </c>
      <c r="E904" s="18">
        <v>3</v>
      </c>
      <c r="F904" s="20">
        <v>0.27545324350085365</v>
      </c>
      <c r="G904" s="4" t="s">
        <v>0</v>
      </c>
      <c r="H904" s="18"/>
    </row>
    <row r="905" spans="1:8" x14ac:dyDescent="0.25">
      <c r="A905" s="4">
        <v>1994</v>
      </c>
      <c r="B905" s="18">
        <v>210</v>
      </c>
      <c r="C905" s="13">
        <v>34544</v>
      </c>
      <c r="D905" s="18">
        <v>170</v>
      </c>
      <c r="E905" s="18">
        <v>4</v>
      </c>
      <c r="F905" s="20">
        <v>0.27144334674485932</v>
      </c>
      <c r="G905" s="4" t="s">
        <v>0</v>
      </c>
      <c r="H905" s="18"/>
    </row>
    <row r="906" spans="1:8" x14ac:dyDescent="0.25">
      <c r="A906" s="4">
        <v>1994</v>
      </c>
      <c r="B906" s="18">
        <v>210</v>
      </c>
      <c r="C906" s="13">
        <v>34544</v>
      </c>
      <c r="D906" s="18">
        <v>170</v>
      </c>
      <c r="E906" s="18">
        <v>5</v>
      </c>
      <c r="F906" s="20">
        <v>0.25606328221364411</v>
      </c>
      <c r="G906" s="4" t="s">
        <v>1</v>
      </c>
      <c r="H906" s="18"/>
    </row>
    <row r="907" spans="1:8" x14ac:dyDescent="0.25">
      <c r="A907" s="4">
        <v>1994</v>
      </c>
      <c r="B907" s="18">
        <v>210</v>
      </c>
      <c r="C907" s="13">
        <v>34544</v>
      </c>
      <c r="D907" s="18">
        <v>170</v>
      </c>
      <c r="E907" s="18">
        <v>6</v>
      </c>
      <c r="F907" s="20">
        <v>0.26859420957612645</v>
      </c>
      <c r="G907" s="4" t="s">
        <v>1</v>
      </c>
      <c r="H907" s="18"/>
    </row>
    <row r="908" spans="1:8" x14ac:dyDescent="0.25">
      <c r="A908" s="4">
        <v>1994</v>
      </c>
      <c r="B908" s="18">
        <v>210</v>
      </c>
      <c r="C908" s="13">
        <v>34544</v>
      </c>
      <c r="D908" s="18">
        <v>170</v>
      </c>
      <c r="E908" s="18">
        <v>7</v>
      </c>
      <c r="F908" s="20">
        <v>0.27822323797045506</v>
      </c>
      <c r="G908" s="4" t="s">
        <v>130</v>
      </c>
      <c r="H908" s="18"/>
    </row>
    <row r="909" spans="1:8" x14ac:dyDescent="0.25">
      <c r="A909" s="4">
        <v>1994</v>
      </c>
      <c r="B909" s="18">
        <v>210</v>
      </c>
      <c r="C909" s="13">
        <v>34544</v>
      </c>
      <c r="D909" s="18">
        <v>170</v>
      </c>
      <c r="E909" s="18">
        <v>8</v>
      </c>
      <c r="F909" s="20">
        <v>0.27497838730606489</v>
      </c>
      <c r="G909" s="4" t="s">
        <v>130</v>
      </c>
      <c r="H909" s="18"/>
    </row>
    <row r="910" spans="1:8" x14ac:dyDescent="0.25">
      <c r="A910" s="4">
        <v>1994</v>
      </c>
      <c r="B910" s="18">
        <v>210</v>
      </c>
      <c r="C910" s="13">
        <v>34544</v>
      </c>
      <c r="D910" s="18">
        <v>170</v>
      </c>
      <c r="E910" s="18">
        <v>9</v>
      </c>
      <c r="F910" s="20">
        <v>0.27075744335238661</v>
      </c>
      <c r="G910" s="4" t="s">
        <v>130</v>
      </c>
      <c r="H910" s="18"/>
    </row>
    <row r="911" spans="1:8" x14ac:dyDescent="0.25">
      <c r="A911" s="4">
        <v>1994</v>
      </c>
      <c r="B911" s="18">
        <v>210</v>
      </c>
      <c r="C911" s="13">
        <v>34544</v>
      </c>
      <c r="D911" s="18">
        <v>170</v>
      </c>
      <c r="E911" s="18">
        <v>10</v>
      </c>
      <c r="F911" s="20">
        <v>0.26471621731868455</v>
      </c>
      <c r="G911" s="4" t="s">
        <v>130</v>
      </c>
      <c r="H911" s="18"/>
    </row>
    <row r="912" spans="1:8" x14ac:dyDescent="0.25">
      <c r="A912" s="4">
        <v>1994</v>
      </c>
      <c r="B912" s="18">
        <v>210</v>
      </c>
      <c r="C912" s="13">
        <v>34544</v>
      </c>
      <c r="D912" s="18">
        <v>170</v>
      </c>
      <c r="E912" s="18">
        <v>11</v>
      </c>
      <c r="F912" s="20">
        <v>0.28621665058273321</v>
      </c>
      <c r="G912" s="4" t="s">
        <v>131</v>
      </c>
      <c r="H912" s="18"/>
    </row>
    <row r="913" spans="1:8" x14ac:dyDescent="0.25">
      <c r="A913" s="4">
        <v>1994</v>
      </c>
      <c r="B913" s="18">
        <v>210</v>
      </c>
      <c r="C913" s="13">
        <v>34544</v>
      </c>
      <c r="D913" s="18">
        <v>170</v>
      </c>
      <c r="E913" s="18">
        <v>12</v>
      </c>
      <c r="F913" s="20">
        <v>0.29088606983148985</v>
      </c>
      <c r="G913" s="4" t="s">
        <v>131</v>
      </c>
      <c r="H913" s="18"/>
    </row>
    <row r="914" spans="1:8" x14ac:dyDescent="0.25">
      <c r="A914" s="4">
        <v>1994</v>
      </c>
      <c r="B914" s="18">
        <v>210</v>
      </c>
      <c r="C914" s="13">
        <v>34544</v>
      </c>
      <c r="D914" s="18">
        <v>150</v>
      </c>
      <c r="E914" s="18">
        <v>1</v>
      </c>
      <c r="F914" s="20">
        <v>0.26730154549031249</v>
      </c>
      <c r="G914" s="4" t="s">
        <v>0</v>
      </c>
      <c r="H914" s="18"/>
    </row>
    <row r="915" spans="1:8" x14ac:dyDescent="0.25">
      <c r="A915" s="4">
        <v>1994</v>
      </c>
      <c r="B915" s="18">
        <v>210</v>
      </c>
      <c r="C915" s="13">
        <v>34544</v>
      </c>
      <c r="D915" s="18">
        <v>150</v>
      </c>
      <c r="E915" s="18">
        <v>2</v>
      </c>
      <c r="F915" s="20">
        <v>0.18536247098953304</v>
      </c>
      <c r="G915" s="4" t="s">
        <v>0</v>
      </c>
      <c r="H915" s="18"/>
    </row>
    <row r="916" spans="1:8" x14ac:dyDescent="0.25">
      <c r="A916" s="4">
        <v>1994</v>
      </c>
      <c r="B916" s="18">
        <v>210</v>
      </c>
      <c r="C916" s="13">
        <v>34544</v>
      </c>
      <c r="D916" s="18">
        <v>150</v>
      </c>
      <c r="E916" s="18">
        <v>3</v>
      </c>
      <c r="F916" s="20">
        <v>0.28713998207260039</v>
      </c>
      <c r="G916" s="4" t="s">
        <v>0</v>
      </c>
      <c r="H916" s="18"/>
    </row>
    <row r="917" spans="1:8" x14ac:dyDescent="0.25">
      <c r="A917" s="4">
        <v>1994</v>
      </c>
      <c r="B917" s="18">
        <v>210</v>
      </c>
      <c r="C917" s="13">
        <v>34544</v>
      </c>
      <c r="D917" s="18">
        <v>150</v>
      </c>
      <c r="E917" s="18">
        <v>4</v>
      </c>
      <c r="F917" s="20">
        <v>0.2767986693860886</v>
      </c>
      <c r="G917" s="4" t="s">
        <v>0</v>
      </c>
      <c r="H917" s="18"/>
    </row>
    <row r="918" spans="1:8" x14ac:dyDescent="0.25">
      <c r="A918" s="4">
        <v>1994</v>
      </c>
      <c r="B918" s="18">
        <v>210</v>
      </c>
      <c r="C918" s="13">
        <v>34544</v>
      </c>
      <c r="D918" s="18">
        <v>150</v>
      </c>
      <c r="E918" s="18">
        <v>5</v>
      </c>
      <c r="F918" s="20">
        <v>0.26078546326182167</v>
      </c>
      <c r="G918" s="4" t="s">
        <v>1</v>
      </c>
      <c r="H918" s="18"/>
    </row>
    <row r="919" spans="1:8" x14ac:dyDescent="0.25">
      <c r="A919" s="4">
        <v>1994</v>
      </c>
      <c r="B919" s="18">
        <v>210</v>
      </c>
      <c r="C919" s="13">
        <v>34544</v>
      </c>
      <c r="D919" s="18">
        <v>150</v>
      </c>
      <c r="E919" s="18">
        <v>6</v>
      </c>
      <c r="F919" s="20">
        <v>0.27439800751243409</v>
      </c>
      <c r="G919" s="4" t="s">
        <v>1</v>
      </c>
      <c r="H919" s="18"/>
    </row>
    <row r="920" spans="1:8" x14ac:dyDescent="0.25">
      <c r="A920" s="4">
        <v>1994</v>
      </c>
      <c r="B920" s="18">
        <v>210</v>
      </c>
      <c r="C920" s="13">
        <v>34544</v>
      </c>
      <c r="D920" s="18">
        <v>150</v>
      </c>
      <c r="E920" s="18">
        <v>7</v>
      </c>
      <c r="F920" s="20">
        <v>0.2880633135624675</v>
      </c>
      <c r="G920" s="4" t="s">
        <v>130</v>
      </c>
      <c r="H920" s="18"/>
    </row>
    <row r="921" spans="1:8" x14ac:dyDescent="0.25">
      <c r="A921" s="4">
        <v>1994</v>
      </c>
      <c r="B921" s="18">
        <v>210</v>
      </c>
      <c r="C921" s="13">
        <v>34544</v>
      </c>
      <c r="D921" s="18">
        <v>150</v>
      </c>
      <c r="E921" s="18">
        <v>8</v>
      </c>
      <c r="F921" s="20">
        <v>0.28531969999257667</v>
      </c>
      <c r="G921" s="4" t="s">
        <v>130</v>
      </c>
      <c r="H921" s="18"/>
    </row>
    <row r="922" spans="1:8" x14ac:dyDescent="0.25">
      <c r="A922" s="4">
        <v>1994</v>
      </c>
      <c r="B922" s="18">
        <v>210</v>
      </c>
      <c r="C922" s="13">
        <v>34544</v>
      </c>
      <c r="D922" s="18">
        <v>150</v>
      </c>
      <c r="E922" s="18">
        <v>9</v>
      </c>
      <c r="F922" s="20">
        <v>0.2973757711602702</v>
      </c>
      <c r="G922" s="4" t="s">
        <v>130</v>
      </c>
      <c r="H922" s="18"/>
    </row>
    <row r="923" spans="1:8" x14ac:dyDescent="0.25">
      <c r="A923" s="4">
        <v>1994</v>
      </c>
      <c r="B923" s="18">
        <v>210</v>
      </c>
      <c r="C923" s="13">
        <v>34544</v>
      </c>
      <c r="D923" s="18">
        <v>150</v>
      </c>
      <c r="E923" s="18">
        <v>10</v>
      </c>
      <c r="F923" s="20">
        <v>0.27719438288174597</v>
      </c>
      <c r="G923" s="4" t="s">
        <v>130</v>
      </c>
      <c r="H923" s="18"/>
    </row>
    <row r="924" spans="1:8" x14ac:dyDescent="0.25">
      <c r="A924" s="4">
        <v>1994</v>
      </c>
      <c r="B924" s="18">
        <v>210</v>
      </c>
      <c r="C924" s="13">
        <v>34544</v>
      </c>
      <c r="D924" s="18">
        <v>150</v>
      </c>
      <c r="E924" s="18">
        <v>11</v>
      </c>
      <c r="F924" s="20">
        <v>0.3073741321505456</v>
      </c>
      <c r="G924" s="4" t="s">
        <v>131</v>
      </c>
      <c r="H924" s="18"/>
    </row>
    <row r="925" spans="1:8" x14ac:dyDescent="0.25">
      <c r="A925" s="4">
        <v>1994</v>
      </c>
      <c r="B925" s="18">
        <v>210</v>
      </c>
      <c r="C925" s="13">
        <v>34544</v>
      </c>
      <c r="D925" s="18">
        <v>150</v>
      </c>
      <c r="E925" s="18">
        <v>12</v>
      </c>
      <c r="F925" s="20">
        <v>0.31850687182837206</v>
      </c>
      <c r="G925" s="4" t="s">
        <v>131</v>
      </c>
      <c r="H925" s="18"/>
    </row>
    <row r="926" spans="1:8" x14ac:dyDescent="0.25">
      <c r="A926" s="4">
        <v>1994</v>
      </c>
      <c r="B926" s="18">
        <v>210</v>
      </c>
      <c r="C926" s="13">
        <v>34544</v>
      </c>
      <c r="D926" s="18">
        <v>130</v>
      </c>
      <c r="E926" s="18">
        <v>1</v>
      </c>
      <c r="F926" s="20">
        <v>0.26300145883750281</v>
      </c>
      <c r="G926" s="4" t="s">
        <v>0</v>
      </c>
      <c r="H926" s="18"/>
    </row>
    <row r="927" spans="1:8" x14ac:dyDescent="0.25">
      <c r="A927" s="4">
        <v>1994</v>
      </c>
      <c r="B927" s="18">
        <v>210</v>
      </c>
      <c r="C927" s="13">
        <v>34544</v>
      </c>
      <c r="D927" s="18">
        <v>130</v>
      </c>
      <c r="E927" s="18">
        <v>2</v>
      </c>
      <c r="F927" s="20">
        <v>0.20852490093534257</v>
      </c>
      <c r="G927" s="4" t="s">
        <v>0</v>
      </c>
      <c r="H927" s="18"/>
    </row>
    <row r="928" spans="1:8" x14ac:dyDescent="0.25">
      <c r="A928" s="4">
        <v>1994</v>
      </c>
      <c r="B928" s="18">
        <v>210</v>
      </c>
      <c r="C928" s="13">
        <v>34544</v>
      </c>
      <c r="D928" s="18">
        <v>130</v>
      </c>
      <c r="E928" s="18">
        <v>3</v>
      </c>
      <c r="F928" s="20">
        <v>0.27088934785093904</v>
      </c>
      <c r="G928" s="4" t="s">
        <v>0</v>
      </c>
      <c r="H928" s="18"/>
    </row>
    <row r="929" spans="1:8" x14ac:dyDescent="0.25">
      <c r="A929" s="4">
        <v>1994</v>
      </c>
      <c r="B929" s="18">
        <v>210</v>
      </c>
      <c r="C929" s="13">
        <v>34544</v>
      </c>
      <c r="D929" s="18">
        <v>130</v>
      </c>
      <c r="E929" s="18">
        <v>4</v>
      </c>
      <c r="F929" s="20">
        <v>0.26215727004676714</v>
      </c>
      <c r="G929" s="4" t="s">
        <v>0</v>
      </c>
      <c r="H929" s="18"/>
    </row>
    <row r="930" spans="1:8" x14ac:dyDescent="0.25">
      <c r="A930" s="4">
        <v>1994</v>
      </c>
      <c r="B930" s="18">
        <v>210</v>
      </c>
      <c r="C930" s="13">
        <v>34544</v>
      </c>
      <c r="D930" s="18">
        <v>130</v>
      </c>
      <c r="E930" s="18">
        <v>5</v>
      </c>
      <c r="F930" s="20">
        <v>0.22108220919753546</v>
      </c>
      <c r="G930" s="4" t="s">
        <v>1</v>
      </c>
      <c r="H930" s="18"/>
    </row>
    <row r="931" spans="1:8" x14ac:dyDescent="0.25">
      <c r="A931" s="4">
        <v>1994</v>
      </c>
      <c r="B931" s="18">
        <v>210</v>
      </c>
      <c r="C931" s="13">
        <v>34544</v>
      </c>
      <c r="D931" s="18">
        <v>130</v>
      </c>
      <c r="E931" s="18">
        <v>6</v>
      </c>
      <c r="F931" s="20">
        <v>0.24012921878850862</v>
      </c>
      <c r="G931" s="4" t="s">
        <v>1</v>
      </c>
      <c r="H931" s="18"/>
    </row>
    <row r="932" spans="1:8" x14ac:dyDescent="0.25">
      <c r="A932" s="4">
        <v>1994</v>
      </c>
      <c r="B932" s="18">
        <v>210</v>
      </c>
      <c r="C932" s="13">
        <v>34544</v>
      </c>
      <c r="D932" s="18">
        <v>130</v>
      </c>
      <c r="E932" s="18">
        <v>7</v>
      </c>
      <c r="F932" s="20">
        <v>0.27334277152401454</v>
      </c>
      <c r="G932" s="4" t="s">
        <v>130</v>
      </c>
      <c r="H932" s="18"/>
    </row>
    <row r="933" spans="1:8" x14ac:dyDescent="0.25">
      <c r="A933" s="4">
        <v>1994</v>
      </c>
      <c r="B933" s="18">
        <v>210</v>
      </c>
      <c r="C933" s="13">
        <v>34544</v>
      </c>
      <c r="D933" s="18">
        <v>130</v>
      </c>
      <c r="E933" s="18">
        <v>8</v>
      </c>
      <c r="F933" s="20">
        <v>0.27793304807363967</v>
      </c>
      <c r="G933" s="4" t="s">
        <v>130</v>
      </c>
      <c r="H933" s="18"/>
    </row>
    <row r="934" spans="1:8" x14ac:dyDescent="0.25">
      <c r="A934" s="4">
        <v>1994</v>
      </c>
      <c r="B934" s="18">
        <v>210</v>
      </c>
      <c r="C934" s="13">
        <v>34544</v>
      </c>
      <c r="D934" s="18">
        <v>130</v>
      </c>
      <c r="E934" s="18">
        <v>9</v>
      </c>
      <c r="F934" s="20">
        <v>0.29890586334347857</v>
      </c>
      <c r="G934" s="4" t="s">
        <v>130</v>
      </c>
      <c r="H934" s="18"/>
    </row>
    <row r="935" spans="1:8" x14ac:dyDescent="0.25">
      <c r="A935" s="4">
        <v>1994</v>
      </c>
      <c r="B935" s="18">
        <v>210</v>
      </c>
      <c r="C935" s="13">
        <v>34544</v>
      </c>
      <c r="D935" s="18">
        <v>130</v>
      </c>
      <c r="E935" s="18">
        <v>10</v>
      </c>
      <c r="F935" s="20">
        <v>0.24669806281642043</v>
      </c>
      <c r="G935" s="4" t="s">
        <v>130</v>
      </c>
      <c r="H935" s="18"/>
    </row>
    <row r="936" spans="1:8" x14ac:dyDescent="0.25">
      <c r="A936" s="4">
        <v>1994</v>
      </c>
      <c r="B936" s="18">
        <v>210</v>
      </c>
      <c r="C936" s="13">
        <v>34544</v>
      </c>
      <c r="D936" s="18">
        <v>130</v>
      </c>
      <c r="E936" s="18">
        <v>11</v>
      </c>
      <c r="F936" s="20">
        <v>0.27711524018261452</v>
      </c>
      <c r="G936" s="4" t="s">
        <v>131</v>
      </c>
      <c r="H936" s="18"/>
    </row>
    <row r="937" spans="1:8" x14ac:dyDescent="0.25">
      <c r="A937" s="4">
        <v>1994</v>
      </c>
      <c r="B937" s="18">
        <v>210</v>
      </c>
      <c r="C937" s="13">
        <v>34544</v>
      </c>
      <c r="D937" s="18">
        <v>130</v>
      </c>
      <c r="E937" s="18">
        <v>12</v>
      </c>
      <c r="F937" s="20">
        <v>0.28291903811892211</v>
      </c>
      <c r="G937" s="4" t="s">
        <v>131</v>
      </c>
      <c r="H937" s="18"/>
    </row>
    <row r="938" spans="1:8" x14ac:dyDescent="0.25">
      <c r="A938" s="4">
        <v>1994</v>
      </c>
      <c r="B938" s="18">
        <v>210</v>
      </c>
      <c r="C938" s="13">
        <v>34544</v>
      </c>
      <c r="D938" s="18">
        <v>110</v>
      </c>
      <c r="E938" s="18">
        <v>1</v>
      </c>
      <c r="F938" s="20">
        <v>0.29289050298789993</v>
      </c>
      <c r="G938" s="4" t="s">
        <v>0</v>
      </c>
      <c r="H938" s="18"/>
    </row>
    <row r="939" spans="1:8" x14ac:dyDescent="0.25">
      <c r="A939" s="4">
        <v>1994</v>
      </c>
      <c r="B939" s="18">
        <v>210</v>
      </c>
      <c r="C939" s="13">
        <v>34544</v>
      </c>
      <c r="D939" s="18">
        <v>110</v>
      </c>
      <c r="E939" s="18">
        <v>2</v>
      </c>
      <c r="F939" s="20">
        <v>0.21818046614208297</v>
      </c>
      <c r="G939" s="4" t="s">
        <v>0</v>
      </c>
      <c r="H939" s="18"/>
    </row>
    <row r="940" spans="1:8" x14ac:dyDescent="0.25">
      <c r="A940" s="4">
        <v>1994</v>
      </c>
      <c r="B940" s="18">
        <v>210</v>
      </c>
      <c r="C940" s="13">
        <v>34544</v>
      </c>
      <c r="D940" s="18">
        <v>110</v>
      </c>
      <c r="E940" s="18">
        <v>3</v>
      </c>
      <c r="F940" s="20">
        <v>0.28863792650508496</v>
      </c>
      <c r="G940" s="4" t="s">
        <v>0</v>
      </c>
      <c r="H940" s="18"/>
    </row>
    <row r="941" spans="1:8" x14ac:dyDescent="0.25">
      <c r="A941" s="4">
        <v>1994</v>
      </c>
      <c r="B941" s="18">
        <v>210</v>
      </c>
      <c r="C941" s="13">
        <v>34544</v>
      </c>
      <c r="D941" s="18">
        <v>110</v>
      </c>
      <c r="E941" s="18">
        <v>4</v>
      </c>
      <c r="F941" s="20">
        <v>0.29015210146487513</v>
      </c>
      <c r="G941" s="4" t="s">
        <v>0</v>
      </c>
      <c r="H941" s="18"/>
    </row>
    <row r="942" spans="1:8" x14ac:dyDescent="0.25">
      <c r="A942" s="4">
        <v>1994</v>
      </c>
      <c r="B942" s="18">
        <v>210</v>
      </c>
      <c r="C942" s="13">
        <v>34544</v>
      </c>
      <c r="D942" s="18">
        <v>110</v>
      </c>
      <c r="E942" s="18">
        <v>5</v>
      </c>
      <c r="F942" s="20">
        <v>0.22993948444683643</v>
      </c>
      <c r="G942" s="4" t="s">
        <v>1</v>
      </c>
      <c r="H942" s="18"/>
    </row>
    <row r="943" spans="1:8" x14ac:dyDescent="0.25">
      <c r="A943" s="4">
        <v>1994</v>
      </c>
      <c r="B943" s="18">
        <v>210</v>
      </c>
      <c r="C943" s="13">
        <v>34544</v>
      </c>
      <c r="D943" s="18">
        <v>110</v>
      </c>
      <c r="E943" s="18">
        <v>6</v>
      </c>
      <c r="F943" s="20">
        <v>0.2636701479128003</v>
      </c>
      <c r="G943" s="4" t="s">
        <v>1</v>
      </c>
      <c r="H943" s="18"/>
    </row>
    <row r="944" spans="1:8" x14ac:dyDescent="0.25">
      <c r="A944" s="4">
        <v>1994</v>
      </c>
      <c r="B944" s="18">
        <v>210</v>
      </c>
      <c r="C944" s="13">
        <v>34544</v>
      </c>
      <c r="D944" s="18">
        <v>110</v>
      </c>
      <c r="E944" s="18">
        <v>7</v>
      </c>
      <c r="F944" s="20">
        <v>0.29936601717764083</v>
      </c>
      <c r="G944" s="4" t="s">
        <v>130</v>
      </c>
      <c r="H944" s="18"/>
    </row>
    <row r="945" spans="1:8" x14ac:dyDescent="0.25">
      <c r="A945" s="4">
        <v>1994</v>
      </c>
      <c r="B945" s="18">
        <v>210</v>
      </c>
      <c r="C945" s="13">
        <v>34544</v>
      </c>
      <c r="D945" s="18">
        <v>110</v>
      </c>
      <c r="E945" s="18">
        <v>8</v>
      </c>
      <c r="F945" s="20">
        <v>0.30397297503402365</v>
      </c>
      <c r="G945" s="4" t="s">
        <v>130</v>
      </c>
      <c r="H945" s="18"/>
    </row>
    <row r="946" spans="1:8" x14ac:dyDescent="0.25">
      <c r="A946" s="4">
        <v>1994</v>
      </c>
      <c r="B946" s="18">
        <v>210</v>
      </c>
      <c r="C946" s="13">
        <v>34544</v>
      </c>
      <c r="D946" s="18">
        <v>110</v>
      </c>
      <c r="E946" s="18">
        <v>9</v>
      </c>
      <c r="F946" s="20">
        <v>0.29959153259718402</v>
      </c>
      <c r="G946" s="4" t="s">
        <v>130</v>
      </c>
      <c r="H946" s="18"/>
    </row>
    <row r="947" spans="1:8" x14ac:dyDescent="0.25">
      <c r="A947" s="4">
        <v>1994</v>
      </c>
      <c r="B947" s="18">
        <v>210</v>
      </c>
      <c r="C947" s="13">
        <v>34544</v>
      </c>
      <c r="D947" s="18">
        <v>110</v>
      </c>
      <c r="E947" s="18">
        <v>10</v>
      </c>
      <c r="F947" s="20">
        <v>0.25236216044713333</v>
      </c>
      <c r="G947" s="4" t="s">
        <v>130</v>
      </c>
      <c r="H947" s="18"/>
    </row>
    <row r="948" spans="1:8" x14ac:dyDescent="0.25">
      <c r="A948" s="4">
        <v>1994</v>
      </c>
      <c r="B948" s="18">
        <v>210</v>
      </c>
      <c r="C948" s="13">
        <v>34544</v>
      </c>
      <c r="D948" s="18">
        <v>110</v>
      </c>
      <c r="E948" s="18">
        <v>11</v>
      </c>
      <c r="F948" s="20">
        <v>0.29459797687872713</v>
      </c>
      <c r="G948" s="4" t="s">
        <v>131</v>
      </c>
      <c r="H948" s="18"/>
    </row>
    <row r="949" spans="1:8" x14ac:dyDescent="0.25">
      <c r="A949" s="4">
        <v>1994</v>
      </c>
      <c r="B949" s="18">
        <v>210</v>
      </c>
      <c r="C949" s="13">
        <v>34544</v>
      </c>
      <c r="D949" s="18">
        <v>110</v>
      </c>
      <c r="E949" s="18">
        <v>12</v>
      </c>
      <c r="F949" s="20">
        <v>0.29881833687303588</v>
      </c>
      <c r="G949" s="4" t="s">
        <v>131</v>
      </c>
      <c r="H949" s="18"/>
    </row>
    <row r="950" spans="1:8" x14ac:dyDescent="0.25">
      <c r="A950" s="4">
        <v>1994</v>
      </c>
      <c r="B950" s="18">
        <v>210</v>
      </c>
      <c r="C950" s="13">
        <v>34544</v>
      </c>
      <c r="D950" s="18">
        <v>90</v>
      </c>
      <c r="E950" s="18">
        <v>1</v>
      </c>
      <c r="F950" s="20">
        <v>0.29785184221785066</v>
      </c>
      <c r="G950" s="4" t="s">
        <v>0</v>
      </c>
      <c r="H950" s="18"/>
    </row>
    <row r="951" spans="1:8" x14ac:dyDescent="0.25">
      <c r="A951" s="4">
        <v>1994</v>
      </c>
      <c r="B951" s="18">
        <v>210</v>
      </c>
      <c r="C951" s="13">
        <v>34544</v>
      </c>
      <c r="D951" s="18">
        <v>90</v>
      </c>
      <c r="E951" s="18">
        <v>2</v>
      </c>
      <c r="F951" s="20">
        <v>0.20358639684878621</v>
      </c>
      <c r="G951" s="4" t="s">
        <v>0</v>
      </c>
      <c r="H951" s="18"/>
    </row>
    <row r="952" spans="1:8" x14ac:dyDescent="0.25">
      <c r="A952" s="4">
        <v>1994</v>
      </c>
      <c r="B952" s="18">
        <v>210</v>
      </c>
      <c r="C952" s="13">
        <v>34544</v>
      </c>
      <c r="D952" s="18">
        <v>90</v>
      </c>
      <c r="E952" s="18">
        <v>3</v>
      </c>
      <c r="F952" s="20">
        <v>0.29195622482122086</v>
      </c>
      <c r="G952" s="4" t="s">
        <v>0</v>
      </c>
      <c r="H952" s="18"/>
    </row>
    <row r="953" spans="1:8" x14ac:dyDescent="0.25">
      <c r="A953" s="4">
        <v>1994</v>
      </c>
      <c r="B953" s="18">
        <v>210</v>
      </c>
      <c r="C953" s="13">
        <v>34544</v>
      </c>
      <c r="D953" s="18">
        <v>90</v>
      </c>
      <c r="E953" s="18">
        <v>4</v>
      </c>
      <c r="F953" s="20">
        <v>0.28142143307970202</v>
      </c>
      <c r="G953" s="4" t="s">
        <v>0</v>
      </c>
      <c r="H953" s="18"/>
    </row>
    <row r="954" spans="1:8" x14ac:dyDescent="0.25">
      <c r="A954" s="4">
        <v>1994</v>
      </c>
      <c r="B954" s="18">
        <v>210</v>
      </c>
      <c r="C954" s="13">
        <v>34544</v>
      </c>
      <c r="D954" s="18">
        <v>90</v>
      </c>
      <c r="E954" s="18">
        <v>5</v>
      </c>
      <c r="F954" s="20">
        <v>0.21460443591789768</v>
      </c>
      <c r="G954" s="4" t="s">
        <v>1</v>
      </c>
      <c r="H954" s="18"/>
    </row>
    <row r="955" spans="1:8" x14ac:dyDescent="0.25">
      <c r="A955" s="4">
        <v>1994</v>
      </c>
      <c r="B955" s="18">
        <v>210</v>
      </c>
      <c r="C955" s="13">
        <v>34544</v>
      </c>
      <c r="D955" s="18">
        <v>90</v>
      </c>
      <c r="E955" s="18">
        <v>6</v>
      </c>
      <c r="F955" s="20">
        <v>0.25709798425754088</v>
      </c>
      <c r="G955" s="4" t="s">
        <v>1</v>
      </c>
      <c r="H955" s="18"/>
    </row>
    <row r="956" spans="1:8" x14ac:dyDescent="0.25">
      <c r="A956" s="4">
        <v>1994</v>
      </c>
      <c r="B956" s="18">
        <v>210</v>
      </c>
      <c r="C956" s="13">
        <v>34544</v>
      </c>
      <c r="D956" s="18">
        <v>90</v>
      </c>
      <c r="E956" s="18">
        <v>7</v>
      </c>
      <c r="F956" s="20">
        <v>0.29885055336154204</v>
      </c>
      <c r="G956" s="4" t="s">
        <v>130</v>
      </c>
      <c r="H956" s="18"/>
    </row>
    <row r="957" spans="1:8" x14ac:dyDescent="0.25">
      <c r="A957" s="4">
        <v>1994</v>
      </c>
      <c r="B957" s="18">
        <v>210</v>
      </c>
      <c r="C957" s="13">
        <v>34544</v>
      </c>
      <c r="D957" s="18">
        <v>90</v>
      </c>
      <c r="E957" s="18">
        <v>8</v>
      </c>
      <c r="F957" s="20">
        <v>0.30832220098235713</v>
      </c>
      <c r="G957" s="4" t="s">
        <v>130</v>
      </c>
      <c r="H957" s="18"/>
    </row>
    <row r="958" spans="1:8" x14ac:dyDescent="0.25">
      <c r="A958" s="4">
        <v>1994</v>
      </c>
      <c r="B958" s="18">
        <v>210</v>
      </c>
      <c r="C958" s="13">
        <v>34544</v>
      </c>
      <c r="D958" s="18">
        <v>90</v>
      </c>
      <c r="E958" s="18">
        <v>9</v>
      </c>
      <c r="F958" s="20">
        <v>0.30722684037314718</v>
      </c>
      <c r="G958" s="4" t="s">
        <v>130</v>
      </c>
      <c r="H958" s="18"/>
    </row>
    <row r="959" spans="1:8" x14ac:dyDescent="0.25">
      <c r="A959" s="4">
        <v>1994</v>
      </c>
      <c r="B959" s="18">
        <v>210</v>
      </c>
      <c r="C959" s="13">
        <v>34544</v>
      </c>
      <c r="D959" s="18">
        <v>90</v>
      </c>
      <c r="E959" s="18">
        <v>10</v>
      </c>
      <c r="F959" s="20">
        <v>0.25426293326899757</v>
      </c>
      <c r="G959" s="4" t="s">
        <v>130</v>
      </c>
      <c r="H959" s="18"/>
    </row>
    <row r="960" spans="1:8" x14ac:dyDescent="0.25">
      <c r="A960" s="4">
        <v>1994</v>
      </c>
      <c r="B960" s="18">
        <v>210</v>
      </c>
      <c r="C960" s="13">
        <v>34544</v>
      </c>
      <c r="D960" s="18">
        <v>90</v>
      </c>
      <c r="E960" s="18">
        <v>11</v>
      </c>
      <c r="F960" s="20">
        <v>0.29997813045925814</v>
      </c>
      <c r="G960" s="4" t="s">
        <v>131</v>
      </c>
      <c r="H960" s="18"/>
    </row>
    <row r="961" spans="1:8" x14ac:dyDescent="0.25">
      <c r="A961" s="4">
        <v>1994</v>
      </c>
      <c r="B961" s="18">
        <v>210</v>
      </c>
      <c r="C961" s="13">
        <v>34544</v>
      </c>
      <c r="D961" s="18">
        <v>90</v>
      </c>
      <c r="E961" s="18">
        <v>12</v>
      </c>
      <c r="F961" s="20">
        <v>0.29662761565461604</v>
      </c>
      <c r="G961" s="4" t="s">
        <v>131</v>
      </c>
      <c r="H961" s="18"/>
    </row>
    <row r="962" spans="1:8" x14ac:dyDescent="0.25">
      <c r="A962" s="4">
        <v>1994</v>
      </c>
      <c r="B962" s="18">
        <v>210</v>
      </c>
      <c r="C962" s="13">
        <v>34544</v>
      </c>
      <c r="D962" s="18">
        <v>70</v>
      </c>
      <c r="E962" s="18">
        <v>1</v>
      </c>
      <c r="F962" s="20">
        <v>0.30226550114319645</v>
      </c>
      <c r="G962" s="4" t="s">
        <v>0</v>
      </c>
      <c r="H962" s="18"/>
    </row>
    <row r="963" spans="1:8" x14ac:dyDescent="0.25">
      <c r="A963" s="4">
        <v>1994</v>
      </c>
      <c r="B963" s="18">
        <v>210</v>
      </c>
      <c r="C963" s="13">
        <v>34544</v>
      </c>
      <c r="D963" s="18">
        <v>70</v>
      </c>
      <c r="E963" s="18">
        <v>2</v>
      </c>
      <c r="F963" s="20">
        <v>0.20986861210749014</v>
      </c>
      <c r="G963" s="4" t="s">
        <v>0</v>
      </c>
      <c r="H963" s="18"/>
    </row>
    <row r="964" spans="1:8" x14ac:dyDescent="0.25">
      <c r="A964" s="4">
        <v>1994</v>
      </c>
      <c r="B964" s="18">
        <v>210</v>
      </c>
      <c r="C964" s="13">
        <v>34544</v>
      </c>
      <c r="D964" s="18">
        <v>70</v>
      </c>
      <c r="E964" s="18">
        <v>3</v>
      </c>
      <c r="F964" s="20">
        <v>0.30046137778685073</v>
      </c>
      <c r="G964" s="4" t="s">
        <v>0</v>
      </c>
      <c r="H964" s="18"/>
    </row>
    <row r="965" spans="1:8" x14ac:dyDescent="0.25">
      <c r="A965" s="4">
        <v>1994</v>
      </c>
      <c r="B965" s="18">
        <v>210</v>
      </c>
      <c r="C965" s="13">
        <v>34544</v>
      </c>
      <c r="D965" s="18">
        <v>70</v>
      </c>
      <c r="E965" s="18">
        <v>4</v>
      </c>
      <c r="F965" s="20">
        <v>0.28148586605671438</v>
      </c>
      <c r="G965" s="4" t="s">
        <v>0</v>
      </c>
      <c r="H965" s="18"/>
    </row>
    <row r="966" spans="1:8" x14ac:dyDescent="0.25">
      <c r="A966" s="4">
        <v>1994</v>
      </c>
      <c r="B966" s="18">
        <v>210</v>
      </c>
      <c r="C966" s="13">
        <v>34544</v>
      </c>
      <c r="D966" s="18">
        <v>70</v>
      </c>
      <c r="E966" s="18">
        <v>5</v>
      </c>
      <c r="F966" s="20">
        <v>0.24140855435503422</v>
      </c>
      <c r="G966" s="4" t="s">
        <v>1</v>
      </c>
      <c r="H966" s="18"/>
    </row>
    <row r="967" spans="1:8" x14ac:dyDescent="0.25">
      <c r="A967" s="4">
        <v>1994</v>
      </c>
      <c r="B967" s="18">
        <v>210</v>
      </c>
      <c r="C967" s="13">
        <v>34544</v>
      </c>
      <c r="D967" s="18">
        <v>70</v>
      </c>
      <c r="E967" s="18">
        <v>6</v>
      </c>
      <c r="F967" s="20">
        <v>0.24720752228614551</v>
      </c>
      <c r="G967" s="4" t="s">
        <v>1</v>
      </c>
      <c r="H967" s="18"/>
    </row>
    <row r="968" spans="1:8" x14ac:dyDescent="0.25">
      <c r="A968" s="4">
        <v>1994</v>
      </c>
      <c r="B968" s="18">
        <v>210</v>
      </c>
      <c r="C968" s="13">
        <v>34544</v>
      </c>
      <c r="D968" s="18">
        <v>70</v>
      </c>
      <c r="E968" s="18">
        <v>7</v>
      </c>
      <c r="F968" s="20">
        <v>0.30030029534431985</v>
      </c>
      <c r="G968" s="4" t="s">
        <v>130</v>
      </c>
      <c r="H968" s="18"/>
    </row>
    <row r="969" spans="1:8" x14ac:dyDescent="0.25">
      <c r="A969" s="4">
        <v>1994</v>
      </c>
      <c r="B969" s="18">
        <v>210</v>
      </c>
      <c r="C969" s="13">
        <v>34544</v>
      </c>
      <c r="D969" s="18">
        <v>70</v>
      </c>
      <c r="E969" s="18">
        <v>8</v>
      </c>
      <c r="F969" s="20">
        <v>0.30716240739613487</v>
      </c>
      <c r="G969" s="4" t="s">
        <v>130</v>
      </c>
      <c r="H969" s="18"/>
    </row>
    <row r="970" spans="1:8" x14ac:dyDescent="0.25">
      <c r="A970" s="4">
        <v>1994</v>
      </c>
      <c r="B970" s="18">
        <v>210</v>
      </c>
      <c r="C970" s="13">
        <v>34544</v>
      </c>
      <c r="D970" s="18">
        <v>70</v>
      </c>
      <c r="E970" s="18">
        <v>9</v>
      </c>
      <c r="F970" s="20">
        <v>0.30886988128696208</v>
      </c>
      <c r="G970" s="4" t="s">
        <v>130</v>
      </c>
      <c r="H970" s="18"/>
    </row>
    <row r="971" spans="1:8" x14ac:dyDescent="0.25">
      <c r="A971" s="4">
        <v>1994</v>
      </c>
      <c r="B971" s="18">
        <v>210</v>
      </c>
      <c r="C971" s="13">
        <v>34544</v>
      </c>
      <c r="D971" s="18">
        <v>70</v>
      </c>
      <c r="E971" s="18">
        <v>10</v>
      </c>
      <c r="F971" s="20">
        <v>0.28815467917749232</v>
      </c>
      <c r="G971" s="4" t="s">
        <v>130</v>
      </c>
      <c r="H971" s="18"/>
    </row>
    <row r="972" spans="1:8" x14ac:dyDescent="0.25">
      <c r="A972" s="4">
        <v>1994</v>
      </c>
      <c r="B972" s="18">
        <v>210</v>
      </c>
      <c r="C972" s="13">
        <v>34544</v>
      </c>
      <c r="D972" s="18">
        <v>70</v>
      </c>
      <c r="E972" s="18">
        <v>11</v>
      </c>
      <c r="F972" s="20">
        <v>0.30809668556281394</v>
      </c>
      <c r="G972" s="4" t="s">
        <v>131</v>
      </c>
      <c r="H972" s="18"/>
    </row>
    <row r="973" spans="1:8" x14ac:dyDescent="0.25">
      <c r="A973" s="4">
        <v>1994</v>
      </c>
      <c r="B973" s="18">
        <v>210</v>
      </c>
      <c r="C973" s="13">
        <v>34544</v>
      </c>
      <c r="D973" s="18">
        <v>70</v>
      </c>
      <c r="E973" s="18">
        <v>12</v>
      </c>
      <c r="F973" s="20">
        <v>0.29337375031549251</v>
      </c>
      <c r="G973" s="4" t="s">
        <v>131</v>
      </c>
      <c r="H973" s="18"/>
    </row>
    <row r="974" spans="1:8" x14ac:dyDescent="0.25">
      <c r="A974" s="4">
        <v>1994</v>
      </c>
      <c r="B974" s="18">
        <v>210</v>
      </c>
      <c r="C974" s="13">
        <v>34544</v>
      </c>
      <c r="D974" s="18">
        <v>50</v>
      </c>
      <c r="E974" s="18">
        <v>1</v>
      </c>
      <c r="F974" s="20">
        <v>0.3156997768502709</v>
      </c>
      <c r="G974" s="4" t="s">
        <v>0</v>
      </c>
      <c r="H974" s="18"/>
    </row>
    <row r="975" spans="1:8" x14ac:dyDescent="0.25">
      <c r="A975" s="4">
        <v>1994</v>
      </c>
      <c r="B975" s="18">
        <v>210</v>
      </c>
      <c r="C975" s="13">
        <v>34544</v>
      </c>
      <c r="D975" s="18">
        <v>50</v>
      </c>
      <c r="E975" s="18">
        <v>2</v>
      </c>
      <c r="F975" s="20">
        <v>0.26186602455645458</v>
      </c>
      <c r="G975" s="4" t="s">
        <v>0</v>
      </c>
      <c r="H975" s="18"/>
    </row>
    <row r="976" spans="1:8" x14ac:dyDescent="0.25">
      <c r="A976" s="4">
        <v>1994</v>
      </c>
      <c r="B976" s="18">
        <v>210</v>
      </c>
      <c r="C976" s="13">
        <v>34544</v>
      </c>
      <c r="D976" s="18">
        <v>50</v>
      </c>
      <c r="E976" s="18">
        <v>3</v>
      </c>
      <c r="F976" s="20">
        <v>0.30742013930418427</v>
      </c>
      <c r="G976" s="4" t="s">
        <v>0</v>
      </c>
      <c r="H976" s="18"/>
    </row>
    <row r="977" spans="1:8" x14ac:dyDescent="0.25">
      <c r="A977" s="4">
        <v>1994</v>
      </c>
      <c r="B977" s="18">
        <v>210</v>
      </c>
      <c r="C977" s="13">
        <v>34544</v>
      </c>
      <c r="D977" s="18">
        <v>50</v>
      </c>
      <c r="E977" s="18">
        <v>4</v>
      </c>
      <c r="F977" s="20">
        <v>0.30690467548808548</v>
      </c>
      <c r="G977" s="4" t="s">
        <v>0</v>
      </c>
      <c r="H977" s="18"/>
    </row>
    <row r="978" spans="1:8" x14ac:dyDescent="0.25">
      <c r="A978" s="4">
        <v>1994</v>
      </c>
      <c r="B978" s="18">
        <v>210</v>
      </c>
      <c r="C978" s="13">
        <v>34544</v>
      </c>
      <c r="D978" s="18">
        <v>50</v>
      </c>
      <c r="E978" s="18">
        <v>5</v>
      </c>
      <c r="F978" s="20">
        <v>0.2664729824128374</v>
      </c>
      <c r="G978" s="4" t="s">
        <v>1</v>
      </c>
      <c r="H978" s="18"/>
    </row>
    <row r="979" spans="1:8" x14ac:dyDescent="0.25">
      <c r="A979" s="4">
        <v>1994</v>
      </c>
      <c r="B979" s="18">
        <v>210</v>
      </c>
      <c r="C979" s="13">
        <v>34544</v>
      </c>
      <c r="D979" s="18">
        <v>50</v>
      </c>
      <c r="E979" s="18">
        <v>6</v>
      </c>
      <c r="F979" s="20">
        <v>0.25158896472298514</v>
      </c>
      <c r="G979" s="4" t="s">
        <v>1</v>
      </c>
      <c r="H979" s="18"/>
    </row>
    <row r="980" spans="1:8" x14ac:dyDescent="0.25">
      <c r="A980" s="4">
        <v>1994</v>
      </c>
      <c r="B980" s="18">
        <v>210</v>
      </c>
      <c r="C980" s="13">
        <v>34544</v>
      </c>
      <c r="D980" s="18">
        <v>50</v>
      </c>
      <c r="E980" s="18">
        <v>7</v>
      </c>
      <c r="F980" s="20">
        <v>0.31714951883304876</v>
      </c>
      <c r="G980" s="4" t="s">
        <v>130</v>
      </c>
      <c r="H980" s="18"/>
    </row>
    <row r="981" spans="1:8" x14ac:dyDescent="0.25">
      <c r="A981" s="4">
        <v>1994</v>
      </c>
      <c r="B981" s="18">
        <v>210</v>
      </c>
      <c r="C981" s="13">
        <v>34544</v>
      </c>
      <c r="D981" s="18">
        <v>50</v>
      </c>
      <c r="E981" s="18">
        <v>8</v>
      </c>
      <c r="F981" s="20">
        <v>0.32481704309751808</v>
      </c>
      <c r="G981" s="4" t="s">
        <v>130</v>
      </c>
      <c r="H981" s="18"/>
    </row>
    <row r="982" spans="1:8" x14ac:dyDescent="0.25">
      <c r="A982" s="4">
        <v>1994</v>
      </c>
      <c r="B982" s="18">
        <v>210</v>
      </c>
      <c r="C982" s="13">
        <v>34544</v>
      </c>
      <c r="D982" s="18">
        <v>50</v>
      </c>
      <c r="E982" s="18">
        <v>9</v>
      </c>
      <c r="F982" s="20">
        <v>0.31901807516640679</v>
      </c>
      <c r="G982" s="4" t="s">
        <v>130</v>
      </c>
      <c r="H982" s="18"/>
    </row>
    <row r="983" spans="1:8" x14ac:dyDescent="0.25">
      <c r="A983" s="4">
        <v>1994</v>
      </c>
      <c r="B983" s="18">
        <v>210</v>
      </c>
      <c r="C983" s="13">
        <v>34544</v>
      </c>
      <c r="D983" s="18">
        <v>50</v>
      </c>
      <c r="E983" s="18">
        <v>10</v>
      </c>
      <c r="F983" s="20">
        <v>0.3140245194479499</v>
      </c>
      <c r="G983" s="4" t="s">
        <v>130</v>
      </c>
      <c r="H983" s="18"/>
    </row>
    <row r="984" spans="1:8" x14ac:dyDescent="0.25">
      <c r="A984" s="4">
        <v>1994</v>
      </c>
      <c r="B984" s="18">
        <v>210</v>
      </c>
      <c r="C984" s="13">
        <v>34544</v>
      </c>
      <c r="D984" s="18">
        <v>50</v>
      </c>
      <c r="E984" s="18">
        <v>11</v>
      </c>
      <c r="F984" s="20">
        <v>0.32078998203424636</v>
      </c>
      <c r="G984" s="4" t="s">
        <v>131</v>
      </c>
      <c r="H984" s="18"/>
    </row>
    <row r="985" spans="1:8" x14ac:dyDescent="0.25">
      <c r="A985" s="4">
        <v>1994</v>
      </c>
      <c r="B985" s="18">
        <v>210</v>
      </c>
      <c r="C985" s="13">
        <v>34544</v>
      </c>
      <c r="D985" s="18">
        <v>50</v>
      </c>
      <c r="E985" s="18">
        <v>12</v>
      </c>
      <c r="F985" s="20">
        <v>0.29095751367752948</v>
      </c>
      <c r="G985" s="4" t="s">
        <v>131</v>
      </c>
      <c r="H985" s="18"/>
    </row>
    <row r="986" spans="1:8" x14ac:dyDescent="0.25">
      <c r="A986" s="4">
        <v>1994</v>
      </c>
      <c r="B986" s="18">
        <v>210</v>
      </c>
      <c r="C986" s="13">
        <v>34544</v>
      </c>
      <c r="D986" s="18">
        <v>30</v>
      </c>
      <c r="E986" s="18">
        <v>1</v>
      </c>
      <c r="F986" s="20">
        <v>0.31782606509167838</v>
      </c>
      <c r="G986" s="4" t="s">
        <v>0</v>
      </c>
      <c r="H986" s="18"/>
    </row>
    <row r="987" spans="1:8" x14ac:dyDescent="0.25">
      <c r="A987" s="4">
        <v>1994</v>
      </c>
      <c r="B987" s="18">
        <v>210</v>
      </c>
      <c r="C987" s="13">
        <v>34544</v>
      </c>
      <c r="D987" s="18">
        <v>30</v>
      </c>
      <c r="E987" s="18">
        <v>2</v>
      </c>
      <c r="F987" s="20">
        <v>0.24440468778610835</v>
      </c>
      <c r="G987" s="4" t="s">
        <v>0</v>
      </c>
      <c r="H987" s="18"/>
    </row>
    <row r="988" spans="1:8" x14ac:dyDescent="0.25">
      <c r="A988" s="4">
        <v>1994</v>
      </c>
      <c r="B988" s="18">
        <v>210</v>
      </c>
      <c r="C988" s="13">
        <v>34544</v>
      </c>
      <c r="D988" s="18">
        <v>30</v>
      </c>
      <c r="E988" s="18">
        <v>3</v>
      </c>
      <c r="F988" s="20">
        <v>0.29318045138445548</v>
      </c>
      <c r="G988" s="4" t="s">
        <v>0</v>
      </c>
      <c r="H988" s="18"/>
    </row>
    <row r="989" spans="1:8" x14ac:dyDescent="0.25">
      <c r="A989" s="4">
        <v>1994</v>
      </c>
      <c r="B989" s="18">
        <v>210</v>
      </c>
      <c r="C989" s="13">
        <v>34544</v>
      </c>
      <c r="D989" s="18">
        <v>30</v>
      </c>
      <c r="E989" s="18">
        <v>4</v>
      </c>
      <c r="F989" s="20">
        <v>0.30635699518348053</v>
      </c>
      <c r="G989" s="4" t="s">
        <v>0</v>
      </c>
      <c r="H989" s="18"/>
    </row>
    <row r="990" spans="1:8" x14ac:dyDescent="0.25">
      <c r="A990" s="4">
        <v>1994</v>
      </c>
      <c r="B990" s="18">
        <v>210</v>
      </c>
      <c r="C990" s="13">
        <v>34544</v>
      </c>
      <c r="D990" s="18">
        <v>30</v>
      </c>
      <c r="E990" s="18">
        <v>5</v>
      </c>
      <c r="F990" s="20">
        <v>0.31421781837898694</v>
      </c>
      <c r="G990" s="4" t="s">
        <v>1</v>
      </c>
      <c r="H990" s="18"/>
    </row>
    <row r="991" spans="1:8" x14ac:dyDescent="0.25">
      <c r="A991" s="4">
        <v>1994</v>
      </c>
      <c r="B991" s="18">
        <v>210</v>
      </c>
      <c r="C991" s="13">
        <v>34544</v>
      </c>
      <c r="D991" s="18">
        <v>30</v>
      </c>
      <c r="E991" s="18">
        <v>6</v>
      </c>
      <c r="F991" s="20">
        <v>0.28364437078662802</v>
      </c>
      <c r="G991" s="4" t="s">
        <v>1</v>
      </c>
      <c r="H991" s="18"/>
    </row>
    <row r="992" spans="1:8" x14ac:dyDescent="0.25">
      <c r="A992" s="4">
        <v>1994</v>
      </c>
      <c r="B992" s="18">
        <v>210</v>
      </c>
      <c r="C992" s="13">
        <v>34544</v>
      </c>
      <c r="D992" s="18">
        <v>30</v>
      </c>
      <c r="E992" s="18">
        <v>7</v>
      </c>
      <c r="F992" s="20">
        <v>0.30255544953975205</v>
      </c>
      <c r="G992" s="4" t="s">
        <v>130</v>
      </c>
      <c r="H992" s="18"/>
    </row>
    <row r="993" spans="1:8" x14ac:dyDescent="0.25">
      <c r="A993" s="4">
        <v>1994</v>
      </c>
      <c r="B993" s="18">
        <v>210</v>
      </c>
      <c r="C993" s="13">
        <v>34544</v>
      </c>
      <c r="D993" s="18">
        <v>30</v>
      </c>
      <c r="E993" s="18">
        <v>8</v>
      </c>
      <c r="F993" s="20">
        <v>0.32394719790785143</v>
      </c>
      <c r="G993" s="4" t="s">
        <v>130</v>
      </c>
      <c r="H993" s="18"/>
    </row>
    <row r="994" spans="1:8" x14ac:dyDescent="0.25">
      <c r="A994" s="4">
        <v>1994</v>
      </c>
      <c r="B994" s="18">
        <v>210</v>
      </c>
      <c r="C994" s="13">
        <v>34544</v>
      </c>
      <c r="D994" s="18">
        <v>30</v>
      </c>
      <c r="E994" s="18">
        <v>9</v>
      </c>
      <c r="F994" s="20">
        <v>0.33293559820107388</v>
      </c>
      <c r="G994" s="4" t="s">
        <v>130</v>
      </c>
      <c r="H994" s="18"/>
    </row>
    <row r="995" spans="1:8" x14ac:dyDescent="0.25">
      <c r="A995" s="4">
        <v>1994</v>
      </c>
      <c r="B995" s="18">
        <v>210</v>
      </c>
      <c r="C995" s="13">
        <v>34544</v>
      </c>
      <c r="D995" s="18">
        <v>30</v>
      </c>
      <c r="E995" s="18">
        <v>10</v>
      </c>
      <c r="F995" s="20">
        <v>0.31808379699972777</v>
      </c>
      <c r="G995" s="4" t="s">
        <v>130</v>
      </c>
      <c r="H995" s="18"/>
    </row>
    <row r="996" spans="1:8" x14ac:dyDescent="0.25">
      <c r="A996" s="4">
        <v>1994</v>
      </c>
      <c r="B996" s="18">
        <v>210</v>
      </c>
      <c r="C996" s="13">
        <v>34544</v>
      </c>
      <c r="D996" s="18">
        <v>30</v>
      </c>
      <c r="E996" s="18">
        <v>11</v>
      </c>
      <c r="F996" s="20">
        <v>0.32948843393091332</v>
      </c>
      <c r="G996" s="4" t="s">
        <v>131</v>
      </c>
      <c r="H996" s="18"/>
    </row>
    <row r="997" spans="1:8" x14ac:dyDescent="0.25">
      <c r="A997" s="4">
        <v>1994</v>
      </c>
      <c r="B997" s="18">
        <v>210</v>
      </c>
      <c r="C997" s="13">
        <v>34544</v>
      </c>
      <c r="D997" s="18">
        <v>30</v>
      </c>
      <c r="E997" s="18">
        <v>12</v>
      </c>
      <c r="F997" s="20">
        <v>0.31579642631578947</v>
      </c>
      <c r="G997" s="4" t="s">
        <v>131</v>
      </c>
      <c r="H997" s="18"/>
    </row>
    <row r="998" spans="1:8" x14ac:dyDescent="0.25">
      <c r="A998" s="4">
        <v>1994</v>
      </c>
      <c r="B998" s="18">
        <v>210</v>
      </c>
      <c r="C998" s="13">
        <v>34544</v>
      </c>
      <c r="D998" s="18">
        <v>10</v>
      </c>
      <c r="E998" s="18">
        <v>1</v>
      </c>
      <c r="F998" s="20">
        <v>0.3269763568755103</v>
      </c>
      <c r="G998" s="4" t="s">
        <v>0</v>
      </c>
      <c r="H998" s="18"/>
    </row>
    <row r="999" spans="1:8" x14ac:dyDescent="0.25">
      <c r="A999" s="4">
        <v>1994</v>
      </c>
      <c r="B999" s="18">
        <v>210</v>
      </c>
      <c r="C999" s="13">
        <v>34544</v>
      </c>
      <c r="D999" s="18">
        <v>10</v>
      </c>
      <c r="E999" s="18">
        <v>2</v>
      </c>
      <c r="F999" s="20">
        <v>0.30640558440130644</v>
      </c>
      <c r="G999" s="4" t="s">
        <v>0</v>
      </c>
      <c r="H999" s="18"/>
    </row>
    <row r="1000" spans="1:8" x14ac:dyDescent="0.25">
      <c r="A1000" s="4">
        <v>1994</v>
      </c>
      <c r="B1000" s="18">
        <v>210</v>
      </c>
      <c r="C1000" s="13">
        <v>34544</v>
      </c>
      <c r="D1000" s="18">
        <v>10</v>
      </c>
      <c r="E1000" s="18">
        <v>3</v>
      </c>
      <c r="F1000" s="20">
        <v>0.26312242478435155</v>
      </c>
      <c r="G1000" s="4" t="s">
        <v>0</v>
      </c>
      <c r="H1000" s="18"/>
    </row>
    <row r="1001" spans="1:8" x14ac:dyDescent="0.25">
      <c r="A1001" s="4">
        <v>1994</v>
      </c>
      <c r="B1001" s="18">
        <v>210</v>
      </c>
      <c r="C1001" s="13">
        <v>34544</v>
      </c>
      <c r="D1001" s="18">
        <v>10</v>
      </c>
      <c r="E1001" s="18">
        <v>4</v>
      </c>
      <c r="F1001" s="20">
        <v>0.33278125979288842</v>
      </c>
      <c r="G1001" s="4" t="s">
        <v>0</v>
      </c>
      <c r="H1001" s="18"/>
    </row>
    <row r="1002" spans="1:8" x14ac:dyDescent="0.25">
      <c r="A1002" s="4">
        <v>1994</v>
      </c>
      <c r="B1002" s="18">
        <v>210</v>
      </c>
      <c r="C1002" s="13">
        <v>34544</v>
      </c>
      <c r="D1002" s="18">
        <v>10</v>
      </c>
      <c r="E1002" s="18">
        <v>5</v>
      </c>
      <c r="F1002" s="20">
        <v>0.32069240857174669</v>
      </c>
      <c r="G1002" s="4" t="s">
        <v>1</v>
      </c>
      <c r="H1002" s="18"/>
    </row>
    <row r="1003" spans="1:8" x14ac:dyDescent="0.25">
      <c r="A1003" s="4">
        <v>1994</v>
      </c>
      <c r="B1003" s="18">
        <v>210</v>
      </c>
      <c r="C1003" s="13">
        <v>34544</v>
      </c>
      <c r="D1003" s="18">
        <v>10</v>
      </c>
      <c r="E1003" s="18">
        <v>6</v>
      </c>
      <c r="F1003" s="20">
        <v>0.30392582004825175</v>
      </c>
      <c r="G1003" s="4" t="s">
        <v>1</v>
      </c>
      <c r="H1003" s="18"/>
    </row>
    <row r="1004" spans="1:8" x14ac:dyDescent="0.25">
      <c r="A1004" s="4">
        <v>1994</v>
      </c>
      <c r="B1004" s="18">
        <v>210</v>
      </c>
      <c r="C1004" s="13">
        <v>34544</v>
      </c>
      <c r="D1004" s="18">
        <v>10</v>
      </c>
      <c r="E1004" s="18">
        <v>7</v>
      </c>
      <c r="F1004" s="20">
        <v>0.32398936799569439</v>
      </c>
      <c r="G1004" s="4" t="s">
        <v>130</v>
      </c>
      <c r="H1004" s="18"/>
    </row>
    <row r="1005" spans="1:8" x14ac:dyDescent="0.25">
      <c r="A1005" s="4">
        <v>1994</v>
      </c>
      <c r="B1005" s="18">
        <v>210</v>
      </c>
      <c r="C1005" s="13">
        <v>34544</v>
      </c>
      <c r="D1005" s="18">
        <v>10</v>
      </c>
      <c r="E1005" s="18">
        <v>8</v>
      </c>
      <c r="F1005" s="20">
        <v>0.3381352964642565</v>
      </c>
      <c r="G1005" s="4" t="s">
        <v>130</v>
      </c>
      <c r="H1005" s="18"/>
    </row>
    <row r="1006" spans="1:8" x14ac:dyDescent="0.25">
      <c r="A1006" s="4">
        <v>1994</v>
      </c>
      <c r="B1006" s="18">
        <v>210</v>
      </c>
      <c r="C1006" s="13">
        <v>34544</v>
      </c>
      <c r="D1006" s="18">
        <v>10</v>
      </c>
      <c r="E1006" s="18">
        <v>9</v>
      </c>
      <c r="F1006" s="20">
        <v>0.33968514918491571</v>
      </c>
      <c r="G1006" s="4" t="s">
        <v>130</v>
      </c>
      <c r="H1006" s="18"/>
    </row>
    <row r="1007" spans="1:8" x14ac:dyDescent="0.25">
      <c r="A1007" s="4">
        <v>1994</v>
      </c>
      <c r="B1007" s="18">
        <v>210</v>
      </c>
      <c r="C1007" s="13">
        <v>34544</v>
      </c>
      <c r="D1007" s="18">
        <v>10</v>
      </c>
      <c r="E1007" s="18">
        <v>10</v>
      </c>
      <c r="F1007" s="20">
        <v>0.32813170163091082</v>
      </c>
      <c r="G1007" s="4" t="s">
        <v>130</v>
      </c>
      <c r="H1007" s="18"/>
    </row>
    <row r="1008" spans="1:8" x14ac:dyDescent="0.25">
      <c r="A1008" s="4">
        <v>1994</v>
      </c>
      <c r="B1008" s="18">
        <v>210</v>
      </c>
      <c r="C1008" s="13">
        <v>34544</v>
      </c>
      <c r="D1008" s="18">
        <v>10</v>
      </c>
      <c r="E1008" s="18">
        <v>11</v>
      </c>
      <c r="F1008" s="20">
        <v>0.3345283664961769</v>
      </c>
      <c r="G1008" s="4" t="s">
        <v>131</v>
      </c>
      <c r="H1008" s="18"/>
    </row>
    <row r="1009" spans="1:8" x14ac:dyDescent="0.25">
      <c r="A1009" s="4">
        <v>1994</v>
      </c>
      <c r="B1009" s="18">
        <v>210</v>
      </c>
      <c r="C1009" s="13">
        <v>34544</v>
      </c>
      <c r="D1009" s="18">
        <v>10</v>
      </c>
      <c r="E1009" s="18">
        <v>12</v>
      </c>
      <c r="F1009" s="20">
        <v>0.33266854323138595</v>
      </c>
      <c r="G1009" s="4" t="s">
        <v>131</v>
      </c>
      <c r="H1009" s="18"/>
    </row>
    <row r="1010" spans="1:8" x14ac:dyDescent="0.25">
      <c r="A1010" s="4">
        <v>1994</v>
      </c>
      <c r="B1010" s="18">
        <v>223</v>
      </c>
      <c r="C1010" s="13">
        <v>34557</v>
      </c>
      <c r="D1010" s="18">
        <v>230</v>
      </c>
      <c r="E1010" s="18">
        <v>1</v>
      </c>
      <c r="F1010" s="20">
        <v>0.17826600896741146</v>
      </c>
      <c r="G1010" s="4" t="s">
        <v>0</v>
      </c>
      <c r="H1010" s="18"/>
    </row>
    <row r="1011" spans="1:8" x14ac:dyDescent="0.25">
      <c r="A1011" s="4">
        <v>1994</v>
      </c>
      <c r="B1011" s="18">
        <v>223</v>
      </c>
      <c r="C1011" s="13">
        <v>34557</v>
      </c>
      <c r="D1011" s="18">
        <v>230</v>
      </c>
      <c r="E1011" s="18">
        <v>2</v>
      </c>
      <c r="F1011" s="20">
        <v>0.23208304437680943</v>
      </c>
      <c r="G1011" s="4" t="s">
        <v>0</v>
      </c>
      <c r="H1011" s="18"/>
    </row>
    <row r="1012" spans="1:8" x14ac:dyDescent="0.25">
      <c r="A1012" s="4">
        <v>1994</v>
      </c>
      <c r="B1012" s="18">
        <v>223</v>
      </c>
      <c r="C1012" s="13">
        <v>34557</v>
      </c>
      <c r="D1012" s="18">
        <v>230</v>
      </c>
      <c r="E1012" s="18">
        <v>3</v>
      </c>
      <c r="F1012" s="20">
        <v>0.23915312549922052</v>
      </c>
      <c r="G1012" s="4" t="s">
        <v>0</v>
      </c>
      <c r="H1012" s="18"/>
    </row>
    <row r="1013" spans="1:8" x14ac:dyDescent="0.25">
      <c r="A1013" s="4">
        <v>1994</v>
      </c>
      <c r="B1013" s="18">
        <v>223</v>
      </c>
      <c r="C1013" s="13">
        <v>34557</v>
      </c>
      <c r="D1013" s="18">
        <v>230</v>
      </c>
      <c r="E1013" s="18">
        <v>4</v>
      </c>
      <c r="F1013" s="20">
        <v>0.25659090020785386</v>
      </c>
      <c r="G1013" s="4" t="s">
        <v>0</v>
      </c>
      <c r="H1013" s="18"/>
    </row>
    <row r="1014" spans="1:8" x14ac:dyDescent="0.25">
      <c r="A1014" s="4">
        <v>1994</v>
      </c>
      <c r="B1014" s="18">
        <v>223</v>
      </c>
      <c r="C1014" s="13">
        <v>34557</v>
      </c>
      <c r="D1014" s="18">
        <v>230</v>
      </c>
      <c r="E1014" s="18">
        <v>5</v>
      </c>
      <c r="F1014" s="20" t="e">
        <v>#N/A</v>
      </c>
      <c r="G1014" s="4" t="s">
        <v>1</v>
      </c>
      <c r="H1014" s="18"/>
    </row>
    <row r="1015" spans="1:8" x14ac:dyDescent="0.25">
      <c r="A1015" s="4">
        <v>1994</v>
      </c>
      <c r="B1015" s="18">
        <v>223</v>
      </c>
      <c r="C1015" s="13">
        <v>34557</v>
      </c>
      <c r="D1015" s="18">
        <v>230</v>
      </c>
      <c r="E1015" s="18">
        <v>6</v>
      </c>
      <c r="F1015" s="20" t="e">
        <v>#N/A</v>
      </c>
      <c r="G1015" s="4" t="s">
        <v>1</v>
      </c>
      <c r="H1015" s="18"/>
    </row>
    <row r="1016" spans="1:8" x14ac:dyDescent="0.25">
      <c r="A1016" s="4">
        <v>1994</v>
      </c>
      <c r="B1016" s="18">
        <v>223</v>
      </c>
      <c r="C1016" s="13">
        <v>34557</v>
      </c>
      <c r="D1016" s="18">
        <v>230</v>
      </c>
      <c r="E1016" s="18">
        <v>7</v>
      </c>
      <c r="F1016" s="20">
        <v>0.2659033578056566</v>
      </c>
      <c r="G1016" s="4" t="s">
        <v>130</v>
      </c>
      <c r="H1016" s="18"/>
    </row>
    <row r="1017" spans="1:8" x14ac:dyDescent="0.25">
      <c r="A1017" s="4">
        <v>1994</v>
      </c>
      <c r="B1017" s="18">
        <v>223</v>
      </c>
      <c r="C1017" s="13">
        <v>34557</v>
      </c>
      <c r="D1017" s="18">
        <v>230</v>
      </c>
      <c r="E1017" s="18">
        <v>8</v>
      </c>
      <c r="F1017" s="20" t="e">
        <v>#N/A</v>
      </c>
      <c r="G1017" s="4" t="s">
        <v>130</v>
      </c>
      <c r="H1017" s="18"/>
    </row>
    <row r="1018" spans="1:8" x14ac:dyDescent="0.25">
      <c r="A1018" s="4">
        <v>1994</v>
      </c>
      <c r="B1018" s="18">
        <v>223</v>
      </c>
      <c r="C1018" s="13">
        <v>34557</v>
      </c>
      <c r="D1018" s="18">
        <v>230</v>
      </c>
      <c r="E1018" s="18">
        <v>9</v>
      </c>
      <c r="F1018" s="20">
        <v>0.26289593523866078</v>
      </c>
      <c r="G1018" s="4" t="s">
        <v>130</v>
      </c>
      <c r="H1018" s="18"/>
    </row>
    <row r="1019" spans="1:8" x14ac:dyDescent="0.25">
      <c r="A1019" s="4">
        <v>1994</v>
      </c>
      <c r="B1019" s="18">
        <v>223</v>
      </c>
      <c r="C1019" s="13">
        <v>34557</v>
      </c>
      <c r="D1019" s="18">
        <v>230</v>
      </c>
      <c r="E1019" s="18">
        <v>10</v>
      </c>
      <c r="F1019" s="20">
        <v>0.25930813287803428</v>
      </c>
      <c r="G1019" s="4" t="s">
        <v>130</v>
      </c>
      <c r="H1019" s="18"/>
    </row>
    <row r="1020" spans="1:8" x14ac:dyDescent="0.25">
      <c r="A1020" s="4">
        <v>1994</v>
      </c>
      <c r="B1020" s="18">
        <v>223</v>
      </c>
      <c r="C1020" s="13">
        <v>34557</v>
      </c>
      <c r="D1020" s="18">
        <v>230</v>
      </c>
      <c r="E1020" s="18">
        <v>11</v>
      </c>
      <c r="F1020" s="20" t="e">
        <v>#N/A</v>
      </c>
      <c r="G1020" s="4" t="s">
        <v>131</v>
      </c>
      <c r="H1020" s="18"/>
    </row>
    <row r="1021" spans="1:8" x14ac:dyDescent="0.25">
      <c r="A1021" s="4">
        <v>1994</v>
      </c>
      <c r="B1021" s="18">
        <v>223</v>
      </c>
      <c r="C1021" s="13">
        <v>34557</v>
      </c>
      <c r="D1021" s="18">
        <v>230</v>
      </c>
      <c r="E1021" s="18">
        <v>12</v>
      </c>
      <c r="F1021" s="20" t="e">
        <v>#N/A</v>
      </c>
      <c r="G1021" s="4" t="s">
        <v>131</v>
      </c>
      <c r="H1021" s="18"/>
    </row>
    <row r="1022" spans="1:8" x14ac:dyDescent="0.25">
      <c r="A1022" s="4">
        <v>1994</v>
      </c>
      <c r="B1022" s="18">
        <v>223</v>
      </c>
      <c r="C1022" s="13">
        <v>34557</v>
      </c>
      <c r="D1022" s="18">
        <v>210</v>
      </c>
      <c r="E1022" s="18">
        <v>1</v>
      </c>
      <c r="F1022" s="20">
        <v>0.18335752261153587</v>
      </c>
      <c r="G1022" s="4" t="s">
        <v>0</v>
      </c>
      <c r="H1022" s="18"/>
    </row>
    <row r="1023" spans="1:8" x14ac:dyDescent="0.25">
      <c r="A1023" s="4">
        <v>1994</v>
      </c>
      <c r="B1023" s="18">
        <v>223</v>
      </c>
      <c r="C1023" s="13">
        <v>34557</v>
      </c>
      <c r="D1023" s="18">
        <v>210</v>
      </c>
      <c r="E1023" s="18">
        <v>2</v>
      </c>
      <c r="F1023" s="20">
        <v>0.24952081908544277</v>
      </c>
      <c r="G1023" s="4" t="s">
        <v>0</v>
      </c>
      <c r="H1023" s="18"/>
    </row>
    <row r="1024" spans="1:8" x14ac:dyDescent="0.25">
      <c r="A1024" s="4">
        <v>1994</v>
      </c>
      <c r="B1024" s="18">
        <v>223</v>
      </c>
      <c r="C1024" s="13">
        <v>34557</v>
      </c>
      <c r="D1024" s="18">
        <v>210</v>
      </c>
      <c r="E1024" s="18">
        <v>3</v>
      </c>
      <c r="F1024" s="20">
        <v>0.24313664135550445</v>
      </c>
      <c r="G1024" s="4" t="s">
        <v>0</v>
      </c>
      <c r="H1024" s="18"/>
    </row>
    <row r="1025" spans="1:8" x14ac:dyDescent="0.25">
      <c r="A1025" s="4">
        <v>1994</v>
      </c>
      <c r="B1025" s="18">
        <v>223</v>
      </c>
      <c r="C1025" s="13">
        <v>34557</v>
      </c>
      <c r="D1025" s="18">
        <v>210</v>
      </c>
      <c r="E1025" s="18">
        <v>4</v>
      </c>
      <c r="F1025" s="20">
        <v>0.26447878922129014</v>
      </c>
      <c r="G1025" s="4" t="s">
        <v>0</v>
      </c>
      <c r="H1025" s="18"/>
    </row>
    <row r="1026" spans="1:8" x14ac:dyDescent="0.25">
      <c r="A1026" s="4">
        <v>1994</v>
      </c>
      <c r="B1026" s="18">
        <v>223</v>
      </c>
      <c r="C1026" s="13">
        <v>34557</v>
      </c>
      <c r="D1026" s="18">
        <v>210</v>
      </c>
      <c r="E1026" s="18">
        <v>5</v>
      </c>
      <c r="F1026" s="20" t="e">
        <v>#N/A</v>
      </c>
      <c r="G1026" s="4" t="s">
        <v>1</v>
      </c>
      <c r="H1026" s="18"/>
    </row>
    <row r="1027" spans="1:8" x14ac:dyDescent="0.25">
      <c r="A1027" s="4">
        <v>1994</v>
      </c>
      <c r="B1027" s="18">
        <v>223</v>
      </c>
      <c r="C1027" s="13">
        <v>34557</v>
      </c>
      <c r="D1027" s="18">
        <v>210</v>
      </c>
      <c r="E1027" s="18">
        <v>6</v>
      </c>
      <c r="F1027" s="20" t="e">
        <v>#N/A</v>
      </c>
      <c r="G1027" s="4" t="s">
        <v>1</v>
      </c>
      <c r="H1027" s="18"/>
    </row>
    <row r="1028" spans="1:8" x14ac:dyDescent="0.25">
      <c r="A1028" s="4">
        <v>1994</v>
      </c>
      <c r="B1028" s="18">
        <v>223</v>
      </c>
      <c r="C1028" s="13">
        <v>34557</v>
      </c>
      <c r="D1028" s="18">
        <v>210</v>
      </c>
      <c r="E1028" s="18">
        <v>7</v>
      </c>
      <c r="F1028" s="20">
        <v>0.27339553332343552</v>
      </c>
      <c r="G1028" s="4" t="s">
        <v>130</v>
      </c>
      <c r="H1028" s="18"/>
    </row>
    <row r="1029" spans="1:8" x14ac:dyDescent="0.25">
      <c r="A1029" s="4">
        <v>1994</v>
      </c>
      <c r="B1029" s="18">
        <v>223</v>
      </c>
      <c r="C1029" s="13">
        <v>34557</v>
      </c>
      <c r="D1029" s="18">
        <v>210</v>
      </c>
      <c r="E1029" s="18">
        <v>8</v>
      </c>
      <c r="F1029" s="20" t="e">
        <v>#N/A</v>
      </c>
      <c r="G1029" s="4" t="s">
        <v>130</v>
      </c>
      <c r="H1029" s="18"/>
    </row>
    <row r="1030" spans="1:8" x14ac:dyDescent="0.25">
      <c r="A1030" s="4">
        <v>1994</v>
      </c>
      <c r="B1030" s="18">
        <v>223</v>
      </c>
      <c r="C1030" s="13">
        <v>34557</v>
      </c>
      <c r="D1030" s="18">
        <v>210</v>
      </c>
      <c r="E1030" s="18">
        <v>9</v>
      </c>
      <c r="F1030" s="20">
        <v>0.26519107351347337</v>
      </c>
      <c r="G1030" s="4" t="s">
        <v>130</v>
      </c>
      <c r="H1030" s="18"/>
    </row>
    <row r="1031" spans="1:8" x14ac:dyDescent="0.25">
      <c r="A1031" s="4">
        <v>1994</v>
      </c>
      <c r="B1031" s="18">
        <v>223</v>
      </c>
      <c r="C1031" s="13">
        <v>34557</v>
      </c>
      <c r="D1031" s="18">
        <v>210</v>
      </c>
      <c r="E1031" s="18">
        <v>10</v>
      </c>
      <c r="F1031" s="20">
        <v>0.26585059600623556</v>
      </c>
      <c r="G1031" s="4" t="s">
        <v>130</v>
      </c>
      <c r="H1031" s="18"/>
    </row>
    <row r="1032" spans="1:8" x14ac:dyDescent="0.25">
      <c r="A1032" s="4">
        <v>1994</v>
      </c>
      <c r="B1032" s="18">
        <v>223</v>
      </c>
      <c r="C1032" s="13">
        <v>34557</v>
      </c>
      <c r="D1032" s="18">
        <v>210</v>
      </c>
      <c r="E1032" s="18">
        <v>11</v>
      </c>
      <c r="F1032" s="20" t="e">
        <v>#N/A</v>
      </c>
      <c r="G1032" s="4" t="s">
        <v>131</v>
      </c>
      <c r="H1032" s="18"/>
    </row>
    <row r="1033" spans="1:8" x14ac:dyDescent="0.25">
      <c r="A1033" s="4">
        <v>1994</v>
      </c>
      <c r="B1033" s="18">
        <v>223</v>
      </c>
      <c r="C1033" s="13">
        <v>34557</v>
      </c>
      <c r="D1033" s="18">
        <v>210</v>
      </c>
      <c r="E1033" s="18">
        <v>12</v>
      </c>
      <c r="F1033" s="20" t="e">
        <v>#N/A</v>
      </c>
      <c r="G1033" s="4" t="s">
        <v>131</v>
      </c>
      <c r="H1033" s="18"/>
    </row>
    <row r="1034" spans="1:8" x14ac:dyDescent="0.25">
      <c r="A1034" s="4">
        <v>1994</v>
      </c>
      <c r="B1034" s="18">
        <v>223</v>
      </c>
      <c r="C1034" s="13">
        <v>34557</v>
      </c>
      <c r="D1034" s="18">
        <v>190</v>
      </c>
      <c r="E1034" s="18">
        <v>1</v>
      </c>
      <c r="F1034" s="20">
        <v>0.2165183135476208</v>
      </c>
      <c r="G1034" s="4" t="s">
        <v>0</v>
      </c>
      <c r="H1034" s="18"/>
    </row>
    <row r="1035" spans="1:8" x14ac:dyDescent="0.25">
      <c r="A1035" s="4">
        <v>1994</v>
      </c>
      <c r="B1035" s="18">
        <v>223</v>
      </c>
      <c r="C1035" s="13">
        <v>34557</v>
      </c>
      <c r="D1035" s="18">
        <v>190</v>
      </c>
      <c r="E1035" s="18">
        <v>2</v>
      </c>
      <c r="F1035" s="20">
        <v>0.26028422616732239</v>
      </c>
      <c r="G1035" s="4" t="s">
        <v>0</v>
      </c>
      <c r="H1035" s="18"/>
    </row>
    <row r="1036" spans="1:8" x14ac:dyDescent="0.25">
      <c r="A1036" s="4">
        <v>1994</v>
      </c>
      <c r="B1036" s="18">
        <v>223</v>
      </c>
      <c r="C1036" s="13">
        <v>34557</v>
      </c>
      <c r="D1036" s="18">
        <v>190</v>
      </c>
      <c r="E1036" s="18">
        <v>3</v>
      </c>
      <c r="F1036" s="20">
        <v>0.26339717233316007</v>
      </c>
      <c r="G1036" s="4" t="s">
        <v>0</v>
      </c>
      <c r="H1036" s="18"/>
    </row>
    <row r="1037" spans="1:8" x14ac:dyDescent="0.25">
      <c r="A1037" s="4">
        <v>1994</v>
      </c>
      <c r="B1037" s="18">
        <v>223</v>
      </c>
      <c r="C1037" s="13">
        <v>34557</v>
      </c>
      <c r="D1037" s="18">
        <v>190</v>
      </c>
      <c r="E1037" s="18">
        <v>4</v>
      </c>
      <c r="F1037" s="20">
        <v>0.27162801304283274</v>
      </c>
      <c r="G1037" s="4" t="s">
        <v>0</v>
      </c>
      <c r="H1037" s="18"/>
    </row>
    <row r="1038" spans="1:8" x14ac:dyDescent="0.25">
      <c r="A1038" s="4">
        <v>1994</v>
      </c>
      <c r="B1038" s="18">
        <v>223</v>
      </c>
      <c r="C1038" s="13">
        <v>34557</v>
      </c>
      <c r="D1038" s="18">
        <v>190</v>
      </c>
      <c r="E1038" s="18">
        <v>5</v>
      </c>
      <c r="F1038" s="20">
        <v>0.23229409157449332</v>
      </c>
      <c r="G1038" s="4" t="s">
        <v>1</v>
      </c>
      <c r="H1038" s="18"/>
    </row>
    <row r="1039" spans="1:8" x14ac:dyDescent="0.25">
      <c r="A1039" s="4">
        <v>1994</v>
      </c>
      <c r="B1039" s="18">
        <v>223</v>
      </c>
      <c r="C1039" s="13">
        <v>34557</v>
      </c>
      <c r="D1039" s="18">
        <v>190</v>
      </c>
      <c r="E1039" s="18">
        <v>6</v>
      </c>
      <c r="F1039" s="20">
        <v>0.26060079696384825</v>
      </c>
      <c r="G1039" s="4" t="s">
        <v>1</v>
      </c>
      <c r="H1039" s="18"/>
    </row>
    <row r="1040" spans="1:8" x14ac:dyDescent="0.25">
      <c r="A1040" s="4">
        <v>1994</v>
      </c>
      <c r="B1040" s="18">
        <v>223</v>
      </c>
      <c r="C1040" s="13">
        <v>34557</v>
      </c>
      <c r="D1040" s="18">
        <v>190</v>
      </c>
      <c r="E1040" s="18">
        <v>7</v>
      </c>
      <c r="F1040" s="20">
        <v>0.27524219630316976</v>
      </c>
      <c r="G1040" s="4" t="s">
        <v>130</v>
      </c>
      <c r="H1040" s="18"/>
    </row>
    <row r="1041" spans="1:8" x14ac:dyDescent="0.25">
      <c r="A1041" s="4">
        <v>1994</v>
      </c>
      <c r="B1041" s="18">
        <v>223</v>
      </c>
      <c r="C1041" s="13">
        <v>34557</v>
      </c>
      <c r="D1041" s="18">
        <v>190</v>
      </c>
      <c r="E1041" s="18">
        <v>8</v>
      </c>
      <c r="F1041" s="20" t="e">
        <v>#N/A</v>
      </c>
      <c r="G1041" s="4" t="s">
        <v>130</v>
      </c>
      <c r="H1041" s="18"/>
    </row>
    <row r="1042" spans="1:8" x14ac:dyDescent="0.25">
      <c r="A1042" s="4">
        <v>1994</v>
      </c>
      <c r="B1042" s="18">
        <v>223</v>
      </c>
      <c r="C1042" s="13">
        <v>34557</v>
      </c>
      <c r="D1042" s="18">
        <v>190</v>
      </c>
      <c r="E1042" s="18">
        <v>9</v>
      </c>
      <c r="F1042" s="20">
        <v>0.26928011296859922</v>
      </c>
      <c r="G1042" s="4" t="s">
        <v>130</v>
      </c>
      <c r="H1042" s="18"/>
    </row>
    <row r="1043" spans="1:8" x14ac:dyDescent="0.25">
      <c r="A1043" s="4">
        <v>1994</v>
      </c>
      <c r="B1043" s="18">
        <v>223</v>
      </c>
      <c r="C1043" s="13">
        <v>34557</v>
      </c>
      <c r="D1043" s="18">
        <v>190</v>
      </c>
      <c r="E1043" s="18">
        <v>10</v>
      </c>
      <c r="F1043" s="20">
        <v>0.26476897911810554</v>
      </c>
      <c r="G1043" s="4" t="s">
        <v>130</v>
      </c>
      <c r="H1043" s="18"/>
    </row>
    <row r="1044" spans="1:8" x14ac:dyDescent="0.25">
      <c r="A1044" s="4">
        <v>1994</v>
      </c>
      <c r="B1044" s="18">
        <v>223</v>
      </c>
      <c r="C1044" s="13">
        <v>34557</v>
      </c>
      <c r="D1044" s="18">
        <v>190</v>
      </c>
      <c r="E1044" s="18">
        <v>11</v>
      </c>
      <c r="F1044" s="20">
        <v>0.30531642197312742</v>
      </c>
      <c r="G1044" s="4" t="s">
        <v>131</v>
      </c>
      <c r="H1044" s="18"/>
    </row>
    <row r="1045" spans="1:8" x14ac:dyDescent="0.25">
      <c r="A1045" s="4">
        <v>1994</v>
      </c>
      <c r="B1045" s="18">
        <v>223</v>
      </c>
      <c r="C1045" s="13">
        <v>34557</v>
      </c>
      <c r="D1045" s="18">
        <v>190</v>
      </c>
      <c r="E1045" s="18">
        <v>12</v>
      </c>
      <c r="F1045" s="20">
        <v>0.30940546142825326</v>
      </c>
      <c r="G1045" s="4" t="s">
        <v>131</v>
      </c>
      <c r="H1045" s="18"/>
    </row>
    <row r="1046" spans="1:8" x14ac:dyDescent="0.25">
      <c r="A1046" s="4">
        <v>1994</v>
      </c>
      <c r="B1046" s="18">
        <v>223</v>
      </c>
      <c r="C1046" s="13">
        <v>34557</v>
      </c>
      <c r="D1046" s="18">
        <v>170</v>
      </c>
      <c r="E1046" s="18">
        <v>1</v>
      </c>
      <c r="F1046" s="20">
        <v>0.24762139430628755</v>
      </c>
      <c r="G1046" s="4" t="s">
        <v>0</v>
      </c>
      <c r="H1046" s="18"/>
    </row>
    <row r="1047" spans="1:8" x14ac:dyDescent="0.25">
      <c r="A1047" s="4">
        <v>1994</v>
      </c>
      <c r="B1047" s="18">
        <v>223</v>
      </c>
      <c r="C1047" s="13">
        <v>34557</v>
      </c>
      <c r="D1047" s="18">
        <v>170</v>
      </c>
      <c r="E1047" s="18">
        <v>2</v>
      </c>
      <c r="F1047" s="20">
        <v>0.26334441053373908</v>
      </c>
      <c r="G1047" s="4" t="s">
        <v>0</v>
      </c>
      <c r="H1047" s="18"/>
    </row>
    <row r="1048" spans="1:8" x14ac:dyDescent="0.25">
      <c r="A1048" s="4">
        <v>1994</v>
      </c>
      <c r="B1048" s="18">
        <v>223</v>
      </c>
      <c r="C1048" s="13">
        <v>34557</v>
      </c>
      <c r="D1048" s="18">
        <v>170</v>
      </c>
      <c r="E1048" s="18">
        <v>3</v>
      </c>
      <c r="F1048" s="20">
        <v>0.27587533789622148</v>
      </c>
      <c r="G1048" s="4" t="s">
        <v>0</v>
      </c>
      <c r="H1048" s="18"/>
    </row>
    <row r="1049" spans="1:8" x14ac:dyDescent="0.25">
      <c r="A1049" s="4">
        <v>1994</v>
      </c>
      <c r="B1049" s="18">
        <v>223</v>
      </c>
      <c r="C1049" s="13">
        <v>34557</v>
      </c>
      <c r="D1049" s="18">
        <v>170</v>
      </c>
      <c r="E1049" s="18">
        <v>4</v>
      </c>
      <c r="F1049" s="20">
        <v>0.27685143118550959</v>
      </c>
      <c r="G1049" s="4" t="s">
        <v>0</v>
      </c>
      <c r="H1049" s="18"/>
    </row>
    <row r="1050" spans="1:8" x14ac:dyDescent="0.25">
      <c r="A1050" s="4">
        <v>1994</v>
      </c>
      <c r="B1050" s="18">
        <v>223</v>
      </c>
      <c r="C1050" s="13">
        <v>34557</v>
      </c>
      <c r="D1050" s="18">
        <v>170</v>
      </c>
      <c r="E1050" s="18">
        <v>5</v>
      </c>
      <c r="F1050" s="20">
        <v>0.25632709121074898</v>
      </c>
      <c r="G1050" s="4" t="s">
        <v>1</v>
      </c>
      <c r="H1050" s="18"/>
    </row>
    <row r="1051" spans="1:8" x14ac:dyDescent="0.25">
      <c r="A1051" s="4">
        <v>1994</v>
      </c>
      <c r="B1051" s="18">
        <v>223</v>
      </c>
      <c r="C1051" s="13">
        <v>34557</v>
      </c>
      <c r="D1051" s="18">
        <v>170</v>
      </c>
      <c r="E1051" s="18">
        <v>6</v>
      </c>
      <c r="F1051" s="20">
        <v>0.26664202299755024</v>
      </c>
      <c r="G1051" s="4" t="s">
        <v>1</v>
      </c>
      <c r="H1051" s="18"/>
    </row>
    <row r="1052" spans="1:8" x14ac:dyDescent="0.25">
      <c r="A1052" s="4">
        <v>1994</v>
      </c>
      <c r="B1052" s="18">
        <v>223</v>
      </c>
      <c r="C1052" s="13">
        <v>34557</v>
      </c>
      <c r="D1052" s="18">
        <v>170</v>
      </c>
      <c r="E1052" s="18">
        <v>7</v>
      </c>
      <c r="F1052" s="20">
        <v>0.28740379106970526</v>
      </c>
      <c r="G1052" s="4" t="s">
        <v>130</v>
      </c>
      <c r="H1052" s="18"/>
    </row>
    <row r="1053" spans="1:8" x14ac:dyDescent="0.25">
      <c r="A1053" s="4">
        <v>1994</v>
      </c>
      <c r="B1053" s="18">
        <v>223</v>
      </c>
      <c r="C1053" s="13">
        <v>34557</v>
      </c>
      <c r="D1053" s="18">
        <v>170</v>
      </c>
      <c r="E1053" s="18">
        <v>8</v>
      </c>
      <c r="F1053" s="20" t="e">
        <v>#N/A</v>
      </c>
      <c r="G1053" s="4" t="s">
        <v>130</v>
      </c>
      <c r="H1053" s="18"/>
    </row>
    <row r="1054" spans="1:8" x14ac:dyDescent="0.25">
      <c r="A1054" s="4">
        <v>1994</v>
      </c>
      <c r="B1054" s="18">
        <v>223</v>
      </c>
      <c r="C1054" s="13">
        <v>34557</v>
      </c>
      <c r="D1054" s="18">
        <v>170</v>
      </c>
      <c r="E1054" s="18">
        <v>9</v>
      </c>
      <c r="F1054" s="20">
        <v>0.27555876709969562</v>
      </c>
      <c r="G1054" s="4" t="s">
        <v>130</v>
      </c>
      <c r="H1054" s="18"/>
    </row>
    <row r="1055" spans="1:8" x14ac:dyDescent="0.25">
      <c r="A1055" s="4">
        <v>1994</v>
      </c>
      <c r="B1055" s="18">
        <v>223</v>
      </c>
      <c r="C1055" s="13">
        <v>34557</v>
      </c>
      <c r="D1055" s="18">
        <v>170</v>
      </c>
      <c r="E1055" s="18">
        <v>10</v>
      </c>
      <c r="F1055" s="20">
        <v>0.26664202299755024</v>
      </c>
      <c r="G1055" s="4" t="s">
        <v>130</v>
      </c>
      <c r="H1055" s="18"/>
    </row>
    <row r="1056" spans="1:8" x14ac:dyDescent="0.25">
      <c r="A1056" s="4">
        <v>1994</v>
      </c>
      <c r="B1056" s="18">
        <v>223</v>
      </c>
      <c r="C1056" s="13">
        <v>34557</v>
      </c>
      <c r="D1056" s="18">
        <v>170</v>
      </c>
      <c r="E1056" s="18">
        <v>11</v>
      </c>
      <c r="F1056" s="20">
        <v>0.29745491385940165</v>
      </c>
      <c r="G1056" s="4" t="s">
        <v>131</v>
      </c>
      <c r="H1056" s="18"/>
    </row>
    <row r="1057" spans="1:8" x14ac:dyDescent="0.25">
      <c r="A1057" s="4">
        <v>1994</v>
      </c>
      <c r="B1057" s="18">
        <v>223</v>
      </c>
      <c r="C1057" s="13">
        <v>34557</v>
      </c>
      <c r="D1057" s="18">
        <v>170</v>
      </c>
      <c r="E1057" s="18">
        <v>12</v>
      </c>
      <c r="F1057" s="20">
        <v>0.29228425751614578</v>
      </c>
      <c r="G1057" s="4" t="s">
        <v>131</v>
      </c>
      <c r="H1057" s="18"/>
    </row>
    <row r="1058" spans="1:8" x14ac:dyDescent="0.25">
      <c r="A1058" s="4">
        <v>1994</v>
      </c>
      <c r="B1058" s="18">
        <v>223</v>
      </c>
      <c r="C1058" s="13">
        <v>34557</v>
      </c>
      <c r="D1058" s="18">
        <v>150</v>
      </c>
      <c r="E1058" s="18">
        <v>1</v>
      </c>
      <c r="F1058" s="20">
        <v>0.27310534342662013</v>
      </c>
      <c r="G1058" s="4" t="s">
        <v>0</v>
      </c>
      <c r="H1058" s="18"/>
    </row>
    <row r="1059" spans="1:8" x14ac:dyDescent="0.25">
      <c r="A1059" s="4">
        <v>1994</v>
      </c>
      <c r="B1059" s="18">
        <v>223</v>
      </c>
      <c r="C1059" s="13">
        <v>34557</v>
      </c>
      <c r="D1059" s="18">
        <v>150</v>
      </c>
      <c r="E1059" s="18">
        <v>2</v>
      </c>
      <c r="F1059" s="20">
        <v>0.18465018669734987</v>
      </c>
      <c r="G1059" s="4" t="s">
        <v>0</v>
      </c>
      <c r="H1059" s="18"/>
    </row>
    <row r="1060" spans="1:8" x14ac:dyDescent="0.25">
      <c r="A1060" s="4">
        <v>1994</v>
      </c>
      <c r="B1060" s="18">
        <v>223</v>
      </c>
      <c r="C1060" s="13">
        <v>34557</v>
      </c>
      <c r="D1060" s="18">
        <v>150</v>
      </c>
      <c r="E1060" s="18">
        <v>3</v>
      </c>
      <c r="F1060" s="20">
        <v>0.29307568450746041</v>
      </c>
      <c r="G1060" s="4" t="s">
        <v>0</v>
      </c>
      <c r="H1060" s="18"/>
    </row>
    <row r="1061" spans="1:8" x14ac:dyDescent="0.25">
      <c r="A1061" s="4">
        <v>1994</v>
      </c>
      <c r="B1061" s="18">
        <v>223</v>
      </c>
      <c r="C1061" s="13">
        <v>34557</v>
      </c>
      <c r="D1061" s="18">
        <v>150</v>
      </c>
      <c r="E1061" s="18">
        <v>4</v>
      </c>
      <c r="F1061" s="20">
        <v>0.28125704143716129</v>
      </c>
      <c r="G1061" s="4" t="s">
        <v>0</v>
      </c>
      <c r="H1061" s="18"/>
    </row>
    <row r="1062" spans="1:8" x14ac:dyDescent="0.25">
      <c r="A1062" s="4">
        <v>1994</v>
      </c>
      <c r="B1062" s="18">
        <v>223</v>
      </c>
      <c r="C1062" s="13">
        <v>34557</v>
      </c>
      <c r="D1062" s="18">
        <v>150</v>
      </c>
      <c r="E1062" s="18">
        <v>5</v>
      </c>
      <c r="F1062" s="20">
        <v>0.26442602742186916</v>
      </c>
      <c r="G1062" s="4" t="s">
        <v>1</v>
      </c>
      <c r="H1062" s="18"/>
    </row>
    <row r="1063" spans="1:8" x14ac:dyDescent="0.25">
      <c r="A1063" s="4">
        <v>1994</v>
      </c>
      <c r="B1063" s="18">
        <v>223</v>
      </c>
      <c r="C1063" s="13">
        <v>34557</v>
      </c>
      <c r="D1063" s="18">
        <v>150</v>
      </c>
      <c r="E1063" s="18">
        <v>6</v>
      </c>
      <c r="F1063" s="20">
        <v>0.27613914689332636</v>
      </c>
      <c r="G1063" s="4" t="s">
        <v>1</v>
      </c>
      <c r="H1063" s="18"/>
    </row>
    <row r="1064" spans="1:8" x14ac:dyDescent="0.25">
      <c r="A1064" s="4">
        <v>1994</v>
      </c>
      <c r="B1064" s="18">
        <v>223</v>
      </c>
      <c r="C1064" s="13">
        <v>34557</v>
      </c>
      <c r="D1064" s="18">
        <v>150</v>
      </c>
      <c r="E1064" s="18">
        <v>7</v>
      </c>
      <c r="F1064" s="20">
        <v>0.30059424092494991</v>
      </c>
      <c r="G1064" s="4" t="s">
        <v>130</v>
      </c>
      <c r="H1064" s="18"/>
    </row>
    <row r="1065" spans="1:8" x14ac:dyDescent="0.25">
      <c r="A1065" s="4">
        <v>1994</v>
      </c>
      <c r="B1065" s="18">
        <v>223</v>
      </c>
      <c r="C1065" s="13">
        <v>34557</v>
      </c>
      <c r="D1065" s="18">
        <v>150</v>
      </c>
      <c r="E1065" s="18">
        <v>8</v>
      </c>
      <c r="F1065" s="20" t="e">
        <v>#N/A</v>
      </c>
      <c r="G1065" s="4" t="s">
        <v>130</v>
      </c>
      <c r="H1065" s="18"/>
    </row>
    <row r="1066" spans="1:8" x14ac:dyDescent="0.25">
      <c r="A1066" s="4">
        <v>1994</v>
      </c>
      <c r="B1066" s="18">
        <v>223</v>
      </c>
      <c r="C1066" s="13">
        <v>34557</v>
      </c>
      <c r="D1066" s="18">
        <v>150</v>
      </c>
      <c r="E1066" s="18">
        <v>9</v>
      </c>
      <c r="F1066" s="20">
        <v>0.29727024756142822</v>
      </c>
      <c r="G1066" s="4" t="s">
        <v>130</v>
      </c>
      <c r="H1066" s="18"/>
    </row>
    <row r="1067" spans="1:8" x14ac:dyDescent="0.25">
      <c r="A1067" s="4">
        <v>1994</v>
      </c>
      <c r="B1067" s="18">
        <v>223</v>
      </c>
      <c r="C1067" s="13">
        <v>34557</v>
      </c>
      <c r="D1067" s="18">
        <v>150</v>
      </c>
      <c r="E1067" s="18">
        <v>10</v>
      </c>
      <c r="F1067" s="20">
        <v>0.27959504475540048</v>
      </c>
      <c r="G1067" s="4" t="s">
        <v>130</v>
      </c>
      <c r="H1067" s="18"/>
    </row>
    <row r="1068" spans="1:8" x14ac:dyDescent="0.25">
      <c r="A1068" s="4">
        <v>1994</v>
      </c>
      <c r="B1068" s="18">
        <v>223</v>
      </c>
      <c r="C1068" s="13">
        <v>34557</v>
      </c>
      <c r="D1068" s="18">
        <v>150</v>
      </c>
      <c r="E1068" s="18">
        <v>11</v>
      </c>
      <c r="F1068" s="20">
        <v>0.31022326931927841</v>
      </c>
      <c r="G1068" s="4" t="s">
        <v>131</v>
      </c>
      <c r="H1068" s="18"/>
    </row>
    <row r="1069" spans="1:8" x14ac:dyDescent="0.25">
      <c r="A1069" s="4">
        <v>1994</v>
      </c>
      <c r="B1069" s="18">
        <v>223</v>
      </c>
      <c r="C1069" s="13">
        <v>34557</v>
      </c>
      <c r="D1069" s="18">
        <v>150</v>
      </c>
      <c r="E1069" s="18">
        <v>12</v>
      </c>
      <c r="F1069" s="20">
        <v>0.31977315501447551</v>
      </c>
      <c r="G1069" s="4" t="s">
        <v>131</v>
      </c>
      <c r="H1069" s="18"/>
    </row>
    <row r="1070" spans="1:8" x14ac:dyDescent="0.25">
      <c r="A1070" s="4">
        <v>1994</v>
      </c>
      <c r="B1070" s="18">
        <v>223</v>
      </c>
      <c r="C1070" s="13">
        <v>34557</v>
      </c>
      <c r="D1070" s="18">
        <v>130</v>
      </c>
      <c r="E1070" s="18">
        <v>1</v>
      </c>
      <c r="F1070" s="20">
        <v>0.27004515906020338</v>
      </c>
      <c r="G1070" s="4" t="s">
        <v>0</v>
      </c>
      <c r="H1070" s="18"/>
    </row>
    <row r="1071" spans="1:8" x14ac:dyDescent="0.25">
      <c r="A1071" s="4">
        <v>1994</v>
      </c>
      <c r="B1071" s="18">
        <v>223</v>
      </c>
      <c r="C1071" s="13">
        <v>34557</v>
      </c>
      <c r="D1071" s="18">
        <v>130</v>
      </c>
      <c r="E1071" s="18">
        <v>2</v>
      </c>
      <c r="F1071" s="20">
        <v>0.21158508530175932</v>
      </c>
      <c r="G1071" s="4" t="s">
        <v>0</v>
      </c>
      <c r="H1071" s="18"/>
    </row>
    <row r="1072" spans="1:8" x14ac:dyDescent="0.25">
      <c r="A1072" s="4">
        <v>1994</v>
      </c>
      <c r="B1072" s="18">
        <v>223</v>
      </c>
      <c r="C1072" s="13">
        <v>34557</v>
      </c>
      <c r="D1072" s="18">
        <v>130</v>
      </c>
      <c r="E1072" s="18">
        <v>3</v>
      </c>
      <c r="F1072" s="20">
        <v>0.27447715021156555</v>
      </c>
      <c r="G1072" s="4" t="s">
        <v>0</v>
      </c>
      <c r="H1072" s="18"/>
    </row>
    <row r="1073" spans="1:8" x14ac:dyDescent="0.25">
      <c r="A1073" s="4">
        <v>1994</v>
      </c>
      <c r="B1073" s="18">
        <v>223</v>
      </c>
      <c r="C1073" s="13">
        <v>34557</v>
      </c>
      <c r="D1073" s="18">
        <v>130</v>
      </c>
      <c r="E1073" s="18">
        <v>4</v>
      </c>
      <c r="F1073" s="20">
        <v>0.26603526230420904</v>
      </c>
      <c r="G1073" s="4" t="s">
        <v>0</v>
      </c>
      <c r="H1073" s="18"/>
    </row>
    <row r="1074" spans="1:8" x14ac:dyDescent="0.25">
      <c r="A1074" s="4">
        <v>1994</v>
      </c>
      <c r="B1074" s="18">
        <v>223</v>
      </c>
      <c r="C1074" s="13">
        <v>34557</v>
      </c>
      <c r="D1074" s="18">
        <v>130</v>
      </c>
      <c r="E1074" s="18">
        <v>5</v>
      </c>
      <c r="F1074" s="20">
        <v>0.22200554068740253</v>
      </c>
      <c r="G1074" s="4" t="s">
        <v>1</v>
      </c>
      <c r="H1074" s="18"/>
    </row>
    <row r="1075" spans="1:8" x14ac:dyDescent="0.25">
      <c r="A1075" s="4">
        <v>1994</v>
      </c>
      <c r="B1075" s="18">
        <v>223</v>
      </c>
      <c r="C1075" s="13">
        <v>34557</v>
      </c>
      <c r="D1075" s="18">
        <v>130</v>
      </c>
      <c r="E1075" s="18">
        <v>6</v>
      </c>
      <c r="F1075" s="20">
        <v>0.24268816606042609</v>
      </c>
      <c r="G1075" s="4" t="s">
        <v>1</v>
      </c>
      <c r="H1075" s="18"/>
    </row>
    <row r="1076" spans="1:8" x14ac:dyDescent="0.25">
      <c r="A1076" s="4">
        <v>1994</v>
      </c>
      <c r="B1076" s="18">
        <v>223</v>
      </c>
      <c r="C1076" s="13">
        <v>34557</v>
      </c>
      <c r="D1076" s="18">
        <v>130</v>
      </c>
      <c r="E1076" s="18">
        <v>7</v>
      </c>
      <c r="F1076" s="20">
        <v>0.27814409527132355</v>
      </c>
      <c r="G1076" s="4" t="s">
        <v>130</v>
      </c>
      <c r="H1076" s="18"/>
    </row>
    <row r="1077" spans="1:8" x14ac:dyDescent="0.25">
      <c r="A1077" s="4">
        <v>1994</v>
      </c>
      <c r="B1077" s="18">
        <v>223</v>
      </c>
      <c r="C1077" s="13">
        <v>34557</v>
      </c>
      <c r="D1077" s="18">
        <v>130</v>
      </c>
      <c r="E1077" s="18">
        <v>8</v>
      </c>
      <c r="F1077" s="20" t="e">
        <v>#N/A</v>
      </c>
      <c r="G1077" s="4" t="s">
        <v>130</v>
      </c>
      <c r="H1077" s="18"/>
    </row>
    <row r="1078" spans="1:8" x14ac:dyDescent="0.25">
      <c r="A1078" s="4">
        <v>1994</v>
      </c>
      <c r="B1078" s="18">
        <v>223</v>
      </c>
      <c r="C1078" s="13">
        <v>34557</v>
      </c>
      <c r="D1078" s="18">
        <v>130</v>
      </c>
      <c r="E1078" s="18">
        <v>9</v>
      </c>
      <c r="F1078" s="20">
        <v>0.30333785449484074</v>
      </c>
      <c r="G1078" s="4" t="s">
        <v>130</v>
      </c>
      <c r="H1078" s="18"/>
    </row>
    <row r="1079" spans="1:8" x14ac:dyDescent="0.25">
      <c r="A1079" s="4">
        <v>1994</v>
      </c>
      <c r="B1079" s="18">
        <v>223</v>
      </c>
      <c r="C1079" s="13">
        <v>34557</v>
      </c>
      <c r="D1079" s="18">
        <v>130</v>
      </c>
      <c r="E1079" s="18">
        <v>10</v>
      </c>
      <c r="F1079" s="20">
        <v>0.24872939209412809</v>
      </c>
      <c r="G1079" s="4" t="s">
        <v>130</v>
      </c>
      <c r="H1079" s="18"/>
    </row>
    <row r="1080" spans="1:8" x14ac:dyDescent="0.25">
      <c r="A1080" s="4">
        <v>1994</v>
      </c>
      <c r="B1080" s="18">
        <v>223</v>
      </c>
      <c r="C1080" s="13">
        <v>34557</v>
      </c>
      <c r="D1080" s="18">
        <v>130</v>
      </c>
      <c r="E1080" s="18">
        <v>11</v>
      </c>
      <c r="F1080" s="20">
        <v>0.27347467602256698</v>
      </c>
      <c r="G1080" s="4" t="s">
        <v>131</v>
      </c>
      <c r="H1080" s="18"/>
    </row>
    <row r="1081" spans="1:8" x14ac:dyDescent="0.25">
      <c r="A1081" s="4">
        <v>1994</v>
      </c>
      <c r="B1081" s="18">
        <v>223</v>
      </c>
      <c r="C1081" s="13">
        <v>34557</v>
      </c>
      <c r="D1081" s="18">
        <v>130</v>
      </c>
      <c r="E1081" s="18">
        <v>12</v>
      </c>
      <c r="F1081" s="20">
        <v>0.2805183762452676</v>
      </c>
      <c r="G1081" s="4" t="s">
        <v>131</v>
      </c>
      <c r="H1081" s="18"/>
    </row>
    <row r="1082" spans="1:8" x14ac:dyDescent="0.25">
      <c r="A1082" s="4">
        <v>1994</v>
      </c>
      <c r="B1082" s="18">
        <v>223</v>
      </c>
      <c r="C1082" s="13">
        <v>34557</v>
      </c>
      <c r="D1082" s="18">
        <v>110</v>
      </c>
      <c r="E1082" s="18">
        <v>1</v>
      </c>
      <c r="F1082" s="20">
        <v>0.29736859489025808</v>
      </c>
      <c r="G1082" s="4" t="s">
        <v>0</v>
      </c>
      <c r="H1082" s="18"/>
    </row>
    <row r="1083" spans="1:8" x14ac:dyDescent="0.25">
      <c r="A1083" s="4">
        <v>1994</v>
      </c>
      <c r="B1083" s="18">
        <v>223</v>
      </c>
      <c r="C1083" s="13">
        <v>34557</v>
      </c>
      <c r="D1083" s="18">
        <v>110</v>
      </c>
      <c r="E1083" s="18">
        <v>2</v>
      </c>
      <c r="F1083" s="20">
        <v>0.23760700871130574</v>
      </c>
      <c r="G1083" s="4" t="s">
        <v>0</v>
      </c>
      <c r="H1083" s="18"/>
    </row>
    <row r="1084" spans="1:8" x14ac:dyDescent="0.25">
      <c r="A1084" s="4">
        <v>1994</v>
      </c>
      <c r="B1084" s="18">
        <v>223</v>
      </c>
      <c r="C1084" s="13">
        <v>34557</v>
      </c>
      <c r="D1084" s="18">
        <v>110</v>
      </c>
      <c r="E1084" s="18">
        <v>3</v>
      </c>
      <c r="F1084" s="20">
        <v>0.29453354390171477</v>
      </c>
      <c r="G1084" s="4" t="s">
        <v>0</v>
      </c>
      <c r="H1084" s="18"/>
    </row>
    <row r="1085" spans="1:8" x14ac:dyDescent="0.25">
      <c r="A1085" s="4">
        <v>1994</v>
      </c>
      <c r="B1085" s="18">
        <v>223</v>
      </c>
      <c r="C1085" s="13">
        <v>34557</v>
      </c>
      <c r="D1085" s="18">
        <v>110</v>
      </c>
      <c r="E1085" s="18">
        <v>4</v>
      </c>
      <c r="F1085" s="20">
        <v>0.29124746207408503</v>
      </c>
      <c r="G1085" s="4" t="s">
        <v>0</v>
      </c>
      <c r="H1085" s="18"/>
    </row>
    <row r="1086" spans="1:8" x14ac:dyDescent="0.25">
      <c r="A1086" s="4">
        <v>1994</v>
      </c>
      <c r="B1086" s="18">
        <v>223</v>
      </c>
      <c r="C1086" s="13">
        <v>34557</v>
      </c>
      <c r="D1086" s="18">
        <v>110</v>
      </c>
      <c r="E1086" s="18">
        <v>5</v>
      </c>
      <c r="F1086" s="20">
        <v>0.23174360780318209</v>
      </c>
      <c r="G1086" s="4" t="s">
        <v>1</v>
      </c>
      <c r="H1086" s="18"/>
    </row>
    <row r="1087" spans="1:8" x14ac:dyDescent="0.25">
      <c r="A1087" s="4">
        <v>1994</v>
      </c>
      <c r="B1087" s="18">
        <v>223</v>
      </c>
      <c r="C1087" s="13">
        <v>34557</v>
      </c>
      <c r="D1087" s="18">
        <v>110</v>
      </c>
      <c r="E1087" s="18">
        <v>6</v>
      </c>
      <c r="F1087" s="20">
        <v>0.26834153874619548</v>
      </c>
      <c r="G1087" s="4" t="s">
        <v>1</v>
      </c>
      <c r="H1087" s="18"/>
    </row>
    <row r="1088" spans="1:8" x14ac:dyDescent="0.25">
      <c r="A1088" s="4">
        <v>1994</v>
      </c>
      <c r="B1088" s="18">
        <v>223</v>
      </c>
      <c r="C1088" s="13">
        <v>34557</v>
      </c>
      <c r="D1088" s="18">
        <v>110</v>
      </c>
      <c r="E1088" s="18">
        <v>7</v>
      </c>
      <c r="F1088" s="20">
        <v>0.30703354144211015</v>
      </c>
      <c r="G1088" s="4" t="s">
        <v>130</v>
      </c>
      <c r="H1088" s="18"/>
    </row>
    <row r="1089" spans="1:8" x14ac:dyDescent="0.25">
      <c r="A1089" s="4">
        <v>1994</v>
      </c>
      <c r="B1089" s="18">
        <v>223</v>
      </c>
      <c r="C1089" s="13">
        <v>34557</v>
      </c>
      <c r="D1089" s="18">
        <v>110</v>
      </c>
      <c r="E1089" s="18">
        <v>8</v>
      </c>
      <c r="F1089" s="20" t="e">
        <v>#N/A</v>
      </c>
      <c r="G1089" s="4" t="s">
        <v>130</v>
      </c>
      <c r="H1089" s="18"/>
    </row>
    <row r="1090" spans="1:8" x14ac:dyDescent="0.25">
      <c r="A1090" s="4">
        <v>1994</v>
      </c>
      <c r="B1090" s="18">
        <v>223</v>
      </c>
      <c r="C1090" s="13">
        <v>34557</v>
      </c>
      <c r="D1090" s="18">
        <v>110</v>
      </c>
      <c r="E1090" s="18">
        <v>9</v>
      </c>
      <c r="F1090" s="20">
        <v>0.29711086298220868</v>
      </c>
      <c r="G1090" s="4" t="s">
        <v>130</v>
      </c>
      <c r="H1090" s="18"/>
    </row>
    <row r="1091" spans="1:8" x14ac:dyDescent="0.25">
      <c r="A1091" s="4">
        <v>1994</v>
      </c>
      <c r="B1091" s="18">
        <v>223</v>
      </c>
      <c r="C1091" s="13">
        <v>34557</v>
      </c>
      <c r="D1091" s="18">
        <v>110</v>
      </c>
      <c r="E1091" s="18">
        <v>10</v>
      </c>
      <c r="F1091" s="20">
        <v>0.25680803586098527</v>
      </c>
      <c r="G1091" s="4" t="s">
        <v>130</v>
      </c>
      <c r="H1091" s="18"/>
    </row>
    <row r="1092" spans="1:8" x14ac:dyDescent="0.25">
      <c r="A1092" s="4">
        <v>1994</v>
      </c>
      <c r="B1092" s="18">
        <v>223</v>
      </c>
      <c r="C1092" s="13">
        <v>34557</v>
      </c>
      <c r="D1092" s="18">
        <v>110</v>
      </c>
      <c r="E1092" s="18">
        <v>11</v>
      </c>
      <c r="F1092" s="20">
        <v>0.29562890451092472</v>
      </c>
      <c r="G1092" s="4" t="s">
        <v>131</v>
      </c>
      <c r="H1092" s="18"/>
    </row>
    <row r="1093" spans="1:8" x14ac:dyDescent="0.25">
      <c r="A1093" s="4">
        <v>1994</v>
      </c>
      <c r="B1093" s="18">
        <v>223</v>
      </c>
      <c r="C1093" s="13">
        <v>34557</v>
      </c>
      <c r="D1093" s="18">
        <v>110</v>
      </c>
      <c r="E1093" s="18">
        <v>12</v>
      </c>
      <c r="F1093" s="20">
        <v>0.29665983214312219</v>
      </c>
      <c r="G1093" s="4" t="s">
        <v>131</v>
      </c>
      <c r="H1093" s="18"/>
    </row>
    <row r="1094" spans="1:8" x14ac:dyDescent="0.25">
      <c r="A1094" s="4">
        <v>1994</v>
      </c>
      <c r="B1094" s="18">
        <v>223</v>
      </c>
      <c r="C1094" s="13">
        <v>34557</v>
      </c>
      <c r="D1094" s="18">
        <v>90</v>
      </c>
      <c r="E1094" s="18">
        <v>1</v>
      </c>
      <c r="F1094" s="20">
        <v>0.29881833687303588</v>
      </c>
      <c r="G1094" s="4" t="s">
        <v>0</v>
      </c>
      <c r="H1094" s="18"/>
    </row>
    <row r="1095" spans="1:8" x14ac:dyDescent="0.25">
      <c r="A1095" s="4">
        <v>1994</v>
      </c>
      <c r="B1095" s="18">
        <v>223</v>
      </c>
      <c r="C1095" s="13">
        <v>34557</v>
      </c>
      <c r="D1095" s="18">
        <v>90</v>
      </c>
      <c r="E1095" s="18">
        <v>2</v>
      </c>
      <c r="F1095" s="20">
        <v>0.21682737362482368</v>
      </c>
      <c r="G1095" s="4" t="s">
        <v>0</v>
      </c>
      <c r="H1095" s="18"/>
    </row>
    <row r="1096" spans="1:8" x14ac:dyDescent="0.25">
      <c r="A1096" s="4">
        <v>1994</v>
      </c>
      <c r="B1096" s="18">
        <v>223</v>
      </c>
      <c r="C1096" s="13">
        <v>34557</v>
      </c>
      <c r="D1096" s="18">
        <v>90</v>
      </c>
      <c r="E1096" s="18">
        <v>3</v>
      </c>
      <c r="F1096" s="20">
        <v>0.29936601717764083</v>
      </c>
      <c r="G1096" s="4" t="s">
        <v>0</v>
      </c>
      <c r="H1096" s="18"/>
    </row>
    <row r="1097" spans="1:8" x14ac:dyDescent="0.25">
      <c r="A1097" s="4">
        <v>1994</v>
      </c>
      <c r="B1097" s="18">
        <v>223</v>
      </c>
      <c r="C1097" s="13">
        <v>34557</v>
      </c>
      <c r="D1097" s="18">
        <v>90</v>
      </c>
      <c r="E1097" s="18">
        <v>4</v>
      </c>
      <c r="F1097" s="20">
        <v>0.28209797933833169</v>
      </c>
      <c r="G1097" s="4" t="s">
        <v>0</v>
      </c>
      <c r="H1097" s="18"/>
    </row>
    <row r="1098" spans="1:8" x14ac:dyDescent="0.25">
      <c r="A1098" s="4">
        <v>1994</v>
      </c>
      <c r="B1098" s="18">
        <v>223</v>
      </c>
      <c r="C1098" s="13">
        <v>34557</v>
      </c>
      <c r="D1098" s="18">
        <v>90</v>
      </c>
      <c r="E1098" s="18">
        <v>5</v>
      </c>
      <c r="F1098" s="20">
        <v>0.21180160141786059</v>
      </c>
      <c r="G1098" s="4" t="s">
        <v>1</v>
      </c>
      <c r="H1098" s="18"/>
    </row>
    <row r="1099" spans="1:8" x14ac:dyDescent="0.25">
      <c r="A1099" s="4">
        <v>1994</v>
      </c>
      <c r="B1099" s="18">
        <v>223</v>
      </c>
      <c r="C1099" s="13">
        <v>34557</v>
      </c>
      <c r="D1099" s="18">
        <v>90</v>
      </c>
      <c r="E1099" s="18">
        <v>6</v>
      </c>
      <c r="F1099" s="20">
        <v>0.2597397363150471</v>
      </c>
      <c r="G1099" s="4" t="s">
        <v>1</v>
      </c>
      <c r="H1099" s="18"/>
    </row>
    <row r="1100" spans="1:8" x14ac:dyDescent="0.25">
      <c r="A1100" s="4">
        <v>1994</v>
      </c>
      <c r="B1100" s="18">
        <v>223</v>
      </c>
      <c r="C1100" s="13">
        <v>34557</v>
      </c>
      <c r="D1100" s="18">
        <v>90</v>
      </c>
      <c r="E1100" s="18">
        <v>7</v>
      </c>
      <c r="F1100" s="20">
        <v>0.29733637840175192</v>
      </c>
      <c r="G1100" s="4" t="s">
        <v>130</v>
      </c>
      <c r="H1100" s="18"/>
    </row>
    <row r="1101" spans="1:8" x14ac:dyDescent="0.25">
      <c r="A1101" s="4">
        <v>1994</v>
      </c>
      <c r="B1101" s="18">
        <v>223</v>
      </c>
      <c r="C1101" s="13">
        <v>34557</v>
      </c>
      <c r="D1101" s="18">
        <v>90</v>
      </c>
      <c r="E1101" s="18">
        <v>8</v>
      </c>
      <c r="F1101" s="20" t="e">
        <v>#N/A</v>
      </c>
      <c r="G1101" s="4" t="s">
        <v>130</v>
      </c>
      <c r="H1101" s="18"/>
    </row>
    <row r="1102" spans="1:8" x14ac:dyDescent="0.25">
      <c r="A1102" s="4">
        <v>1994</v>
      </c>
      <c r="B1102" s="18">
        <v>223</v>
      </c>
      <c r="C1102" s="13">
        <v>34557</v>
      </c>
      <c r="D1102" s="18">
        <v>90</v>
      </c>
      <c r="E1102" s="18">
        <v>9</v>
      </c>
      <c r="F1102" s="20">
        <v>0.29962374908569023</v>
      </c>
      <c r="G1102" s="4" t="s">
        <v>130</v>
      </c>
      <c r="H1102" s="18"/>
    </row>
    <row r="1103" spans="1:8" x14ac:dyDescent="0.25">
      <c r="A1103" s="4">
        <v>1994</v>
      </c>
      <c r="B1103" s="18">
        <v>223</v>
      </c>
      <c r="C1103" s="13">
        <v>34557</v>
      </c>
      <c r="D1103" s="18">
        <v>90</v>
      </c>
      <c r="E1103" s="18">
        <v>10</v>
      </c>
      <c r="F1103" s="20">
        <v>0.27910184590725751</v>
      </c>
      <c r="G1103" s="4" t="s">
        <v>130</v>
      </c>
      <c r="H1103" s="18"/>
    </row>
    <row r="1104" spans="1:8" x14ac:dyDescent="0.25">
      <c r="A1104" s="4">
        <v>1994</v>
      </c>
      <c r="B1104" s="18">
        <v>223</v>
      </c>
      <c r="C1104" s="13">
        <v>34557</v>
      </c>
      <c r="D1104" s="18">
        <v>90</v>
      </c>
      <c r="E1104" s="18">
        <v>11</v>
      </c>
      <c r="F1104" s="20">
        <v>0.29772297626382599</v>
      </c>
      <c r="G1104" s="4" t="s">
        <v>131</v>
      </c>
      <c r="H1104" s="18"/>
    </row>
    <row r="1105" spans="1:8" x14ac:dyDescent="0.25">
      <c r="A1105" s="4">
        <v>1994</v>
      </c>
      <c r="B1105" s="18">
        <v>223</v>
      </c>
      <c r="C1105" s="13">
        <v>34557</v>
      </c>
      <c r="D1105" s="18">
        <v>90</v>
      </c>
      <c r="E1105" s="18">
        <v>12</v>
      </c>
      <c r="F1105" s="20">
        <v>0.30348972770643107</v>
      </c>
      <c r="G1105" s="4" t="s">
        <v>131</v>
      </c>
      <c r="H1105" s="18"/>
    </row>
    <row r="1106" spans="1:8" x14ac:dyDescent="0.25">
      <c r="A1106" s="4">
        <v>1994</v>
      </c>
      <c r="B1106" s="18">
        <v>223</v>
      </c>
      <c r="C1106" s="13">
        <v>34557</v>
      </c>
      <c r="D1106" s="18">
        <v>70</v>
      </c>
      <c r="E1106" s="18">
        <v>1</v>
      </c>
      <c r="F1106" s="20">
        <v>0.29195622482122086</v>
      </c>
      <c r="G1106" s="4" t="s">
        <v>0</v>
      </c>
      <c r="H1106" s="18"/>
    </row>
    <row r="1107" spans="1:8" x14ac:dyDescent="0.25">
      <c r="A1107" s="4">
        <v>1994</v>
      </c>
      <c r="B1107" s="18">
        <v>223</v>
      </c>
      <c r="C1107" s="13">
        <v>34557</v>
      </c>
      <c r="D1107" s="18">
        <v>70</v>
      </c>
      <c r="E1107" s="18">
        <v>2</v>
      </c>
      <c r="F1107" s="20">
        <v>0.23992659588375026</v>
      </c>
      <c r="G1107" s="4" t="s">
        <v>0</v>
      </c>
      <c r="H1107" s="18"/>
    </row>
    <row r="1108" spans="1:8" x14ac:dyDescent="0.25">
      <c r="A1108" s="4">
        <v>1994</v>
      </c>
      <c r="B1108" s="18">
        <v>223</v>
      </c>
      <c r="C1108" s="13">
        <v>34557</v>
      </c>
      <c r="D1108" s="18">
        <v>70</v>
      </c>
      <c r="E1108" s="18">
        <v>3</v>
      </c>
      <c r="F1108" s="20">
        <v>0.29698199702818401</v>
      </c>
      <c r="G1108" s="4" t="s">
        <v>0</v>
      </c>
      <c r="H1108" s="18"/>
    </row>
    <row r="1109" spans="1:8" x14ac:dyDescent="0.25">
      <c r="A1109" s="4">
        <v>1994</v>
      </c>
      <c r="B1109" s="18">
        <v>223</v>
      </c>
      <c r="C1109" s="13">
        <v>34557</v>
      </c>
      <c r="D1109" s="18">
        <v>70</v>
      </c>
      <c r="E1109" s="18">
        <v>4</v>
      </c>
      <c r="F1109" s="20">
        <v>0.28483638086135649</v>
      </c>
      <c r="G1109" s="4" t="s">
        <v>0</v>
      </c>
      <c r="H1109" s="18"/>
    </row>
    <row r="1110" spans="1:8" x14ac:dyDescent="0.25">
      <c r="A1110" s="4">
        <v>1994</v>
      </c>
      <c r="B1110" s="18">
        <v>223</v>
      </c>
      <c r="C1110" s="13">
        <v>34557</v>
      </c>
      <c r="D1110" s="18">
        <v>70</v>
      </c>
      <c r="E1110" s="18">
        <v>5</v>
      </c>
      <c r="F1110" s="20">
        <v>0.24665984198154056</v>
      </c>
      <c r="G1110" s="4" t="s">
        <v>1</v>
      </c>
      <c r="H1110" s="18"/>
    </row>
    <row r="1111" spans="1:8" x14ac:dyDescent="0.25">
      <c r="A1111" s="4">
        <v>1994</v>
      </c>
      <c r="B1111" s="18">
        <v>223</v>
      </c>
      <c r="C1111" s="13">
        <v>34557</v>
      </c>
      <c r="D1111" s="18">
        <v>70</v>
      </c>
      <c r="E1111" s="18">
        <v>6</v>
      </c>
      <c r="F1111" s="20">
        <v>0.26154385967139282</v>
      </c>
      <c r="G1111" s="4" t="s">
        <v>1</v>
      </c>
      <c r="H1111" s="18"/>
    </row>
    <row r="1112" spans="1:8" x14ac:dyDescent="0.25">
      <c r="A1112" s="4">
        <v>1994</v>
      </c>
      <c r="B1112" s="18">
        <v>223</v>
      </c>
      <c r="C1112" s="13">
        <v>34557</v>
      </c>
      <c r="D1112" s="18">
        <v>70</v>
      </c>
      <c r="E1112" s="18">
        <v>7</v>
      </c>
      <c r="F1112" s="20">
        <v>0.29997813045925814</v>
      </c>
      <c r="G1112" s="4" t="s">
        <v>130</v>
      </c>
      <c r="H1112" s="18"/>
    </row>
    <row r="1113" spans="1:8" x14ac:dyDescent="0.25">
      <c r="A1113" s="4">
        <v>1994</v>
      </c>
      <c r="B1113" s="18">
        <v>223</v>
      </c>
      <c r="C1113" s="13">
        <v>34557</v>
      </c>
      <c r="D1113" s="18">
        <v>70</v>
      </c>
      <c r="E1113" s="18">
        <v>8</v>
      </c>
      <c r="F1113" s="20" t="e">
        <v>#N/A</v>
      </c>
      <c r="G1113" s="4" t="s">
        <v>130</v>
      </c>
      <c r="H1113" s="18"/>
    </row>
    <row r="1114" spans="1:8" x14ac:dyDescent="0.25">
      <c r="A1114" s="4">
        <v>1994</v>
      </c>
      <c r="B1114" s="18">
        <v>223</v>
      </c>
      <c r="C1114" s="13">
        <v>34557</v>
      </c>
      <c r="D1114" s="18">
        <v>70</v>
      </c>
      <c r="E1114" s="18">
        <v>9</v>
      </c>
      <c r="F1114" s="20">
        <v>0.29437246145918389</v>
      </c>
      <c r="G1114" s="4" t="s">
        <v>130</v>
      </c>
      <c r="H1114" s="18"/>
    </row>
    <row r="1115" spans="1:8" x14ac:dyDescent="0.25">
      <c r="A1115" s="4">
        <v>1994</v>
      </c>
      <c r="B1115" s="18">
        <v>223</v>
      </c>
      <c r="C1115" s="13">
        <v>34557</v>
      </c>
      <c r="D1115" s="18">
        <v>70</v>
      </c>
      <c r="E1115" s="18">
        <v>10</v>
      </c>
      <c r="F1115" s="20">
        <v>0.28093818575210944</v>
      </c>
      <c r="G1115" s="4" t="s">
        <v>130</v>
      </c>
      <c r="H1115" s="18"/>
    </row>
    <row r="1116" spans="1:8" x14ac:dyDescent="0.25">
      <c r="A1116" s="4">
        <v>1994</v>
      </c>
      <c r="B1116" s="18">
        <v>223</v>
      </c>
      <c r="C1116" s="13">
        <v>34557</v>
      </c>
      <c r="D1116" s="18">
        <v>70</v>
      </c>
      <c r="E1116" s="18">
        <v>11</v>
      </c>
      <c r="F1116" s="20">
        <v>0.28490081383836879</v>
      </c>
      <c r="G1116" s="4" t="s">
        <v>131</v>
      </c>
      <c r="H1116" s="18"/>
    </row>
    <row r="1117" spans="1:8" x14ac:dyDescent="0.25">
      <c r="A1117" s="4">
        <v>1994</v>
      </c>
      <c r="B1117" s="18">
        <v>223</v>
      </c>
      <c r="C1117" s="13">
        <v>34557</v>
      </c>
      <c r="D1117" s="18">
        <v>70</v>
      </c>
      <c r="E1117" s="18">
        <v>12</v>
      </c>
      <c r="F1117" s="20">
        <v>0.29102194665454179</v>
      </c>
      <c r="G1117" s="4" t="s">
        <v>131</v>
      </c>
      <c r="H1117" s="18"/>
    </row>
    <row r="1118" spans="1:8" x14ac:dyDescent="0.25">
      <c r="A1118" s="4">
        <v>1994</v>
      </c>
      <c r="B1118" s="18">
        <v>223</v>
      </c>
      <c r="C1118" s="13">
        <v>34557</v>
      </c>
      <c r="D1118" s="18">
        <v>50</v>
      </c>
      <c r="E1118" s="18">
        <v>1</v>
      </c>
      <c r="F1118" s="20">
        <v>0.30149230541904831</v>
      </c>
      <c r="G1118" s="4" t="s">
        <v>0</v>
      </c>
      <c r="H1118" s="18"/>
    </row>
    <row r="1119" spans="1:8" x14ac:dyDescent="0.25">
      <c r="A1119" s="4">
        <v>1994</v>
      </c>
      <c r="B1119" s="18">
        <v>223</v>
      </c>
      <c r="C1119" s="13">
        <v>34557</v>
      </c>
      <c r="D1119" s="18">
        <v>50</v>
      </c>
      <c r="E1119" s="18">
        <v>2</v>
      </c>
      <c r="F1119" s="20">
        <v>0.27478483644743029</v>
      </c>
      <c r="G1119" s="4" t="s">
        <v>0</v>
      </c>
      <c r="H1119" s="18"/>
    </row>
    <row r="1120" spans="1:8" x14ac:dyDescent="0.25">
      <c r="A1120" s="4">
        <v>1994</v>
      </c>
      <c r="B1120" s="18">
        <v>223</v>
      </c>
      <c r="C1120" s="13">
        <v>34557</v>
      </c>
      <c r="D1120" s="18">
        <v>50</v>
      </c>
      <c r="E1120" s="18">
        <v>3</v>
      </c>
      <c r="F1120" s="20">
        <v>0.30075132618340628</v>
      </c>
      <c r="G1120" s="4" t="s">
        <v>0</v>
      </c>
      <c r="H1120" s="18"/>
    </row>
    <row r="1121" spans="1:8" x14ac:dyDescent="0.25">
      <c r="A1121" s="4">
        <v>1994</v>
      </c>
      <c r="B1121" s="18">
        <v>223</v>
      </c>
      <c r="C1121" s="13">
        <v>34557</v>
      </c>
      <c r="D1121" s="18">
        <v>50</v>
      </c>
      <c r="E1121" s="18">
        <v>4</v>
      </c>
      <c r="F1121" s="20">
        <v>0.28850906055106029</v>
      </c>
      <c r="G1121" s="4" t="s">
        <v>0</v>
      </c>
      <c r="H1121" s="18"/>
    </row>
    <row r="1122" spans="1:8" x14ac:dyDescent="0.25">
      <c r="A1122" s="4">
        <v>1994</v>
      </c>
      <c r="B1122" s="18">
        <v>223</v>
      </c>
      <c r="C1122" s="13">
        <v>34557</v>
      </c>
      <c r="D1122" s="18">
        <v>50</v>
      </c>
      <c r="E1122" s="18">
        <v>5</v>
      </c>
      <c r="F1122" s="20">
        <v>0.2726263317175166</v>
      </c>
      <c r="G1122" s="4" t="s">
        <v>1</v>
      </c>
      <c r="H1122" s="18"/>
    </row>
    <row r="1123" spans="1:8" x14ac:dyDescent="0.25">
      <c r="A1123" s="4">
        <v>1994</v>
      </c>
      <c r="B1123" s="18">
        <v>223</v>
      </c>
      <c r="C1123" s="13">
        <v>34557</v>
      </c>
      <c r="D1123" s="18">
        <v>50</v>
      </c>
      <c r="E1123" s="18">
        <v>6</v>
      </c>
      <c r="F1123" s="20">
        <v>0.26582865264271394</v>
      </c>
      <c r="G1123" s="4" t="s">
        <v>1</v>
      </c>
      <c r="H1123" s="18"/>
    </row>
    <row r="1124" spans="1:8" x14ac:dyDescent="0.25">
      <c r="A1124" s="4">
        <v>1994</v>
      </c>
      <c r="B1124" s="18">
        <v>223</v>
      </c>
      <c r="C1124" s="13">
        <v>34557</v>
      </c>
      <c r="D1124" s="18">
        <v>50</v>
      </c>
      <c r="E1124" s="18">
        <v>7</v>
      </c>
      <c r="F1124" s="20">
        <v>0.29862503794199885</v>
      </c>
      <c r="G1124" s="4" t="s">
        <v>130</v>
      </c>
      <c r="H1124" s="18"/>
    </row>
    <row r="1125" spans="1:8" x14ac:dyDescent="0.25">
      <c r="A1125" s="4">
        <v>1994</v>
      </c>
      <c r="B1125" s="18">
        <v>223</v>
      </c>
      <c r="C1125" s="13">
        <v>34557</v>
      </c>
      <c r="D1125" s="18">
        <v>50</v>
      </c>
      <c r="E1125" s="18">
        <v>8</v>
      </c>
      <c r="F1125" s="20" t="e">
        <v>#N/A</v>
      </c>
      <c r="G1125" s="4" t="s">
        <v>130</v>
      </c>
      <c r="H1125" s="18"/>
    </row>
    <row r="1126" spans="1:8" x14ac:dyDescent="0.25">
      <c r="A1126" s="4">
        <v>1994</v>
      </c>
      <c r="B1126" s="18">
        <v>223</v>
      </c>
      <c r="C1126" s="13">
        <v>34557</v>
      </c>
      <c r="D1126" s="18">
        <v>50</v>
      </c>
      <c r="E1126" s="18">
        <v>9</v>
      </c>
      <c r="F1126" s="20">
        <v>0.28090596926360328</v>
      </c>
      <c r="G1126" s="4" t="s">
        <v>130</v>
      </c>
      <c r="H1126" s="18"/>
    </row>
    <row r="1127" spans="1:8" x14ac:dyDescent="0.25">
      <c r="A1127" s="4">
        <v>1994</v>
      </c>
      <c r="B1127" s="18">
        <v>223</v>
      </c>
      <c r="C1127" s="13">
        <v>34557</v>
      </c>
      <c r="D1127" s="18">
        <v>50</v>
      </c>
      <c r="E1127" s="18">
        <v>10</v>
      </c>
      <c r="F1127" s="20">
        <v>0.28734926696483803</v>
      </c>
      <c r="G1127" s="4" t="s">
        <v>130</v>
      </c>
      <c r="H1127" s="18"/>
    </row>
    <row r="1128" spans="1:8" x14ac:dyDescent="0.25">
      <c r="A1128" s="4">
        <v>1994</v>
      </c>
      <c r="B1128" s="18">
        <v>223</v>
      </c>
      <c r="C1128" s="13">
        <v>34557</v>
      </c>
      <c r="D1128" s="18">
        <v>50</v>
      </c>
      <c r="E1128" s="18">
        <v>11</v>
      </c>
      <c r="F1128" s="20">
        <v>0.28180803094177609</v>
      </c>
      <c r="G1128" s="4" t="s">
        <v>131</v>
      </c>
      <c r="H1128" s="18"/>
    </row>
    <row r="1129" spans="1:8" x14ac:dyDescent="0.25">
      <c r="A1129" s="4">
        <v>1994</v>
      </c>
      <c r="B1129" s="18">
        <v>223</v>
      </c>
      <c r="C1129" s="13">
        <v>34557</v>
      </c>
      <c r="D1129" s="18">
        <v>50</v>
      </c>
      <c r="E1129" s="18">
        <v>12</v>
      </c>
      <c r="F1129" s="20">
        <v>0.29076421474649244</v>
      </c>
      <c r="G1129" s="4" t="s">
        <v>131</v>
      </c>
      <c r="H1129" s="18"/>
    </row>
    <row r="1130" spans="1:8" x14ac:dyDescent="0.25">
      <c r="A1130" s="4">
        <v>1994</v>
      </c>
      <c r="B1130" s="18">
        <v>223</v>
      </c>
      <c r="C1130" s="13">
        <v>34557</v>
      </c>
      <c r="D1130" s="18">
        <v>30</v>
      </c>
      <c r="E1130" s="18">
        <v>1</v>
      </c>
      <c r="F1130" s="20">
        <v>0.24907607861950359</v>
      </c>
      <c r="G1130" s="4" t="s">
        <v>0</v>
      </c>
      <c r="H1130" s="18"/>
    </row>
    <row r="1131" spans="1:8" x14ac:dyDescent="0.25">
      <c r="A1131" s="4">
        <v>1994</v>
      </c>
      <c r="B1131" s="18">
        <v>223</v>
      </c>
      <c r="C1131" s="13">
        <v>34557</v>
      </c>
      <c r="D1131" s="18">
        <v>30</v>
      </c>
      <c r="E1131" s="18">
        <v>2</v>
      </c>
      <c r="F1131" s="20">
        <v>0.21244593118798399</v>
      </c>
      <c r="G1131" s="4" t="s">
        <v>0</v>
      </c>
      <c r="H1131" s="18"/>
    </row>
    <row r="1132" spans="1:8" x14ac:dyDescent="0.25">
      <c r="A1132" s="4">
        <v>1994</v>
      </c>
      <c r="B1132" s="18">
        <v>223</v>
      </c>
      <c r="C1132" s="13">
        <v>34557</v>
      </c>
      <c r="D1132" s="18">
        <v>30</v>
      </c>
      <c r="E1132" s="18">
        <v>3</v>
      </c>
      <c r="F1132" s="20">
        <v>0.22662118613070048</v>
      </c>
      <c r="G1132" s="4" t="s">
        <v>0</v>
      </c>
      <c r="H1132" s="18"/>
    </row>
    <row r="1133" spans="1:8" x14ac:dyDescent="0.25">
      <c r="A1133" s="4">
        <v>1994</v>
      </c>
      <c r="B1133" s="18">
        <v>223</v>
      </c>
      <c r="C1133" s="13">
        <v>34557</v>
      </c>
      <c r="D1133" s="18">
        <v>30</v>
      </c>
      <c r="E1133" s="18">
        <v>4</v>
      </c>
      <c r="F1133" s="20">
        <v>0.25126679983792344</v>
      </c>
      <c r="G1133" s="4" t="s">
        <v>0</v>
      </c>
      <c r="H1133" s="18"/>
    </row>
    <row r="1134" spans="1:8" x14ac:dyDescent="0.25">
      <c r="A1134" s="4">
        <v>1994</v>
      </c>
      <c r="B1134" s="18">
        <v>223</v>
      </c>
      <c r="C1134" s="13">
        <v>34557</v>
      </c>
      <c r="D1134" s="18">
        <v>30</v>
      </c>
      <c r="E1134" s="18">
        <v>5</v>
      </c>
      <c r="F1134" s="20">
        <v>0.24691757388958996</v>
      </c>
      <c r="G1134" s="4" t="s">
        <v>1</v>
      </c>
      <c r="H1134" s="18"/>
    </row>
    <row r="1135" spans="1:8" x14ac:dyDescent="0.25">
      <c r="A1135" s="4">
        <v>1994</v>
      </c>
      <c r="B1135" s="18">
        <v>223</v>
      </c>
      <c r="C1135" s="13">
        <v>34557</v>
      </c>
      <c r="D1135" s="18">
        <v>30</v>
      </c>
      <c r="E1135" s="18">
        <v>6</v>
      </c>
      <c r="F1135" s="20">
        <v>0.20635701486031721</v>
      </c>
      <c r="G1135" s="4" t="s">
        <v>1</v>
      </c>
      <c r="H1135" s="18"/>
    </row>
    <row r="1136" spans="1:8" x14ac:dyDescent="0.25">
      <c r="A1136" s="4">
        <v>1994</v>
      </c>
      <c r="B1136" s="18">
        <v>223</v>
      </c>
      <c r="C1136" s="13">
        <v>34557</v>
      </c>
      <c r="D1136" s="18">
        <v>30</v>
      </c>
      <c r="E1136" s="18">
        <v>7</v>
      </c>
      <c r="F1136" s="20">
        <v>0.21193046737188526</v>
      </c>
      <c r="G1136" s="4" t="s">
        <v>130</v>
      </c>
      <c r="H1136" s="18"/>
    </row>
    <row r="1137" spans="1:8" x14ac:dyDescent="0.25">
      <c r="A1137" s="4">
        <v>1994</v>
      </c>
      <c r="B1137" s="18">
        <v>223</v>
      </c>
      <c r="C1137" s="13">
        <v>34557</v>
      </c>
      <c r="D1137" s="18">
        <v>30</v>
      </c>
      <c r="E1137" s="18">
        <v>8</v>
      </c>
      <c r="F1137" s="20" t="e">
        <v>#N/A</v>
      </c>
      <c r="G1137" s="4" t="s">
        <v>130</v>
      </c>
      <c r="H1137" s="18"/>
    </row>
    <row r="1138" spans="1:8" x14ac:dyDescent="0.25">
      <c r="A1138" s="4">
        <v>1994</v>
      </c>
      <c r="B1138" s="18">
        <v>223</v>
      </c>
      <c r="C1138" s="13">
        <v>34557</v>
      </c>
      <c r="D1138" s="18">
        <v>30</v>
      </c>
      <c r="E1138" s="18">
        <v>9</v>
      </c>
      <c r="F1138" s="20">
        <v>0.22752324780887334</v>
      </c>
      <c r="G1138" s="4" t="s">
        <v>130</v>
      </c>
      <c r="H1138" s="18"/>
    </row>
    <row r="1139" spans="1:8" x14ac:dyDescent="0.25">
      <c r="A1139" s="4">
        <v>1994</v>
      </c>
      <c r="B1139" s="18">
        <v>223</v>
      </c>
      <c r="C1139" s="13">
        <v>34557</v>
      </c>
      <c r="D1139" s="18">
        <v>30</v>
      </c>
      <c r="E1139" s="18">
        <v>10</v>
      </c>
      <c r="F1139" s="20">
        <v>0.23258123650434265</v>
      </c>
      <c r="G1139" s="4" t="s">
        <v>130</v>
      </c>
      <c r="H1139" s="18"/>
    </row>
    <row r="1140" spans="1:8" x14ac:dyDescent="0.25">
      <c r="A1140" s="4">
        <v>1994</v>
      </c>
      <c r="B1140" s="18">
        <v>223</v>
      </c>
      <c r="C1140" s="13">
        <v>34557</v>
      </c>
      <c r="D1140" s="18">
        <v>30</v>
      </c>
      <c r="E1140" s="18">
        <v>11</v>
      </c>
      <c r="F1140" s="20">
        <v>0.22136989850419414</v>
      </c>
      <c r="G1140" s="4" t="s">
        <v>131</v>
      </c>
      <c r="H1140" s="18"/>
    </row>
    <row r="1141" spans="1:8" x14ac:dyDescent="0.25">
      <c r="A1141" s="4">
        <v>1994</v>
      </c>
      <c r="B1141" s="18">
        <v>223</v>
      </c>
      <c r="C1141" s="13">
        <v>34557</v>
      </c>
      <c r="D1141" s="18">
        <v>30</v>
      </c>
      <c r="E1141" s="18">
        <v>12</v>
      </c>
      <c r="F1141" s="20">
        <v>0.19740083105560086</v>
      </c>
      <c r="G1141" s="4" t="s">
        <v>131</v>
      </c>
      <c r="H1141" s="18"/>
    </row>
    <row r="1142" spans="1:8" x14ac:dyDescent="0.25">
      <c r="A1142" s="4">
        <v>1994</v>
      </c>
      <c r="B1142" s="18">
        <v>223</v>
      </c>
      <c r="C1142" s="13">
        <v>34557</v>
      </c>
      <c r="D1142" s="18">
        <v>10</v>
      </c>
      <c r="E1142" s="18">
        <v>1</v>
      </c>
      <c r="F1142" s="20">
        <v>0.31049155975577164</v>
      </c>
      <c r="G1142" s="4" t="s">
        <v>0</v>
      </c>
      <c r="H1142" s="18"/>
    </row>
    <row r="1143" spans="1:8" x14ac:dyDescent="0.25">
      <c r="A1143" s="4">
        <v>1994</v>
      </c>
      <c r="B1143" s="18">
        <v>223</v>
      </c>
      <c r="C1143" s="13">
        <v>34557</v>
      </c>
      <c r="D1143" s="18">
        <v>10</v>
      </c>
      <c r="E1143" s="18">
        <v>2</v>
      </c>
      <c r="F1143" s="20">
        <v>0.27845187714868974</v>
      </c>
      <c r="G1143" s="4" t="s">
        <v>0</v>
      </c>
      <c r="H1143" s="18"/>
    </row>
    <row r="1144" spans="1:8" x14ac:dyDescent="0.25">
      <c r="A1144" s="4">
        <v>1994</v>
      </c>
      <c r="B1144" s="18">
        <v>223</v>
      </c>
      <c r="C1144" s="13">
        <v>34557</v>
      </c>
      <c r="D1144" s="18">
        <v>10</v>
      </c>
      <c r="E1144" s="18">
        <v>3</v>
      </c>
      <c r="F1144" s="20">
        <v>0.29085069891396326</v>
      </c>
      <c r="G1144" s="4" t="s">
        <v>0</v>
      </c>
      <c r="H1144" s="18"/>
    </row>
    <row r="1145" spans="1:8" x14ac:dyDescent="0.25">
      <c r="A1145" s="4">
        <v>1994</v>
      </c>
      <c r="B1145" s="18">
        <v>223</v>
      </c>
      <c r="C1145" s="13">
        <v>34557</v>
      </c>
      <c r="D1145" s="18">
        <v>10</v>
      </c>
      <c r="E1145" s="18">
        <v>4</v>
      </c>
      <c r="F1145" s="20">
        <v>0.31240774130131393</v>
      </c>
      <c r="G1145" s="4" t="s">
        <v>0</v>
      </c>
      <c r="H1145" s="18"/>
    </row>
    <row r="1146" spans="1:8" x14ac:dyDescent="0.25">
      <c r="A1146" s="4">
        <v>1994</v>
      </c>
      <c r="B1146" s="18">
        <v>223</v>
      </c>
      <c r="C1146" s="13">
        <v>34557</v>
      </c>
      <c r="D1146" s="18">
        <v>10</v>
      </c>
      <c r="E1146" s="18">
        <v>5</v>
      </c>
      <c r="F1146" s="20">
        <v>0.30860355735060502</v>
      </c>
      <c r="G1146" s="4" t="s">
        <v>1</v>
      </c>
      <c r="H1146" s="18"/>
    </row>
    <row r="1147" spans="1:8" x14ac:dyDescent="0.25">
      <c r="A1147" s="4">
        <v>1994</v>
      </c>
      <c r="B1147" s="18">
        <v>223</v>
      </c>
      <c r="C1147" s="13">
        <v>34557</v>
      </c>
      <c r="D1147" s="18">
        <v>10</v>
      </c>
      <c r="E1147" s="18">
        <v>6</v>
      </c>
      <c r="F1147" s="20">
        <v>0.27312601961769728</v>
      </c>
      <c r="G1147" s="4" t="s">
        <v>1</v>
      </c>
      <c r="H1147" s="18"/>
    </row>
    <row r="1148" spans="1:8" x14ac:dyDescent="0.25">
      <c r="A1148" s="4">
        <v>1994</v>
      </c>
      <c r="B1148" s="18">
        <v>223</v>
      </c>
      <c r="C1148" s="13">
        <v>34557</v>
      </c>
      <c r="D1148" s="18">
        <v>10</v>
      </c>
      <c r="E1148" s="18">
        <v>7</v>
      </c>
      <c r="F1148" s="20">
        <v>0.27800101090267981</v>
      </c>
      <c r="G1148" s="4" t="s">
        <v>130</v>
      </c>
      <c r="H1148" s="18"/>
    </row>
    <row r="1149" spans="1:8" x14ac:dyDescent="0.25">
      <c r="A1149" s="4">
        <v>1994</v>
      </c>
      <c r="B1149" s="18">
        <v>223</v>
      </c>
      <c r="C1149" s="13">
        <v>34557</v>
      </c>
      <c r="D1149" s="18">
        <v>10</v>
      </c>
      <c r="E1149" s="18">
        <v>8</v>
      </c>
      <c r="F1149" s="20" t="e">
        <v>#N/A</v>
      </c>
      <c r="G1149" s="4" t="s">
        <v>130</v>
      </c>
      <c r="H1149" s="18"/>
    </row>
    <row r="1150" spans="1:8" x14ac:dyDescent="0.25">
      <c r="A1150" s="4">
        <v>1994</v>
      </c>
      <c r="B1150" s="18">
        <v>223</v>
      </c>
      <c r="C1150" s="13">
        <v>34557</v>
      </c>
      <c r="D1150" s="18">
        <v>10</v>
      </c>
      <c r="E1150" s="18">
        <v>9</v>
      </c>
      <c r="F1150" s="20">
        <v>0.2916397148444807</v>
      </c>
      <c r="G1150" s="4" t="s">
        <v>130</v>
      </c>
      <c r="H1150" s="18"/>
    </row>
    <row r="1151" spans="1:8" x14ac:dyDescent="0.25">
      <c r="A1151" s="4">
        <v>1994</v>
      </c>
      <c r="B1151" s="18">
        <v>223</v>
      </c>
      <c r="C1151" s="13">
        <v>34557</v>
      </c>
      <c r="D1151" s="18">
        <v>10</v>
      </c>
      <c r="E1151" s="18">
        <v>10</v>
      </c>
      <c r="F1151" s="20">
        <v>0.29606383988345331</v>
      </c>
      <c r="G1151" s="4" t="s">
        <v>130</v>
      </c>
      <c r="H1151" s="18"/>
    </row>
    <row r="1152" spans="1:8" x14ac:dyDescent="0.25">
      <c r="A1152" s="4">
        <v>1994</v>
      </c>
      <c r="B1152" s="18">
        <v>223</v>
      </c>
      <c r="C1152" s="13">
        <v>34557</v>
      </c>
      <c r="D1152" s="18">
        <v>10</v>
      </c>
      <c r="E1152" s="18">
        <v>11</v>
      </c>
      <c r="F1152" s="20">
        <v>0.28625749903273695</v>
      </c>
      <c r="G1152" s="4" t="s">
        <v>131</v>
      </c>
      <c r="H1152" s="18"/>
    </row>
    <row r="1153" spans="1:8" x14ac:dyDescent="0.25">
      <c r="A1153" s="4">
        <v>1994</v>
      </c>
      <c r="B1153" s="18">
        <v>223</v>
      </c>
      <c r="C1153" s="13">
        <v>34557</v>
      </c>
      <c r="D1153" s="18">
        <v>10</v>
      </c>
      <c r="E1153" s="18">
        <v>12</v>
      </c>
      <c r="F1153" s="20">
        <v>0.2652922185932744</v>
      </c>
      <c r="G1153" s="4" t="s">
        <v>131</v>
      </c>
      <c r="H1153" s="18"/>
    </row>
    <row r="1154" spans="1:8" x14ac:dyDescent="0.25">
      <c r="A1154" s="4">
        <v>1994</v>
      </c>
      <c r="B1154" s="18">
        <v>237</v>
      </c>
      <c r="C1154" s="13">
        <v>34571</v>
      </c>
      <c r="D1154" s="18">
        <v>230</v>
      </c>
      <c r="E1154" s="18">
        <v>1</v>
      </c>
      <c r="F1154" s="20">
        <v>0.17966419665206737</v>
      </c>
      <c r="G1154" s="4" t="s">
        <v>0</v>
      </c>
      <c r="H1154" s="18"/>
    </row>
    <row r="1155" spans="1:8" x14ac:dyDescent="0.25">
      <c r="A1155" s="4">
        <v>1994</v>
      </c>
      <c r="B1155" s="18">
        <v>237</v>
      </c>
      <c r="C1155" s="13">
        <v>34571</v>
      </c>
      <c r="D1155" s="18">
        <v>230</v>
      </c>
      <c r="E1155" s="18">
        <v>2</v>
      </c>
      <c r="F1155" s="20">
        <v>0.23258428147130872</v>
      </c>
      <c r="G1155" s="4" t="s">
        <v>0</v>
      </c>
      <c r="H1155" s="18"/>
    </row>
    <row r="1156" spans="1:8" x14ac:dyDescent="0.25">
      <c r="A1156" s="4">
        <v>1994</v>
      </c>
      <c r="B1156" s="18">
        <v>237</v>
      </c>
      <c r="C1156" s="13">
        <v>34571</v>
      </c>
      <c r="D1156" s="18">
        <v>230</v>
      </c>
      <c r="E1156" s="18">
        <v>3</v>
      </c>
      <c r="F1156" s="20">
        <v>0.24334768855318833</v>
      </c>
      <c r="G1156" s="4" t="s">
        <v>0</v>
      </c>
      <c r="H1156" s="18"/>
    </row>
    <row r="1157" spans="1:8" x14ac:dyDescent="0.25">
      <c r="A1157" s="4">
        <v>1994</v>
      </c>
      <c r="B1157" s="18">
        <v>237</v>
      </c>
      <c r="C1157" s="13">
        <v>34571</v>
      </c>
      <c r="D1157" s="18">
        <v>230</v>
      </c>
      <c r="E1157" s="18">
        <v>4</v>
      </c>
      <c r="F1157" s="20">
        <v>0.25790994519337834</v>
      </c>
      <c r="G1157" s="4" t="s">
        <v>0</v>
      </c>
      <c r="H1157" s="18"/>
    </row>
    <row r="1158" spans="1:8" x14ac:dyDescent="0.25">
      <c r="A1158" s="4">
        <v>1994</v>
      </c>
      <c r="B1158" s="18">
        <v>237</v>
      </c>
      <c r="C1158" s="13">
        <v>34571</v>
      </c>
      <c r="D1158" s="18">
        <v>230</v>
      </c>
      <c r="E1158" s="18">
        <v>5</v>
      </c>
      <c r="F1158" s="20" t="e">
        <v>#N/A</v>
      </c>
      <c r="G1158" s="4" t="s">
        <v>1</v>
      </c>
      <c r="H1158" s="18"/>
    </row>
    <row r="1159" spans="1:8" x14ac:dyDescent="0.25">
      <c r="A1159" s="4">
        <v>1994</v>
      </c>
      <c r="B1159" s="18">
        <v>237</v>
      </c>
      <c r="C1159" s="13">
        <v>34571</v>
      </c>
      <c r="D1159" s="18">
        <v>230</v>
      </c>
      <c r="E1159" s="18">
        <v>6</v>
      </c>
      <c r="F1159" s="20" t="e">
        <v>#N/A</v>
      </c>
      <c r="G1159" s="4" t="s">
        <v>1</v>
      </c>
      <c r="H1159" s="18"/>
    </row>
    <row r="1160" spans="1:8" x14ac:dyDescent="0.25">
      <c r="A1160" s="4">
        <v>1994</v>
      </c>
      <c r="B1160" s="18">
        <v>237</v>
      </c>
      <c r="C1160" s="13">
        <v>34571</v>
      </c>
      <c r="D1160" s="18">
        <v>230</v>
      </c>
      <c r="E1160" s="18">
        <v>7</v>
      </c>
      <c r="F1160" s="20">
        <v>0.26126031945661049</v>
      </c>
      <c r="G1160" s="4" t="s">
        <v>130</v>
      </c>
      <c r="H1160" s="18"/>
    </row>
    <row r="1161" spans="1:8" x14ac:dyDescent="0.25">
      <c r="A1161" s="4">
        <v>1994</v>
      </c>
      <c r="B1161" s="18">
        <v>237</v>
      </c>
      <c r="C1161" s="13">
        <v>34571</v>
      </c>
      <c r="D1161" s="18">
        <v>230</v>
      </c>
      <c r="E1161" s="18">
        <v>8</v>
      </c>
      <c r="F1161" s="20">
        <v>0.25693385190409024</v>
      </c>
      <c r="G1161" s="4" t="s">
        <v>130</v>
      </c>
      <c r="H1161" s="18"/>
    </row>
    <row r="1162" spans="1:8" x14ac:dyDescent="0.25">
      <c r="A1162" s="4">
        <v>1994</v>
      </c>
      <c r="B1162" s="18">
        <v>237</v>
      </c>
      <c r="C1162" s="13">
        <v>34571</v>
      </c>
      <c r="D1162" s="18">
        <v>230</v>
      </c>
      <c r="E1162" s="18">
        <v>9</v>
      </c>
      <c r="F1162" s="20">
        <v>0.25300309784722735</v>
      </c>
      <c r="G1162" s="4" t="s">
        <v>130</v>
      </c>
      <c r="H1162" s="18"/>
    </row>
    <row r="1163" spans="1:8" x14ac:dyDescent="0.25">
      <c r="A1163" s="4">
        <v>1994</v>
      </c>
      <c r="B1163" s="18">
        <v>237</v>
      </c>
      <c r="C1163" s="13">
        <v>34571</v>
      </c>
      <c r="D1163" s="18">
        <v>230</v>
      </c>
      <c r="E1163" s="18">
        <v>10</v>
      </c>
      <c r="F1163" s="20">
        <v>0.2612075576571895</v>
      </c>
      <c r="G1163" s="4" t="s">
        <v>130</v>
      </c>
      <c r="H1163" s="18"/>
    </row>
    <row r="1164" spans="1:8" x14ac:dyDescent="0.25">
      <c r="A1164" s="4">
        <v>1994</v>
      </c>
      <c r="B1164" s="18">
        <v>237</v>
      </c>
      <c r="C1164" s="13">
        <v>34571</v>
      </c>
      <c r="D1164" s="18">
        <v>230</v>
      </c>
      <c r="E1164" s="18">
        <v>11</v>
      </c>
      <c r="F1164" s="20" t="e">
        <v>#N/A</v>
      </c>
      <c r="G1164" s="4" t="s">
        <v>131</v>
      </c>
      <c r="H1164" s="18"/>
    </row>
    <row r="1165" spans="1:8" x14ac:dyDescent="0.25">
      <c r="A1165" s="4">
        <v>1994</v>
      </c>
      <c r="B1165" s="18">
        <v>237</v>
      </c>
      <c r="C1165" s="13">
        <v>34571</v>
      </c>
      <c r="D1165" s="18">
        <v>230</v>
      </c>
      <c r="E1165" s="18">
        <v>12</v>
      </c>
      <c r="F1165" s="20" t="e">
        <v>#N/A</v>
      </c>
      <c r="G1165" s="4" t="s">
        <v>131</v>
      </c>
      <c r="H1165" s="18"/>
    </row>
    <row r="1166" spans="1:8" x14ac:dyDescent="0.25">
      <c r="A1166" s="4">
        <v>1994</v>
      </c>
      <c r="B1166" s="18">
        <v>237</v>
      </c>
      <c r="C1166" s="13">
        <v>34571</v>
      </c>
      <c r="D1166" s="18">
        <v>210</v>
      </c>
      <c r="E1166" s="18">
        <v>1</v>
      </c>
      <c r="F1166" s="20">
        <v>0.18367409340806173</v>
      </c>
      <c r="G1166" s="4" t="s">
        <v>0</v>
      </c>
      <c r="H1166" s="18"/>
    </row>
    <row r="1167" spans="1:8" x14ac:dyDescent="0.25">
      <c r="A1167" s="4">
        <v>1994</v>
      </c>
      <c r="B1167" s="18">
        <v>237</v>
      </c>
      <c r="C1167" s="13">
        <v>34571</v>
      </c>
      <c r="D1167" s="18">
        <v>210</v>
      </c>
      <c r="E1167" s="18">
        <v>2</v>
      </c>
      <c r="F1167" s="20">
        <v>0.24693549091381484</v>
      </c>
      <c r="G1167" s="4" t="s">
        <v>0</v>
      </c>
      <c r="H1167" s="18"/>
    </row>
    <row r="1168" spans="1:8" x14ac:dyDescent="0.25">
      <c r="A1168" s="4">
        <v>1994</v>
      </c>
      <c r="B1168" s="18">
        <v>237</v>
      </c>
      <c r="C1168" s="13">
        <v>34571</v>
      </c>
      <c r="D1168" s="18">
        <v>210</v>
      </c>
      <c r="E1168" s="18">
        <v>3</v>
      </c>
      <c r="F1168" s="20">
        <v>0.24332130765347781</v>
      </c>
      <c r="G1168" s="4" t="s">
        <v>0</v>
      </c>
      <c r="H1168" s="18"/>
    </row>
    <row r="1169" spans="1:8" x14ac:dyDescent="0.25">
      <c r="A1169" s="4">
        <v>1994</v>
      </c>
      <c r="B1169" s="18">
        <v>237</v>
      </c>
      <c r="C1169" s="13">
        <v>34571</v>
      </c>
      <c r="D1169" s="18">
        <v>210</v>
      </c>
      <c r="E1169" s="18">
        <v>4</v>
      </c>
      <c r="F1169" s="20">
        <v>0.26339717233316007</v>
      </c>
      <c r="G1169" s="4" t="s">
        <v>0</v>
      </c>
      <c r="H1169" s="18"/>
    </row>
    <row r="1170" spans="1:8" x14ac:dyDescent="0.25">
      <c r="A1170" s="4">
        <v>1994</v>
      </c>
      <c r="B1170" s="18">
        <v>237</v>
      </c>
      <c r="C1170" s="13">
        <v>34571</v>
      </c>
      <c r="D1170" s="18">
        <v>210</v>
      </c>
      <c r="E1170" s="18">
        <v>5</v>
      </c>
      <c r="F1170" s="20" t="e">
        <v>#N/A</v>
      </c>
      <c r="G1170" s="4" t="s">
        <v>1</v>
      </c>
      <c r="H1170" s="18"/>
    </row>
    <row r="1171" spans="1:8" x14ac:dyDescent="0.25">
      <c r="A1171" s="4">
        <v>1994</v>
      </c>
      <c r="B1171" s="18">
        <v>237</v>
      </c>
      <c r="C1171" s="13">
        <v>34571</v>
      </c>
      <c r="D1171" s="18">
        <v>210</v>
      </c>
      <c r="E1171" s="18">
        <v>6</v>
      </c>
      <c r="F1171" s="20" t="e">
        <v>#N/A</v>
      </c>
      <c r="G1171" s="4" t="s">
        <v>1</v>
      </c>
      <c r="H1171" s="18"/>
    </row>
    <row r="1172" spans="1:8" x14ac:dyDescent="0.25">
      <c r="A1172" s="4">
        <v>1994</v>
      </c>
      <c r="B1172" s="18">
        <v>237</v>
      </c>
      <c r="C1172" s="13">
        <v>34571</v>
      </c>
      <c r="D1172" s="18">
        <v>210</v>
      </c>
      <c r="E1172" s="18">
        <v>7</v>
      </c>
      <c r="F1172" s="20">
        <v>0.26891078037265237</v>
      </c>
      <c r="G1172" s="4" t="s">
        <v>130</v>
      </c>
      <c r="H1172" s="18"/>
    </row>
    <row r="1173" spans="1:8" x14ac:dyDescent="0.25">
      <c r="A1173" s="4">
        <v>1994</v>
      </c>
      <c r="B1173" s="18">
        <v>237</v>
      </c>
      <c r="C1173" s="13">
        <v>34571</v>
      </c>
      <c r="D1173" s="18">
        <v>210</v>
      </c>
      <c r="E1173" s="18">
        <v>8</v>
      </c>
      <c r="F1173" s="20">
        <v>0.25928175197832376</v>
      </c>
      <c r="G1173" s="4" t="s">
        <v>130</v>
      </c>
      <c r="H1173" s="18"/>
    </row>
    <row r="1174" spans="1:8" x14ac:dyDescent="0.25">
      <c r="A1174" s="4">
        <v>1994</v>
      </c>
      <c r="B1174" s="18">
        <v>237</v>
      </c>
      <c r="C1174" s="13">
        <v>34571</v>
      </c>
      <c r="D1174" s="18">
        <v>210</v>
      </c>
      <c r="E1174" s="18">
        <v>9</v>
      </c>
      <c r="F1174" s="20">
        <v>0.25878051488382448</v>
      </c>
      <c r="G1174" s="4" t="s">
        <v>130</v>
      </c>
      <c r="H1174" s="18"/>
    </row>
    <row r="1175" spans="1:8" x14ac:dyDescent="0.25">
      <c r="A1175" s="4">
        <v>1994</v>
      </c>
      <c r="B1175" s="18">
        <v>237</v>
      </c>
      <c r="C1175" s="13">
        <v>34571</v>
      </c>
      <c r="D1175" s="18">
        <v>210</v>
      </c>
      <c r="E1175" s="18">
        <v>10</v>
      </c>
      <c r="F1175" s="20">
        <v>0.26840954327815308</v>
      </c>
      <c r="G1175" s="4" t="s">
        <v>130</v>
      </c>
      <c r="H1175" s="18"/>
    </row>
    <row r="1176" spans="1:8" x14ac:dyDescent="0.25">
      <c r="A1176" s="4">
        <v>1994</v>
      </c>
      <c r="B1176" s="18">
        <v>237</v>
      </c>
      <c r="C1176" s="13">
        <v>34571</v>
      </c>
      <c r="D1176" s="18">
        <v>210</v>
      </c>
      <c r="E1176" s="18">
        <v>11</v>
      </c>
      <c r="F1176" s="20" t="e">
        <v>#N/A</v>
      </c>
      <c r="G1176" s="4" t="s">
        <v>131</v>
      </c>
      <c r="H1176" s="18"/>
    </row>
    <row r="1177" spans="1:8" x14ac:dyDescent="0.25">
      <c r="A1177" s="4">
        <v>1994</v>
      </c>
      <c r="B1177" s="18">
        <v>237</v>
      </c>
      <c r="C1177" s="13">
        <v>34571</v>
      </c>
      <c r="D1177" s="18">
        <v>210</v>
      </c>
      <c r="E1177" s="18">
        <v>12</v>
      </c>
      <c r="F1177" s="20" t="e">
        <v>#N/A</v>
      </c>
      <c r="G1177" s="4" t="s">
        <v>131</v>
      </c>
      <c r="H1177" s="18"/>
    </row>
    <row r="1178" spans="1:8" x14ac:dyDescent="0.25">
      <c r="A1178" s="4">
        <v>1994</v>
      </c>
      <c r="B1178" s="18">
        <v>237</v>
      </c>
      <c r="C1178" s="13">
        <v>34571</v>
      </c>
      <c r="D1178" s="18">
        <v>190</v>
      </c>
      <c r="E1178" s="18">
        <v>1</v>
      </c>
      <c r="F1178" s="20">
        <v>0.21417041347338728</v>
      </c>
      <c r="G1178" s="4" t="s">
        <v>0</v>
      </c>
      <c r="H1178" s="18"/>
    </row>
    <row r="1179" spans="1:8" x14ac:dyDescent="0.25">
      <c r="A1179" s="4">
        <v>1994</v>
      </c>
      <c r="B1179" s="18">
        <v>237</v>
      </c>
      <c r="C1179" s="13">
        <v>34571</v>
      </c>
      <c r="D1179" s="18">
        <v>190</v>
      </c>
      <c r="E1179" s="18">
        <v>2</v>
      </c>
      <c r="F1179" s="20">
        <v>0.26445240832157968</v>
      </c>
      <c r="G1179" s="4" t="s">
        <v>0</v>
      </c>
      <c r="H1179" s="18"/>
    </row>
    <row r="1180" spans="1:8" x14ac:dyDescent="0.25">
      <c r="A1180" s="4">
        <v>1994</v>
      </c>
      <c r="B1180" s="18">
        <v>237</v>
      </c>
      <c r="C1180" s="13">
        <v>34571</v>
      </c>
      <c r="D1180" s="18">
        <v>190</v>
      </c>
      <c r="E1180" s="18">
        <v>3</v>
      </c>
      <c r="F1180" s="20">
        <v>0.26859420957612645</v>
      </c>
      <c r="G1180" s="4" t="s">
        <v>0</v>
      </c>
      <c r="H1180" s="18"/>
    </row>
    <row r="1181" spans="1:8" x14ac:dyDescent="0.25">
      <c r="A1181" s="4">
        <v>1994</v>
      </c>
      <c r="B1181" s="18">
        <v>237</v>
      </c>
      <c r="C1181" s="13">
        <v>34571</v>
      </c>
      <c r="D1181" s="18">
        <v>190</v>
      </c>
      <c r="E1181" s="18">
        <v>4</v>
      </c>
      <c r="F1181" s="20">
        <v>0.27141696584514885</v>
      </c>
      <c r="G1181" s="4" t="s">
        <v>0</v>
      </c>
      <c r="H1181" s="18"/>
    </row>
    <row r="1182" spans="1:8" x14ac:dyDescent="0.25">
      <c r="A1182" s="4">
        <v>1994</v>
      </c>
      <c r="B1182" s="18">
        <v>237</v>
      </c>
      <c r="C1182" s="13">
        <v>34571</v>
      </c>
      <c r="D1182" s="18">
        <v>190</v>
      </c>
      <c r="E1182" s="18">
        <v>5</v>
      </c>
      <c r="F1182" s="20">
        <v>0.23300637586667655</v>
      </c>
      <c r="G1182" s="4" t="s">
        <v>1</v>
      </c>
      <c r="H1182" s="18"/>
    </row>
    <row r="1183" spans="1:8" x14ac:dyDescent="0.25">
      <c r="A1183" s="4">
        <v>1994</v>
      </c>
      <c r="B1183" s="18">
        <v>237</v>
      </c>
      <c r="C1183" s="13">
        <v>34571</v>
      </c>
      <c r="D1183" s="18">
        <v>190</v>
      </c>
      <c r="E1183" s="18">
        <v>6</v>
      </c>
      <c r="F1183" s="20">
        <v>0.25801546879222031</v>
      </c>
      <c r="G1183" s="4" t="s">
        <v>1</v>
      </c>
      <c r="H1183" s="18"/>
    </row>
    <row r="1184" spans="1:8" x14ac:dyDescent="0.25">
      <c r="A1184" s="4">
        <v>1994</v>
      </c>
      <c r="B1184" s="18">
        <v>237</v>
      </c>
      <c r="C1184" s="13">
        <v>34571</v>
      </c>
      <c r="D1184" s="18">
        <v>190</v>
      </c>
      <c r="E1184" s="18">
        <v>7</v>
      </c>
      <c r="F1184" s="20">
        <v>0.26711687919233906</v>
      </c>
      <c r="G1184" s="4" t="s">
        <v>130</v>
      </c>
      <c r="H1184" s="18"/>
    </row>
    <row r="1185" spans="1:8" x14ac:dyDescent="0.25">
      <c r="A1185" s="4">
        <v>1994</v>
      </c>
      <c r="B1185" s="18">
        <v>237</v>
      </c>
      <c r="C1185" s="13">
        <v>34571</v>
      </c>
      <c r="D1185" s="18">
        <v>190</v>
      </c>
      <c r="E1185" s="18">
        <v>8</v>
      </c>
      <c r="F1185" s="20">
        <v>0.26592973870536707</v>
      </c>
      <c r="G1185" s="4" t="s">
        <v>130</v>
      </c>
      <c r="H1185" s="18"/>
    </row>
    <row r="1186" spans="1:8" x14ac:dyDescent="0.25">
      <c r="A1186" s="4">
        <v>1994</v>
      </c>
      <c r="B1186" s="18">
        <v>237</v>
      </c>
      <c r="C1186" s="13">
        <v>34571</v>
      </c>
      <c r="D1186" s="18">
        <v>190</v>
      </c>
      <c r="E1186" s="18">
        <v>9</v>
      </c>
      <c r="F1186" s="20">
        <v>0.26527021621260483</v>
      </c>
      <c r="G1186" s="4" t="s">
        <v>130</v>
      </c>
      <c r="H1186" s="18"/>
    </row>
    <row r="1187" spans="1:8" x14ac:dyDescent="0.25">
      <c r="A1187" s="4">
        <v>1994</v>
      </c>
      <c r="B1187" s="18">
        <v>237</v>
      </c>
      <c r="C1187" s="13">
        <v>34571</v>
      </c>
      <c r="D1187" s="18">
        <v>190</v>
      </c>
      <c r="E1187" s="18">
        <v>10</v>
      </c>
      <c r="F1187" s="20">
        <v>0.26943839836686212</v>
      </c>
      <c r="G1187" s="4" t="s">
        <v>130</v>
      </c>
      <c r="H1187" s="18"/>
    </row>
    <row r="1188" spans="1:8" x14ac:dyDescent="0.25">
      <c r="A1188" s="4">
        <v>1994</v>
      </c>
      <c r="B1188" s="18">
        <v>237</v>
      </c>
      <c r="C1188" s="13">
        <v>34571</v>
      </c>
      <c r="D1188" s="18">
        <v>190</v>
      </c>
      <c r="E1188" s="18">
        <v>11</v>
      </c>
      <c r="F1188" s="20">
        <v>0.30333785449484074</v>
      </c>
      <c r="G1188" s="4" t="s">
        <v>131</v>
      </c>
      <c r="H1188" s="18"/>
    </row>
    <row r="1189" spans="1:8" x14ac:dyDescent="0.25">
      <c r="A1189" s="4">
        <v>1994</v>
      </c>
      <c r="B1189" s="18">
        <v>237</v>
      </c>
      <c r="C1189" s="13">
        <v>34571</v>
      </c>
      <c r="D1189" s="18">
        <v>190</v>
      </c>
      <c r="E1189" s="18">
        <v>12</v>
      </c>
      <c r="F1189" s="20">
        <v>0.31228097949669659</v>
      </c>
      <c r="G1189" s="4" t="s">
        <v>131</v>
      </c>
      <c r="H1189" s="18"/>
    </row>
    <row r="1190" spans="1:8" x14ac:dyDescent="0.25">
      <c r="A1190" s="4">
        <v>1994</v>
      </c>
      <c r="B1190" s="18">
        <v>237</v>
      </c>
      <c r="C1190" s="13">
        <v>34571</v>
      </c>
      <c r="D1190" s="18">
        <v>170</v>
      </c>
      <c r="E1190" s="18">
        <v>1</v>
      </c>
      <c r="F1190" s="20">
        <v>0.2472520617103407</v>
      </c>
      <c r="G1190" s="4" t="s">
        <v>0</v>
      </c>
      <c r="H1190" s="18"/>
    </row>
    <row r="1191" spans="1:8" x14ac:dyDescent="0.25">
      <c r="A1191" s="4">
        <v>1994</v>
      </c>
      <c r="B1191" s="18">
        <v>237</v>
      </c>
      <c r="C1191" s="13">
        <v>34571</v>
      </c>
      <c r="D1191" s="18">
        <v>170</v>
      </c>
      <c r="E1191" s="18">
        <v>2</v>
      </c>
      <c r="F1191" s="20">
        <v>0.26371374312968598</v>
      </c>
      <c r="G1191" s="4" t="s">
        <v>0</v>
      </c>
      <c r="H1191" s="18"/>
    </row>
    <row r="1192" spans="1:8" x14ac:dyDescent="0.25">
      <c r="A1192" s="4">
        <v>1994</v>
      </c>
      <c r="B1192" s="18">
        <v>237</v>
      </c>
      <c r="C1192" s="13">
        <v>34571</v>
      </c>
      <c r="D1192" s="18">
        <v>170</v>
      </c>
      <c r="E1192" s="18">
        <v>3</v>
      </c>
      <c r="F1192" s="20">
        <v>0.27595448059535294</v>
      </c>
      <c r="G1192" s="4" t="s">
        <v>0</v>
      </c>
      <c r="H1192" s="18"/>
    </row>
    <row r="1193" spans="1:8" x14ac:dyDescent="0.25">
      <c r="A1193" s="4">
        <v>1994</v>
      </c>
      <c r="B1193" s="18">
        <v>237</v>
      </c>
      <c r="C1193" s="13">
        <v>34571</v>
      </c>
      <c r="D1193" s="18">
        <v>170</v>
      </c>
      <c r="E1193" s="18">
        <v>4</v>
      </c>
      <c r="F1193" s="20">
        <v>0.27218201193675301</v>
      </c>
      <c r="G1193" s="4" t="s">
        <v>0</v>
      </c>
      <c r="H1193" s="18"/>
    </row>
    <row r="1194" spans="1:8" x14ac:dyDescent="0.25">
      <c r="A1194" s="4">
        <v>1994</v>
      </c>
      <c r="B1194" s="18">
        <v>237</v>
      </c>
      <c r="C1194" s="13">
        <v>34571</v>
      </c>
      <c r="D1194" s="18">
        <v>170</v>
      </c>
      <c r="E1194" s="18">
        <v>5</v>
      </c>
      <c r="F1194" s="20">
        <v>0.25471785632840915</v>
      </c>
      <c r="G1194" s="4" t="s">
        <v>1</v>
      </c>
      <c r="H1194" s="18"/>
    </row>
    <row r="1195" spans="1:8" x14ac:dyDescent="0.25">
      <c r="A1195" s="4">
        <v>1994</v>
      </c>
      <c r="B1195" s="18">
        <v>237</v>
      </c>
      <c r="C1195" s="13">
        <v>34571</v>
      </c>
      <c r="D1195" s="18">
        <v>170</v>
      </c>
      <c r="E1195" s="18">
        <v>6</v>
      </c>
      <c r="F1195" s="20">
        <v>0.26775002078539079</v>
      </c>
      <c r="G1195" s="4" t="s">
        <v>1</v>
      </c>
      <c r="H1195" s="18"/>
    </row>
    <row r="1196" spans="1:8" x14ac:dyDescent="0.25">
      <c r="A1196" s="4">
        <v>1994</v>
      </c>
      <c r="B1196" s="18">
        <v>237</v>
      </c>
      <c r="C1196" s="13">
        <v>34571</v>
      </c>
      <c r="D1196" s="18">
        <v>170</v>
      </c>
      <c r="E1196" s="18">
        <v>7</v>
      </c>
      <c r="F1196" s="20">
        <v>0.28202208752876551</v>
      </c>
      <c r="G1196" s="4" t="s">
        <v>130</v>
      </c>
      <c r="H1196" s="18"/>
    </row>
    <row r="1197" spans="1:8" x14ac:dyDescent="0.25">
      <c r="A1197" s="4">
        <v>1994</v>
      </c>
      <c r="B1197" s="18">
        <v>237</v>
      </c>
      <c r="C1197" s="13">
        <v>34571</v>
      </c>
      <c r="D1197" s="18">
        <v>170</v>
      </c>
      <c r="E1197" s="18">
        <v>8</v>
      </c>
      <c r="F1197" s="20">
        <v>0.2753741008017222</v>
      </c>
      <c r="G1197" s="4" t="s">
        <v>130</v>
      </c>
      <c r="H1197" s="18"/>
    </row>
    <row r="1198" spans="1:8" x14ac:dyDescent="0.25">
      <c r="A1198" s="4">
        <v>1994</v>
      </c>
      <c r="B1198" s="18">
        <v>237</v>
      </c>
      <c r="C1198" s="13">
        <v>34571</v>
      </c>
      <c r="D1198" s="18">
        <v>170</v>
      </c>
      <c r="E1198" s="18">
        <v>9</v>
      </c>
      <c r="F1198" s="20">
        <v>0.26986049276222995</v>
      </c>
      <c r="G1198" s="4" t="s">
        <v>130</v>
      </c>
      <c r="H1198" s="18"/>
    </row>
    <row r="1199" spans="1:8" x14ac:dyDescent="0.25">
      <c r="A1199" s="4">
        <v>1994</v>
      </c>
      <c r="B1199" s="18">
        <v>237</v>
      </c>
      <c r="C1199" s="13">
        <v>34571</v>
      </c>
      <c r="D1199" s="18">
        <v>170</v>
      </c>
      <c r="E1199" s="18">
        <v>10</v>
      </c>
      <c r="F1199" s="20">
        <v>0.26302783973721328</v>
      </c>
      <c r="G1199" s="4" t="s">
        <v>130</v>
      </c>
      <c r="H1199" s="18"/>
    </row>
    <row r="1200" spans="1:8" x14ac:dyDescent="0.25">
      <c r="A1200" s="4">
        <v>1994</v>
      </c>
      <c r="B1200" s="18">
        <v>237</v>
      </c>
      <c r="C1200" s="13">
        <v>34571</v>
      </c>
      <c r="D1200" s="18">
        <v>170</v>
      </c>
      <c r="E1200" s="18">
        <v>11</v>
      </c>
      <c r="F1200" s="20">
        <v>0.29049035633583253</v>
      </c>
      <c r="G1200" s="4" t="s">
        <v>131</v>
      </c>
      <c r="H1200" s="18"/>
    </row>
    <row r="1201" spans="1:8" x14ac:dyDescent="0.25">
      <c r="A1201" s="4">
        <v>1994</v>
      </c>
      <c r="B1201" s="18">
        <v>237</v>
      </c>
      <c r="C1201" s="13">
        <v>34571</v>
      </c>
      <c r="D1201" s="18">
        <v>170</v>
      </c>
      <c r="E1201" s="18">
        <v>12</v>
      </c>
      <c r="F1201" s="20">
        <v>0.29144006872541012</v>
      </c>
      <c r="G1201" s="4" t="s">
        <v>131</v>
      </c>
      <c r="H1201" s="18"/>
    </row>
    <row r="1202" spans="1:8" x14ac:dyDescent="0.25">
      <c r="A1202" s="4">
        <v>1994</v>
      </c>
      <c r="B1202" s="18">
        <v>237</v>
      </c>
      <c r="C1202" s="13">
        <v>34571</v>
      </c>
      <c r="D1202" s="18">
        <v>150</v>
      </c>
      <c r="E1202" s="18">
        <v>1</v>
      </c>
      <c r="F1202" s="20">
        <v>0.27228753553559498</v>
      </c>
      <c r="G1202" s="4" t="s">
        <v>0</v>
      </c>
      <c r="H1202" s="18"/>
    </row>
    <row r="1203" spans="1:8" x14ac:dyDescent="0.25">
      <c r="A1203" s="4">
        <v>1994</v>
      </c>
      <c r="B1203" s="18">
        <v>237</v>
      </c>
      <c r="C1203" s="13">
        <v>34571</v>
      </c>
      <c r="D1203" s="18">
        <v>150</v>
      </c>
      <c r="E1203" s="18">
        <v>2</v>
      </c>
      <c r="F1203" s="20">
        <v>0.1846765675970603</v>
      </c>
      <c r="G1203" s="4" t="s">
        <v>0</v>
      </c>
      <c r="H1203" s="18"/>
    </row>
    <row r="1204" spans="1:8" x14ac:dyDescent="0.25">
      <c r="A1204" s="4">
        <v>1994</v>
      </c>
      <c r="B1204" s="18">
        <v>237</v>
      </c>
      <c r="C1204" s="13">
        <v>34571</v>
      </c>
      <c r="D1204" s="18">
        <v>150</v>
      </c>
      <c r="E1204" s="18">
        <v>3</v>
      </c>
      <c r="F1204" s="20">
        <v>0.29853653074753173</v>
      </c>
      <c r="G1204" s="4" t="s">
        <v>0</v>
      </c>
      <c r="H1204" s="18"/>
    </row>
    <row r="1205" spans="1:8" x14ac:dyDescent="0.25">
      <c r="A1205" s="4">
        <v>1994</v>
      </c>
      <c r="B1205" s="18">
        <v>237</v>
      </c>
      <c r="C1205" s="13">
        <v>34571</v>
      </c>
      <c r="D1205" s="18">
        <v>150</v>
      </c>
      <c r="E1205" s="18">
        <v>4</v>
      </c>
      <c r="F1205" s="20">
        <v>0.279621425655111</v>
      </c>
      <c r="G1205" s="4" t="s">
        <v>0</v>
      </c>
      <c r="H1205" s="18"/>
    </row>
    <row r="1206" spans="1:8" x14ac:dyDescent="0.25">
      <c r="A1206" s="4">
        <v>1994</v>
      </c>
      <c r="B1206" s="18">
        <v>237</v>
      </c>
      <c r="C1206" s="13">
        <v>34571</v>
      </c>
      <c r="D1206" s="18">
        <v>150</v>
      </c>
      <c r="E1206" s="18">
        <v>5</v>
      </c>
      <c r="F1206" s="20">
        <v>0.26371374312968598</v>
      </c>
      <c r="G1206" s="4" t="s">
        <v>1</v>
      </c>
      <c r="H1206" s="18"/>
    </row>
    <row r="1207" spans="1:8" x14ac:dyDescent="0.25">
      <c r="A1207" s="4">
        <v>1994</v>
      </c>
      <c r="B1207" s="18">
        <v>237</v>
      </c>
      <c r="C1207" s="13">
        <v>34571</v>
      </c>
      <c r="D1207" s="18">
        <v>150</v>
      </c>
      <c r="E1207" s="18">
        <v>6</v>
      </c>
      <c r="F1207" s="20">
        <v>0.2716543939425432</v>
      </c>
      <c r="G1207" s="4" t="s">
        <v>1</v>
      </c>
      <c r="H1207" s="18"/>
    </row>
    <row r="1208" spans="1:8" x14ac:dyDescent="0.25">
      <c r="A1208" s="4">
        <v>1994</v>
      </c>
      <c r="B1208" s="18">
        <v>237</v>
      </c>
      <c r="C1208" s="13">
        <v>34571</v>
      </c>
      <c r="D1208" s="18">
        <v>150</v>
      </c>
      <c r="E1208" s="18">
        <v>7</v>
      </c>
      <c r="F1208" s="20">
        <v>0.29486958568777372</v>
      </c>
      <c r="G1208" s="4" t="s">
        <v>130</v>
      </c>
      <c r="H1208" s="18"/>
    </row>
    <row r="1209" spans="1:8" x14ac:dyDescent="0.25">
      <c r="A1209" s="4">
        <v>1994</v>
      </c>
      <c r="B1209" s="18">
        <v>237</v>
      </c>
      <c r="C1209" s="13">
        <v>34571</v>
      </c>
      <c r="D1209" s="18">
        <v>150</v>
      </c>
      <c r="E1209" s="18">
        <v>8</v>
      </c>
      <c r="F1209" s="20">
        <v>0.29120264062801571</v>
      </c>
      <c r="G1209" s="4" t="s">
        <v>130</v>
      </c>
      <c r="H1209" s="18"/>
    </row>
    <row r="1210" spans="1:8" x14ac:dyDescent="0.25">
      <c r="A1210" s="4">
        <v>1994</v>
      </c>
      <c r="B1210" s="18">
        <v>237</v>
      </c>
      <c r="C1210" s="13">
        <v>34571</v>
      </c>
      <c r="D1210" s="18">
        <v>150</v>
      </c>
      <c r="E1210" s="18">
        <v>9</v>
      </c>
      <c r="F1210" s="20">
        <v>0.28798417086333605</v>
      </c>
      <c r="G1210" s="4" t="s">
        <v>130</v>
      </c>
      <c r="H1210" s="18"/>
    </row>
    <row r="1211" spans="1:8" x14ac:dyDescent="0.25">
      <c r="A1211" s="4">
        <v>1994</v>
      </c>
      <c r="B1211" s="18">
        <v>237</v>
      </c>
      <c r="C1211" s="13">
        <v>34571</v>
      </c>
      <c r="D1211" s="18">
        <v>150</v>
      </c>
      <c r="E1211" s="18">
        <v>10</v>
      </c>
      <c r="F1211" s="20">
        <v>0.28415894040531509</v>
      </c>
      <c r="G1211" s="4" t="s">
        <v>130</v>
      </c>
      <c r="H1211" s="18"/>
    </row>
    <row r="1212" spans="1:8" x14ac:dyDescent="0.25">
      <c r="A1212" s="4">
        <v>1994</v>
      </c>
      <c r="B1212" s="18">
        <v>237</v>
      </c>
      <c r="C1212" s="13">
        <v>34571</v>
      </c>
      <c r="D1212" s="18">
        <v>150</v>
      </c>
      <c r="E1212" s="18">
        <v>11</v>
      </c>
      <c r="F1212" s="20">
        <v>0.3066354669586519</v>
      </c>
      <c r="G1212" s="4" t="s">
        <v>131</v>
      </c>
      <c r="H1212" s="18"/>
    </row>
    <row r="1213" spans="1:8" x14ac:dyDescent="0.25">
      <c r="A1213" s="4">
        <v>1994</v>
      </c>
      <c r="B1213" s="18">
        <v>237</v>
      </c>
      <c r="C1213" s="13">
        <v>34571</v>
      </c>
      <c r="D1213" s="18">
        <v>150</v>
      </c>
      <c r="E1213" s="18">
        <v>12</v>
      </c>
      <c r="F1213" s="20">
        <v>0.31159507610422388</v>
      </c>
      <c r="G1213" s="4" t="s">
        <v>131</v>
      </c>
      <c r="H1213" s="18"/>
    </row>
    <row r="1214" spans="1:8" x14ac:dyDescent="0.25">
      <c r="A1214" s="4">
        <v>1994</v>
      </c>
      <c r="B1214" s="18">
        <v>237</v>
      </c>
      <c r="C1214" s="13">
        <v>34571</v>
      </c>
      <c r="D1214" s="18">
        <v>130</v>
      </c>
      <c r="E1214" s="18">
        <v>1</v>
      </c>
      <c r="F1214" s="20">
        <v>0.26695859379407616</v>
      </c>
      <c r="G1214" s="4" t="s">
        <v>0</v>
      </c>
      <c r="H1214" s="18"/>
    </row>
    <row r="1215" spans="1:8" x14ac:dyDescent="0.25">
      <c r="A1215" s="4">
        <v>1994</v>
      </c>
      <c r="B1215" s="18">
        <v>237</v>
      </c>
      <c r="C1215" s="13">
        <v>34571</v>
      </c>
      <c r="D1215" s="18">
        <v>130</v>
      </c>
      <c r="E1215" s="18">
        <v>2</v>
      </c>
      <c r="F1215" s="20">
        <v>0.21008137401826144</v>
      </c>
      <c r="G1215" s="4" t="s">
        <v>0</v>
      </c>
      <c r="H1215" s="18"/>
    </row>
    <row r="1216" spans="1:8" x14ac:dyDescent="0.25">
      <c r="A1216" s="4">
        <v>1994</v>
      </c>
      <c r="B1216" s="18">
        <v>237</v>
      </c>
      <c r="C1216" s="13">
        <v>34571</v>
      </c>
      <c r="D1216" s="18">
        <v>130</v>
      </c>
      <c r="E1216" s="18">
        <v>3</v>
      </c>
      <c r="F1216" s="20">
        <v>0.27727352558087742</v>
      </c>
      <c r="G1216" s="4" t="s">
        <v>0</v>
      </c>
      <c r="H1216" s="18"/>
    </row>
    <row r="1217" spans="1:8" x14ac:dyDescent="0.25">
      <c r="A1217" s="4">
        <v>1994</v>
      </c>
      <c r="B1217" s="18">
        <v>237</v>
      </c>
      <c r="C1217" s="13">
        <v>34571</v>
      </c>
      <c r="D1217" s="18">
        <v>130</v>
      </c>
      <c r="E1217" s="18">
        <v>4</v>
      </c>
      <c r="F1217" s="20">
        <v>0.26149774755400484</v>
      </c>
      <c r="G1217" s="4" t="s">
        <v>0</v>
      </c>
      <c r="H1217" s="18"/>
    </row>
    <row r="1218" spans="1:8" x14ac:dyDescent="0.25">
      <c r="A1218" s="4">
        <v>1994</v>
      </c>
      <c r="B1218" s="18">
        <v>237</v>
      </c>
      <c r="C1218" s="13">
        <v>34571</v>
      </c>
      <c r="D1218" s="18">
        <v>130</v>
      </c>
      <c r="E1218" s="18">
        <v>5</v>
      </c>
      <c r="F1218" s="20">
        <v>0.22226934968450746</v>
      </c>
      <c r="G1218" s="4" t="s">
        <v>1</v>
      </c>
      <c r="H1218" s="18"/>
    </row>
    <row r="1219" spans="1:8" x14ac:dyDescent="0.25">
      <c r="A1219" s="4">
        <v>1994</v>
      </c>
      <c r="B1219" s="18">
        <v>237</v>
      </c>
      <c r="C1219" s="13">
        <v>34571</v>
      </c>
      <c r="D1219" s="18">
        <v>130</v>
      </c>
      <c r="E1219" s="18">
        <v>6</v>
      </c>
      <c r="F1219" s="20">
        <v>0.23962798169400934</v>
      </c>
      <c r="G1219" s="4" t="s">
        <v>1</v>
      </c>
      <c r="H1219" s="18"/>
    </row>
    <row r="1220" spans="1:8" x14ac:dyDescent="0.25">
      <c r="A1220" s="4">
        <v>1994</v>
      </c>
      <c r="B1220" s="18">
        <v>237</v>
      </c>
      <c r="C1220" s="13">
        <v>34571</v>
      </c>
      <c r="D1220" s="18">
        <v>130</v>
      </c>
      <c r="E1220" s="18">
        <v>7</v>
      </c>
      <c r="F1220" s="20">
        <v>0.27352743782198796</v>
      </c>
      <c r="G1220" s="4" t="s">
        <v>130</v>
      </c>
      <c r="H1220" s="18"/>
    </row>
    <row r="1221" spans="1:8" x14ac:dyDescent="0.25">
      <c r="A1221" s="4">
        <v>1994</v>
      </c>
      <c r="B1221" s="18">
        <v>237</v>
      </c>
      <c r="C1221" s="13">
        <v>34571</v>
      </c>
      <c r="D1221" s="18">
        <v>130</v>
      </c>
      <c r="E1221" s="18">
        <v>8</v>
      </c>
      <c r="F1221" s="20">
        <v>0.27650847948927321</v>
      </c>
      <c r="G1221" s="4" t="s">
        <v>130</v>
      </c>
      <c r="H1221" s="18"/>
    </row>
    <row r="1222" spans="1:8" x14ac:dyDescent="0.25">
      <c r="A1222" s="4">
        <v>1994</v>
      </c>
      <c r="B1222" s="18">
        <v>237</v>
      </c>
      <c r="C1222" s="13">
        <v>34571</v>
      </c>
      <c r="D1222" s="18">
        <v>130</v>
      </c>
      <c r="E1222" s="18">
        <v>9</v>
      </c>
      <c r="F1222" s="20">
        <v>0.29220511481701428</v>
      </c>
      <c r="G1222" s="4" t="s">
        <v>130</v>
      </c>
      <c r="H1222" s="18"/>
    </row>
    <row r="1223" spans="1:8" x14ac:dyDescent="0.25">
      <c r="A1223" s="4">
        <v>1994</v>
      </c>
      <c r="B1223" s="18">
        <v>237</v>
      </c>
      <c r="C1223" s="13">
        <v>34571</v>
      </c>
      <c r="D1223" s="18">
        <v>130</v>
      </c>
      <c r="E1223" s="18">
        <v>10</v>
      </c>
      <c r="F1223" s="20">
        <v>0.25007481797936304</v>
      </c>
      <c r="G1223" s="4" t="s">
        <v>130</v>
      </c>
      <c r="H1223" s="18"/>
    </row>
    <row r="1224" spans="1:8" x14ac:dyDescent="0.25">
      <c r="A1224" s="4">
        <v>1994</v>
      </c>
      <c r="B1224" s="18">
        <v>237</v>
      </c>
      <c r="C1224" s="13">
        <v>34571</v>
      </c>
      <c r="D1224" s="18">
        <v>130</v>
      </c>
      <c r="E1224" s="18">
        <v>11</v>
      </c>
      <c r="F1224" s="20">
        <v>0.268515066876995</v>
      </c>
      <c r="G1224" s="4" t="s">
        <v>131</v>
      </c>
      <c r="H1224" s="18"/>
    </row>
    <row r="1225" spans="1:8" x14ac:dyDescent="0.25">
      <c r="A1225" s="4">
        <v>1994</v>
      </c>
      <c r="B1225" s="18">
        <v>237</v>
      </c>
      <c r="C1225" s="13">
        <v>34571</v>
      </c>
      <c r="D1225" s="18">
        <v>130</v>
      </c>
      <c r="E1225" s="18">
        <v>12</v>
      </c>
      <c r="F1225" s="20">
        <v>0.28202208752876551</v>
      </c>
      <c r="G1225" s="4" t="s">
        <v>131</v>
      </c>
      <c r="H1225" s="18"/>
    </row>
    <row r="1226" spans="1:8" x14ac:dyDescent="0.25">
      <c r="A1226" s="4">
        <v>1994</v>
      </c>
      <c r="B1226" s="18">
        <v>237</v>
      </c>
      <c r="C1226" s="13">
        <v>34571</v>
      </c>
      <c r="D1226" s="18">
        <v>110</v>
      </c>
      <c r="E1226" s="18">
        <v>1</v>
      </c>
      <c r="F1226" s="20">
        <v>0.29656318267760373</v>
      </c>
      <c r="G1226" s="4" t="s">
        <v>0</v>
      </c>
      <c r="H1226" s="18"/>
    </row>
    <row r="1227" spans="1:8" x14ac:dyDescent="0.25">
      <c r="A1227" s="4">
        <v>1994</v>
      </c>
      <c r="B1227" s="18">
        <v>237</v>
      </c>
      <c r="C1227" s="13">
        <v>34571</v>
      </c>
      <c r="D1227" s="18">
        <v>110</v>
      </c>
      <c r="E1227" s="18">
        <v>2</v>
      </c>
      <c r="F1227" s="20">
        <v>0.23196912322272534</v>
      </c>
      <c r="G1227" s="4" t="s">
        <v>0</v>
      </c>
      <c r="H1227" s="18"/>
    </row>
    <row r="1228" spans="1:8" x14ac:dyDescent="0.25">
      <c r="A1228" s="4">
        <v>1994</v>
      </c>
      <c r="B1228" s="18">
        <v>237</v>
      </c>
      <c r="C1228" s="13">
        <v>34571</v>
      </c>
      <c r="D1228" s="18">
        <v>110</v>
      </c>
      <c r="E1228" s="18">
        <v>3</v>
      </c>
      <c r="F1228" s="20">
        <v>0.29363148222354191</v>
      </c>
      <c r="G1228" s="4" t="s">
        <v>0</v>
      </c>
      <c r="H1228" s="18"/>
    </row>
    <row r="1229" spans="1:8" x14ac:dyDescent="0.25">
      <c r="A1229" s="4">
        <v>1994</v>
      </c>
      <c r="B1229" s="18">
        <v>237</v>
      </c>
      <c r="C1229" s="13">
        <v>34571</v>
      </c>
      <c r="D1229" s="18">
        <v>110</v>
      </c>
      <c r="E1229" s="18">
        <v>4</v>
      </c>
      <c r="F1229" s="20">
        <v>0.28267787613144285</v>
      </c>
      <c r="G1229" s="4" t="s">
        <v>0</v>
      </c>
      <c r="H1229" s="18"/>
    </row>
    <row r="1230" spans="1:8" x14ac:dyDescent="0.25">
      <c r="A1230" s="4">
        <v>1994</v>
      </c>
      <c r="B1230" s="18">
        <v>237</v>
      </c>
      <c r="C1230" s="13">
        <v>34571</v>
      </c>
      <c r="D1230" s="18">
        <v>110</v>
      </c>
      <c r="E1230" s="18">
        <v>5</v>
      </c>
      <c r="F1230" s="20">
        <v>0.23116371101007099</v>
      </c>
      <c r="G1230" s="4" t="s">
        <v>1</v>
      </c>
      <c r="H1230" s="18"/>
    </row>
    <row r="1231" spans="1:8" x14ac:dyDescent="0.25">
      <c r="A1231" s="4">
        <v>1994</v>
      </c>
      <c r="B1231" s="18">
        <v>237</v>
      </c>
      <c r="C1231" s="13">
        <v>34571</v>
      </c>
      <c r="D1231" s="18">
        <v>110</v>
      </c>
      <c r="E1231" s="18">
        <v>6</v>
      </c>
      <c r="F1231" s="20">
        <v>0.25703355128052852</v>
      </c>
      <c r="G1231" s="4" t="s">
        <v>1</v>
      </c>
      <c r="H1231" s="18"/>
    </row>
    <row r="1232" spans="1:8" x14ac:dyDescent="0.25">
      <c r="A1232" s="4">
        <v>1994</v>
      </c>
      <c r="B1232" s="18">
        <v>237</v>
      </c>
      <c r="C1232" s="13">
        <v>34571</v>
      </c>
      <c r="D1232" s="18">
        <v>110</v>
      </c>
      <c r="E1232" s="18">
        <v>7</v>
      </c>
      <c r="F1232" s="20">
        <v>0.29347039978101103</v>
      </c>
      <c r="G1232" s="4" t="s">
        <v>130</v>
      </c>
      <c r="H1232" s="18"/>
    </row>
    <row r="1233" spans="1:8" x14ac:dyDescent="0.25">
      <c r="A1233" s="4">
        <v>1994</v>
      </c>
      <c r="B1233" s="18">
        <v>237</v>
      </c>
      <c r="C1233" s="13">
        <v>34571</v>
      </c>
      <c r="D1233" s="18">
        <v>110</v>
      </c>
      <c r="E1233" s="18">
        <v>8</v>
      </c>
      <c r="F1233" s="20">
        <v>0.29282607001088756</v>
      </c>
      <c r="G1233" s="4" t="s">
        <v>130</v>
      </c>
      <c r="H1233" s="18"/>
    </row>
    <row r="1234" spans="1:8" x14ac:dyDescent="0.25">
      <c r="A1234" s="4">
        <v>1994</v>
      </c>
      <c r="B1234" s="18">
        <v>237</v>
      </c>
      <c r="C1234" s="13">
        <v>34571</v>
      </c>
      <c r="D1234" s="18">
        <v>110</v>
      </c>
      <c r="E1234" s="18">
        <v>9</v>
      </c>
      <c r="F1234" s="20">
        <v>0.28093818575210944</v>
      </c>
      <c r="G1234" s="4" t="s">
        <v>130</v>
      </c>
      <c r="H1234" s="18"/>
    </row>
    <row r="1235" spans="1:8" x14ac:dyDescent="0.25">
      <c r="A1235" s="4">
        <v>1994</v>
      </c>
      <c r="B1235" s="18">
        <v>237</v>
      </c>
      <c r="C1235" s="13">
        <v>34571</v>
      </c>
      <c r="D1235" s="18">
        <v>110</v>
      </c>
      <c r="E1235" s="18">
        <v>10</v>
      </c>
      <c r="F1235" s="20">
        <v>0.25664695341845445</v>
      </c>
      <c r="G1235" s="4" t="s">
        <v>130</v>
      </c>
      <c r="H1235" s="18"/>
    </row>
    <row r="1236" spans="1:8" x14ac:dyDescent="0.25">
      <c r="A1236" s="4">
        <v>1994</v>
      </c>
      <c r="B1236" s="18">
        <v>237</v>
      </c>
      <c r="C1236" s="13">
        <v>34571</v>
      </c>
      <c r="D1236" s="18">
        <v>110</v>
      </c>
      <c r="E1236" s="18">
        <v>11</v>
      </c>
      <c r="F1236" s="20">
        <v>0.27858638209115877</v>
      </c>
      <c r="G1236" s="4" t="s">
        <v>131</v>
      </c>
      <c r="H1236" s="18"/>
    </row>
    <row r="1237" spans="1:8" x14ac:dyDescent="0.25">
      <c r="A1237" s="4">
        <v>1994</v>
      </c>
      <c r="B1237" s="18">
        <v>237</v>
      </c>
      <c r="C1237" s="13">
        <v>34571</v>
      </c>
      <c r="D1237" s="18">
        <v>110</v>
      </c>
      <c r="E1237" s="18">
        <v>12</v>
      </c>
      <c r="F1237" s="20">
        <v>0.29166627642466531</v>
      </c>
      <c r="G1237" s="4" t="s">
        <v>131</v>
      </c>
      <c r="H1237" s="18"/>
    </row>
    <row r="1238" spans="1:8" x14ac:dyDescent="0.25">
      <c r="A1238" s="4">
        <v>1994</v>
      </c>
      <c r="B1238" s="18">
        <v>237</v>
      </c>
      <c r="C1238" s="13">
        <v>34571</v>
      </c>
      <c r="D1238" s="18">
        <v>90</v>
      </c>
      <c r="E1238" s="18">
        <v>1</v>
      </c>
      <c r="F1238" s="20">
        <v>0.2855129271199861</v>
      </c>
      <c r="G1238" s="4" t="s">
        <v>0</v>
      </c>
      <c r="H1238" s="18"/>
    </row>
    <row r="1239" spans="1:8" x14ac:dyDescent="0.25">
      <c r="A1239" s="4">
        <v>1994</v>
      </c>
      <c r="B1239" s="18">
        <v>237</v>
      </c>
      <c r="C1239" s="13">
        <v>34571</v>
      </c>
      <c r="D1239" s="18">
        <v>90</v>
      </c>
      <c r="E1239" s="18">
        <v>2</v>
      </c>
      <c r="F1239" s="20">
        <v>0.21524876568802115</v>
      </c>
      <c r="G1239" s="4" t="s">
        <v>0</v>
      </c>
      <c r="H1239" s="18"/>
    </row>
    <row r="1240" spans="1:8" x14ac:dyDescent="0.25">
      <c r="A1240" s="4">
        <v>1994</v>
      </c>
      <c r="B1240" s="18">
        <v>237</v>
      </c>
      <c r="C1240" s="13">
        <v>34571</v>
      </c>
      <c r="D1240" s="18">
        <v>90</v>
      </c>
      <c r="E1240" s="18">
        <v>3</v>
      </c>
      <c r="F1240" s="20">
        <v>0.29604771886150488</v>
      </c>
      <c r="G1240" s="4" t="s">
        <v>0</v>
      </c>
      <c r="H1240" s="18"/>
    </row>
    <row r="1241" spans="1:8" x14ac:dyDescent="0.25">
      <c r="A1241" s="4">
        <v>1994</v>
      </c>
      <c r="B1241" s="18">
        <v>237</v>
      </c>
      <c r="C1241" s="13">
        <v>34571</v>
      </c>
      <c r="D1241" s="18">
        <v>90</v>
      </c>
      <c r="E1241" s="18">
        <v>4</v>
      </c>
      <c r="F1241" s="20">
        <v>0.27330287797614622</v>
      </c>
      <c r="G1241" s="4" t="s">
        <v>0</v>
      </c>
      <c r="H1241" s="18"/>
    </row>
    <row r="1242" spans="1:8" x14ac:dyDescent="0.25">
      <c r="A1242" s="4">
        <v>1994</v>
      </c>
      <c r="B1242" s="18">
        <v>237</v>
      </c>
      <c r="C1242" s="13">
        <v>34571</v>
      </c>
      <c r="D1242" s="18">
        <v>90</v>
      </c>
      <c r="E1242" s="18">
        <v>5</v>
      </c>
      <c r="F1242" s="20">
        <v>0.21518433271100879</v>
      </c>
      <c r="G1242" s="4" t="s">
        <v>1</v>
      </c>
      <c r="H1242" s="18"/>
    </row>
    <row r="1243" spans="1:8" x14ac:dyDescent="0.25">
      <c r="A1243" s="4">
        <v>1994</v>
      </c>
      <c r="B1243" s="18">
        <v>237</v>
      </c>
      <c r="C1243" s="13">
        <v>34571</v>
      </c>
      <c r="D1243" s="18">
        <v>90</v>
      </c>
      <c r="E1243" s="18">
        <v>6</v>
      </c>
      <c r="F1243" s="20">
        <v>0.2435348425964417</v>
      </c>
      <c r="G1243" s="4" t="s">
        <v>1</v>
      </c>
      <c r="H1243" s="18"/>
    </row>
    <row r="1244" spans="1:8" x14ac:dyDescent="0.25">
      <c r="A1244" s="4">
        <v>1994</v>
      </c>
      <c r="B1244" s="18">
        <v>237</v>
      </c>
      <c r="C1244" s="13">
        <v>34571</v>
      </c>
      <c r="D1244" s="18">
        <v>90</v>
      </c>
      <c r="E1244" s="18">
        <v>7</v>
      </c>
      <c r="F1244" s="20">
        <v>0.28200132987281318</v>
      </c>
      <c r="G1244" s="4" t="s">
        <v>130</v>
      </c>
      <c r="H1244" s="18"/>
    </row>
    <row r="1245" spans="1:8" x14ac:dyDescent="0.25">
      <c r="A1245" s="4">
        <v>1994</v>
      </c>
      <c r="B1245" s="18">
        <v>237</v>
      </c>
      <c r="C1245" s="13">
        <v>34571</v>
      </c>
      <c r="D1245" s="18">
        <v>90</v>
      </c>
      <c r="E1245" s="18">
        <v>8</v>
      </c>
      <c r="F1245" s="20">
        <v>0.28238792773488725</v>
      </c>
      <c r="G1245" s="4" t="s">
        <v>130</v>
      </c>
      <c r="H1245" s="18"/>
    </row>
    <row r="1246" spans="1:8" x14ac:dyDescent="0.25">
      <c r="A1246" s="4">
        <v>1994</v>
      </c>
      <c r="B1246" s="18">
        <v>237</v>
      </c>
      <c r="C1246" s="13">
        <v>34571</v>
      </c>
      <c r="D1246" s="18">
        <v>90</v>
      </c>
      <c r="E1246" s="18">
        <v>9</v>
      </c>
      <c r="F1246" s="20">
        <v>0.26734282760250411</v>
      </c>
      <c r="G1246" s="4" t="s">
        <v>130</v>
      </c>
      <c r="H1246" s="18"/>
    </row>
    <row r="1247" spans="1:8" x14ac:dyDescent="0.25">
      <c r="A1247" s="4">
        <v>1994</v>
      </c>
      <c r="B1247" s="18">
        <v>237</v>
      </c>
      <c r="C1247" s="13">
        <v>34571</v>
      </c>
      <c r="D1247" s="18">
        <v>90</v>
      </c>
      <c r="E1247" s="18">
        <v>10</v>
      </c>
      <c r="F1247" s="20">
        <v>0.25255545937817037</v>
      </c>
      <c r="G1247" s="4" t="s">
        <v>130</v>
      </c>
      <c r="H1247" s="18"/>
    </row>
    <row r="1248" spans="1:8" x14ac:dyDescent="0.25">
      <c r="A1248" s="4">
        <v>1994</v>
      </c>
      <c r="B1248" s="18">
        <v>237</v>
      </c>
      <c r="C1248" s="13">
        <v>34571</v>
      </c>
      <c r="D1248" s="18">
        <v>90</v>
      </c>
      <c r="E1248" s="18">
        <v>11</v>
      </c>
      <c r="F1248" s="20">
        <v>0.25294205724024443</v>
      </c>
      <c r="G1248" s="4" t="s">
        <v>131</v>
      </c>
      <c r="H1248" s="18"/>
    </row>
    <row r="1249" spans="1:8" x14ac:dyDescent="0.25">
      <c r="A1249" s="4">
        <v>1994</v>
      </c>
      <c r="B1249" s="18">
        <v>237</v>
      </c>
      <c r="C1249" s="13">
        <v>34571</v>
      </c>
      <c r="D1249" s="18">
        <v>90</v>
      </c>
      <c r="E1249" s="18">
        <v>12</v>
      </c>
      <c r="F1249" s="20">
        <v>0.27761988743597354</v>
      </c>
      <c r="G1249" s="4" t="s">
        <v>131</v>
      </c>
      <c r="H1249" s="18"/>
    </row>
    <row r="1250" spans="1:8" x14ac:dyDescent="0.25">
      <c r="A1250" s="4">
        <v>1994</v>
      </c>
      <c r="B1250" s="18">
        <v>237</v>
      </c>
      <c r="C1250" s="13">
        <v>34571</v>
      </c>
      <c r="D1250" s="18">
        <v>70</v>
      </c>
      <c r="E1250" s="18">
        <v>1</v>
      </c>
      <c r="F1250" s="20">
        <v>0.28606060742459105</v>
      </c>
      <c r="G1250" s="4" t="s">
        <v>0</v>
      </c>
      <c r="H1250" s="18"/>
    </row>
    <row r="1251" spans="1:8" x14ac:dyDescent="0.25">
      <c r="A1251" s="4">
        <v>1994</v>
      </c>
      <c r="B1251" s="18">
        <v>237</v>
      </c>
      <c r="C1251" s="13">
        <v>34571</v>
      </c>
      <c r="D1251" s="18">
        <v>70</v>
      </c>
      <c r="E1251" s="18">
        <v>2</v>
      </c>
      <c r="F1251" s="20">
        <v>0.23499747314230562</v>
      </c>
      <c r="G1251" s="4" t="s">
        <v>0</v>
      </c>
      <c r="H1251" s="18"/>
    </row>
    <row r="1252" spans="1:8" x14ac:dyDescent="0.25">
      <c r="A1252" s="4">
        <v>1994</v>
      </c>
      <c r="B1252" s="18">
        <v>237</v>
      </c>
      <c r="C1252" s="13">
        <v>34571</v>
      </c>
      <c r="D1252" s="18">
        <v>70</v>
      </c>
      <c r="E1252" s="18">
        <v>3</v>
      </c>
      <c r="F1252" s="20">
        <v>0.29897941931556671</v>
      </c>
      <c r="G1252" s="4" t="s">
        <v>0</v>
      </c>
      <c r="H1252" s="18"/>
    </row>
    <row r="1253" spans="1:8" x14ac:dyDescent="0.25">
      <c r="A1253" s="4">
        <v>1994</v>
      </c>
      <c r="B1253" s="18">
        <v>237</v>
      </c>
      <c r="C1253" s="13">
        <v>34571</v>
      </c>
      <c r="D1253" s="18">
        <v>70</v>
      </c>
      <c r="E1253" s="18">
        <v>4</v>
      </c>
      <c r="F1253" s="20">
        <v>0.27272298118303512</v>
      </c>
      <c r="G1253" s="4" t="s">
        <v>0</v>
      </c>
      <c r="H1253" s="18"/>
    </row>
    <row r="1254" spans="1:8" x14ac:dyDescent="0.25">
      <c r="A1254" s="4">
        <v>1994</v>
      </c>
      <c r="B1254" s="18">
        <v>237</v>
      </c>
      <c r="C1254" s="13">
        <v>34571</v>
      </c>
      <c r="D1254" s="18">
        <v>70</v>
      </c>
      <c r="E1254" s="18">
        <v>5</v>
      </c>
      <c r="F1254" s="20">
        <v>0.24398587343552819</v>
      </c>
      <c r="G1254" s="4" t="s">
        <v>1</v>
      </c>
      <c r="H1254" s="18"/>
    </row>
    <row r="1255" spans="1:8" x14ac:dyDescent="0.25">
      <c r="A1255" s="4">
        <v>1994</v>
      </c>
      <c r="B1255" s="18">
        <v>237</v>
      </c>
      <c r="C1255" s="13">
        <v>34571</v>
      </c>
      <c r="D1255" s="18">
        <v>70</v>
      </c>
      <c r="E1255" s="18">
        <v>6</v>
      </c>
      <c r="F1255" s="20">
        <v>0.2345142258147131</v>
      </c>
      <c r="G1255" s="4" t="s">
        <v>1</v>
      </c>
      <c r="H1255" s="18"/>
    </row>
    <row r="1256" spans="1:8" x14ac:dyDescent="0.25">
      <c r="A1256" s="4">
        <v>1994</v>
      </c>
      <c r="B1256" s="18">
        <v>237</v>
      </c>
      <c r="C1256" s="13">
        <v>34571</v>
      </c>
      <c r="D1256" s="18">
        <v>70</v>
      </c>
      <c r="E1256" s="18">
        <v>7</v>
      </c>
      <c r="F1256" s="20">
        <v>0.27417272316581293</v>
      </c>
      <c r="G1256" s="4" t="s">
        <v>130</v>
      </c>
      <c r="H1256" s="18"/>
    </row>
    <row r="1257" spans="1:8" x14ac:dyDescent="0.25">
      <c r="A1257" s="4">
        <v>1994</v>
      </c>
      <c r="B1257" s="18">
        <v>237</v>
      </c>
      <c r="C1257" s="13">
        <v>34571</v>
      </c>
      <c r="D1257" s="18">
        <v>70</v>
      </c>
      <c r="E1257" s="18">
        <v>8</v>
      </c>
      <c r="F1257" s="20">
        <v>0.27256189874050424</v>
      </c>
      <c r="G1257" s="4" t="s">
        <v>130</v>
      </c>
      <c r="H1257" s="18"/>
    </row>
    <row r="1258" spans="1:8" x14ac:dyDescent="0.25">
      <c r="A1258" s="4">
        <v>1994</v>
      </c>
      <c r="B1258" s="18">
        <v>237</v>
      </c>
      <c r="C1258" s="13">
        <v>34571</v>
      </c>
      <c r="D1258" s="18">
        <v>70</v>
      </c>
      <c r="E1258" s="18">
        <v>9</v>
      </c>
      <c r="F1258" s="20">
        <v>0.26019076715413358</v>
      </c>
      <c r="G1258" s="4" t="s">
        <v>130</v>
      </c>
      <c r="H1258" s="18"/>
    </row>
    <row r="1259" spans="1:8" x14ac:dyDescent="0.25">
      <c r="A1259" s="4">
        <v>1994</v>
      </c>
      <c r="B1259" s="18">
        <v>237</v>
      </c>
      <c r="C1259" s="13">
        <v>34571</v>
      </c>
      <c r="D1259" s="18">
        <v>70</v>
      </c>
      <c r="E1259" s="18">
        <v>10</v>
      </c>
      <c r="F1259" s="20">
        <v>0.24366370855046637</v>
      </c>
      <c r="G1259" s="4" t="s">
        <v>130</v>
      </c>
      <c r="H1259" s="18"/>
    </row>
    <row r="1260" spans="1:8" x14ac:dyDescent="0.25">
      <c r="A1260" s="4">
        <v>1994</v>
      </c>
      <c r="B1260" s="18">
        <v>237</v>
      </c>
      <c r="C1260" s="13">
        <v>34571</v>
      </c>
      <c r="D1260" s="18">
        <v>70</v>
      </c>
      <c r="E1260" s="18">
        <v>11</v>
      </c>
      <c r="F1260" s="20">
        <v>0.23770365817682426</v>
      </c>
      <c r="G1260" s="4" t="s">
        <v>131</v>
      </c>
      <c r="H1260" s="18"/>
    </row>
    <row r="1261" spans="1:8" x14ac:dyDescent="0.25">
      <c r="A1261" s="4">
        <v>1994</v>
      </c>
      <c r="B1261" s="18">
        <v>237</v>
      </c>
      <c r="C1261" s="13">
        <v>34571</v>
      </c>
      <c r="D1261" s="18">
        <v>70</v>
      </c>
      <c r="E1261" s="18">
        <v>12</v>
      </c>
      <c r="F1261" s="20">
        <v>0.26718174515997323</v>
      </c>
      <c r="G1261" s="4" t="s">
        <v>131</v>
      </c>
      <c r="H1261" s="18"/>
    </row>
    <row r="1262" spans="1:8" x14ac:dyDescent="0.25">
      <c r="A1262" s="4">
        <v>1994</v>
      </c>
      <c r="B1262" s="18">
        <v>237</v>
      </c>
      <c r="C1262" s="13">
        <v>34571</v>
      </c>
      <c r="D1262" s="18">
        <v>50</v>
      </c>
      <c r="E1262" s="18">
        <v>1</v>
      </c>
      <c r="F1262" s="20">
        <v>0.28705931856828243</v>
      </c>
      <c r="G1262" s="4" t="s">
        <v>0</v>
      </c>
      <c r="H1262" s="18"/>
    </row>
    <row r="1263" spans="1:8" x14ac:dyDescent="0.25">
      <c r="A1263" s="4">
        <v>1994</v>
      </c>
      <c r="B1263" s="18">
        <v>237</v>
      </c>
      <c r="C1263" s="13">
        <v>34571</v>
      </c>
      <c r="D1263" s="18">
        <v>50</v>
      </c>
      <c r="E1263" s="18">
        <v>2</v>
      </c>
      <c r="F1263" s="20">
        <v>0.24730417175166403</v>
      </c>
      <c r="G1263" s="4" t="s">
        <v>0</v>
      </c>
      <c r="H1263" s="18"/>
    </row>
    <row r="1264" spans="1:8" x14ac:dyDescent="0.25">
      <c r="A1264" s="4">
        <v>1994</v>
      </c>
      <c r="B1264" s="18">
        <v>237</v>
      </c>
      <c r="C1264" s="13">
        <v>34571</v>
      </c>
      <c r="D1264" s="18">
        <v>50</v>
      </c>
      <c r="E1264" s="18">
        <v>3</v>
      </c>
      <c r="F1264" s="20">
        <v>0.29540338909138147</v>
      </c>
      <c r="G1264" s="4" t="s">
        <v>0</v>
      </c>
      <c r="H1264" s="18"/>
    </row>
    <row r="1265" spans="1:8" x14ac:dyDescent="0.25">
      <c r="A1265" s="4">
        <v>1994</v>
      </c>
      <c r="B1265" s="18">
        <v>237</v>
      </c>
      <c r="C1265" s="13">
        <v>34571</v>
      </c>
      <c r="D1265" s="18">
        <v>50</v>
      </c>
      <c r="E1265" s="18">
        <v>4</v>
      </c>
      <c r="F1265" s="20">
        <v>0.28370880376364038</v>
      </c>
      <c r="G1265" s="4" t="s">
        <v>0</v>
      </c>
      <c r="H1265" s="18"/>
    </row>
    <row r="1266" spans="1:8" x14ac:dyDescent="0.25">
      <c r="A1266" s="4">
        <v>1994</v>
      </c>
      <c r="B1266" s="18">
        <v>237</v>
      </c>
      <c r="C1266" s="13">
        <v>34571</v>
      </c>
      <c r="D1266" s="18">
        <v>50</v>
      </c>
      <c r="E1266" s="18">
        <v>5</v>
      </c>
      <c r="F1266" s="20">
        <v>0.25616370609086181</v>
      </c>
      <c r="G1266" s="4" t="s">
        <v>1</v>
      </c>
      <c r="H1266" s="18"/>
    </row>
    <row r="1267" spans="1:8" x14ac:dyDescent="0.25">
      <c r="A1267" s="4">
        <v>1994</v>
      </c>
      <c r="B1267" s="18">
        <v>237</v>
      </c>
      <c r="C1267" s="13">
        <v>34571</v>
      </c>
      <c r="D1267" s="18">
        <v>50</v>
      </c>
      <c r="E1267" s="18">
        <v>6</v>
      </c>
      <c r="F1267" s="20">
        <v>0.23892788474005888</v>
      </c>
      <c r="G1267" s="4" t="s">
        <v>1</v>
      </c>
      <c r="H1267" s="18"/>
    </row>
    <row r="1268" spans="1:8" x14ac:dyDescent="0.25">
      <c r="A1268" s="4">
        <v>1994</v>
      </c>
      <c r="B1268" s="18">
        <v>237</v>
      </c>
      <c r="C1268" s="13">
        <v>34571</v>
      </c>
      <c r="D1268" s="18">
        <v>50</v>
      </c>
      <c r="E1268" s="18">
        <v>7</v>
      </c>
      <c r="F1268" s="20">
        <v>0.26872813660826955</v>
      </c>
      <c r="G1268" s="4" t="s">
        <v>130</v>
      </c>
      <c r="H1268" s="18"/>
    </row>
    <row r="1269" spans="1:8" x14ac:dyDescent="0.25">
      <c r="A1269" s="4">
        <v>1994</v>
      </c>
      <c r="B1269" s="18">
        <v>237</v>
      </c>
      <c r="C1269" s="13">
        <v>34571</v>
      </c>
      <c r="D1269" s="18">
        <v>50</v>
      </c>
      <c r="E1269" s="18">
        <v>8</v>
      </c>
      <c r="F1269" s="20">
        <v>0.26537762180362756</v>
      </c>
      <c r="G1269" s="4" t="s">
        <v>130</v>
      </c>
      <c r="H1269" s="18"/>
    </row>
    <row r="1270" spans="1:8" x14ac:dyDescent="0.25">
      <c r="A1270" s="4">
        <v>1994</v>
      </c>
      <c r="B1270" s="18">
        <v>237</v>
      </c>
      <c r="C1270" s="13">
        <v>34571</v>
      </c>
      <c r="D1270" s="18">
        <v>50</v>
      </c>
      <c r="E1270" s="18">
        <v>9</v>
      </c>
      <c r="F1270" s="20">
        <v>0.24881834671145425</v>
      </c>
      <c r="G1270" s="4" t="s">
        <v>130</v>
      </c>
      <c r="H1270" s="18"/>
    </row>
    <row r="1271" spans="1:8" x14ac:dyDescent="0.25">
      <c r="A1271" s="4">
        <v>1994</v>
      </c>
      <c r="B1271" s="18">
        <v>237</v>
      </c>
      <c r="C1271" s="13">
        <v>34571</v>
      </c>
      <c r="D1271" s="18">
        <v>50</v>
      </c>
      <c r="E1271" s="18">
        <v>10</v>
      </c>
      <c r="F1271" s="20">
        <v>0.25419850029198526</v>
      </c>
      <c r="G1271" s="4" t="s">
        <v>130</v>
      </c>
      <c r="H1271" s="18"/>
    </row>
    <row r="1272" spans="1:8" x14ac:dyDescent="0.25">
      <c r="A1272" s="4">
        <v>1994</v>
      </c>
      <c r="B1272" s="18">
        <v>237</v>
      </c>
      <c r="C1272" s="13">
        <v>34571</v>
      </c>
      <c r="D1272" s="18">
        <v>50</v>
      </c>
      <c r="E1272" s="18">
        <v>11</v>
      </c>
      <c r="F1272" s="20">
        <v>0.24736860472867639</v>
      </c>
      <c r="G1272" s="4" t="s">
        <v>131</v>
      </c>
      <c r="H1272" s="18"/>
    </row>
    <row r="1273" spans="1:8" x14ac:dyDescent="0.25">
      <c r="A1273" s="4">
        <v>1994</v>
      </c>
      <c r="B1273" s="18">
        <v>237</v>
      </c>
      <c r="C1273" s="13">
        <v>34571</v>
      </c>
      <c r="D1273" s="18">
        <v>50</v>
      </c>
      <c r="E1273" s="18">
        <v>12</v>
      </c>
      <c r="F1273" s="20">
        <v>0.26080288043575084</v>
      </c>
      <c r="G1273" s="4" t="s">
        <v>131</v>
      </c>
      <c r="H1273" s="18"/>
    </row>
    <row r="1274" spans="1:8" x14ac:dyDescent="0.25">
      <c r="A1274" s="4">
        <v>1994</v>
      </c>
      <c r="B1274" s="18">
        <v>237</v>
      </c>
      <c r="C1274" s="13">
        <v>34571</v>
      </c>
      <c r="D1274" s="18">
        <v>30</v>
      </c>
      <c r="E1274" s="18">
        <v>1</v>
      </c>
      <c r="F1274" s="20">
        <v>0.2824201442233934</v>
      </c>
      <c r="G1274" s="4" t="s">
        <v>0</v>
      </c>
      <c r="H1274" s="18"/>
    </row>
    <row r="1275" spans="1:8" x14ac:dyDescent="0.25">
      <c r="A1275" s="4">
        <v>1994</v>
      </c>
      <c r="B1275" s="18">
        <v>237</v>
      </c>
      <c r="C1275" s="13">
        <v>34571</v>
      </c>
      <c r="D1275" s="18">
        <v>30</v>
      </c>
      <c r="E1275" s="18">
        <v>2</v>
      </c>
      <c r="F1275" s="20">
        <v>0.20332866494073687</v>
      </c>
      <c r="G1275" s="4" t="s">
        <v>0</v>
      </c>
      <c r="H1275" s="18"/>
    </row>
    <row r="1276" spans="1:8" x14ac:dyDescent="0.25">
      <c r="A1276" s="4">
        <v>1994</v>
      </c>
      <c r="B1276" s="18">
        <v>237</v>
      </c>
      <c r="C1276" s="13">
        <v>34571</v>
      </c>
      <c r="D1276" s="18">
        <v>30</v>
      </c>
      <c r="E1276" s="18">
        <v>3</v>
      </c>
      <c r="F1276" s="20">
        <v>0.27220751736693632</v>
      </c>
      <c r="G1276" s="4" t="s">
        <v>0</v>
      </c>
      <c r="H1276" s="18"/>
    </row>
    <row r="1277" spans="1:8" x14ac:dyDescent="0.25">
      <c r="A1277" s="4">
        <v>1994</v>
      </c>
      <c r="B1277" s="18">
        <v>237</v>
      </c>
      <c r="C1277" s="13">
        <v>34571</v>
      </c>
      <c r="D1277" s="18">
        <v>30</v>
      </c>
      <c r="E1277" s="18">
        <v>4</v>
      </c>
      <c r="F1277" s="20">
        <v>0.26979128072897335</v>
      </c>
      <c r="G1277" s="4" t="s">
        <v>0</v>
      </c>
      <c r="H1277" s="18"/>
    </row>
    <row r="1278" spans="1:8" x14ac:dyDescent="0.25">
      <c r="A1278" s="4">
        <v>1994</v>
      </c>
      <c r="B1278" s="18">
        <v>237</v>
      </c>
      <c r="C1278" s="13">
        <v>34571</v>
      </c>
      <c r="D1278" s="18">
        <v>30</v>
      </c>
      <c r="E1278" s="18">
        <v>5</v>
      </c>
      <c r="F1278" s="20">
        <v>0.27227195034394869</v>
      </c>
      <c r="G1278" s="4" t="s">
        <v>1</v>
      </c>
      <c r="H1278" s="18"/>
    </row>
    <row r="1279" spans="1:8" x14ac:dyDescent="0.25">
      <c r="A1279" s="4">
        <v>1994</v>
      </c>
      <c r="B1279" s="18">
        <v>237</v>
      </c>
      <c r="C1279" s="13">
        <v>34571</v>
      </c>
      <c r="D1279" s="18">
        <v>30</v>
      </c>
      <c r="E1279" s="18">
        <v>6</v>
      </c>
      <c r="F1279" s="20">
        <v>0.24562891434934297</v>
      </c>
      <c r="G1279" s="4" t="s">
        <v>1</v>
      </c>
      <c r="H1279" s="18"/>
    </row>
    <row r="1280" spans="1:8" x14ac:dyDescent="0.25">
      <c r="A1280" s="4">
        <v>1994</v>
      </c>
      <c r="B1280" s="18">
        <v>237</v>
      </c>
      <c r="C1280" s="13">
        <v>34571</v>
      </c>
      <c r="D1280" s="18">
        <v>30</v>
      </c>
      <c r="E1280" s="18">
        <v>7</v>
      </c>
      <c r="F1280" s="20">
        <v>0.21827711560760149</v>
      </c>
      <c r="G1280" s="4" t="s">
        <v>130</v>
      </c>
      <c r="H1280" s="18"/>
    </row>
    <row r="1281" spans="1:8" x14ac:dyDescent="0.25">
      <c r="A1281" s="4">
        <v>1994</v>
      </c>
      <c r="B1281" s="18">
        <v>237</v>
      </c>
      <c r="C1281" s="13">
        <v>34571</v>
      </c>
      <c r="D1281" s="18">
        <v>30</v>
      </c>
      <c r="E1281" s="18">
        <v>8</v>
      </c>
      <c r="F1281" s="20">
        <v>0.24137633786652807</v>
      </c>
      <c r="G1281" s="4" t="s">
        <v>130</v>
      </c>
      <c r="H1281" s="18"/>
    </row>
    <row r="1282" spans="1:8" x14ac:dyDescent="0.25">
      <c r="A1282" s="4">
        <v>1994</v>
      </c>
      <c r="B1282" s="18">
        <v>237</v>
      </c>
      <c r="C1282" s="13">
        <v>34571</v>
      </c>
      <c r="D1282" s="18">
        <v>30</v>
      </c>
      <c r="E1282" s="18">
        <v>9</v>
      </c>
      <c r="F1282" s="20">
        <v>0.23744592626877492</v>
      </c>
      <c r="G1282" s="4" t="s">
        <v>130</v>
      </c>
      <c r="H1282" s="18"/>
    </row>
    <row r="1283" spans="1:8" x14ac:dyDescent="0.25">
      <c r="A1283" s="4">
        <v>1994</v>
      </c>
      <c r="B1283" s="18">
        <v>237</v>
      </c>
      <c r="C1283" s="13">
        <v>34571</v>
      </c>
      <c r="D1283" s="18">
        <v>30</v>
      </c>
      <c r="E1283" s="18">
        <v>10</v>
      </c>
      <c r="F1283" s="20">
        <v>0.23193690673421913</v>
      </c>
      <c r="G1283" s="4" t="s">
        <v>130</v>
      </c>
      <c r="H1283" s="18"/>
    </row>
    <row r="1284" spans="1:8" x14ac:dyDescent="0.25">
      <c r="A1284" s="4">
        <v>1994</v>
      </c>
      <c r="B1284" s="18">
        <v>237</v>
      </c>
      <c r="C1284" s="13">
        <v>34571</v>
      </c>
      <c r="D1284" s="18">
        <v>30</v>
      </c>
      <c r="E1284" s="18">
        <v>11</v>
      </c>
      <c r="F1284" s="20">
        <v>0.25252324288966416</v>
      </c>
      <c r="G1284" s="4" t="s">
        <v>131</v>
      </c>
      <c r="H1284" s="18"/>
    </row>
    <row r="1285" spans="1:8" x14ac:dyDescent="0.25">
      <c r="A1285" s="4">
        <v>1994</v>
      </c>
      <c r="B1285" s="18">
        <v>237</v>
      </c>
      <c r="C1285" s="13">
        <v>34571</v>
      </c>
      <c r="D1285" s="18">
        <v>30</v>
      </c>
      <c r="E1285" s="18">
        <v>12</v>
      </c>
      <c r="F1285" s="20">
        <v>0.24498458457921951</v>
      </c>
      <c r="G1285" s="4" t="s">
        <v>131</v>
      </c>
      <c r="H1285" s="18"/>
    </row>
    <row r="1286" spans="1:8" x14ac:dyDescent="0.25">
      <c r="A1286" s="4">
        <v>1994</v>
      </c>
      <c r="B1286" s="18">
        <v>237</v>
      </c>
      <c r="C1286" s="13">
        <v>34571</v>
      </c>
      <c r="D1286" s="18">
        <v>10</v>
      </c>
      <c r="E1286" s="18">
        <v>1</v>
      </c>
      <c r="F1286" s="20">
        <v>0.30107972687031398</v>
      </c>
      <c r="G1286" s="4" t="s">
        <v>0</v>
      </c>
      <c r="H1286" s="18"/>
    </row>
    <row r="1287" spans="1:8" x14ac:dyDescent="0.25">
      <c r="A1287" s="4">
        <v>1994</v>
      </c>
      <c r="B1287" s="18">
        <v>237</v>
      </c>
      <c r="C1287" s="13">
        <v>34571</v>
      </c>
      <c r="D1287" s="18">
        <v>10</v>
      </c>
      <c r="E1287" s="18">
        <v>2</v>
      </c>
      <c r="F1287" s="20">
        <v>0.25162533551109795</v>
      </c>
      <c r="G1287" s="4" t="s">
        <v>0</v>
      </c>
      <c r="H1287" s="18"/>
    </row>
    <row r="1288" spans="1:8" x14ac:dyDescent="0.25">
      <c r="A1288" s="4">
        <v>1994</v>
      </c>
      <c r="B1288" s="18">
        <v>237</v>
      </c>
      <c r="C1288" s="13">
        <v>34571</v>
      </c>
      <c r="D1288" s="18">
        <v>10</v>
      </c>
      <c r="E1288" s="18">
        <v>3</v>
      </c>
      <c r="F1288" s="20">
        <v>0.28594752848860516</v>
      </c>
      <c r="G1288" s="4" t="s">
        <v>0</v>
      </c>
      <c r="H1288" s="18"/>
    </row>
    <row r="1289" spans="1:8" x14ac:dyDescent="0.25">
      <c r="A1289" s="4">
        <v>1994</v>
      </c>
      <c r="B1289" s="18">
        <v>237</v>
      </c>
      <c r="C1289" s="13">
        <v>34571</v>
      </c>
      <c r="D1289" s="18">
        <v>10</v>
      </c>
      <c r="E1289" s="18">
        <v>4</v>
      </c>
      <c r="F1289" s="20">
        <v>0.30688462978769204</v>
      </c>
      <c r="G1289" s="4" t="s">
        <v>0</v>
      </c>
      <c r="H1289" s="18"/>
    </row>
    <row r="1290" spans="1:8" x14ac:dyDescent="0.25">
      <c r="A1290" s="4">
        <v>1994</v>
      </c>
      <c r="B1290" s="18">
        <v>237</v>
      </c>
      <c r="C1290" s="13">
        <v>34571</v>
      </c>
      <c r="D1290" s="18">
        <v>10</v>
      </c>
      <c r="E1290" s="18">
        <v>5</v>
      </c>
      <c r="F1290" s="20">
        <v>0.28363683897780412</v>
      </c>
      <c r="G1290" s="4" t="s">
        <v>1</v>
      </c>
      <c r="H1290" s="18"/>
    </row>
    <row r="1291" spans="1:8" x14ac:dyDescent="0.25">
      <c r="A1291" s="4">
        <v>1994</v>
      </c>
      <c r="B1291" s="18">
        <v>237</v>
      </c>
      <c r="C1291" s="13">
        <v>34571</v>
      </c>
      <c r="D1291" s="18">
        <v>10</v>
      </c>
      <c r="E1291" s="18">
        <v>6</v>
      </c>
      <c r="F1291" s="20">
        <v>0.25635943109420234</v>
      </c>
      <c r="G1291" s="4" t="s">
        <v>1</v>
      </c>
      <c r="H1291" s="18"/>
    </row>
    <row r="1292" spans="1:8" x14ac:dyDescent="0.25">
      <c r="A1292" s="4">
        <v>1994</v>
      </c>
      <c r="B1292" s="18">
        <v>237</v>
      </c>
      <c r="C1292" s="13">
        <v>34571</v>
      </c>
      <c r="D1292" s="18">
        <v>10</v>
      </c>
      <c r="E1292" s="18">
        <v>7</v>
      </c>
      <c r="F1292" s="20">
        <v>0.24604586571672482</v>
      </c>
      <c r="G1292" s="4" t="s">
        <v>130</v>
      </c>
      <c r="H1292" s="18"/>
    </row>
    <row r="1293" spans="1:8" x14ac:dyDescent="0.25">
      <c r="A1293" s="4">
        <v>1994</v>
      </c>
      <c r="B1293" s="18">
        <v>237</v>
      </c>
      <c r="C1293" s="13">
        <v>34571</v>
      </c>
      <c r="D1293" s="18">
        <v>10</v>
      </c>
      <c r="E1293" s="18">
        <v>8</v>
      </c>
      <c r="F1293" s="20">
        <v>0.26114988495805802</v>
      </c>
      <c r="G1293" s="4" t="s">
        <v>130</v>
      </c>
      <c r="H1293" s="18"/>
    </row>
    <row r="1294" spans="1:8" x14ac:dyDescent="0.25">
      <c r="A1294" s="4">
        <v>1994</v>
      </c>
      <c r="B1294" s="18">
        <v>237</v>
      </c>
      <c r="C1294" s="13">
        <v>34571</v>
      </c>
      <c r="D1294" s="18">
        <v>10</v>
      </c>
      <c r="E1294" s="18">
        <v>9</v>
      </c>
      <c r="F1294" s="20">
        <v>0.24773661413926212</v>
      </c>
      <c r="G1294" s="4" t="s">
        <v>130</v>
      </c>
      <c r="H1294" s="18"/>
    </row>
    <row r="1295" spans="1:8" x14ac:dyDescent="0.25">
      <c r="A1295" s="4">
        <v>1994</v>
      </c>
      <c r="B1295" s="18">
        <v>237</v>
      </c>
      <c r="C1295" s="13">
        <v>34571</v>
      </c>
      <c r="D1295" s="18">
        <v>10</v>
      </c>
      <c r="E1295" s="18">
        <v>10</v>
      </c>
      <c r="F1295" s="20">
        <v>0.24908921287729197</v>
      </c>
      <c r="G1295" s="4" t="s">
        <v>130</v>
      </c>
      <c r="H1295" s="18"/>
    </row>
    <row r="1296" spans="1:8" x14ac:dyDescent="0.25">
      <c r="A1296" s="4">
        <v>1994</v>
      </c>
      <c r="B1296" s="18">
        <v>237</v>
      </c>
      <c r="C1296" s="13">
        <v>34571</v>
      </c>
      <c r="D1296" s="18">
        <v>10</v>
      </c>
      <c r="E1296" s="18">
        <v>11</v>
      </c>
      <c r="F1296" s="20">
        <v>0.24596132829559797</v>
      </c>
      <c r="G1296" s="4" t="s">
        <v>131</v>
      </c>
      <c r="H1296" s="18"/>
    </row>
    <row r="1297" spans="1:8" x14ac:dyDescent="0.25">
      <c r="A1297" s="4">
        <v>1994</v>
      </c>
      <c r="B1297" s="18">
        <v>237</v>
      </c>
      <c r="C1297" s="13">
        <v>34571</v>
      </c>
      <c r="D1297" s="18">
        <v>10</v>
      </c>
      <c r="E1297" s="18">
        <v>12</v>
      </c>
      <c r="F1297" s="20">
        <v>0.22750399134956573</v>
      </c>
      <c r="G1297" s="4" t="s">
        <v>131</v>
      </c>
      <c r="H1297" s="18"/>
    </row>
    <row r="1298" spans="1:8" x14ac:dyDescent="0.25">
      <c r="A1298" s="4">
        <v>1994</v>
      </c>
      <c r="B1298" s="18">
        <v>257</v>
      </c>
      <c r="C1298" s="13">
        <v>34591</v>
      </c>
      <c r="D1298" s="18">
        <v>230</v>
      </c>
      <c r="E1298" s="18">
        <v>1</v>
      </c>
      <c r="F1298" s="20">
        <v>0.17876724606191077</v>
      </c>
      <c r="G1298" s="4" t="s">
        <v>0</v>
      </c>
      <c r="H1298" s="18"/>
    </row>
    <row r="1299" spans="1:8" x14ac:dyDescent="0.25">
      <c r="A1299" s="4">
        <v>1994</v>
      </c>
      <c r="B1299" s="18">
        <v>257</v>
      </c>
      <c r="C1299" s="13">
        <v>34591</v>
      </c>
      <c r="D1299" s="18">
        <v>230</v>
      </c>
      <c r="E1299" s="18">
        <v>2</v>
      </c>
      <c r="F1299" s="20">
        <v>0.23548618043946257</v>
      </c>
      <c r="G1299" s="4" t="s">
        <v>0</v>
      </c>
      <c r="H1299" s="18"/>
    </row>
    <row r="1300" spans="1:8" x14ac:dyDescent="0.25">
      <c r="A1300" s="4">
        <v>1994</v>
      </c>
      <c r="B1300" s="18">
        <v>257</v>
      </c>
      <c r="C1300" s="13">
        <v>34591</v>
      </c>
      <c r="D1300" s="18">
        <v>230</v>
      </c>
      <c r="E1300" s="18">
        <v>3</v>
      </c>
      <c r="F1300" s="20">
        <v>0.23783408051369609</v>
      </c>
      <c r="G1300" s="4" t="s">
        <v>0</v>
      </c>
      <c r="H1300" s="18"/>
    </row>
    <row r="1301" spans="1:8" x14ac:dyDescent="0.25">
      <c r="A1301" s="4">
        <v>1994</v>
      </c>
      <c r="B1301" s="18">
        <v>257</v>
      </c>
      <c r="C1301" s="13">
        <v>34591</v>
      </c>
      <c r="D1301" s="18">
        <v>230</v>
      </c>
      <c r="E1301" s="18">
        <v>4</v>
      </c>
      <c r="F1301" s="20">
        <v>0.2559049968153812</v>
      </c>
      <c r="G1301" s="4" t="s">
        <v>0</v>
      </c>
      <c r="H1301" s="18"/>
    </row>
    <row r="1302" spans="1:8" x14ac:dyDescent="0.25">
      <c r="A1302" s="4">
        <v>1994</v>
      </c>
      <c r="B1302" s="18">
        <v>257</v>
      </c>
      <c r="C1302" s="13">
        <v>34591</v>
      </c>
      <c r="D1302" s="18">
        <v>230</v>
      </c>
      <c r="E1302" s="18">
        <v>5</v>
      </c>
      <c r="F1302" s="20" t="e">
        <v>#N/A</v>
      </c>
      <c r="G1302" s="4" t="s">
        <v>1</v>
      </c>
      <c r="H1302" s="18"/>
    </row>
    <row r="1303" spans="1:8" x14ac:dyDescent="0.25">
      <c r="A1303" s="4">
        <v>1994</v>
      </c>
      <c r="B1303" s="18">
        <v>257</v>
      </c>
      <c r="C1303" s="13">
        <v>34591</v>
      </c>
      <c r="D1303" s="18">
        <v>230</v>
      </c>
      <c r="E1303" s="18">
        <v>6</v>
      </c>
      <c r="F1303" s="20" t="e">
        <v>#N/A</v>
      </c>
      <c r="G1303" s="4" t="s">
        <v>1</v>
      </c>
      <c r="H1303" s="18"/>
    </row>
    <row r="1304" spans="1:8" x14ac:dyDescent="0.25">
      <c r="A1304" s="4">
        <v>1994</v>
      </c>
      <c r="B1304" s="18">
        <v>257</v>
      </c>
      <c r="C1304" s="13">
        <v>34591</v>
      </c>
      <c r="D1304" s="18">
        <v>230</v>
      </c>
      <c r="E1304" s="18">
        <v>7</v>
      </c>
      <c r="F1304" s="20">
        <v>0.26542850161086778</v>
      </c>
      <c r="G1304" s="4" t="s">
        <v>130</v>
      </c>
      <c r="H1304" s="18"/>
    </row>
    <row r="1305" spans="1:8" x14ac:dyDescent="0.25">
      <c r="A1305" s="4">
        <v>1994</v>
      </c>
      <c r="B1305" s="18">
        <v>257</v>
      </c>
      <c r="C1305" s="13">
        <v>34591</v>
      </c>
      <c r="D1305" s="18">
        <v>230</v>
      </c>
      <c r="E1305" s="18">
        <v>8</v>
      </c>
      <c r="F1305" s="20">
        <v>0.25706575640264268</v>
      </c>
      <c r="G1305" s="4" t="s">
        <v>130</v>
      </c>
      <c r="H1305" s="18"/>
    </row>
    <row r="1306" spans="1:8" x14ac:dyDescent="0.25">
      <c r="A1306" s="4">
        <v>1994</v>
      </c>
      <c r="B1306" s="18">
        <v>257</v>
      </c>
      <c r="C1306" s="13">
        <v>34591</v>
      </c>
      <c r="D1306" s="18">
        <v>230</v>
      </c>
      <c r="E1306" s="18">
        <v>9</v>
      </c>
      <c r="F1306" s="20">
        <v>0.25305585964664834</v>
      </c>
      <c r="G1306" s="4" t="s">
        <v>130</v>
      </c>
      <c r="H1306" s="18"/>
    </row>
    <row r="1307" spans="1:8" x14ac:dyDescent="0.25">
      <c r="A1307" s="4">
        <v>1994</v>
      </c>
      <c r="B1307" s="18">
        <v>257</v>
      </c>
      <c r="C1307" s="13">
        <v>34591</v>
      </c>
      <c r="D1307" s="18">
        <v>230</v>
      </c>
      <c r="E1307" s="18">
        <v>10</v>
      </c>
      <c r="F1307" s="20">
        <v>0.25809461149135177</v>
      </c>
      <c r="G1307" s="4" t="s">
        <v>130</v>
      </c>
      <c r="H1307" s="18"/>
    </row>
    <row r="1308" spans="1:8" x14ac:dyDescent="0.25">
      <c r="A1308" s="4">
        <v>1994</v>
      </c>
      <c r="B1308" s="18">
        <v>257</v>
      </c>
      <c r="C1308" s="13">
        <v>34591</v>
      </c>
      <c r="D1308" s="18">
        <v>230</v>
      </c>
      <c r="E1308" s="18">
        <v>11</v>
      </c>
      <c r="F1308" s="20" t="e">
        <v>#N/A</v>
      </c>
      <c r="G1308" s="4" t="s">
        <v>131</v>
      </c>
      <c r="H1308" s="18"/>
    </row>
    <row r="1309" spans="1:8" x14ac:dyDescent="0.25">
      <c r="A1309" s="4">
        <v>1994</v>
      </c>
      <c r="B1309" s="18">
        <v>257</v>
      </c>
      <c r="C1309" s="13">
        <v>34591</v>
      </c>
      <c r="D1309" s="18">
        <v>230</v>
      </c>
      <c r="E1309" s="18">
        <v>12</v>
      </c>
      <c r="F1309" s="20" t="e">
        <v>#N/A</v>
      </c>
      <c r="G1309" s="4" t="s">
        <v>131</v>
      </c>
      <c r="H1309" s="18"/>
    </row>
    <row r="1310" spans="1:8" x14ac:dyDescent="0.25">
      <c r="A1310" s="4">
        <v>1994</v>
      </c>
      <c r="B1310" s="18">
        <v>257</v>
      </c>
      <c r="C1310" s="13">
        <v>34591</v>
      </c>
      <c r="D1310" s="18">
        <v>210</v>
      </c>
      <c r="E1310" s="18">
        <v>1</v>
      </c>
      <c r="F1310" s="20">
        <v>0.1816427641303541</v>
      </c>
      <c r="G1310" s="4" t="s">
        <v>0</v>
      </c>
      <c r="H1310" s="18"/>
    </row>
    <row r="1311" spans="1:8" x14ac:dyDescent="0.25">
      <c r="A1311" s="4">
        <v>1994</v>
      </c>
      <c r="B1311" s="18">
        <v>257</v>
      </c>
      <c r="C1311" s="13">
        <v>34591</v>
      </c>
      <c r="D1311" s="18">
        <v>210</v>
      </c>
      <c r="E1311" s="18">
        <v>2</v>
      </c>
      <c r="F1311" s="20">
        <v>0.2519478618588078</v>
      </c>
      <c r="G1311" s="4" t="s">
        <v>0</v>
      </c>
      <c r="H1311" s="18"/>
    </row>
    <row r="1312" spans="1:8" x14ac:dyDescent="0.25">
      <c r="A1312" s="4">
        <v>1994</v>
      </c>
      <c r="B1312" s="18">
        <v>257</v>
      </c>
      <c r="C1312" s="13">
        <v>34591</v>
      </c>
      <c r="D1312" s="18">
        <v>210</v>
      </c>
      <c r="E1312" s="18">
        <v>3</v>
      </c>
      <c r="F1312" s="20">
        <v>0.24516797063321205</v>
      </c>
      <c r="G1312" s="4" t="s">
        <v>0</v>
      </c>
      <c r="H1312" s="18"/>
    </row>
    <row r="1313" spans="1:8" x14ac:dyDescent="0.25">
      <c r="A1313" s="4">
        <v>1994</v>
      </c>
      <c r="B1313" s="18">
        <v>257</v>
      </c>
      <c r="C1313" s="13">
        <v>34591</v>
      </c>
      <c r="D1313" s="18">
        <v>210</v>
      </c>
      <c r="E1313" s="18">
        <v>4</v>
      </c>
      <c r="F1313" s="20">
        <v>0.26714326009204953</v>
      </c>
      <c r="G1313" s="4" t="s">
        <v>0</v>
      </c>
      <c r="H1313" s="18"/>
    </row>
    <row r="1314" spans="1:8" x14ac:dyDescent="0.25">
      <c r="A1314" s="4">
        <v>1994</v>
      </c>
      <c r="B1314" s="18">
        <v>257</v>
      </c>
      <c r="C1314" s="13">
        <v>34591</v>
      </c>
      <c r="D1314" s="18">
        <v>210</v>
      </c>
      <c r="E1314" s="18">
        <v>5</v>
      </c>
      <c r="F1314" s="20" t="e">
        <v>#N/A</v>
      </c>
      <c r="G1314" s="4" t="s">
        <v>1</v>
      </c>
      <c r="H1314" s="18"/>
    </row>
    <row r="1315" spans="1:8" x14ac:dyDescent="0.25">
      <c r="A1315" s="4">
        <v>1994</v>
      </c>
      <c r="B1315" s="18">
        <v>257</v>
      </c>
      <c r="C1315" s="13">
        <v>34591</v>
      </c>
      <c r="D1315" s="18">
        <v>210</v>
      </c>
      <c r="E1315" s="18">
        <v>6</v>
      </c>
      <c r="F1315" s="20" t="e">
        <v>#N/A</v>
      </c>
      <c r="G1315" s="4" t="s">
        <v>1</v>
      </c>
      <c r="H1315" s="18"/>
    </row>
    <row r="1316" spans="1:8" x14ac:dyDescent="0.25">
      <c r="A1316" s="4">
        <v>1994</v>
      </c>
      <c r="B1316" s="18">
        <v>257</v>
      </c>
      <c r="C1316" s="13">
        <v>34591</v>
      </c>
      <c r="D1316" s="18">
        <v>210</v>
      </c>
      <c r="E1316" s="18">
        <v>7</v>
      </c>
      <c r="F1316" s="20">
        <v>0.27128506134659636</v>
      </c>
      <c r="G1316" s="4" t="s">
        <v>130</v>
      </c>
      <c r="H1316" s="18"/>
    </row>
    <row r="1317" spans="1:8" x14ac:dyDescent="0.25">
      <c r="A1317" s="4">
        <v>1994</v>
      </c>
      <c r="B1317" s="18">
        <v>257</v>
      </c>
      <c r="C1317" s="13">
        <v>34591</v>
      </c>
      <c r="D1317" s="18">
        <v>210</v>
      </c>
      <c r="E1317" s="18">
        <v>8</v>
      </c>
      <c r="F1317" s="20">
        <v>0.25289757424838544</v>
      </c>
      <c r="G1317" s="4" t="s">
        <v>130</v>
      </c>
      <c r="H1317" s="18"/>
    </row>
    <row r="1318" spans="1:8" x14ac:dyDescent="0.25">
      <c r="A1318" s="4">
        <v>1994</v>
      </c>
      <c r="B1318" s="18">
        <v>257</v>
      </c>
      <c r="C1318" s="13">
        <v>34591</v>
      </c>
      <c r="D1318" s="18">
        <v>210</v>
      </c>
      <c r="E1318" s="18">
        <v>9</v>
      </c>
      <c r="F1318" s="20">
        <v>0.2555356642194343</v>
      </c>
      <c r="G1318" s="4" t="s">
        <v>130</v>
      </c>
      <c r="H1318" s="18"/>
    </row>
    <row r="1319" spans="1:8" x14ac:dyDescent="0.25">
      <c r="A1319" s="4">
        <v>1994</v>
      </c>
      <c r="B1319" s="18">
        <v>257</v>
      </c>
      <c r="C1319" s="13">
        <v>34591</v>
      </c>
      <c r="D1319" s="18">
        <v>210</v>
      </c>
      <c r="E1319" s="18">
        <v>10</v>
      </c>
      <c r="F1319" s="20">
        <v>0.26540212071115732</v>
      </c>
      <c r="G1319" s="4" t="s">
        <v>130</v>
      </c>
      <c r="H1319" s="18"/>
    </row>
    <row r="1320" spans="1:8" x14ac:dyDescent="0.25">
      <c r="A1320" s="4">
        <v>1994</v>
      </c>
      <c r="B1320" s="18">
        <v>257</v>
      </c>
      <c r="C1320" s="13">
        <v>34591</v>
      </c>
      <c r="D1320" s="18">
        <v>210</v>
      </c>
      <c r="E1320" s="18">
        <v>11</v>
      </c>
      <c r="F1320" s="20" t="e">
        <v>#N/A</v>
      </c>
      <c r="G1320" s="4" t="s">
        <v>131</v>
      </c>
      <c r="H1320" s="18"/>
    </row>
    <row r="1321" spans="1:8" x14ac:dyDescent="0.25">
      <c r="A1321" s="4">
        <v>1994</v>
      </c>
      <c r="B1321" s="18">
        <v>257</v>
      </c>
      <c r="C1321" s="13">
        <v>34591</v>
      </c>
      <c r="D1321" s="18">
        <v>210</v>
      </c>
      <c r="E1321" s="18">
        <v>12</v>
      </c>
      <c r="F1321" s="20" t="e">
        <v>#N/A</v>
      </c>
      <c r="G1321" s="4" t="s">
        <v>131</v>
      </c>
      <c r="H1321" s="18"/>
    </row>
    <row r="1322" spans="1:8" x14ac:dyDescent="0.25">
      <c r="A1322" s="4">
        <v>1994</v>
      </c>
      <c r="B1322" s="18">
        <v>257</v>
      </c>
      <c r="C1322" s="13">
        <v>34591</v>
      </c>
      <c r="D1322" s="18">
        <v>190</v>
      </c>
      <c r="E1322" s="18">
        <v>1</v>
      </c>
      <c r="F1322" s="20">
        <v>0.21599069555341099</v>
      </c>
      <c r="G1322" s="4" t="s">
        <v>0</v>
      </c>
      <c r="H1322" s="18"/>
    </row>
    <row r="1323" spans="1:8" x14ac:dyDescent="0.25">
      <c r="A1323" s="4">
        <v>1994</v>
      </c>
      <c r="B1323" s="18">
        <v>257</v>
      </c>
      <c r="C1323" s="13">
        <v>34591</v>
      </c>
      <c r="D1323" s="18">
        <v>190</v>
      </c>
      <c r="E1323" s="18">
        <v>2</v>
      </c>
      <c r="F1323" s="20">
        <v>0.25812099239106229</v>
      </c>
      <c r="G1323" s="4" t="s">
        <v>0</v>
      </c>
      <c r="H1323" s="18"/>
    </row>
    <row r="1324" spans="1:8" x14ac:dyDescent="0.25">
      <c r="A1324" s="4">
        <v>1994</v>
      </c>
      <c r="B1324" s="18">
        <v>257</v>
      </c>
      <c r="C1324" s="13">
        <v>34591</v>
      </c>
      <c r="D1324" s="18">
        <v>190</v>
      </c>
      <c r="E1324" s="18">
        <v>3</v>
      </c>
      <c r="F1324" s="20">
        <v>0.26484812181723699</v>
      </c>
      <c r="G1324" s="4" t="s">
        <v>0</v>
      </c>
      <c r="H1324" s="18"/>
    </row>
    <row r="1325" spans="1:8" x14ac:dyDescent="0.25">
      <c r="A1325" s="4">
        <v>1994</v>
      </c>
      <c r="B1325" s="18">
        <v>257</v>
      </c>
      <c r="C1325" s="13">
        <v>34591</v>
      </c>
      <c r="D1325" s="18">
        <v>190</v>
      </c>
      <c r="E1325" s="18">
        <v>4</v>
      </c>
      <c r="F1325" s="20">
        <v>0.26970220736396699</v>
      </c>
      <c r="G1325" s="4" t="s">
        <v>0</v>
      </c>
      <c r="H1325" s="18"/>
    </row>
    <row r="1326" spans="1:8" x14ac:dyDescent="0.25">
      <c r="A1326" s="4">
        <v>1994</v>
      </c>
      <c r="B1326" s="18">
        <v>257</v>
      </c>
      <c r="C1326" s="13">
        <v>34591</v>
      </c>
      <c r="D1326" s="18">
        <v>190</v>
      </c>
      <c r="E1326" s="18">
        <v>5</v>
      </c>
      <c r="F1326" s="20">
        <v>0.2333757084626234</v>
      </c>
      <c r="G1326" s="4" t="s">
        <v>1</v>
      </c>
      <c r="H1326" s="18"/>
    </row>
    <row r="1327" spans="1:8" x14ac:dyDescent="0.25">
      <c r="A1327" s="4">
        <v>1994</v>
      </c>
      <c r="B1327" s="18">
        <v>257</v>
      </c>
      <c r="C1327" s="13">
        <v>34591</v>
      </c>
      <c r="D1327" s="18">
        <v>190</v>
      </c>
      <c r="E1327" s="18">
        <v>6</v>
      </c>
      <c r="F1327" s="20">
        <v>0.25954556097542864</v>
      </c>
      <c r="G1327" s="4" t="s">
        <v>1</v>
      </c>
      <c r="H1327" s="18"/>
    </row>
    <row r="1328" spans="1:8" x14ac:dyDescent="0.25">
      <c r="A1328" s="4">
        <v>1994</v>
      </c>
      <c r="B1328" s="18">
        <v>257</v>
      </c>
      <c r="C1328" s="13">
        <v>34591</v>
      </c>
      <c r="D1328" s="18">
        <v>190</v>
      </c>
      <c r="E1328" s="18">
        <v>7</v>
      </c>
      <c r="F1328" s="20">
        <v>0.26951754106599363</v>
      </c>
      <c r="G1328" s="4" t="s">
        <v>130</v>
      </c>
      <c r="H1328" s="18"/>
    </row>
    <row r="1329" spans="1:8" x14ac:dyDescent="0.25">
      <c r="A1329" s="4">
        <v>1994</v>
      </c>
      <c r="B1329" s="18">
        <v>257</v>
      </c>
      <c r="C1329" s="13">
        <v>34591</v>
      </c>
      <c r="D1329" s="18">
        <v>190</v>
      </c>
      <c r="E1329" s="18">
        <v>8</v>
      </c>
      <c r="F1329" s="20">
        <v>0.26197260374879366</v>
      </c>
      <c r="G1329" s="4" t="s">
        <v>130</v>
      </c>
      <c r="H1329" s="18"/>
    </row>
    <row r="1330" spans="1:8" x14ac:dyDescent="0.25">
      <c r="A1330" s="4">
        <v>1994</v>
      </c>
      <c r="B1330" s="18">
        <v>257</v>
      </c>
      <c r="C1330" s="13">
        <v>34591</v>
      </c>
      <c r="D1330" s="18">
        <v>190</v>
      </c>
      <c r="E1330" s="18">
        <v>9</v>
      </c>
      <c r="F1330" s="20">
        <v>0.25999403627050699</v>
      </c>
      <c r="G1330" s="4" t="s">
        <v>130</v>
      </c>
      <c r="H1330" s="18"/>
    </row>
    <row r="1331" spans="1:8" x14ac:dyDescent="0.25">
      <c r="A1331" s="4">
        <v>1994</v>
      </c>
      <c r="B1331" s="18">
        <v>257</v>
      </c>
      <c r="C1331" s="13">
        <v>34591</v>
      </c>
      <c r="D1331" s="18">
        <v>190</v>
      </c>
      <c r="E1331" s="18">
        <v>10</v>
      </c>
      <c r="F1331" s="20">
        <v>0.26268488804097689</v>
      </c>
      <c r="G1331" s="4" t="s">
        <v>130</v>
      </c>
      <c r="H1331" s="18"/>
    </row>
    <row r="1332" spans="1:8" x14ac:dyDescent="0.25">
      <c r="A1332" s="4">
        <v>1994</v>
      </c>
      <c r="B1332" s="18">
        <v>257</v>
      </c>
      <c r="C1332" s="13">
        <v>34591</v>
      </c>
      <c r="D1332" s="18">
        <v>190</v>
      </c>
      <c r="E1332" s="18">
        <v>11</v>
      </c>
      <c r="F1332" s="20">
        <v>0.3000666229307401</v>
      </c>
      <c r="G1332" s="4" t="s">
        <v>131</v>
      </c>
      <c r="H1332" s="18"/>
    </row>
    <row r="1333" spans="1:8" x14ac:dyDescent="0.25">
      <c r="A1333" s="4">
        <v>1994</v>
      </c>
      <c r="B1333" s="18">
        <v>257</v>
      </c>
      <c r="C1333" s="13">
        <v>34591</v>
      </c>
      <c r="D1333" s="18">
        <v>190</v>
      </c>
      <c r="E1333" s="18">
        <v>12</v>
      </c>
      <c r="F1333" s="20">
        <v>0.31513011666542939</v>
      </c>
      <c r="G1333" s="4" t="s">
        <v>131</v>
      </c>
      <c r="H1333" s="18"/>
    </row>
    <row r="1334" spans="1:8" x14ac:dyDescent="0.25">
      <c r="A1334" s="4">
        <v>1994</v>
      </c>
      <c r="B1334" s="18">
        <v>257</v>
      </c>
      <c r="C1334" s="13">
        <v>34591</v>
      </c>
      <c r="D1334" s="18">
        <v>170</v>
      </c>
      <c r="E1334" s="18">
        <v>1</v>
      </c>
      <c r="F1334" s="20">
        <v>0.24163293007200654</v>
      </c>
      <c r="G1334" s="4" t="s">
        <v>0</v>
      </c>
      <c r="H1334" s="18"/>
    </row>
    <row r="1335" spans="1:8" x14ac:dyDescent="0.25">
      <c r="A1335" s="4">
        <v>1994</v>
      </c>
      <c r="B1335" s="18">
        <v>257</v>
      </c>
      <c r="C1335" s="13">
        <v>34591</v>
      </c>
      <c r="D1335" s="18">
        <v>170</v>
      </c>
      <c r="E1335" s="18">
        <v>2</v>
      </c>
      <c r="F1335" s="20">
        <v>0.2668003083958132</v>
      </c>
      <c r="G1335" s="4" t="s">
        <v>0</v>
      </c>
      <c r="H1335" s="18"/>
    </row>
    <row r="1336" spans="1:8" x14ac:dyDescent="0.25">
      <c r="A1336" s="4">
        <v>1994</v>
      </c>
      <c r="B1336" s="18">
        <v>257</v>
      </c>
      <c r="C1336" s="13">
        <v>34591</v>
      </c>
      <c r="D1336" s="18">
        <v>170</v>
      </c>
      <c r="E1336" s="18">
        <v>3</v>
      </c>
      <c r="F1336" s="20">
        <v>0.27687781208522011</v>
      </c>
      <c r="G1336" s="4" t="s">
        <v>0</v>
      </c>
      <c r="H1336" s="18"/>
    </row>
    <row r="1337" spans="1:8" x14ac:dyDescent="0.25">
      <c r="A1337" s="4">
        <v>1994</v>
      </c>
      <c r="B1337" s="18">
        <v>257</v>
      </c>
      <c r="C1337" s="13">
        <v>34591</v>
      </c>
      <c r="D1337" s="18">
        <v>170</v>
      </c>
      <c r="E1337" s="18">
        <v>4</v>
      </c>
      <c r="F1337" s="20">
        <v>0.27482010190780193</v>
      </c>
      <c r="G1337" s="4" t="s">
        <v>0</v>
      </c>
      <c r="H1337" s="18"/>
    </row>
    <row r="1338" spans="1:8" x14ac:dyDescent="0.25">
      <c r="A1338" s="4">
        <v>1994</v>
      </c>
      <c r="B1338" s="18">
        <v>257</v>
      </c>
      <c r="C1338" s="13">
        <v>34591</v>
      </c>
      <c r="D1338" s="18">
        <v>170</v>
      </c>
      <c r="E1338" s="18">
        <v>5</v>
      </c>
      <c r="F1338" s="20">
        <v>0.25482337992725113</v>
      </c>
      <c r="G1338" s="4" t="s">
        <v>1</v>
      </c>
      <c r="H1338" s="18"/>
    </row>
    <row r="1339" spans="1:8" x14ac:dyDescent="0.25">
      <c r="A1339" s="4">
        <v>1994</v>
      </c>
      <c r="B1339" s="18">
        <v>257</v>
      </c>
      <c r="C1339" s="13">
        <v>34591</v>
      </c>
      <c r="D1339" s="18">
        <v>170</v>
      </c>
      <c r="E1339" s="18">
        <v>6</v>
      </c>
      <c r="F1339" s="20">
        <v>0.26888439947294185</v>
      </c>
      <c r="G1339" s="4" t="s">
        <v>1</v>
      </c>
      <c r="H1339" s="18"/>
    </row>
    <row r="1340" spans="1:8" x14ac:dyDescent="0.25">
      <c r="A1340" s="4">
        <v>1994</v>
      </c>
      <c r="B1340" s="18">
        <v>257</v>
      </c>
      <c r="C1340" s="13">
        <v>34591</v>
      </c>
      <c r="D1340" s="18">
        <v>170</v>
      </c>
      <c r="E1340" s="18">
        <v>7</v>
      </c>
      <c r="F1340" s="20">
        <v>0.2780649525721921</v>
      </c>
      <c r="G1340" s="4" t="s">
        <v>130</v>
      </c>
      <c r="H1340" s="18"/>
    </row>
    <row r="1341" spans="1:8" x14ac:dyDescent="0.25">
      <c r="A1341" s="4">
        <v>1994</v>
      </c>
      <c r="B1341" s="18">
        <v>257</v>
      </c>
      <c r="C1341" s="13">
        <v>34591</v>
      </c>
      <c r="D1341" s="18">
        <v>170</v>
      </c>
      <c r="E1341" s="18">
        <v>8</v>
      </c>
      <c r="F1341" s="20">
        <v>0.27212925013733202</v>
      </c>
      <c r="G1341" s="4" t="s">
        <v>130</v>
      </c>
      <c r="H1341" s="18"/>
    </row>
    <row r="1342" spans="1:8" x14ac:dyDescent="0.25">
      <c r="A1342" s="4">
        <v>1994</v>
      </c>
      <c r="B1342" s="18">
        <v>257</v>
      </c>
      <c r="C1342" s="13">
        <v>34591</v>
      </c>
      <c r="D1342" s="18">
        <v>170</v>
      </c>
      <c r="E1342" s="18">
        <v>9</v>
      </c>
      <c r="F1342" s="20">
        <v>0.26621992860218247</v>
      </c>
      <c r="G1342" s="4" t="s">
        <v>130</v>
      </c>
      <c r="H1342" s="18"/>
    </row>
    <row r="1343" spans="1:8" x14ac:dyDescent="0.25">
      <c r="A1343" s="4">
        <v>1994</v>
      </c>
      <c r="B1343" s="18">
        <v>257</v>
      </c>
      <c r="C1343" s="13">
        <v>34591</v>
      </c>
      <c r="D1343" s="18">
        <v>170</v>
      </c>
      <c r="E1343" s="18">
        <v>10</v>
      </c>
      <c r="F1343" s="20">
        <v>0.26653649939870833</v>
      </c>
      <c r="G1343" s="4" t="s">
        <v>130</v>
      </c>
      <c r="H1343" s="18"/>
    </row>
    <row r="1344" spans="1:8" x14ac:dyDescent="0.25">
      <c r="A1344" s="4">
        <v>1994</v>
      </c>
      <c r="B1344" s="18">
        <v>257</v>
      </c>
      <c r="C1344" s="13">
        <v>34591</v>
      </c>
      <c r="D1344" s="18">
        <v>170</v>
      </c>
      <c r="E1344" s="18">
        <v>11</v>
      </c>
      <c r="F1344" s="20">
        <v>0.28750931466854723</v>
      </c>
      <c r="G1344" s="4" t="s">
        <v>131</v>
      </c>
      <c r="H1344" s="18"/>
    </row>
    <row r="1345" spans="1:8" x14ac:dyDescent="0.25">
      <c r="A1345" s="4">
        <v>1994</v>
      </c>
      <c r="B1345" s="18">
        <v>257</v>
      </c>
      <c r="C1345" s="13">
        <v>34591</v>
      </c>
      <c r="D1345" s="18">
        <v>170</v>
      </c>
      <c r="E1345" s="18">
        <v>12</v>
      </c>
      <c r="F1345" s="20">
        <v>0.28822159896073041</v>
      </c>
      <c r="G1345" s="4" t="s">
        <v>131</v>
      </c>
      <c r="H1345" s="18"/>
    </row>
    <row r="1346" spans="1:8" x14ac:dyDescent="0.25">
      <c r="A1346" s="4">
        <v>1994</v>
      </c>
      <c r="B1346" s="18">
        <v>257</v>
      </c>
      <c r="C1346" s="13">
        <v>34591</v>
      </c>
      <c r="D1346" s="18">
        <v>150</v>
      </c>
      <c r="E1346" s="18">
        <v>1</v>
      </c>
      <c r="F1346" s="20">
        <v>0.27270962993096282</v>
      </c>
      <c r="G1346" s="4" t="s">
        <v>0</v>
      </c>
      <c r="H1346" s="18"/>
    </row>
    <row r="1347" spans="1:8" x14ac:dyDescent="0.25">
      <c r="A1347" s="4">
        <v>1994</v>
      </c>
      <c r="B1347" s="18">
        <v>257</v>
      </c>
      <c r="C1347" s="13">
        <v>34591</v>
      </c>
      <c r="D1347" s="18">
        <v>150</v>
      </c>
      <c r="E1347" s="18">
        <v>2</v>
      </c>
      <c r="F1347" s="20">
        <v>0.1842544732016925</v>
      </c>
      <c r="G1347" s="4" t="s">
        <v>0</v>
      </c>
      <c r="H1347" s="18"/>
    </row>
    <row r="1348" spans="1:8" x14ac:dyDescent="0.25">
      <c r="A1348" s="4">
        <v>1994</v>
      </c>
      <c r="B1348" s="18">
        <v>257</v>
      </c>
      <c r="C1348" s="13">
        <v>34591</v>
      </c>
      <c r="D1348" s="18">
        <v>150</v>
      </c>
      <c r="E1348" s="18">
        <v>3</v>
      </c>
      <c r="F1348" s="20">
        <v>0.29336587440427581</v>
      </c>
      <c r="G1348" s="4" t="s">
        <v>0</v>
      </c>
      <c r="H1348" s="18"/>
    </row>
    <row r="1349" spans="1:8" x14ac:dyDescent="0.25">
      <c r="A1349" s="4">
        <v>1994</v>
      </c>
      <c r="B1349" s="18">
        <v>257</v>
      </c>
      <c r="C1349" s="13">
        <v>34591</v>
      </c>
      <c r="D1349" s="18">
        <v>150</v>
      </c>
      <c r="E1349" s="18">
        <v>4</v>
      </c>
      <c r="F1349" s="20">
        <v>0.27505753000519628</v>
      </c>
      <c r="G1349" s="4" t="s">
        <v>0</v>
      </c>
      <c r="H1349" s="18"/>
    </row>
    <row r="1350" spans="1:8" x14ac:dyDescent="0.25">
      <c r="A1350" s="4">
        <v>1994</v>
      </c>
      <c r="B1350" s="18">
        <v>257</v>
      </c>
      <c r="C1350" s="13">
        <v>34591</v>
      </c>
      <c r="D1350" s="18">
        <v>150</v>
      </c>
      <c r="E1350" s="18">
        <v>5</v>
      </c>
      <c r="F1350" s="20">
        <v>0.26574507240739365</v>
      </c>
      <c r="G1350" s="4" t="s">
        <v>1</v>
      </c>
      <c r="H1350" s="18"/>
    </row>
    <row r="1351" spans="1:8" x14ac:dyDescent="0.25">
      <c r="A1351" s="4">
        <v>1994</v>
      </c>
      <c r="B1351" s="18">
        <v>257</v>
      </c>
      <c r="C1351" s="13">
        <v>34591</v>
      </c>
      <c r="D1351" s="18">
        <v>150</v>
      </c>
      <c r="E1351" s="18">
        <v>6</v>
      </c>
      <c r="F1351" s="20">
        <v>0.27405505581619771</v>
      </c>
      <c r="G1351" s="4" t="s">
        <v>1</v>
      </c>
      <c r="H1351" s="18"/>
    </row>
    <row r="1352" spans="1:8" x14ac:dyDescent="0.25">
      <c r="A1352" s="4">
        <v>1994</v>
      </c>
      <c r="B1352" s="18">
        <v>257</v>
      </c>
      <c r="C1352" s="13">
        <v>34591</v>
      </c>
      <c r="D1352" s="18">
        <v>150</v>
      </c>
      <c r="E1352" s="18">
        <v>7</v>
      </c>
      <c r="F1352" s="20">
        <v>0.28830074165986191</v>
      </c>
      <c r="G1352" s="4" t="s">
        <v>130</v>
      </c>
      <c r="H1352" s="18"/>
    </row>
    <row r="1353" spans="1:8" x14ac:dyDescent="0.25">
      <c r="A1353" s="4">
        <v>1994</v>
      </c>
      <c r="B1353" s="18">
        <v>257</v>
      </c>
      <c r="C1353" s="13">
        <v>34591</v>
      </c>
      <c r="D1353" s="18">
        <v>150</v>
      </c>
      <c r="E1353" s="18">
        <v>8</v>
      </c>
      <c r="F1353" s="20">
        <v>0.28555712808997102</v>
      </c>
      <c r="G1353" s="4" t="s">
        <v>130</v>
      </c>
      <c r="H1353" s="18"/>
    </row>
    <row r="1354" spans="1:8" x14ac:dyDescent="0.25">
      <c r="A1354" s="4">
        <v>1994</v>
      </c>
      <c r="B1354" s="18">
        <v>257</v>
      </c>
      <c r="C1354" s="13">
        <v>34591</v>
      </c>
      <c r="D1354" s="18">
        <v>150</v>
      </c>
      <c r="E1354" s="18">
        <v>9</v>
      </c>
      <c r="F1354" s="20">
        <v>0.28513503369460319</v>
      </c>
      <c r="G1354" s="4" t="s">
        <v>130</v>
      </c>
      <c r="H1354" s="18"/>
    </row>
    <row r="1355" spans="1:8" x14ac:dyDescent="0.25">
      <c r="A1355" s="4">
        <v>1994</v>
      </c>
      <c r="B1355" s="18">
        <v>257</v>
      </c>
      <c r="C1355" s="13">
        <v>34591</v>
      </c>
      <c r="D1355" s="18">
        <v>150</v>
      </c>
      <c r="E1355" s="18">
        <v>10</v>
      </c>
      <c r="F1355" s="20">
        <v>0.28057113804468858</v>
      </c>
      <c r="G1355" s="4" t="s">
        <v>130</v>
      </c>
      <c r="H1355" s="18"/>
    </row>
    <row r="1356" spans="1:8" x14ac:dyDescent="0.25">
      <c r="A1356" s="4">
        <v>1994</v>
      </c>
      <c r="B1356" s="18">
        <v>257</v>
      </c>
      <c r="C1356" s="13">
        <v>34591</v>
      </c>
      <c r="D1356" s="18">
        <v>150</v>
      </c>
      <c r="E1356" s="18">
        <v>11</v>
      </c>
      <c r="F1356" s="20">
        <v>0.30761156024794001</v>
      </c>
      <c r="G1356" s="4" t="s">
        <v>131</v>
      </c>
      <c r="H1356" s="18"/>
    </row>
    <row r="1357" spans="1:8" x14ac:dyDescent="0.25">
      <c r="A1357" s="4">
        <v>1994</v>
      </c>
      <c r="B1357" s="18">
        <v>257</v>
      </c>
      <c r="C1357" s="13">
        <v>34591</v>
      </c>
      <c r="D1357" s="18">
        <v>150</v>
      </c>
      <c r="E1357" s="18">
        <v>12</v>
      </c>
      <c r="F1357" s="20">
        <v>0.31539392566253427</v>
      </c>
      <c r="G1357" s="4" t="s">
        <v>131</v>
      </c>
      <c r="H1357" s="18"/>
    </row>
    <row r="1358" spans="1:8" x14ac:dyDescent="0.25">
      <c r="A1358" s="4">
        <v>1994</v>
      </c>
      <c r="B1358" s="18">
        <v>257</v>
      </c>
      <c r="C1358" s="13">
        <v>34591</v>
      </c>
      <c r="D1358" s="18">
        <v>130</v>
      </c>
      <c r="E1358" s="18">
        <v>1</v>
      </c>
      <c r="F1358" s="20">
        <v>0.2623946981441615</v>
      </c>
      <c r="G1358" s="4" t="s">
        <v>0</v>
      </c>
      <c r="H1358" s="18"/>
    </row>
    <row r="1359" spans="1:8" x14ac:dyDescent="0.25">
      <c r="A1359" s="4">
        <v>1994</v>
      </c>
      <c r="B1359" s="18">
        <v>257</v>
      </c>
      <c r="C1359" s="13">
        <v>34591</v>
      </c>
      <c r="D1359" s="18">
        <v>130</v>
      </c>
      <c r="E1359" s="18">
        <v>2</v>
      </c>
      <c r="F1359" s="20">
        <v>0.2022462468042461</v>
      </c>
      <c r="G1359" s="4" t="s">
        <v>0</v>
      </c>
      <c r="H1359" s="18"/>
    </row>
    <row r="1360" spans="1:8" x14ac:dyDescent="0.25">
      <c r="A1360" s="4">
        <v>1994</v>
      </c>
      <c r="B1360" s="18">
        <v>257</v>
      </c>
      <c r="C1360" s="13">
        <v>34591</v>
      </c>
      <c r="D1360" s="18">
        <v>130</v>
      </c>
      <c r="E1360" s="18">
        <v>3</v>
      </c>
      <c r="F1360" s="20">
        <v>0.26938563656744113</v>
      </c>
      <c r="G1360" s="4" t="s">
        <v>0</v>
      </c>
      <c r="H1360" s="18"/>
    </row>
    <row r="1361" spans="1:8" x14ac:dyDescent="0.25">
      <c r="A1361" s="4">
        <v>1994</v>
      </c>
      <c r="B1361" s="18">
        <v>257</v>
      </c>
      <c r="C1361" s="13">
        <v>34591</v>
      </c>
      <c r="D1361" s="18">
        <v>130</v>
      </c>
      <c r="E1361" s="18">
        <v>4</v>
      </c>
      <c r="F1361" s="20">
        <v>0.25862222948556157</v>
      </c>
      <c r="G1361" s="4" t="s">
        <v>0</v>
      </c>
      <c r="H1361" s="18"/>
    </row>
    <row r="1362" spans="1:8" x14ac:dyDescent="0.25">
      <c r="A1362" s="4">
        <v>1994</v>
      </c>
      <c r="B1362" s="18">
        <v>257</v>
      </c>
      <c r="C1362" s="13">
        <v>34591</v>
      </c>
      <c r="D1362" s="18">
        <v>130</v>
      </c>
      <c r="E1362" s="18">
        <v>5</v>
      </c>
      <c r="F1362" s="20">
        <v>0.22667495993615916</v>
      </c>
      <c r="G1362" s="4" t="s">
        <v>1</v>
      </c>
      <c r="H1362" s="18"/>
    </row>
    <row r="1363" spans="1:8" x14ac:dyDescent="0.25">
      <c r="A1363" s="4">
        <v>1994</v>
      </c>
      <c r="B1363" s="18">
        <v>257</v>
      </c>
      <c r="C1363" s="13">
        <v>34591</v>
      </c>
      <c r="D1363" s="18">
        <v>130</v>
      </c>
      <c r="E1363" s="18">
        <v>6</v>
      </c>
      <c r="F1363" s="20">
        <v>0.23807150861109044</v>
      </c>
      <c r="G1363" s="4" t="s">
        <v>1</v>
      </c>
      <c r="H1363" s="18"/>
    </row>
    <row r="1364" spans="1:8" x14ac:dyDescent="0.25">
      <c r="A1364" s="4">
        <v>1994</v>
      </c>
      <c r="B1364" s="18">
        <v>257</v>
      </c>
      <c r="C1364" s="13">
        <v>34591</v>
      </c>
      <c r="D1364" s="18">
        <v>130</v>
      </c>
      <c r="E1364" s="18">
        <v>7</v>
      </c>
      <c r="F1364" s="20">
        <v>0.27078382425209707</v>
      </c>
      <c r="G1364" s="4" t="s">
        <v>130</v>
      </c>
      <c r="H1364" s="18"/>
    </row>
    <row r="1365" spans="1:8" x14ac:dyDescent="0.25">
      <c r="A1365" s="4">
        <v>1994</v>
      </c>
      <c r="B1365" s="18">
        <v>257</v>
      </c>
      <c r="C1365" s="13">
        <v>34591</v>
      </c>
      <c r="D1365" s="18">
        <v>130</v>
      </c>
      <c r="E1365" s="18">
        <v>8</v>
      </c>
      <c r="F1365" s="20">
        <v>0.26653649939870833</v>
      </c>
      <c r="G1365" s="4" t="s">
        <v>130</v>
      </c>
      <c r="H1365" s="18"/>
    </row>
    <row r="1366" spans="1:8" x14ac:dyDescent="0.25">
      <c r="A1366" s="4">
        <v>1994</v>
      </c>
      <c r="B1366" s="18">
        <v>257</v>
      </c>
      <c r="C1366" s="13">
        <v>34591</v>
      </c>
      <c r="D1366" s="18">
        <v>130</v>
      </c>
      <c r="E1366" s="18">
        <v>9</v>
      </c>
      <c r="F1366" s="20">
        <v>0.28677064947665348</v>
      </c>
      <c r="G1366" s="4" t="s">
        <v>130</v>
      </c>
      <c r="H1366" s="18"/>
    </row>
    <row r="1367" spans="1:8" x14ac:dyDescent="0.25">
      <c r="A1367" s="4">
        <v>1994</v>
      </c>
      <c r="B1367" s="18">
        <v>257</v>
      </c>
      <c r="C1367" s="13">
        <v>34591</v>
      </c>
      <c r="D1367" s="18">
        <v>130</v>
      </c>
      <c r="E1367" s="18">
        <v>10</v>
      </c>
      <c r="F1367" s="20">
        <v>0.24640787291960509</v>
      </c>
      <c r="G1367" s="4" t="s">
        <v>130</v>
      </c>
      <c r="H1367" s="18"/>
    </row>
    <row r="1368" spans="1:8" x14ac:dyDescent="0.25">
      <c r="A1368" s="4">
        <v>1994</v>
      </c>
      <c r="B1368" s="18">
        <v>257</v>
      </c>
      <c r="C1368" s="13">
        <v>34591</v>
      </c>
      <c r="D1368" s="18">
        <v>130</v>
      </c>
      <c r="E1368" s="18">
        <v>11</v>
      </c>
      <c r="F1368" s="20">
        <v>0.2683567814787321</v>
      </c>
      <c r="G1368" s="4" t="s">
        <v>131</v>
      </c>
      <c r="H1368" s="18"/>
    </row>
    <row r="1369" spans="1:8" x14ac:dyDescent="0.25">
      <c r="A1369" s="4">
        <v>1994</v>
      </c>
      <c r="B1369" s="18">
        <v>257</v>
      </c>
      <c r="C1369" s="13">
        <v>34591</v>
      </c>
      <c r="D1369" s="18">
        <v>130</v>
      </c>
      <c r="E1369" s="18">
        <v>12</v>
      </c>
      <c r="F1369" s="20">
        <v>0.28500312919605075</v>
      </c>
      <c r="G1369" s="4" t="s">
        <v>131</v>
      </c>
      <c r="H1369" s="18"/>
    </row>
    <row r="1370" spans="1:8" x14ac:dyDescent="0.25">
      <c r="A1370" s="4">
        <v>1994</v>
      </c>
      <c r="B1370" s="18">
        <v>257</v>
      </c>
      <c r="C1370" s="13">
        <v>34591</v>
      </c>
      <c r="D1370" s="18">
        <v>110</v>
      </c>
      <c r="E1370" s="18">
        <v>1</v>
      </c>
      <c r="F1370" s="20">
        <v>0.27462375400489941</v>
      </c>
      <c r="G1370" s="4" t="s">
        <v>0</v>
      </c>
      <c r="H1370" s="18"/>
    </row>
    <row r="1371" spans="1:8" x14ac:dyDescent="0.25">
      <c r="A1371" s="4">
        <v>1994</v>
      </c>
      <c r="B1371" s="18">
        <v>257</v>
      </c>
      <c r="C1371" s="13">
        <v>34591</v>
      </c>
      <c r="D1371" s="18">
        <v>110</v>
      </c>
      <c r="E1371" s="18">
        <v>2</v>
      </c>
      <c r="F1371" s="20">
        <v>0.23097041207903396</v>
      </c>
      <c r="G1371" s="4" t="s">
        <v>0</v>
      </c>
      <c r="H1371" s="18"/>
    </row>
    <row r="1372" spans="1:8" x14ac:dyDescent="0.25">
      <c r="A1372" s="4">
        <v>1994</v>
      </c>
      <c r="B1372" s="18">
        <v>257</v>
      </c>
      <c r="C1372" s="13">
        <v>34591</v>
      </c>
      <c r="D1372" s="18">
        <v>110</v>
      </c>
      <c r="E1372" s="18">
        <v>3</v>
      </c>
      <c r="F1372" s="20">
        <v>0.28464308193031945</v>
      </c>
      <c r="G1372" s="4" t="s">
        <v>0</v>
      </c>
      <c r="H1372" s="18"/>
    </row>
    <row r="1373" spans="1:8" x14ac:dyDescent="0.25">
      <c r="A1373" s="4">
        <v>1994</v>
      </c>
      <c r="B1373" s="18">
        <v>257</v>
      </c>
      <c r="C1373" s="13">
        <v>34591</v>
      </c>
      <c r="D1373" s="18">
        <v>110</v>
      </c>
      <c r="E1373" s="18">
        <v>4</v>
      </c>
      <c r="F1373" s="20">
        <v>0.26937246637839307</v>
      </c>
      <c r="G1373" s="4" t="s">
        <v>0</v>
      </c>
      <c r="H1373" s="18"/>
    </row>
    <row r="1374" spans="1:8" x14ac:dyDescent="0.25">
      <c r="A1374" s="4">
        <v>1994</v>
      </c>
      <c r="B1374" s="18">
        <v>257</v>
      </c>
      <c r="C1374" s="13">
        <v>34591</v>
      </c>
      <c r="D1374" s="18">
        <v>110</v>
      </c>
      <c r="E1374" s="18">
        <v>5</v>
      </c>
      <c r="F1374" s="20">
        <v>0.22761989727439191</v>
      </c>
      <c r="G1374" s="4" t="s">
        <v>1</v>
      </c>
      <c r="H1374" s="18"/>
    </row>
    <row r="1375" spans="1:8" x14ac:dyDescent="0.25">
      <c r="A1375" s="4">
        <v>1994</v>
      </c>
      <c r="B1375" s="18">
        <v>257</v>
      </c>
      <c r="C1375" s="13">
        <v>34591</v>
      </c>
      <c r="D1375" s="18">
        <v>110</v>
      </c>
      <c r="E1375" s="18">
        <v>6</v>
      </c>
      <c r="F1375" s="20">
        <v>0.24862504778041716</v>
      </c>
      <c r="G1375" s="4" t="s">
        <v>1</v>
      </c>
      <c r="H1375" s="18"/>
    </row>
    <row r="1376" spans="1:8" x14ac:dyDescent="0.25">
      <c r="A1376" s="4">
        <v>1994</v>
      </c>
      <c r="B1376" s="18">
        <v>257</v>
      </c>
      <c r="C1376" s="13">
        <v>34591</v>
      </c>
      <c r="D1376" s="18">
        <v>110</v>
      </c>
      <c r="E1376" s="18">
        <v>7</v>
      </c>
      <c r="F1376" s="20">
        <v>0.29198844130972701</v>
      </c>
      <c r="G1376" s="4" t="s">
        <v>130</v>
      </c>
      <c r="H1376" s="18"/>
    </row>
    <row r="1377" spans="1:8" x14ac:dyDescent="0.25">
      <c r="A1377" s="4">
        <v>1994</v>
      </c>
      <c r="B1377" s="18">
        <v>257</v>
      </c>
      <c r="C1377" s="13">
        <v>34591</v>
      </c>
      <c r="D1377" s="18">
        <v>110</v>
      </c>
      <c r="E1377" s="18">
        <v>8</v>
      </c>
      <c r="F1377" s="20">
        <v>0.28490081383836879</v>
      </c>
      <c r="G1377" s="4" t="s">
        <v>130</v>
      </c>
      <c r="H1377" s="18"/>
    </row>
    <row r="1378" spans="1:8" x14ac:dyDescent="0.25">
      <c r="A1378" s="4">
        <v>1994</v>
      </c>
      <c r="B1378" s="18">
        <v>257</v>
      </c>
      <c r="C1378" s="13">
        <v>34591</v>
      </c>
      <c r="D1378" s="18">
        <v>110</v>
      </c>
      <c r="E1378" s="18">
        <v>9</v>
      </c>
      <c r="F1378" s="20">
        <v>0.27117658973473874</v>
      </c>
      <c r="G1378" s="4" t="s">
        <v>130</v>
      </c>
      <c r="H1378" s="18"/>
    </row>
    <row r="1379" spans="1:8" x14ac:dyDescent="0.25">
      <c r="A1379" s="4">
        <v>1994</v>
      </c>
      <c r="B1379" s="18">
        <v>257</v>
      </c>
      <c r="C1379" s="13">
        <v>34591</v>
      </c>
      <c r="D1379" s="18">
        <v>110</v>
      </c>
      <c r="E1379" s="18">
        <v>10</v>
      </c>
      <c r="F1379" s="20">
        <v>0.25545494334372598</v>
      </c>
      <c r="G1379" s="4" t="s">
        <v>130</v>
      </c>
      <c r="H1379" s="18"/>
    </row>
    <row r="1380" spans="1:8" x14ac:dyDescent="0.25">
      <c r="A1380" s="4">
        <v>1994</v>
      </c>
      <c r="B1380" s="18">
        <v>257</v>
      </c>
      <c r="C1380" s="13">
        <v>34591</v>
      </c>
      <c r="D1380" s="18">
        <v>110</v>
      </c>
      <c r="E1380" s="18">
        <v>11</v>
      </c>
      <c r="F1380" s="20">
        <v>0.27623457843020804</v>
      </c>
      <c r="G1380" s="4" t="s">
        <v>131</v>
      </c>
      <c r="H1380" s="18"/>
    </row>
    <row r="1381" spans="1:8" x14ac:dyDescent="0.25">
      <c r="A1381" s="4">
        <v>1994</v>
      </c>
      <c r="B1381" s="18">
        <v>257</v>
      </c>
      <c r="C1381" s="13">
        <v>34591</v>
      </c>
      <c r="D1381" s="18">
        <v>110</v>
      </c>
      <c r="E1381" s="18">
        <v>12</v>
      </c>
      <c r="F1381" s="20">
        <v>0.29517787367183823</v>
      </c>
      <c r="G1381" s="4" t="s">
        <v>131</v>
      </c>
      <c r="H1381" s="18"/>
    </row>
    <row r="1382" spans="1:8" x14ac:dyDescent="0.25">
      <c r="A1382" s="4">
        <v>1994</v>
      </c>
      <c r="B1382" s="18">
        <v>257</v>
      </c>
      <c r="C1382" s="13">
        <v>34591</v>
      </c>
      <c r="D1382" s="18">
        <v>90</v>
      </c>
      <c r="E1382" s="18">
        <v>1</v>
      </c>
      <c r="F1382" s="20">
        <v>0.24846396533788628</v>
      </c>
      <c r="G1382" s="4" t="s">
        <v>0</v>
      </c>
      <c r="H1382" s="18"/>
    </row>
    <row r="1383" spans="1:8" x14ac:dyDescent="0.25">
      <c r="A1383" s="4">
        <v>1994</v>
      </c>
      <c r="B1383" s="18">
        <v>257</v>
      </c>
      <c r="C1383" s="13">
        <v>34591</v>
      </c>
      <c r="D1383" s="18">
        <v>90</v>
      </c>
      <c r="E1383" s="18">
        <v>2</v>
      </c>
      <c r="F1383" s="20">
        <v>0.21721397148689775</v>
      </c>
      <c r="G1383" s="4" t="s">
        <v>0</v>
      </c>
      <c r="H1383" s="18"/>
    </row>
    <row r="1384" spans="1:8" x14ac:dyDescent="0.25">
      <c r="A1384" s="4">
        <v>1994</v>
      </c>
      <c r="B1384" s="18">
        <v>257</v>
      </c>
      <c r="C1384" s="13">
        <v>34591</v>
      </c>
      <c r="D1384" s="18">
        <v>90</v>
      </c>
      <c r="E1384" s="18">
        <v>3</v>
      </c>
      <c r="F1384" s="20">
        <v>0.27472040347041787</v>
      </c>
      <c r="G1384" s="4" t="s">
        <v>0</v>
      </c>
      <c r="H1384" s="18"/>
    </row>
    <row r="1385" spans="1:8" x14ac:dyDescent="0.25">
      <c r="A1385" s="4">
        <v>1994</v>
      </c>
      <c r="B1385" s="18">
        <v>257</v>
      </c>
      <c r="C1385" s="13">
        <v>34591</v>
      </c>
      <c r="D1385" s="18">
        <v>90</v>
      </c>
      <c r="E1385" s="18">
        <v>4</v>
      </c>
      <c r="F1385" s="20">
        <v>0.23499747314230562</v>
      </c>
      <c r="G1385" s="4" t="s">
        <v>0</v>
      </c>
      <c r="H1385" s="18"/>
    </row>
    <row r="1386" spans="1:8" x14ac:dyDescent="0.25">
      <c r="A1386" s="4">
        <v>1994</v>
      </c>
      <c r="B1386" s="18">
        <v>257</v>
      </c>
      <c r="C1386" s="13">
        <v>34591</v>
      </c>
      <c r="D1386" s="18">
        <v>90</v>
      </c>
      <c r="E1386" s="18">
        <v>5</v>
      </c>
      <c r="F1386" s="20">
        <v>0.21660185820528044</v>
      </c>
      <c r="G1386" s="4" t="s">
        <v>1</v>
      </c>
      <c r="H1386" s="18"/>
    </row>
    <row r="1387" spans="1:8" x14ac:dyDescent="0.25">
      <c r="A1387" s="4">
        <v>1994</v>
      </c>
      <c r="B1387" s="18">
        <v>257</v>
      </c>
      <c r="C1387" s="13">
        <v>34591</v>
      </c>
      <c r="D1387" s="18">
        <v>90</v>
      </c>
      <c r="E1387" s="18">
        <v>6</v>
      </c>
      <c r="F1387" s="20">
        <v>0.22149876445821887</v>
      </c>
      <c r="G1387" s="4" t="s">
        <v>1</v>
      </c>
      <c r="H1387" s="18"/>
    </row>
    <row r="1388" spans="1:8" x14ac:dyDescent="0.25">
      <c r="A1388" s="4">
        <v>1994</v>
      </c>
      <c r="B1388" s="18">
        <v>257</v>
      </c>
      <c r="C1388" s="13">
        <v>34591</v>
      </c>
      <c r="D1388" s="18">
        <v>90</v>
      </c>
      <c r="E1388" s="18">
        <v>7</v>
      </c>
      <c r="F1388" s="20">
        <v>0.26466885905649168</v>
      </c>
      <c r="G1388" s="4" t="s">
        <v>130</v>
      </c>
      <c r="H1388" s="18"/>
    </row>
    <row r="1389" spans="1:8" x14ac:dyDescent="0.25">
      <c r="A1389" s="4">
        <v>1994</v>
      </c>
      <c r="B1389" s="18">
        <v>257</v>
      </c>
      <c r="C1389" s="13">
        <v>34591</v>
      </c>
      <c r="D1389" s="18">
        <v>90</v>
      </c>
      <c r="E1389" s="18">
        <v>8</v>
      </c>
      <c r="F1389" s="20">
        <v>0.27581576407962777</v>
      </c>
      <c r="G1389" s="4" t="s">
        <v>130</v>
      </c>
      <c r="H1389" s="18"/>
    </row>
    <row r="1390" spans="1:8" x14ac:dyDescent="0.25">
      <c r="A1390" s="4">
        <v>1994</v>
      </c>
      <c r="B1390" s="18">
        <v>257</v>
      </c>
      <c r="C1390" s="13">
        <v>34591</v>
      </c>
      <c r="D1390" s="18">
        <v>90</v>
      </c>
      <c r="E1390" s="18">
        <v>9</v>
      </c>
      <c r="F1390" s="20">
        <v>0.25932092196446682</v>
      </c>
      <c r="G1390" s="4" t="s">
        <v>130</v>
      </c>
      <c r="H1390" s="18"/>
    </row>
    <row r="1391" spans="1:8" x14ac:dyDescent="0.25">
      <c r="A1391" s="4">
        <v>1994</v>
      </c>
      <c r="B1391" s="18">
        <v>257</v>
      </c>
      <c r="C1391" s="13">
        <v>34591</v>
      </c>
      <c r="D1391" s="18">
        <v>90</v>
      </c>
      <c r="E1391" s="18">
        <v>10</v>
      </c>
      <c r="F1391" s="20">
        <v>0.24292272931482439</v>
      </c>
      <c r="G1391" s="4" t="s">
        <v>130</v>
      </c>
      <c r="H1391" s="18"/>
    </row>
    <row r="1392" spans="1:8" x14ac:dyDescent="0.25">
      <c r="A1392" s="4">
        <v>1994</v>
      </c>
      <c r="B1392" s="18">
        <v>257</v>
      </c>
      <c r="C1392" s="13">
        <v>34591</v>
      </c>
      <c r="D1392" s="18">
        <v>90</v>
      </c>
      <c r="E1392" s="18">
        <v>11</v>
      </c>
      <c r="F1392" s="20">
        <v>0.24881834671145425</v>
      </c>
      <c r="G1392" s="4" t="s">
        <v>131</v>
      </c>
      <c r="H1392" s="18"/>
    </row>
    <row r="1393" spans="1:8" x14ac:dyDescent="0.25">
      <c r="A1393" s="4">
        <v>1994</v>
      </c>
      <c r="B1393" s="18">
        <v>257</v>
      </c>
      <c r="C1393" s="13">
        <v>34591</v>
      </c>
      <c r="D1393" s="18">
        <v>90</v>
      </c>
      <c r="E1393" s="18">
        <v>12</v>
      </c>
      <c r="F1393" s="20">
        <v>0.27536473324054139</v>
      </c>
      <c r="G1393" s="4" t="s">
        <v>131</v>
      </c>
      <c r="H1393" s="18"/>
    </row>
    <row r="1394" spans="1:8" x14ac:dyDescent="0.25">
      <c r="A1394" s="4">
        <v>1994</v>
      </c>
      <c r="B1394" s="18">
        <v>257</v>
      </c>
      <c r="C1394" s="13">
        <v>34591</v>
      </c>
      <c r="D1394" s="18">
        <v>70</v>
      </c>
      <c r="E1394" s="18">
        <v>1</v>
      </c>
      <c r="F1394" s="20">
        <v>0.24034541023433054</v>
      </c>
      <c r="G1394" s="4" t="s">
        <v>0</v>
      </c>
      <c r="H1394" s="18"/>
    </row>
    <row r="1395" spans="1:8" x14ac:dyDescent="0.25">
      <c r="A1395" s="4">
        <v>1994</v>
      </c>
      <c r="B1395" s="18">
        <v>257</v>
      </c>
      <c r="C1395" s="13">
        <v>34591</v>
      </c>
      <c r="D1395" s="18">
        <v>70</v>
      </c>
      <c r="E1395" s="18">
        <v>2</v>
      </c>
      <c r="F1395" s="20">
        <v>0.21992015652141639</v>
      </c>
      <c r="G1395" s="4" t="s">
        <v>0</v>
      </c>
      <c r="H1395" s="18"/>
    </row>
    <row r="1396" spans="1:8" x14ac:dyDescent="0.25">
      <c r="A1396" s="4">
        <v>1994</v>
      </c>
      <c r="B1396" s="18">
        <v>257</v>
      </c>
      <c r="C1396" s="13">
        <v>34591</v>
      </c>
      <c r="D1396" s="18">
        <v>70</v>
      </c>
      <c r="E1396" s="18">
        <v>3</v>
      </c>
      <c r="F1396" s="20">
        <v>0.26808380683814614</v>
      </c>
      <c r="G1396" s="4" t="s">
        <v>0</v>
      </c>
      <c r="H1396" s="18"/>
    </row>
    <row r="1397" spans="1:8" x14ac:dyDescent="0.25">
      <c r="A1397" s="4">
        <v>1994</v>
      </c>
      <c r="B1397" s="18">
        <v>257</v>
      </c>
      <c r="C1397" s="13">
        <v>34591</v>
      </c>
      <c r="D1397" s="18">
        <v>70</v>
      </c>
      <c r="E1397" s="18">
        <v>4</v>
      </c>
      <c r="F1397" s="20">
        <v>0.23167917482616973</v>
      </c>
      <c r="G1397" s="4" t="s">
        <v>0</v>
      </c>
      <c r="H1397" s="18"/>
    </row>
    <row r="1398" spans="1:8" x14ac:dyDescent="0.25">
      <c r="A1398" s="4">
        <v>1994</v>
      </c>
      <c r="B1398" s="18">
        <v>257</v>
      </c>
      <c r="C1398" s="13">
        <v>34591</v>
      </c>
      <c r="D1398" s="18">
        <v>70</v>
      </c>
      <c r="E1398" s="18">
        <v>5</v>
      </c>
      <c r="F1398" s="20">
        <v>0.22455933086630536</v>
      </c>
      <c r="G1398" s="4" t="s">
        <v>1</v>
      </c>
      <c r="H1398" s="18"/>
    </row>
    <row r="1399" spans="1:8" x14ac:dyDescent="0.25">
      <c r="A1399" s="4">
        <v>1994</v>
      </c>
      <c r="B1399" s="18">
        <v>257</v>
      </c>
      <c r="C1399" s="13">
        <v>34591</v>
      </c>
      <c r="D1399" s="18">
        <v>70</v>
      </c>
      <c r="E1399" s="18">
        <v>6</v>
      </c>
      <c r="F1399" s="20">
        <v>0.21321912691213218</v>
      </c>
      <c r="G1399" s="4" t="s">
        <v>1</v>
      </c>
      <c r="H1399" s="18"/>
    </row>
    <row r="1400" spans="1:8" x14ac:dyDescent="0.25">
      <c r="A1400" s="4">
        <v>1994</v>
      </c>
      <c r="B1400" s="18">
        <v>257</v>
      </c>
      <c r="C1400" s="13">
        <v>34591</v>
      </c>
      <c r="D1400" s="18">
        <v>70</v>
      </c>
      <c r="E1400" s="18">
        <v>7</v>
      </c>
      <c r="F1400" s="20">
        <v>0.25954643738401006</v>
      </c>
      <c r="G1400" s="4" t="s">
        <v>130</v>
      </c>
      <c r="H1400" s="18"/>
    </row>
    <row r="1401" spans="1:8" x14ac:dyDescent="0.25">
      <c r="A1401" s="4">
        <v>1994</v>
      </c>
      <c r="B1401" s="18">
        <v>257</v>
      </c>
      <c r="C1401" s="13">
        <v>34591</v>
      </c>
      <c r="D1401" s="18">
        <v>70</v>
      </c>
      <c r="E1401" s="18">
        <v>8</v>
      </c>
      <c r="F1401" s="20">
        <v>0.26808380683814614</v>
      </c>
      <c r="G1401" s="4" t="s">
        <v>130</v>
      </c>
      <c r="H1401" s="18"/>
    </row>
    <row r="1402" spans="1:8" x14ac:dyDescent="0.25">
      <c r="A1402" s="4">
        <v>1994</v>
      </c>
      <c r="B1402" s="18">
        <v>257</v>
      </c>
      <c r="C1402" s="13">
        <v>34591</v>
      </c>
      <c r="D1402" s="18">
        <v>70</v>
      </c>
      <c r="E1402" s="18">
        <v>9</v>
      </c>
      <c r="F1402" s="20">
        <v>0.24446912076312072</v>
      </c>
      <c r="G1402" s="4" t="s">
        <v>130</v>
      </c>
      <c r="H1402" s="18"/>
    </row>
    <row r="1403" spans="1:8" x14ac:dyDescent="0.25">
      <c r="A1403" s="4">
        <v>1994</v>
      </c>
      <c r="B1403" s="18">
        <v>257</v>
      </c>
      <c r="C1403" s="13">
        <v>34591</v>
      </c>
      <c r="D1403" s="18">
        <v>70</v>
      </c>
      <c r="E1403" s="18">
        <v>10</v>
      </c>
      <c r="F1403" s="20">
        <v>0.23312891680894759</v>
      </c>
      <c r="G1403" s="4" t="s">
        <v>130</v>
      </c>
      <c r="H1403" s="18"/>
    </row>
    <row r="1404" spans="1:8" x14ac:dyDescent="0.25">
      <c r="A1404" s="4">
        <v>1994</v>
      </c>
      <c r="B1404" s="18">
        <v>257</v>
      </c>
      <c r="C1404" s="13">
        <v>34591</v>
      </c>
      <c r="D1404" s="18">
        <v>70</v>
      </c>
      <c r="E1404" s="18">
        <v>11</v>
      </c>
      <c r="F1404" s="20">
        <v>0.23019721635488577</v>
      </c>
      <c r="G1404" s="4" t="s">
        <v>131</v>
      </c>
      <c r="H1404" s="18"/>
    </row>
    <row r="1405" spans="1:8" x14ac:dyDescent="0.25">
      <c r="A1405" s="4">
        <v>1994</v>
      </c>
      <c r="B1405" s="18">
        <v>257</v>
      </c>
      <c r="C1405" s="13">
        <v>34591</v>
      </c>
      <c r="D1405" s="18">
        <v>70</v>
      </c>
      <c r="E1405" s="18">
        <v>12</v>
      </c>
      <c r="F1405" s="20">
        <v>0.25716241723455319</v>
      </c>
      <c r="G1405" s="4" t="s">
        <v>131</v>
      </c>
      <c r="H1405" s="18"/>
    </row>
    <row r="1406" spans="1:8" x14ac:dyDescent="0.25">
      <c r="A1406" s="4">
        <v>1994</v>
      </c>
      <c r="B1406" s="18">
        <v>257</v>
      </c>
      <c r="C1406" s="13">
        <v>34591</v>
      </c>
      <c r="D1406" s="18">
        <v>50</v>
      </c>
      <c r="E1406" s="18">
        <v>1</v>
      </c>
      <c r="F1406" s="20">
        <v>0.24521009999876275</v>
      </c>
      <c r="G1406" s="4" t="s">
        <v>0</v>
      </c>
      <c r="H1406" s="18"/>
    </row>
    <row r="1407" spans="1:8" x14ac:dyDescent="0.25">
      <c r="A1407" s="4">
        <v>1994</v>
      </c>
      <c r="B1407" s="18">
        <v>257</v>
      </c>
      <c r="C1407" s="13">
        <v>34591</v>
      </c>
      <c r="D1407" s="18">
        <v>50</v>
      </c>
      <c r="E1407" s="18">
        <v>2</v>
      </c>
      <c r="F1407" s="20">
        <v>0.2345142258147131</v>
      </c>
      <c r="G1407" s="4" t="s">
        <v>0</v>
      </c>
      <c r="H1407" s="18"/>
    </row>
    <row r="1408" spans="1:8" x14ac:dyDescent="0.25">
      <c r="A1408" s="4">
        <v>1994</v>
      </c>
      <c r="B1408" s="18">
        <v>257</v>
      </c>
      <c r="C1408" s="13">
        <v>34591</v>
      </c>
      <c r="D1408" s="18">
        <v>50</v>
      </c>
      <c r="E1408" s="18">
        <v>3</v>
      </c>
      <c r="F1408" s="20">
        <v>0.25616370609086181</v>
      </c>
      <c r="G1408" s="4" t="s">
        <v>0</v>
      </c>
      <c r="H1408" s="18"/>
    </row>
    <row r="1409" spans="1:8" x14ac:dyDescent="0.25">
      <c r="A1409" s="4">
        <v>1994</v>
      </c>
      <c r="B1409" s="18">
        <v>257</v>
      </c>
      <c r="C1409" s="13">
        <v>34591</v>
      </c>
      <c r="D1409" s="18">
        <v>50</v>
      </c>
      <c r="E1409" s="18">
        <v>4</v>
      </c>
      <c r="F1409" s="20">
        <v>0.24885056319996035</v>
      </c>
      <c r="G1409" s="4" t="s">
        <v>0</v>
      </c>
      <c r="H1409" s="18"/>
    </row>
    <row r="1410" spans="1:8" x14ac:dyDescent="0.25">
      <c r="A1410" s="4">
        <v>1994</v>
      </c>
      <c r="B1410" s="18">
        <v>257</v>
      </c>
      <c r="C1410" s="13">
        <v>34591</v>
      </c>
      <c r="D1410" s="18">
        <v>50</v>
      </c>
      <c r="E1410" s="18">
        <v>5</v>
      </c>
      <c r="F1410" s="20">
        <v>0.26083509692425699</v>
      </c>
      <c r="G1410" s="4" t="s">
        <v>1</v>
      </c>
      <c r="H1410" s="18"/>
    </row>
    <row r="1411" spans="1:8" x14ac:dyDescent="0.25">
      <c r="A1411" s="4">
        <v>1994</v>
      </c>
      <c r="B1411" s="18">
        <v>257</v>
      </c>
      <c r="C1411" s="13">
        <v>34591</v>
      </c>
      <c r="D1411" s="18">
        <v>50</v>
      </c>
      <c r="E1411" s="18">
        <v>6</v>
      </c>
      <c r="F1411" s="20">
        <v>0.22523587712493504</v>
      </c>
      <c r="G1411" s="4" t="s">
        <v>1</v>
      </c>
      <c r="H1411" s="18"/>
    </row>
    <row r="1412" spans="1:8" x14ac:dyDescent="0.25">
      <c r="A1412" s="4">
        <v>1994</v>
      </c>
      <c r="B1412" s="18">
        <v>257</v>
      </c>
      <c r="C1412" s="13">
        <v>34591</v>
      </c>
      <c r="D1412" s="18">
        <v>50</v>
      </c>
      <c r="E1412" s="18">
        <v>7</v>
      </c>
      <c r="F1412" s="20">
        <v>0.26135056074035584</v>
      </c>
      <c r="G1412" s="4" t="s">
        <v>130</v>
      </c>
      <c r="H1412" s="18"/>
    </row>
    <row r="1413" spans="1:8" x14ac:dyDescent="0.25">
      <c r="A1413" s="4">
        <v>1994</v>
      </c>
      <c r="B1413" s="18">
        <v>257</v>
      </c>
      <c r="C1413" s="13">
        <v>34591</v>
      </c>
      <c r="D1413" s="18">
        <v>50</v>
      </c>
      <c r="E1413" s="18">
        <v>8</v>
      </c>
      <c r="F1413" s="20">
        <v>0.26428226119441761</v>
      </c>
      <c r="G1413" s="4" t="s">
        <v>130</v>
      </c>
      <c r="H1413" s="18"/>
    </row>
    <row r="1414" spans="1:8" x14ac:dyDescent="0.25">
      <c r="A1414" s="4">
        <v>1994</v>
      </c>
      <c r="B1414" s="18">
        <v>257</v>
      </c>
      <c r="C1414" s="13">
        <v>34591</v>
      </c>
      <c r="D1414" s="18">
        <v>50</v>
      </c>
      <c r="E1414" s="18">
        <v>9</v>
      </c>
      <c r="F1414" s="20">
        <v>0.2614472102058743</v>
      </c>
      <c r="G1414" s="4" t="s">
        <v>130</v>
      </c>
      <c r="H1414" s="18"/>
    </row>
    <row r="1415" spans="1:8" x14ac:dyDescent="0.25">
      <c r="A1415" s="4">
        <v>1994</v>
      </c>
      <c r="B1415" s="18">
        <v>257</v>
      </c>
      <c r="C1415" s="13">
        <v>34591</v>
      </c>
      <c r="D1415" s="18">
        <v>50</v>
      </c>
      <c r="E1415" s="18">
        <v>10</v>
      </c>
      <c r="F1415" s="20">
        <v>0.24279386336079972</v>
      </c>
      <c r="G1415" s="4" t="s">
        <v>130</v>
      </c>
      <c r="H1415" s="18"/>
    </row>
    <row r="1416" spans="1:8" x14ac:dyDescent="0.25">
      <c r="A1416" s="4">
        <v>1994</v>
      </c>
      <c r="B1416" s="18">
        <v>257</v>
      </c>
      <c r="C1416" s="13">
        <v>34591</v>
      </c>
      <c r="D1416" s="18">
        <v>50</v>
      </c>
      <c r="E1416" s="18">
        <v>11</v>
      </c>
      <c r="F1416" s="20">
        <v>0.24698200686660232</v>
      </c>
      <c r="G1416" s="4" t="s">
        <v>131</v>
      </c>
      <c r="H1416" s="18"/>
    </row>
    <row r="1417" spans="1:8" x14ac:dyDescent="0.25">
      <c r="A1417" s="4">
        <v>1994</v>
      </c>
      <c r="B1417" s="18">
        <v>257</v>
      </c>
      <c r="C1417" s="13">
        <v>34591</v>
      </c>
      <c r="D1417" s="18">
        <v>50</v>
      </c>
      <c r="E1417" s="18">
        <v>12</v>
      </c>
      <c r="F1417" s="20">
        <v>0.24524231648726891</v>
      </c>
      <c r="G1417" s="4" t="s">
        <v>131</v>
      </c>
      <c r="H1417" s="18"/>
    </row>
    <row r="1418" spans="1:8" x14ac:dyDescent="0.25">
      <c r="A1418" s="4">
        <v>1994</v>
      </c>
      <c r="B1418" s="18">
        <v>257</v>
      </c>
      <c r="C1418" s="13">
        <v>34591</v>
      </c>
      <c r="D1418" s="18">
        <v>30</v>
      </c>
      <c r="E1418" s="18">
        <v>1</v>
      </c>
      <c r="F1418" s="20">
        <v>0.27629901140722041</v>
      </c>
      <c r="G1418" s="4" t="s">
        <v>0</v>
      </c>
      <c r="H1418" s="18"/>
    </row>
    <row r="1419" spans="1:8" x14ac:dyDescent="0.25">
      <c r="A1419" s="4">
        <v>1994</v>
      </c>
      <c r="B1419" s="18">
        <v>257</v>
      </c>
      <c r="C1419" s="13">
        <v>34591</v>
      </c>
      <c r="D1419" s="18">
        <v>30</v>
      </c>
      <c r="E1419" s="18">
        <v>2</v>
      </c>
      <c r="F1419" s="20">
        <v>0.23306448383193523</v>
      </c>
      <c r="G1419" s="4" t="s">
        <v>0</v>
      </c>
      <c r="H1419" s="18"/>
    </row>
    <row r="1420" spans="1:8" x14ac:dyDescent="0.25">
      <c r="A1420" s="4">
        <v>1994</v>
      </c>
      <c r="B1420" s="18">
        <v>257</v>
      </c>
      <c r="C1420" s="13">
        <v>34591</v>
      </c>
      <c r="D1420" s="18">
        <v>30</v>
      </c>
      <c r="E1420" s="18">
        <v>3</v>
      </c>
      <c r="F1420" s="20">
        <v>0.22984283498131786</v>
      </c>
      <c r="G1420" s="4" t="s">
        <v>0</v>
      </c>
      <c r="H1420" s="18"/>
    </row>
    <row r="1421" spans="1:8" x14ac:dyDescent="0.25">
      <c r="A1421" s="4">
        <v>1994</v>
      </c>
      <c r="B1421" s="18">
        <v>257</v>
      </c>
      <c r="C1421" s="13">
        <v>34591</v>
      </c>
      <c r="D1421" s="18">
        <v>30</v>
      </c>
      <c r="E1421" s="18">
        <v>4</v>
      </c>
      <c r="F1421" s="20">
        <v>0.26830932225768933</v>
      </c>
      <c r="G1421" s="4" t="s">
        <v>0</v>
      </c>
      <c r="H1421" s="18"/>
    </row>
    <row r="1422" spans="1:8" x14ac:dyDescent="0.25">
      <c r="A1422" s="4">
        <v>1994</v>
      </c>
      <c r="B1422" s="18">
        <v>257</v>
      </c>
      <c r="C1422" s="13">
        <v>34591</v>
      </c>
      <c r="D1422" s="18">
        <v>30</v>
      </c>
      <c r="E1422" s="18">
        <v>5</v>
      </c>
      <c r="F1422" s="20">
        <v>0.31760054967213519</v>
      </c>
      <c r="G1422" s="4" t="s">
        <v>1</v>
      </c>
      <c r="H1422" s="18"/>
    </row>
    <row r="1423" spans="1:8" x14ac:dyDescent="0.25">
      <c r="A1423" s="4">
        <v>1994</v>
      </c>
      <c r="B1423" s="18">
        <v>257</v>
      </c>
      <c r="C1423" s="13">
        <v>34591</v>
      </c>
      <c r="D1423" s="18">
        <v>30</v>
      </c>
      <c r="E1423" s="18">
        <v>6</v>
      </c>
      <c r="F1423" s="20">
        <v>0.29714307947071483</v>
      </c>
      <c r="G1423" s="4" t="s">
        <v>1</v>
      </c>
      <c r="H1423" s="18"/>
    </row>
    <row r="1424" spans="1:8" x14ac:dyDescent="0.25">
      <c r="A1424" s="4">
        <v>1994</v>
      </c>
      <c r="B1424" s="18">
        <v>257</v>
      </c>
      <c r="C1424" s="13">
        <v>34591</v>
      </c>
      <c r="D1424" s="18">
        <v>30</v>
      </c>
      <c r="E1424" s="18">
        <v>7</v>
      </c>
      <c r="F1424" s="20">
        <v>0.26524875584960278</v>
      </c>
      <c r="G1424" s="4" t="s">
        <v>130</v>
      </c>
      <c r="H1424" s="18"/>
    </row>
    <row r="1425" spans="1:8" x14ac:dyDescent="0.25">
      <c r="A1425" s="4">
        <v>1994</v>
      </c>
      <c r="B1425" s="18">
        <v>257</v>
      </c>
      <c r="C1425" s="13">
        <v>34591</v>
      </c>
      <c r="D1425" s="18">
        <v>30</v>
      </c>
      <c r="E1425" s="18">
        <v>8</v>
      </c>
      <c r="F1425" s="20">
        <v>0.26950133233241774</v>
      </c>
      <c r="G1425" s="4" t="s">
        <v>130</v>
      </c>
      <c r="H1425" s="18"/>
    </row>
    <row r="1426" spans="1:8" x14ac:dyDescent="0.25">
      <c r="A1426" s="4">
        <v>1994</v>
      </c>
      <c r="B1426" s="18">
        <v>257</v>
      </c>
      <c r="C1426" s="13">
        <v>34591</v>
      </c>
      <c r="D1426" s="18">
        <v>30</v>
      </c>
      <c r="E1426" s="18">
        <v>9</v>
      </c>
      <c r="F1426" s="20">
        <v>0.300880192137431</v>
      </c>
      <c r="G1426" s="4" t="s">
        <v>130</v>
      </c>
      <c r="H1426" s="18"/>
    </row>
    <row r="1427" spans="1:8" x14ac:dyDescent="0.25">
      <c r="A1427" s="4">
        <v>1994</v>
      </c>
      <c r="B1427" s="18">
        <v>257</v>
      </c>
      <c r="C1427" s="13">
        <v>34591</v>
      </c>
      <c r="D1427" s="18">
        <v>30</v>
      </c>
      <c r="E1427" s="18">
        <v>10</v>
      </c>
      <c r="F1427" s="20">
        <v>0.24578999679187385</v>
      </c>
      <c r="G1427" s="4" t="s">
        <v>130</v>
      </c>
      <c r="H1427" s="18"/>
    </row>
    <row r="1428" spans="1:8" x14ac:dyDescent="0.25">
      <c r="A1428" s="4">
        <v>1994</v>
      </c>
      <c r="B1428" s="18">
        <v>257</v>
      </c>
      <c r="C1428" s="13">
        <v>34591</v>
      </c>
      <c r="D1428" s="18">
        <v>30</v>
      </c>
      <c r="E1428" s="18">
        <v>11</v>
      </c>
      <c r="F1428" s="20">
        <v>0.25700133479202236</v>
      </c>
      <c r="G1428" s="4" t="s">
        <v>131</v>
      </c>
      <c r="H1428" s="18"/>
    </row>
    <row r="1429" spans="1:8" x14ac:dyDescent="0.25">
      <c r="A1429" s="4">
        <v>1994</v>
      </c>
      <c r="B1429" s="18">
        <v>257</v>
      </c>
      <c r="C1429" s="13">
        <v>34591</v>
      </c>
      <c r="D1429" s="18">
        <v>30</v>
      </c>
      <c r="E1429" s="18">
        <v>12</v>
      </c>
      <c r="F1429" s="20">
        <v>0.2700812291255289</v>
      </c>
      <c r="G1429" s="4" t="s">
        <v>131</v>
      </c>
      <c r="H1429" s="18"/>
    </row>
    <row r="1430" spans="1:8" x14ac:dyDescent="0.25">
      <c r="A1430" s="4">
        <v>1994</v>
      </c>
      <c r="B1430" s="18">
        <v>257</v>
      </c>
      <c r="C1430" s="13">
        <v>34591</v>
      </c>
      <c r="D1430" s="18">
        <v>10</v>
      </c>
      <c r="E1430" s="18">
        <v>1</v>
      </c>
      <c r="F1430" s="20">
        <v>0.30620833041867712</v>
      </c>
      <c r="G1430" s="4" t="s">
        <v>0</v>
      </c>
      <c r="H1430" s="18"/>
    </row>
    <row r="1431" spans="1:8" x14ac:dyDescent="0.25">
      <c r="A1431" s="4">
        <v>1994</v>
      </c>
      <c r="B1431" s="18">
        <v>257</v>
      </c>
      <c r="C1431" s="13">
        <v>34591</v>
      </c>
      <c r="D1431" s="18">
        <v>10</v>
      </c>
      <c r="E1431" s="18">
        <v>2</v>
      </c>
      <c r="F1431" s="20">
        <v>0.296458347848712</v>
      </c>
      <c r="G1431" s="4" t="s">
        <v>0</v>
      </c>
      <c r="H1431" s="18"/>
    </row>
    <row r="1432" spans="1:8" x14ac:dyDescent="0.25">
      <c r="A1432" s="4">
        <v>1994</v>
      </c>
      <c r="B1432" s="18">
        <v>257</v>
      </c>
      <c r="C1432" s="13">
        <v>34591</v>
      </c>
      <c r="D1432" s="18">
        <v>10</v>
      </c>
      <c r="E1432" s="18">
        <v>3</v>
      </c>
      <c r="F1432" s="20">
        <v>0.27467587233835644</v>
      </c>
      <c r="G1432" s="4" t="s">
        <v>0</v>
      </c>
      <c r="H1432" s="18"/>
    </row>
    <row r="1433" spans="1:8" x14ac:dyDescent="0.25">
      <c r="A1433" s="4">
        <v>1994</v>
      </c>
      <c r="B1433" s="18">
        <v>257</v>
      </c>
      <c r="C1433" s="13">
        <v>34591</v>
      </c>
      <c r="D1433" s="18">
        <v>10</v>
      </c>
      <c r="E1433" s="18">
        <v>4</v>
      </c>
      <c r="F1433" s="20">
        <v>0.32618734094499291</v>
      </c>
      <c r="G1433" s="4" t="s">
        <v>0</v>
      </c>
      <c r="H1433" s="18"/>
    </row>
    <row r="1434" spans="1:8" x14ac:dyDescent="0.25">
      <c r="A1434" s="4">
        <v>1994</v>
      </c>
      <c r="B1434" s="18">
        <v>257</v>
      </c>
      <c r="C1434" s="13">
        <v>34591</v>
      </c>
      <c r="D1434" s="18">
        <v>10</v>
      </c>
      <c r="E1434" s="18">
        <v>5</v>
      </c>
      <c r="F1434" s="20">
        <v>0.34281303376660971</v>
      </c>
      <c r="G1434" s="4" t="s">
        <v>1</v>
      </c>
      <c r="H1434" s="18"/>
    </row>
    <row r="1435" spans="1:8" x14ac:dyDescent="0.25">
      <c r="A1435" s="4">
        <v>1994</v>
      </c>
      <c r="B1435" s="18">
        <v>257</v>
      </c>
      <c r="C1435" s="13">
        <v>34591</v>
      </c>
      <c r="D1435" s="18">
        <v>10</v>
      </c>
      <c r="E1435" s="18">
        <v>6</v>
      </c>
      <c r="F1435" s="20">
        <v>0.31798721109568701</v>
      </c>
      <c r="G1435" s="4" t="s">
        <v>1</v>
      </c>
      <c r="H1435" s="18"/>
    </row>
    <row r="1436" spans="1:8" x14ac:dyDescent="0.25">
      <c r="A1436" s="4">
        <v>1994</v>
      </c>
      <c r="B1436" s="18">
        <v>257</v>
      </c>
      <c r="C1436" s="13">
        <v>34591</v>
      </c>
      <c r="D1436" s="18">
        <v>10</v>
      </c>
      <c r="E1436" s="18">
        <v>7</v>
      </c>
      <c r="F1436" s="20">
        <v>0.30043160664167468</v>
      </c>
      <c r="G1436" s="4" t="s">
        <v>130</v>
      </c>
      <c r="H1436" s="18"/>
    </row>
    <row r="1437" spans="1:8" x14ac:dyDescent="0.25">
      <c r="A1437" s="4">
        <v>1994</v>
      </c>
      <c r="B1437" s="18">
        <v>257</v>
      </c>
      <c r="C1437" s="13">
        <v>34591</v>
      </c>
      <c r="D1437" s="18">
        <v>10</v>
      </c>
      <c r="E1437" s="18">
        <v>8</v>
      </c>
      <c r="F1437" s="20">
        <v>0.31545108846188108</v>
      </c>
      <c r="G1437" s="4" t="s">
        <v>130</v>
      </c>
      <c r="H1437" s="18"/>
    </row>
    <row r="1438" spans="1:8" x14ac:dyDescent="0.25">
      <c r="A1438" s="4">
        <v>1994</v>
      </c>
      <c r="B1438" s="18">
        <v>257</v>
      </c>
      <c r="C1438" s="13">
        <v>34591</v>
      </c>
      <c r="D1438" s="18">
        <v>10</v>
      </c>
      <c r="E1438" s="18">
        <v>9</v>
      </c>
      <c r="F1438" s="20">
        <v>0.31232320388018703</v>
      </c>
      <c r="G1438" s="4" t="s">
        <v>130</v>
      </c>
      <c r="H1438" s="18"/>
    </row>
    <row r="1439" spans="1:8" x14ac:dyDescent="0.25">
      <c r="A1439" s="4">
        <v>1994</v>
      </c>
      <c r="B1439" s="18">
        <v>257</v>
      </c>
      <c r="C1439" s="13">
        <v>34591</v>
      </c>
      <c r="D1439" s="18">
        <v>10</v>
      </c>
      <c r="E1439" s="18">
        <v>10</v>
      </c>
      <c r="F1439" s="20">
        <v>0.30350313294261744</v>
      </c>
      <c r="G1439" s="4" t="s">
        <v>130</v>
      </c>
      <c r="H1439" s="18"/>
    </row>
    <row r="1440" spans="1:8" x14ac:dyDescent="0.25">
      <c r="A1440" s="4">
        <v>1994</v>
      </c>
      <c r="B1440" s="18">
        <v>257</v>
      </c>
      <c r="C1440" s="13">
        <v>34591</v>
      </c>
      <c r="D1440" s="18">
        <v>10</v>
      </c>
      <c r="E1440" s="18">
        <v>11</v>
      </c>
      <c r="F1440" s="20">
        <v>0.33055510770321428</v>
      </c>
      <c r="G1440" s="4" t="s">
        <v>131</v>
      </c>
      <c r="H1440" s="18"/>
    </row>
    <row r="1441" spans="1:8" x14ac:dyDescent="0.25">
      <c r="A1441" s="4">
        <v>1994</v>
      </c>
      <c r="B1441" s="18">
        <v>257</v>
      </c>
      <c r="C1441" s="13">
        <v>34591</v>
      </c>
      <c r="D1441" s="18">
        <v>10</v>
      </c>
      <c r="E1441" s="18">
        <v>12</v>
      </c>
      <c r="F1441" s="20">
        <v>0.33509194930368935</v>
      </c>
      <c r="G1441" s="4" t="s">
        <v>131</v>
      </c>
      <c r="H1441" s="18"/>
    </row>
    <row r="1442" spans="1:8" x14ac:dyDescent="0.25">
      <c r="B1442" s="18"/>
      <c r="C1442" s="13"/>
      <c r="D1442" s="18"/>
      <c r="E1442" s="18"/>
      <c r="F1442" s="20"/>
      <c r="H1442" s="18"/>
    </row>
    <row r="1443" spans="1:8" x14ac:dyDescent="0.25">
      <c r="B1443" s="18"/>
      <c r="C1443" s="13"/>
      <c r="D1443" s="18"/>
      <c r="E1443" s="18"/>
      <c r="F1443" s="20"/>
      <c r="H1443" s="18"/>
    </row>
    <row r="1444" spans="1:8" x14ac:dyDescent="0.25">
      <c r="B1444" s="18"/>
      <c r="C1444" s="13"/>
      <c r="D1444" s="18"/>
      <c r="E1444" s="18"/>
      <c r="F1444" s="20"/>
      <c r="H1444" s="18"/>
    </row>
    <row r="1445" spans="1:8" x14ac:dyDescent="0.25">
      <c r="B1445" s="18"/>
      <c r="C1445" s="13"/>
      <c r="D1445" s="18"/>
      <c r="E1445" s="18"/>
      <c r="F1445" s="20"/>
      <c r="H1445" s="18"/>
    </row>
    <row r="1446" spans="1:8" x14ac:dyDescent="0.25">
      <c r="B1446" s="18"/>
      <c r="C1446" s="13"/>
      <c r="D1446" s="18"/>
      <c r="E1446" s="18"/>
      <c r="F1446" s="20"/>
      <c r="H1446" s="18"/>
    </row>
    <row r="1447" spans="1:8" x14ac:dyDescent="0.25">
      <c r="B1447" s="18"/>
      <c r="C1447" s="13"/>
      <c r="D1447" s="18"/>
      <c r="E1447" s="18"/>
      <c r="F1447" s="20"/>
      <c r="H1447" s="18"/>
    </row>
    <row r="1448" spans="1:8" x14ac:dyDescent="0.25">
      <c r="B1448" s="18"/>
      <c r="C1448" s="13"/>
      <c r="D1448" s="18"/>
      <c r="E1448" s="18"/>
      <c r="F1448" s="20"/>
      <c r="H1448" s="18"/>
    </row>
    <row r="1449" spans="1:8" x14ac:dyDescent="0.25">
      <c r="B1449" s="18"/>
      <c r="C1449" s="13"/>
      <c r="D1449" s="18"/>
      <c r="E1449" s="18"/>
      <c r="F1449" s="20"/>
      <c r="H1449" s="18"/>
    </row>
    <row r="1450" spans="1:8" x14ac:dyDescent="0.25">
      <c r="B1450" s="18"/>
      <c r="C1450" s="13"/>
      <c r="D1450" s="18"/>
      <c r="E1450" s="18"/>
      <c r="F1450" s="20"/>
      <c r="H1450" s="18"/>
    </row>
    <row r="1451" spans="1:8" x14ac:dyDescent="0.25">
      <c r="B1451" s="18"/>
      <c r="C1451" s="13"/>
      <c r="D1451" s="18"/>
      <c r="E1451" s="18"/>
      <c r="F1451" s="20"/>
      <c r="H1451" s="18"/>
    </row>
    <row r="1452" spans="1:8" x14ac:dyDescent="0.25">
      <c r="B1452" s="18"/>
      <c r="C1452" s="13"/>
      <c r="D1452" s="18"/>
      <c r="E1452" s="18"/>
      <c r="F1452" s="20"/>
      <c r="H1452" s="18"/>
    </row>
    <row r="1453" spans="1:8" x14ac:dyDescent="0.25">
      <c r="B1453" s="18"/>
      <c r="C1453" s="13"/>
      <c r="D1453" s="18"/>
      <c r="E1453" s="18"/>
      <c r="F1453" s="20"/>
      <c r="H1453" s="18"/>
    </row>
    <row r="1454" spans="1:8" x14ac:dyDescent="0.25">
      <c r="B1454" s="18"/>
      <c r="C1454" s="13"/>
      <c r="D1454" s="18"/>
      <c r="E1454" s="18"/>
      <c r="F1454" s="20"/>
      <c r="H1454" s="18"/>
    </row>
    <row r="1455" spans="1:8" x14ac:dyDescent="0.25">
      <c r="B1455" s="18"/>
      <c r="C1455" s="13"/>
      <c r="D1455" s="18"/>
      <c r="E1455" s="18"/>
      <c r="F1455" s="20"/>
      <c r="H1455" s="18"/>
    </row>
    <row r="1456" spans="1:8" x14ac:dyDescent="0.25">
      <c r="B1456" s="18"/>
      <c r="C1456" s="13"/>
      <c r="D1456" s="18"/>
      <c r="E1456" s="18"/>
      <c r="F1456" s="20"/>
      <c r="H1456" s="18"/>
    </row>
    <row r="1457" spans="2:8" x14ac:dyDescent="0.25">
      <c r="B1457" s="18"/>
      <c r="C1457" s="13"/>
      <c r="D1457" s="18"/>
      <c r="E1457" s="18"/>
      <c r="F1457" s="20"/>
      <c r="H1457" s="18"/>
    </row>
    <row r="1458" spans="2:8" x14ac:dyDescent="0.25">
      <c r="B1458" s="18"/>
      <c r="C1458" s="13"/>
      <c r="D1458" s="18"/>
      <c r="E1458" s="18"/>
      <c r="F1458" s="20"/>
      <c r="H1458" s="18"/>
    </row>
    <row r="1459" spans="2:8" x14ac:dyDescent="0.25">
      <c r="B1459" s="18"/>
      <c r="C1459" s="13"/>
      <c r="D1459" s="18"/>
      <c r="E1459" s="18"/>
      <c r="F1459" s="20"/>
      <c r="H1459" s="18"/>
    </row>
    <row r="1460" spans="2:8" x14ac:dyDescent="0.25">
      <c r="B1460" s="18"/>
      <c r="C1460" s="13"/>
      <c r="D1460" s="18"/>
      <c r="E1460" s="18"/>
      <c r="F1460" s="20"/>
      <c r="H1460" s="18"/>
    </row>
    <row r="1461" spans="2:8" x14ac:dyDescent="0.25">
      <c r="B1461" s="18"/>
      <c r="C1461" s="13"/>
      <c r="D1461" s="18"/>
      <c r="E1461" s="18"/>
      <c r="F1461" s="20"/>
      <c r="H1461" s="18"/>
    </row>
    <row r="1462" spans="2:8" x14ac:dyDescent="0.25">
      <c r="B1462" s="18"/>
      <c r="C1462" s="13"/>
      <c r="D1462" s="18"/>
      <c r="E1462" s="18"/>
      <c r="F1462" s="20"/>
      <c r="H1462" s="18"/>
    </row>
    <row r="1463" spans="2:8" x14ac:dyDescent="0.25">
      <c r="B1463" s="18"/>
      <c r="C1463" s="13"/>
      <c r="D1463" s="18"/>
      <c r="E1463" s="18"/>
      <c r="F1463" s="20"/>
      <c r="H1463" s="18"/>
    </row>
    <row r="1464" spans="2:8" x14ac:dyDescent="0.25">
      <c r="B1464" s="18"/>
      <c r="C1464" s="13"/>
      <c r="D1464" s="18"/>
      <c r="E1464" s="18"/>
      <c r="F1464" s="20"/>
      <c r="H1464" s="18"/>
    </row>
    <row r="1465" spans="2:8" x14ac:dyDescent="0.25">
      <c r="B1465" s="18"/>
      <c r="C1465" s="13"/>
      <c r="D1465" s="18"/>
      <c r="E1465" s="18"/>
      <c r="F1465" s="20"/>
      <c r="H1465" s="18"/>
    </row>
    <row r="1466" spans="2:8" x14ac:dyDescent="0.25">
      <c r="B1466" s="18"/>
      <c r="C1466" s="13"/>
      <c r="D1466" s="18"/>
      <c r="E1466" s="18"/>
      <c r="F1466" s="20"/>
      <c r="H1466" s="18"/>
    </row>
    <row r="1467" spans="2:8" x14ac:dyDescent="0.25">
      <c r="B1467" s="18"/>
      <c r="C1467" s="13"/>
      <c r="D1467" s="18"/>
      <c r="E1467" s="18"/>
      <c r="F1467" s="20"/>
      <c r="H1467" s="18"/>
    </row>
    <row r="1468" spans="2:8" x14ac:dyDescent="0.25">
      <c r="B1468" s="18"/>
      <c r="C1468" s="13"/>
      <c r="D1468" s="18"/>
      <c r="E1468" s="18"/>
      <c r="F1468" s="20"/>
      <c r="H1468" s="18"/>
    </row>
    <row r="1469" spans="2:8" x14ac:dyDescent="0.25">
      <c r="B1469" s="18"/>
      <c r="C1469" s="13"/>
      <c r="D1469" s="18"/>
      <c r="E1469" s="18"/>
      <c r="F1469" s="20"/>
      <c r="H1469" s="18"/>
    </row>
    <row r="1470" spans="2:8" x14ac:dyDescent="0.25">
      <c r="B1470" s="18"/>
      <c r="C1470" s="13"/>
      <c r="D1470" s="18"/>
      <c r="E1470" s="18"/>
      <c r="F1470" s="20"/>
      <c r="H1470" s="18"/>
    </row>
    <row r="1471" spans="2:8" x14ac:dyDescent="0.25">
      <c r="B1471" s="18"/>
      <c r="C1471" s="13"/>
      <c r="D1471" s="18"/>
      <c r="E1471" s="18"/>
      <c r="F1471" s="20"/>
      <c r="H1471" s="18"/>
    </row>
    <row r="1472" spans="2:8" x14ac:dyDescent="0.25">
      <c r="B1472" s="18"/>
      <c r="C1472" s="13"/>
      <c r="D1472" s="18"/>
      <c r="E1472" s="18"/>
      <c r="F1472" s="20"/>
      <c r="H1472" s="18"/>
    </row>
    <row r="1473" spans="2:8" x14ac:dyDescent="0.25">
      <c r="B1473" s="18"/>
      <c r="C1473" s="13"/>
      <c r="D1473" s="18"/>
      <c r="E1473" s="18"/>
      <c r="F1473" s="20"/>
      <c r="H1473" s="18"/>
    </row>
    <row r="1474" spans="2:8" x14ac:dyDescent="0.25">
      <c r="B1474" s="18"/>
      <c r="C1474" s="13"/>
      <c r="D1474" s="18"/>
      <c r="E1474" s="18"/>
      <c r="F1474" s="20"/>
      <c r="H1474" s="18"/>
    </row>
    <row r="1475" spans="2:8" x14ac:dyDescent="0.25">
      <c r="B1475" s="18"/>
      <c r="C1475" s="13"/>
      <c r="D1475" s="18"/>
      <c r="E1475" s="18"/>
      <c r="F1475" s="20"/>
      <c r="H1475" s="18"/>
    </row>
    <row r="1476" spans="2:8" x14ac:dyDescent="0.25">
      <c r="B1476" s="18"/>
      <c r="C1476" s="13"/>
      <c r="D1476" s="18"/>
      <c r="E1476" s="18"/>
      <c r="F1476" s="20"/>
      <c r="H1476" s="18"/>
    </row>
    <row r="1477" spans="2:8" x14ac:dyDescent="0.25">
      <c r="B1477" s="18"/>
      <c r="C1477" s="13"/>
      <c r="D1477" s="18"/>
      <c r="E1477" s="18"/>
      <c r="F1477" s="20"/>
      <c r="H1477" s="18"/>
    </row>
    <row r="1478" spans="2:8" x14ac:dyDescent="0.25">
      <c r="B1478" s="18"/>
      <c r="C1478" s="13"/>
      <c r="D1478" s="18"/>
      <c r="E1478" s="18"/>
      <c r="F1478" s="20"/>
      <c r="H1478" s="18"/>
    </row>
    <row r="1479" spans="2:8" x14ac:dyDescent="0.25">
      <c r="B1479" s="18"/>
      <c r="C1479" s="13"/>
      <c r="D1479" s="18"/>
      <c r="E1479" s="18"/>
      <c r="F1479" s="20"/>
      <c r="H1479" s="18"/>
    </row>
    <row r="1480" spans="2:8" x14ac:dyDescent="0.25">
      <c r="B1480" s="18"/>
      <c r="C1480" s="13"/>
      <c r="D1480" s="18"/>
      <c r="E1480" s="18"/>
      <c r="F1480" s="20"/>
      <c r="H1480" s="18"/>
    </row>
    <row r="1481" spans="2:8" x14ac:dyDescent="0.25">
      <c r="B1481" s="18"/>
      <c r="C1481" s="13"/>
      <c r="D1481" s="18"/>
      <c r="E1481" s="18"/>
      <c r="F1481" s="20"/>
      <c r="H1481" s="18"/>
    </row>
    <row r="1482" spans="2:8" x14ac:dyDescent="0.25">
      <c r="B1482" s="18"/>
      <c r="C1482" s="13"/>
      <c r="D1482" s="18"/>
      <c r="E1482" s="18"/>
      <c r="F1482" s="20"/>
      <c r="H1482" s="18"/>
    </row>
    <row r="1483" spans="2:8" x14ac:dyDescent="0.25">
      <c r="B1483" s="18"/>
      <c r="C1483" s="13"/>
      <c r="D1483" s="18"/>
      <c r="E1483" s="18"/>
      <c r="F1483" s="20"/>
      <c r="H1483" s="18"/>
    </row>
    <row r="1484" spans="2:8" x14ac:dyDescent="0.25">
      <c r="B1484" s="18"/>
      <c r="C1484" s="13"/>
      <c r="D1484" s="18"/>
      <c r="E1484" s="18"/>
      <c r="F1484" s="20"/>
      <c r="H1484" s="18"/>
    </row>
    <row r="1485" spans="2:8" x14ac:dyDescent="0.25">
      <c r="B1485" s="18"/>
      <c r="C1485" s="13"/>
      <c r="D1485" s="18"/>
      <c r="E1485" s="18"/>
      <c r="F1485" s="20"/>
      <c r="H1485" s="18"/>
    </row>
    <row r="1486" spans="2:8" x14ac:dyDescent="0.25">
      <c r="B1486" s="18"/>
      <c r="C1486" s="13"/>
      <c r="D1486" s="18"/>
      <c r="E1486" s="18"/>
      <c r="F1486" s="20"/>
      <c r="H1486" s="18"/>
    </row>
    <row r="1487" spans="2:8" x14ac:dyDescent="0.25">
      <c r="B1487" s="18"/>
      <c r="C1487" s="13"/>
      <c r="D1487" s="18"/>
      <c r="E1487" s="18"/>
      <c r="F1487" s="20"/>
      <c r="H1487" s="18"/>
    </row>
    <row r="1488" spans="2:8" x14ac:dyDescent="0.25">
      <c r="B1488" s="18"/>
      <c r="C1488" s="13"/>
      <c r="D1488" s="18"/>
      <c r="E1488" s="18"/>
      <c r="F1488" s="20"/>
      <c r="H1488" s="18"/>
    </row>
    <row r="1489" spans="2:8" x14ac:dyDescent="0.25">
      <c r="B1489" s="18"/>
      <c r="C1489" s="13"/>
      <c r="D1489" s="18"/>
      <c r="E1489" s="18"/>
      <c r="F1489" s="20"/>
      <c r="H1489" s="18"/>
    </row>
    <row r="1490" spans="2:8" x14ac:dyDescent="0.25">
      <c r="B1490" s="18"/>
      <c r="C1490" s="13"/>
      <c r="D1490" s="18"/>
      <c r="E1490" s="18"/>
      <c r="F1490" s="20"/>
      <c r="H1490" s="18"/>
    </row>
    <row r="1491" spans="2:8" x14ac:dyDescent="0.25">
      <c r="B1491" s="18"/>
      <c r="C1491" s="13"/>
      <c r="D1491" s="18"/>
      <c r="E1491" s="18"/>
      <c r="F1491" s="20"/>
      <c r="H1491" s="18"/>
    </row>
    <row r="1492" spans="2:8" x14ac:dyDescent="0.25">
      <c r="B1492" s="18"/>
      <c r="C1492" s="13"/>
      <c r="D1492" s="18"/>
      <c r="E1492" s="18"/>
      <c r="F1492" s="20"/>
      <c r="H1492" s="18"/>
    </row>
    <row r="1493" spans="2:8" x14ac:dyDescent="0.25">
      <c r="B1493" s="18"/>
      <c r="C1493" s="13"/>
      <c r="D1493" s="18"/>
      <c r="E1493" s="18"/>
      <c r="F1493" s="20"/>
      <c r="H1493" s="18"/>
    </row>
    <row r="1494" spans="2:8" x14ac:dyDescent="0.25">
      <c r="B1494" s="18"/>
      <c r="C1494" s="13"/>
      <c r="D1494" s="18"/>
      <c r="E1494" s="18"/>
      <c r="F1494" s="20"/>
      <c r="H1494" s="18"/>
    </row>
    <row r="1495" spans="2:8" x14ac:dyDescent="0.25">
      <c r="B1495" s="18"/>
      <c r="C1495" s="13"/>
      <c r="D1495" s="18"/>
      <c r="E1495" s="18"/>
      <c r="F1495" s="20"/>
      <c r="H1495" s="18"/>
    </row>
    <row r="1496" spans="2:8" x14ac:dyDescent="0.25">
      <c r="B1496" s="18"/>
      <c r="C1496" s="13"/>
      <c r="D1496" s="18"/>
      <c r="E1496" s="18"/>
      <c r="F1496" s="20"/>
      <c r="H1496" s="18"/>
    </row>
    <row r="1497" spans="2:8" x14ac:dyDescent="0.25">
      <c r="B1497" s="18"/>
      <c r="C1497" s="13"/>
      <c r="D1497" s="18"/>
      <c r="E1497" s="18"/>
      <c r="F1497" s="20"/>
      <c r="H1497" s="18"/>
    </row>
    <row r="1498" spans="2:8" x14ac:dyDescent="0.25">
      <c r="B1498" s="18"/>
      <c r="C1498" s="13"/>
      <c r="D1498" s="18"/>
      <c r="E1498" s="18"/>
      <c r="F1498" s="20"/>
      <c r="H1498" s="18"/>
    </row>
    <row r="1499" spans="2:8" x14ac:dyDescent="0.25">
      <c r="B1499" s="18"/>
      <c r="C1499" s="13"/>
      <c r="D1499" s="18"/>
      <c r="E1499" s="18"/>
      <c r="F1499" s="20"/>
      <c r="H1499" s="18"/>
    </row>
    <row r="1500" spans="2:8" x14ac:dyDescent="0.25">
      <c r="B1500" s="18"/>
      <c r="C1500" s="13"/>
      <c r="D1500" s="18"/>
      <c r="E1500" s="18"/>
      <c r="F1500" s="20"/>
      <c r="H1500" s="18"/>
    </row>
    <row r="1501" spans="2:8" x14ac:dyDescent="0.25">
      <c r="B1501" s="18"/>
      <c r="C1501" s="13"/>
      <c r="D1501" s="18"/>
      <c r="E1501" s="18"/>
      <c r="F1501" s="20"/>
      <c r="H1501" s="18"/>
    </row>
    <row r="1502" spans="2:8" x14ac:dyDescent="0.25">
      <c r="B1502" s="18"/>
      <c r="C1502" s="13"/>
      <c r="D1502" s="18"/>
      <c r="E1502" s="18"/>
      <c r="F1502" s="20"/>
      <c r="H1502" s="18"/>
    </row>
    <row r="1503" spans="2:8" x14ac:dyDescent="0.25">
      <c r="B1503" s="18"/>
      <c r="C1503" s="13"/>
      <c r="D1503" s="18"/>
      <c r="E1503" s="18"/>
      <c r="F1503" s="20"/>
      <c r="H1503" s="18"/>
    </row>
    <row r="1504" spans="2:8" x14ac:dyDescent="0.25">
      <c r="B1504" s="18"/>
      <c r="C1504" s="13"/>
      <c r="D1504" s="18"/>
      <c r="E1504" s="18"/>
      <c r="F1504" s="20"/>
      <c r="H1504" s="18"/>
    </row>
    <row r="1505" spans="2:8" x14ac:dyDescent="0.25">
      <c r="B1505" s="18"/>
      <c r="C1505" s="13"/>
      <c r="D1505" s="18"/>
      <c r="E1505" s="18"/>
      <c r="F1505" s="20"/>
      <c r="H1505" s="18"/>
    </row>
    <row r="1506" spans="2:8" x14ac:dyDescent="0.25">
      <c r="B1506" s="18"/>
      <c r="C1506" s="13"/>
      <c r="D1506" s="18"/>
      <c r="E1506" s="18"/>
      <c r="F1506" s="20"/>
      <c r="H1506" s="18"/>
    </row>
    <row r="1507" spans="2:8" x14ac:dyDescent="0.25">
      <c r="B1507" s="18"/>
      <c r="C1507" s="13"/>
      <c r="D1507" s="18"/>
      <c r="E1507" s="18"/>
      <c r="F1507" s="20"/>
      <c r="H1507" s="18"/>
    </row>
    <row r="1508" spans="2:8" x14ac:dyDescent="0.25">
      <c r="B1508" s="18"/>
      <c r="C1508" s="13"/>
      <c r="D1508" s="18"/>
      <c r="E1508" s="18"/>
      <c r="F1508" s="20"/>
      <c r="H1508" s="18"/>
    </row>
    <row r="1509" spans="2:8" x14ac:dyDescent="0.25">
      <c r="B1509" s="18"/>
      <c r="C1509" s="13"/>
      <c r="D1509" s="18"/>
      <c r="E1509" s="18"/>
      <c r="F1509" s="20"/>
      <c r="H1509" s="18"/>
    </row>
    <row r="1510" spans="2:8" x14ac:dyDescent="0.25">
      <c r="B1510" s="18"/>
      <c r="C1510" s="13"/>
      <c r="D1510" s="18"/>
      <c r="E1510" s="18"/>
      <c r="F1510" s="20"/>
      <c r="H1510" s="18"/>
    </row>
    <row r="1511" spans="2:8" x14ac:dyDescent="0.25">
      <c r="B1511" s="18"/>
      <c r="C1511" s="13"/>
      <c r="D1511" s="18"/>
      <c r="E1511" s="18"/>
      <c r="F1511" s="20"/>
      <c r="H1511" s="18"/>
    </row>
    <row r="1512" spans="2:8" x14ac:dyDescent="0.25">
      <c r="B1512" s="18"/>
      <c r="C1512" s="13"/>
      <c r="D1512" s="18"/>
      <c r="E1512" s="18"/>
      <c r="F1512" s="20"/>
      <c r="H1512" s="18"/>
    </row>
    <row r="1513" spans="2:8" x14ac:dyDescent="0.25">
      <c r="B1513" s="18"/>
      <c r="C1513" s="13"/>
      <c r="D1513" s="18"/>
      <c r="E1513" s="18"/>
      <c r="F1513" s="20"/>
      <c r="H1513" s="18"/>
    </row>
    <row r="1514" spans="2:8" x14ac:dyDescent="0.25">
      <c r="B1514" s="18"/>
      <c r="C1514" s="13"/>
      <c r="D1514" s="18"/>
      <c r="E1514" s="18"/>
      <c r="F1514" s="20"/>
      <c r="H1514" s="18"/>
    </row>
    <row r="1515" spans="2:8" x14ac:dyDescent="0.25">
      <c r="B1515" s="18"/>
      <c r="C1515" s="13"/>
      <c r="D1515" s="18"/>
      <c r="E1515" s="18"/>
      <c r="F1515" s="20"/>
      <c r="H1515" s="18"/>
    </row>
    <row r="1516" spans="2:8" x14ac:dyDescent="0.25">
      <c r="B1516" s="18"/>
      <c r="C1516" s="13"/>
      <c r="D1516" s="18"/>
      <c r="E1516" s="18"/>
      <c r="F1516" s="20"/>
      <c r="H1516" s="18"/>
    </row>
    <row r="1517" spans="2:8" x14ac:dyDescent="0.25">
      <c r="B1517" s="18"/>
      <c r="C1517" s="13"/>
      <c r="D1517" s="18"/>
      <c r="E1517" s="18"/>
      <c r="F1517" s="20"/>
      <c r="H1517" s="18"/>
    </row>
    <row r="1518" spans="2:8" x14ac:dyDescent="0.25">
      <c r="B1518" s="18"/>
      <c r="C1518" s="13"/>
      <c r="D1518" s="18"/>
      <c r="E1518" s="18"/>
      <c r="F1518" s="20"/>
      <c r="H1518" s="18"/>
    </row>
    <row r="1519" spans="2:8" x14ac:dyDescent="0.25">
      <c r="B1519" s="18"/>
      <c r="C1519" s="13"/>
      <c r="D1519" s="18"/>
      <c r="E1519" s="18"/>
      <c r="F1519" s="20"/>
      <c r="H1519" s="18"/>
    </row>
    <row r="1520" spans="2:8" x14ac:dyDescent="0.25">
      <c r="B1520" s="18"/>
      <c r="C1520" s="13"/>
      <c r="D1520" s="18"/>
      <c r="E1520" s="18"/>
      <c r="F1520" s="20"/>
      <c r="H1520" s="18"/>
    </row>
    <row r="1521" spans="2:8" x14ac:dyDescent="0.25">
      <c r="B1521" s="18"/>
      <c r="C1521" s="13"/>
      <c r="D1521" s="18"/>
      <c r="E1521" s="18"/>
      <c r="F1521" s="20"/>
      <c r="H1521" s="18"/>
    </row>
    <row r="1522" spans="2:8" x14ac:dyDescent="0.25">
      <c r="B1522" s="18"/>
      <c r="C1522" s="13"/>
      <c r="D1522" s="18"/>
      <c r="E1522" s="18"/>
      <c r="F1522" s="20"/>
      <c r="H1522" s="18"/>
    </row>
    <row r="1523" spans="2:8" x14ac:dyDescent="0.25">
      <c r="B1523" s="18"/>
      <c r="C1523" s="13"/>
      <c r="D1523" s="18"/>
      <c r="E1523" s="18"/>
      <c r="F1523" s="20"/>
      <c r="H1523" s="18"/>
    </row>
    <row r="1524" spans="2:8" x14ac:dyDescent="0.25">
      <c r="B1524" s="18"/>
      <c r="C1524" s="13"/>
      <c r="D1524" s="18"/>
      <c r="E1524" s="18"/>
      <c r="F1524" s="20"/>
      <c r="H1524" s="18"/>
    </row>
    <row r="1525" spans="2:8" x14ac:dyDescent="0.25">
      <c r="B1525" s="18"/>
      <c r="C1525" s="13"/>
      <c r="D1525" s="18"/>
      <c r="E1525" s="18"/>
      <c r="F1525" s="20"/>
      <c r="H1525" s="18"/>
    </row>
    <row r="1526" spans="2:8" x14ac:dyDescent="0.25">
      <c r="B1526" s="18"/>
      <c r="C1526" s="13"/>
      <c r="D1526" s="18"/>
      <c r="E1526" s="18"/>
      <c r="F1526" s="20"/>
      <c r="H1526" s="18"/>
    </row>
    <row r="1527" spans="2:8" x14ac:dyDescent="0.25">
      <c r="B1527" s="18"/>
      <c r="C1527" s="13"/>
      <c r="D1527" s="18"/>
      <c r="E1527" s="18"/>
      <c r="F1527" s="20"/>
      <c r="H1527" s="18"/>
    </row>
    <row r="1528" spans="2:8" x14ac:dyDescent="0.25">
      <c r="B1528" s="18"/>
      <c r="C1528" s="13"/>
      <c r="D1528" s="18"/>
      <c r="E1528" s="18"/>
      <c r="F1528" s="20"/>
      <c r="H1528" s="18"/>
    </row>
    <row r="1529" spans="2:8" x14ac:dyDescent="0.25">
      <c r="B1529" s="18"/>
      <c r="C1529" s="13"/>
      <c r="D1529" s="18"/>
      <c r="E1529" s="18"/>
      <c r="F1529" s="20"/>
      <c r="H1529" s="18"/>
    </row>
    <row r="1530" spans="2:8" x14ac:dyDescent="0.25">
      <c r="B1530" s="18"/>
      <c r="C1530" s="13"/>
      <c r="D1530" s="18"/>
      <c r="E1530" s="18"/>
      <c r="F1530" s="20"/>
      <c r="H1530" s="18"/>
    </row>
    <row r="1531" spans="2:8" x14ac:dyDescent="0.25">
      <c r="B1531" s="18"/>
      <c r="C1531" s="13"/>
      <c r="D1531" s="18"/>
      <c r="E1531" s="18"/>
      <c r="F1531" s="20"/>
      <c r="H1531" s="18"/>
    </row>
    <row r="1532" spans="2:8" x14ac:dyDescent="0.25">
      <c r="B1532" s="18"/>
      <c r="C1532" s="13"/>
      <c r="D1532" s="18"/>
      <c r="E1532" s="18"/>
      <c r="F1532" s="20"/>
      <c r="H1532" s="18"/>
    </row>
    <row r="1533" spans="2:8" x14ac:dyDescent="0.25">
      <c r="B1533" s="18"/>
      <c r="C1533" s="13"/>
      <c r="D1533" s="18"/>
      <c r="E1533" s="18"/>
      <c r="F1533" s="20"/>
      <c r="H1533" s="18"/>
    </row>
    <row r="1534" spans="2:8" x14ac:dyDescent="0.25">
      <c r="B1534" s="18"/>
      <c r="C1534" s="13"/>
      <c r="D1534" s="18"/>
      <c r="E1534" s="18"/>
      <c r="F1534" s="20"/>
      <c r="H1534" s="18"/>
    </row>
    <row r="1535" spans="2:8" x14ac:dyDescent="0.25">
      <c r="B1535" s="18"/>
      <c r="C1535" s="13"/>
      <c r="D1535" s="18"/>
      <c r="E1535" s="18"/>
      <c r="F1535" s="20"/>
      <c r="H1535" s="18"/>
    </row>
    <row r="1536" spans="2:8" x14ac:dyDescent="0.25">
      <c r="B1536" s="18"/>
      <c r="C1536" s="13"/>
      <c r="D1536" s="18"/>
      <c r="E1536" s="18"/>
      <c r="F1536" s="20"/>
      <c r="H1536" s="18"/>
    </row>
    <row r="1537" spans="2:8" x14ac:dyDescent="0.25">
      <c r="B1537" s="18"/>
      <c r="C1537" s="13"/>
      <c r="D1537" s="18"/>
      <c r="E1537" s="18"/>
      <c r="F1537" s="20"/>
      <c r="H1537" s="18"/>
    </row>
    <row r="1538" spans="2:8" x14ac:dyDescent="0.25">
      <c r="B1538" s="18"/>
      <c r="C1538" s="13"/>
      <c r="D1538" s="18"/>
      <c r="E1538" s="18"/>
      <c r="F1538" s="20"/>
      <c r="H1538" s="18"/>
    </row>
    <row r="1539" spans="2:8" x14ac:dyDescent="0.25">
      <c r="B1539" s="18"/>
      <c r="C1539" s="13"/>
      <c r="D1539" s="18"/>
      <c r="E1539" s="18"/>
      <c r="F1539" s="20"/>
      <c r="H1539" s="18"/>
    </row>
    <row r="1540" spans="2:8" x14ac:dyDescent="0.25">
      <c r="B1540" s="18"/>
      <c r="C1540" s="13"/>
      <c r="D1540" s="18"/>
      <c r="E1540" s="18"/>
      <c r="F1540" s="20"/>
      <c r="H1540" s="18"/>
    </row>
    <row r="1541" spans="2:8" x14ac:dyDescent="0.25">
      <c r="B1541" s="18"/>
      <c r="C1541" s="13"/>
      <c r="D1541" s="18"/>
      <c r="E1541" s="18"/>
      <c r="F1541" s="20"/>
      <c r="H1541" s="18"/>
    </row>
    <row r="1542" spans="2:8" x14ac:dyDescent="0.25">
      <c r="B1542" s="18"/>
      <c r="C1542" s="13"/>
      <c r="D1542" s="18"/>
      <c r="E1542" s="18"/>
      <c r="F1542" s="20"/>
      <c r="H1542" s="18"/>
    </row>
    <row r="1543" spans="2:8" x14ac:dyDescent="0.25">
      <c r="B1543" s="18"/>
      <c r="C1543" s="13"/>
      <c r="D1543" s="18"/>
      <c r="E1543" s="18"/>
      <c r="F1543" s="20"/>
      <c r="H1543" s="18"/>
    </row>
    <row r="1544" spans="2:8" x14ac:dyDescent="0.25">
      <c r="B1544" s="18"/>
      <c r="C1544" s="13"/>
      <c r="D1544" s="18"/>
      <c r="E1544" s="18"/>
      <c r="F1544" s="20"/>
      <c r="H1544" s="18"/>
    </row>
    <row r="1545" spans="2:8" x14ac:dyDescent="0.25">
      <c r="B1545" s="18"/>
      <c r="C1545" s="13"/>
      <c r="D1545" s="18"/>
      <c r="E1545" s="18"/>
      <c r="F1545" s="20"/>
      <c r="H1545" s="18"/>
    </row>
    <row r="1546" spans="2:8" x14ac:dyDescent="0.25">
      <c r="B1546" s="18"/>
      <c r="C1546" s="13"/>
      <c r="D1546" s="18"/>
      <c r="E1546" s="18"/>
      <c r="F1546" s="20"/>
      <c r="H1546" s="18"/>
    </row>
    <row r="1547" spans="2:8" x14ac:dyDescent="0.25">
      <c r="B1547" s="18"/>
      <c r="C1547" s="13"/>
      <c r="D1547" s="18"/>
      <c r="E1547" s="18"/>
      <c r="F1547" s="20"/>
      <c r="H1547" s="18"/>
    </row>
    <row r="1548" spans="2:8" x14ac:dyDescent="0.25">
      <c r="B1548" s="18"/>
      <c r="C1548" s="13"/>
      <c r="D1548" s="18"/>
      <c r="E1548" s="18"/>
      <c r="F1548" s="20"/>
      <c r="H1548" s="18"/>
    </row>
    <row r="1549" spans="2:8" x14ac:dyDescent="0.25">
      <c r="B1549" s="18"/>
      <c r="C1549" s="13"/>
      <c r="D1549" s="18"/>
      <c r="E1549" s="18"/>
      <c r="F1549" s="20"/>
      <c r="H1549" s="18"/>
    </row>
    <row r="1550" spans="2:8" x14ac:dyDescent="0.25">
      <c r="B1550" s="18"/>
      <c r="C1550" s="13"/>
      <c r="D1550" s="18"/>
      <c r="E1550" s="18"/>
      <c r="F1550" s="20"/>
      <c r="H1550" s="18"/>
    </row>
    <row r="1551" spans="2:8" x14ac:dyDescent="0.25">
      <c r="B1551" s="18"/>
      <c r="C1551" s="13"/>
      <c r="D1551" s="18"/>
      <c r="E1551" s="18"/>
      <c r="F1551" s="20"/>
      <c r="H1551" s="18"/>
    </row>
    <row r="1552" spans="2:8" x14ac:dyDescent="0.25">
      <c r="B1552" s="18"/>
      <c r="C1552" s="13"/>
      <c r="D1552" s="18"/>
      <c r="E1552" s="18"/>
      <c r="F1552" s="20"/>
      <c r="H1552" s="18"/>
    </row>
    <row r="1553" spans="2:8" x14ac:dyDescent="0.25">
      <c r="B1553" s="18"/>
      <c r="C1553" s="13"/>
      <c r="D1553" s="18"/>
      <c r="E1553" s="18"/>
      <c r="F1553" s="20"/>
      <c r="H1553" s="18"/>
    </row>
    <row r="1554" spans="2:8" x14ac:dyDescent="0.25">
      <c r="B1554" s="18"/>
      <c r="C1554" s="13"/>
      <c r="D1554" s="18"/>
      <c r="E1554" s="18"/>
      <c r="F1554" s="20"/>
      <c r="H1554" s="18"/>
    </row>
    <row r="1555" spans="2:8" x14ac:dyDescent="0.25">
      <c r="B1555" s="18"/>
      <c r="C1555" s="13"/>
      <c r="D1555" s="18"/>
      <c r="E1555" s="18"/>
      <c r="F1555" s="20"/>
      <c r="H1555" s="18"/>
    </row>
    <row r="1556" spans="2:8" x14ac:dyDescent="0.25">
      <c r="B1556" s="18"/>
      <c r="C1556" s="13"/>
      <c r="D1556" s="18"/>
      <c r="E1556" s="18"/>
      <c r="F1556" s="20"/>
      <c r="H1556" s="18"/>
    </row>
    <row r="1557" spans="2:8" x14ac:dyDescent="0.25">
      <c r="B1557" s="18"/>
      <c r="C1557" s="13"/>
      <c r="D1557" s="18"/>
      <c r="E1557" s="18"/>
      <c r="F1557" s="20"/>
      <c r="H1557" s="18"/>
    </row>
    <row r="1558" spans="2:8" x14ac:dyDescent="0.25">
      <c r="B1558" s="18"/>
      <c r="C1558" s="13"/>
      <c r="D1558" s="18"/>
      <c r="E1558" s="18"/>
      <c r="F1558" s="20"/>
      <c r="H1558" s="18"/>
    </row>
    <row r="1559" spans="2:8" x14ac:dyDescent="0.25">
      <c r="B1559" s="18"/>
      <c r="C1559" s="13"/>
      <c r="D1559" s="18"/>
      <c r="E1559" s="18"/>
      <c r="F1559" s="20"/>
      <c r="H1559" s="18"/>
    </row>
    <row r="1560" spans="2:8" x14ac:dyDescent="0.25">
      <c r="B1560" s="18"/>
      <c r="C1560" s="13"/>
      <c r="D1560" s="18"/>
      <c r="E1560" s="18"/>
      <c r="F1560" s="20"/>
      <c r="H1560" s="18"/>
    </row>
    <row r="1561" spans="2:8" x14ac:dyDescent="0.25">
      <c r="B1561" s="18"/>
      <c r="C1561" s="13"/>
      <c r="D1561" s="18"/>
      <c r="E1561" s="18"/>
      <c r="F1561" s="20"/>
      <c r="H1561" s="18"/>
    </row>
    <row r="1562" spans="2:8" x14ac:dyDescent="0.25">
      <c r="B1562" s="18"/>
      <c r="C1562" s="13"/>
      <c r="D1562" s="18"/>
      <c r="E1562" s="18"/>
      <c r="F1562" s="20"/>
      <c r="H1562" s="18"/>
    </row>
    <row r="1563" spans="2:8" x14ac:dyDescent="0.25">
      <c r="B1563" s="18"/>
      <c r="C1563" s="13"/>
      <c r="D1563" s="18"/>
      <c r="E1563" s="18"/>
      <c r="F1563" s="20"/>
      <c r="H1563" s="18"/>
    </row>
    <row r="1564" spans="2:8" x14ac:dyDescent="0.25">
      <c r="B1564" s="18"/>
      <c r="C1564" s="13"/>
      <c r="D1564" s="18"/>
      <c r="E1564" s="18"/>
      <c r="F1564" s="20"/>
      <c r="H1564" s="18"/>
    </row>
    <row r="1565" spans="2:8" x14ac:dyDescent="0.25">
      <c r="B1565" s="18"/>
      <c r="C1565" s="13"/>
      <c r="D1565" s="18"/>
      <c r="E1565" s="18"/>
      <c r="F1565" s="20"/>
      <c r="H1565" s="18"/>
    </row>
    <row r="1566" spans="2:8" x14ac:dyDescent="0.25">
      <c r="B1566" s="18"/>
      <c r="C1566" s="13"/>
      <c r="D1566" s="18"/>
      <c r="E1566" s="18"/>
      <c r="F1566" s="20"/>
      <c r="H1566" s="18"/>
    </row>
    <row r="1567" spans="2:8" x14ac:dyDescent="0.25">
      <c r="B1567" s="18"/>
      <c r="C1567" s="13"/>
      <c r="D1567" s="18"/>
      <c r="E1567" s="18"/>
      <c r="F1567" s="20"/>
      <c r="H1567" s="18"/>
    </row>
    <row r="1568" spans="2:8" x14ac:dyDescent="0.25">
      <c r="B1568" s="18"/>
      <c r="C1568" s="13"/>
      <c r="D1568" s="18"/>
      <c r="E1568" s="18"/>
      <c r="F1568" s="20"/>
      <c r="H1568" s="18"/>
    </row>
    <row r="1569" spans="2:8" x14ac:dyDescent="0.25">
      <c r="B1569" s="18"/>
      <c r="C1569" s="13"/>
      <c r="D1569" s="18"/>
      <c r="E1569" s="18"/>
      <c r="F1569" s="20"/>
      <c r="H1569" s="18"/>
    </row>
    <row r="1570" spans="2:8" x14ac:dyDescent="0.25">
      <c r="B1570" s="18"/>
      <c r="C1570" s="13"/>
      <c r="D1570" s="18"/>
      <c r="E1570" s="18"/>
      <c r="F1570" s="20"/>
      <c r="H1570" s="18"/>
    </row>
    <row r="1571" spans="2:8" x14ac:dyDescent="0.25">
      <c r="B1571" s="18"/>
      <c r="C1571" s="13"/>
      <c r="D1571" s="18"/>
      <c r="E1571" s="18"/>
      <c r="F1571" s="20"/>
      <c r="H1571" s="18"/>
    </row>
    <row r="1572" spans="2:8" x14ac:dyDescent="0.25">
      <c r="B1572" s="18"/>
      <c r="C1572" s="13"/>
      <c r="D1572" s="18"/>
      <c r="E1572" s="18"/>
      <c r="F1572" s="20"/>
      <c r="H1572" s="18"/>
    </row>
    <row r="1573" spans="2:8" x14ac:dyDescent="0.25">
      <c r="B1573" s="18"/>
      <c r="C1573" s="13"/>
      <c r="D1573" s="18"/>
      <c r="E1573" s="18"/>
      <c r="F1573" s="20"/>
      <c r="H1573" s="18"/>
    </row>
    <row r="1574" spans="2:8" x14ac:dyDescent="0.25">
      <c r="B1574" s="18"/>
      <c r="C1574" s="13"/>
      <c r="D1574" s="18"/>
      <c r="E1574" s="18"/>
      <c r="F1574" s="20"/>
      <c r="H1574" s="18"/>
    </row>
    <row r="1575" spans="2:8" x14ac:dyDescent="0.25">
      <c r="B1575" s="18"/>
      <c r="C1575" s="13"/>
      <c r="D1575" s="18"/>
      <c r="E1575" s="18"/>
      <c r="F1575" s="20"/>
      <c r="H1575" s="18"/>
    </row>
    <row r="1576" spans="2:8" x14ac:dyDescent="0.25">
      <c r="B1576" s="18"/>
      <c r="C1576" s="13"/>
      <c r="D1576" s="18"/>
      <c r="E1576" s="18"/>
      <c r="F1576" s="20"/>
      <c r="H1576" s="18"/>
    </row>
    <row r="1577" spans="2:8" x14ac:dyDescent="0.25">
      <c r="B1577" s="18"/>
      <c r="C1577" s="13"/>
      <c r="D1577" s="18"/>
      <c r="E1577" s="18"/>
      <c r="F1577" s="20"/>
      <c r="H1577" s="18"/>
    </row>
    <row r="1578" spans="2:8" x14ac:dyDescent="0.25">
      <c r="B1578" s="18"/>
      <c r="C1578" s="13"/>
      <c r="D1578" s="18"/>
      <c r="E1578" s="18"/>
      <c r="F1578" s="20"/>
      <c r="H1578" s="18"/>
    </row>
    <row r="1579" spans="2:8" x14ac:dyDescent="0.25">
      <c r="B1579" s="18"/>
      <c r="C1579" s="13"/>
      <c r="D1579" s="18"/>
      <c r="E1579" s="18"/>
      <c r="F1579" s="20"/>
      <c r="H1579" s="18"/>
    </row>
    <row r="1580" spans="2:8" x14ac:dyDescent="0.25">
      <c r="B1580" s="18"/>
      <c r="C1580" s="13"/>
      <c r="D1580" s="18"/>
      <c r="E1580" s="18"/>
      <c r="F1580" s="20"/>
      <c r="H1580" s="18"/>
    </row>
    <row r="1581" spans="2:8" x14ac:dyDescent="0.25">
      <c r="B1581" s="18"/>
      <c r="C1581" s="13"/>
      <c r="D1581" s="18"/>
      <c r="E1581" s="18"/>
      <c r="F1581" s="20"/>
      <c r="H1581" s="18"/>
    </row>
    <row r="1582" spans="2:8" x14ac:dyDescent="0.25">
      <c r="B1582" s="18"/>
      <c r="C1582" s="13"/>
      <c r="D1582" s="18"/>
      <c r="E1582" s="18"/>
      <c r="F1582" s="20"/>
      <c r="H1582" s="18"/>
    </row>
    <row r="1583" spans="2:8" x14ac:dyDescent="0.25">
      <c r="B1583" s="18"/>
      <c r="C1583" s="13"/>
      <c r="D1583" s="18"/>
      <c r="E1583" s="18"/>
      <c r="F1583" s="20"/>
      <c r="H1583" s="18"/>
    </row>
    <row r="1584" spans="2:8" x14ac:dyDescent="0.25">
      <c r="B1584" s="18"/>
      <c r="C1584" s="13"/>
      <c r="D1584" s="18"/>
      <c r="E1584" s="18"/>
      <c r="F1584" s="20"/>
      <c r="H1584" s="18"/>
    </row>
    <row r="1585" spans="2:8" x14ac:dyDescent="0.25">
      <c r="B1585" s="18"/>
      <c r="C1585" s="13"/>
      <c r="D1585" s="18"/>
      <c r="E1585" s="18"/>
      <c r="F1585" s="20"/>
      <c r="H1585" s="18"/>
    </row>
    <row r="1586" spans="2:8" x14ac:dyDescent="0.25">
      <c r="B1586" s="18"/>
      <c r="C1586" s="13"/>
      <c r="D1586" s="18"/>
      <c r="E1586" s="18"/>
      <c r="F1586" s="20"/>
      <c r="H1586" s="18"/>
    </row>
    <row r="1587" spans="2:8" x14ac:dyDescent="0.25">
      <c r="B1587" s="18"/>
      <c r="C1587" s="13"/>
      <c r="D1587" s="18"/>
      <c r="E1587" s="18"/>
      <c r="F1587" s="20"/>
      <c r="H1587" s="18"/>
    </row>
    <row r="1588" spans="2:8" x14ac:dyDescent="0.25">
      <c r="B1588" s="18"/>
      <c r="C1588" s="13"/>
      <c r="D1588" s="18"/>
      <c r="E1588" s="18"/>
      <c r="F1588" s="20"/>
      <c r="H1588" s="18"/>
    </row>
    <row r="1589" spans="2:8" x14ac:dyDescent="0.25">
      <c r="B1589" s="18"/>
      <c r="C1589" s="13"/>
      <c r="D1589" s="18"/>
      <c r="E1589" s="18"/>
      <c r="F1589" s="20"/>
      <c r="H1589" s="18"/>
    </row>
    <row r="1590" spans="2:8" x14ac:dyDescent="0.25">
      <c r="B1590" s="18"/>
      <c r="C1590" s="13"/>
      <c r="D1590" s="18"/>
      <c r="E1590" s="18"/>
      <c r="F1590" s="20"/>
      <c r="H1590" s="18"/>
    </row>
    <row r="1591" spans="2:8" x14ac:dyDescent="0.25">
      <c r="B1591" s="18"/>
      <c r="C1591" s="13"/>
      <c r="D1591" s="18"/>
      <c r="E1591" s="18"/>
      <c r="F1591" s="20"/>
      <c r="H1591" s="18"/>
    </row>
    <row r="1592" spans="2:8" x14ac:dyDescent="0.25">
      <c r="B1592" s="18"/>
      <c r="C1592" s="13"/>
      <c r="D1592" s="18"/>
      <c r="E1592" s="18"/>
      <c r="F1592" s="20"/>
      <c r="H1592" s="18"/>
    </row>
    <row r="1593" spans="2:8" x14ac:dyDescent="0.25">
      <c r="B1593" s="18"/>
      <c r="C1593" s="13"/>
      <c r="D1593" s="18"/>
      <c r="E1593" s="18"/>
      <c r="F1593" s="20"/>
      <c r="H1593" s="18"/>
    </row>
    <row r="1594" spans="2:8" x14ac:dyDescent="0.25">
      <c r="B1594" s="18"/>
      <c r="C1594" s="13"/>
      <c r="D1594" s="18"/>
      <c r="E1594" s="18"/>
      <c r="F1594" s="20"/>
      <c r="H1594" s="18"/>
    </row>
    <row r="1595" spans="2:8" x14ac:dyDescent="0.25">
      <c r="B1595" s="18"/>
      <c r="C1595" s="13"/>
      <c r="D1595" s="18"/>
      <c r="E1595" s="18"/>
      <c r="F1595" s="20"/>
      <c r="H1595" s="18"/>
    </row>
    <row r="1596" spans="2:8" x14ac:dyDescent="0.25">
      <c r="B1596" s="18"/>
      <c r="C1596" s="13"/>
      <c r="D1596" s="18"/>
      <c r="E1596" s="18"/>
      <c r="F1596" s="20"/>
      <c r="H1596" s="18"/>
    </row>
    <row r="1597" spans="2:8" x14ac:dyDescent="0.25">
      <c r="B1597" s="18"/>
      <c r="C1597" s="13"/>
      <c r="D1597" s="18"/>
      <c r="E1597" s="18"/>
      <c r="F1597" s="20"/>
      <c r="H1597" s="18"/>
    </row>
    <row r="1598" spans="2:8" x14ac:dyDescent="0.25">
      <c r="B1598" s="18"/>
      <c r="C1598" s="13"/>
      <c r="D1598" s="18"/>
      <c r="E1598" s="18"/>
      <c r="F1598" s="20"/>
      <c r="H1598" s="18"/>
    </row>
    <row r="1599" spans="2:8" x14ac:dyDescent="0.25">
      <c r="B1599" s="18"/>
      <c r="C1599" s="13"/>
      <c r="D1599" s="18"/>
      <c r="E1599" s="18"/>
      <c r="F1599" s="20"/>
      <c r="H1599" s="18"/>
    </row>
    <row r="1600" spans="2:8" x14ac:dyDescent="0.25">
      <c r="B1600" s="18"/>
      <c r="C1600" s="13"/>
      <c r="D1600" s="18"/>
      <c r="E1600" s="18"/>
      <c r="F1600" s="20"/>
      <c r="H1600" s="18"/>
    </row>
    <row r="1601" spans="2:8" x14ac:dyDescent="0.25">
      <c r="B1601" s="18"/>
      <c r="C1601" s="13"/>
      <c r="D1601" s="18"/>
      <c r="E1601" s="18"/>
      <c r="F1601" s="20"/>
      <c r="H1601" s="18"/>
    </row>
    <row r="1602" spans="2:8" x14ac:dyDescent="0.25">
      <c r="B1602" s="18"/>
      <c r="C1602" s="13"/>
      <c r="D1602" s="18"/>
      <c r="E1602" s="18"/>
      <c r="F1602" s="20"/>
      <c r="H1602" s="18"/>
    </row>
    <row r="1603" spans="2:8" x14ac:dyDescent="0.25">
      <c r="B1603" s="18"/>
      <c r="C1603" s="13"/>
      <c r="D1603" s="18"/>
      <c r="E1603" s="18"/>
      <c r="F1603" s="20"/>
      <c r="H1603" s="18"/>
    </row>
    <row r="1604" spans="2:8" x14ac:dyDescent="0.25">
      <c r="B1604" s="18"/>
      <c r="C1604" s="13"/>
      <c r="D1604" s="18"/>
      <c r="E1604" s="18"/>
      <c r="F1604" s="20"/>
      <c r="H1604" s="18"/>
    </row>
    <row r="1605" spans="2:8" x14ac:dyDescent="0.25">
      <c r="B1605" s="18"/>
      <c r="C1605" s="13"/>
      <c r="D1605" s="18"/>
      <c r="E1605" s="18"/>
      <c r="F1605" s="20"/>
      <c r="H1605" s="18"/>
    </row>
    <row r="1606" spans="2:8" x14ac:dyDescent="0.25">
      <c r="B1606" s="18"/>
      <c r="C1606" s="13"/>
      <c r="D1606" s="18"/>
      <c r="E1606" s="18"/>
      <c r="F1606" s="20"/>
      <c r="H1606" s="18"/>
    </row>
    <row r="1607" spans="2:8" x14ac:dyDescent="0.25">
      <c r="B1607" s="18"/>
      <c r="C1607" s="13"/>
      <c r="D1607" s="18"/>
      <c r="E1607" s="18"/>
      <c r="F1607" s="20"/>
      <c r="H1607" s="18"/>
    </row>
    <row r="1608" spans="2:8" x14ac:dyDescent="0.25">
      <c r="B1608" s="18"/>
      <c r="C1608" s="13"/>
      <c r="D1608" s="18"/>
      <c r="E1608" s="18"/>
      <c r="F1608" s="20"/>
      <c r="H1608" s="18"/>
    </row>
    <row r="1609" spans="2:8" x14ac:dyDescent="0.25">
      <c r="B1609" s="18"/>
      <c r="C1609" s="13"/>
      <c r="D1609" s="18"/>
      <c r="E1609" s="18"/>
      <c r="F1609" s="20"/>
      <c r="H1609" s="18"/>
    </row>
    <row r="1610" spans="2:8" x14ac:dyDescent="0.25">
      <c r="B1610" s="18"/>
      <c r="C1610" s="13"/>
      <c r="D1610" s="18"/>
      <c r="E1610" s="18"/>
      <c r="F1610" s="20"/>
      <c r="H1610" s="18"/>
    </row>
    <row r="1611" spans="2:8" x14ac:dyDescent="0.25">
      <c r="B1611" s="18"/>
      <c r="C1611" s="13"/>
      <c r="D1611" s="18"/>
      <c r="E1611" s="18"/>
      <c r="F1611" s="20"/>
      <c r="H1611" s="18"/>
    </row>
    <row r="1612" spans="2:8" x14ac:dyDescent="0.25">
      <c r="B1612" s="18"/>
      <c r="C1612" s="13"/>
      <c r="D1612" s="18"/>
      <c r="E1612" s="18"/>
      <c r="F1612" s="20"/>
      <c r="H1612" s="18"/>
    </row>
    <row r="1613" spans="2:8" x14ac:dyDescent="0.25">
      <c r="B1613" s="18"/>
      <c r="C1613" s="13"/>
      <c r="D1613" s="18"/>
      <c r="E1613" s="18"/>
      <c r="F1613" s="20"/>
      <c r="H1613" s="18"/>
    </row>
    <row r="1614" spans="2:8" x14ac:dyDescent="0.25">
      <c r="B1614" s="18"/>
      <c r="C1614" s="13"/>
      <c r="D1614" s="18"/>
      <c r="E1614" s="18"/>
      <c r="F1614" s="20"/>
      <c r="H1614" s="18"/>
    </row>
    <row r="1615" spans="2:8" x14ac:dyDescent="0.25">
      <c r="B1615" s="18"/>
      <c r="C1615" s="13"/>
      <c r="D1615" s="18"/>
      <c r="E1615" s="18"/>
      <c r="F1615" s="20"/>
      <c r="H1615" s="18"/>
    </row>
    <row r="1616" spans="2:8" x14ac:dyDescent="0.25">
      <c r="B1616" s="18"/>
      <c r="C1616" s="13"/>
      <c r="D1616" s="18"/>
      <c r="E1616" s="18"/>
      <c r="F1616" s="20"/>
      <c r="H1616" s="18"/>
    </row>
    <row r="1617" spans="2:8" x14ac:dyDescent="0.25">
      <c r="B1617" s="18"/>
      <c r="C1617" s="13"/>
      <c r="D1617" s="18"/>
      <c r="E1617" s="18"/>
      <c r="F1617" s="20"/>
      <c r="H1617" s="18"/>
    </row>
    <row r="1618" spans="2:8" x14ac:dyDescent="0.25">
      <c r="B1618" s="18"/>
      <c r="C1618" s="13"/>
      <c r="D1618" s="18"/>
      <c r="E1618" s="18"/>
      <c r="F1618" s="20"/>
      <c r="H1618" s="18"/>
    </row>
    <row r="1619" spans="2:8" x14ac:dyDescent="0.25">
      <c r="B1619" s="18"/>
      <c r="C1619" s="13"/>
      <c r="D1619" s="18"/>
      <c r="E1619" s="18"/>
      <c r="F1619" s="20"/>
      <c r="H1619" s="18"/>
    </row>
    <row r="1620" spans="2:8" x14ac:dyDescent="0.25">
      <c r="B1620" s="18"/>
      <c r="C1620" s="13"/>
      <c r="D1620" s="18"/>
      <c r="E1620" s="18"/>
      <c r="F1620" s="20"/>
      <c r="H1620" s="18"/>
    </row>
    <row r="1621" spans="2:8" x14ac:dyDescent="0.25">
      <c r="B1621" s="18"/>
      <c r="C1621" s="13"/>
      <c r="D1621" s="18"/>
      <c r="E1621" s="18"/>
      <c r="F1621" s="20"/>
      <c r="H1621" s="18"/>
    </row>
    <row r="1622" spans="2:8" x14ac:dyDescent="0.25">
      <c r="B1622" s="18"/>
      <c r="C1622" s="13"/>
      <c r="D1622" s="18"/>
      <c r="E1622" s="18"/>
      <c r="F1622" s="20"/>
      <c r="H1622" s="18"/>
    </row>
    <row r="1623" spans="2:8" x14ac:dyDescent="0.25">
      <c r="B1623" s="18"/>
      <c r="C1623" s="13"/>
      <c r="D1623" s="18"/>
      <c r="E1623" s="18"/>
      <c r="F1623" s="20"/>
      <c r="H1623" s="18"/>
    </row>
    <row r="1624" spans="2:8" x14ac:dyDescent="0.25">
      <c r="B1624" s="18"/>
      <c r="C1624" s="13"/>
      <c r="D1624" s="18"/>
      <c r="E1624" s="18"/>
      <c r="F1624" s="20"/>
      <c r="H1624" s="18"/>
    </row>
    <row r="1625" spans="2:8" x14ac:dyDescent="0.25">
      <c r="B1625" s="18"/>
      <c r="C1625" s="13"/>
      <c r="D1625" s="18"/>
      <c r="E1625" s="18"/>
      <c r="F1625" s="20"/>
      <c r="H1625" s="18"/>
    </row>
    <row r="1626" spans="2:8" x14ac:dyDescent="0.25">
      <c r="B1626" s="18"/>
      <c r="C1626" s="13"/>
      <c r="D1626" s="18"/>
      <c r="E1626" s="18"/>
      <c r="F1626" s="20"/>
      <c r="H1626" s="18"/>
    </row>
    <row r="1627" spans="2:8" x14ac:dyDescent="0.25">
      <c r="B1627" s="18"/>
      <c r="C1627" s="13"/>
      <c r="D1627" s="18"/>
      <c r="E1627" s="18"/>
      <c r="F1627" s="20"/>
      <c r="H1627" s="18"/>
    </row>
    <row r="1628" spans="2:8" x14ac:dyDescent="0.25">
      <c r="B1628" s="18"/>
      <c r="C1628" s="13"/>
      <c r="D1628" s="18"/>
      <c r="E1628" s="18"/>
      <c r="F1628" s="20"/>
      <c r="H1628" s="18"/>
    </row>
    <row r="1629" spans="2:8" x14ac:dyDescent="0.25">
      <c r="B1629" s="18"/>
      <c r="C1629" s="13"/>
      <c r="D1629" s="18"/>
      <c r="E1629" s="18"/>
      <c r="F1629" s="20"/>
      <c r="H1629" s="18"/>
    </row>
    <row r="1630" spans="2:8" x14ac:dyDescent="0.25">
      <c r="B1630" s="18"/>
      <c r="C1630" s="13"/>
      <c r="D1630" s="18"/>
      <c r="E1630" s="18"/>
      <c r="F1630" s="20"/>
      <c r="H1630" s="18"/>
    </row>
    <row r="1631" spans="2:8" x14ac:dyDescent="0.25">
      <c r="B1631" s="18"/>
      <c r="C1631" s="13"/>
      <c r="D1631" s="18"/>
      <c r="E1631" s="18"/>
      <c r="F1631" s="20"/>
      <c r="H1631" s="18"/>
    </row>
    <row r="1632" spans="2:8" x14ac:dyDescent="0.25">
      <c r="B1632" s="18"/>
      <c r="C1632" s="13"/>
      <c r="D1632" s="18"/>
      <c r="E1632" s="18"/>
      <c r="F1632" s="20"/>
      <c r="H1632" s="18"/>
    </row>
    <row r="1633" spans="2:8" x14ac:dyDescent="0.25">
      <c r="B1633" s="18"/>
      <c r="C1633" s="13"/>
      <c r="D1633" s="18"/>
      <c r="E1633" s="18"/>
      <c r="F1633" s="20"/>
      <c r="H1633" s="18"/>
    </row>
    <row r="1634" spans="2:8" x14ac:dyDescent="0.25">
      <c r="B1634" s="18"/>
      <c r="C1634" s="13"/>
      <c r="D1634" s="18"/>
      <c r="E1634" s="18"/>
      <c r="F1634" s="20"/>
      <c r="H1634" s="18"/>
    </row>
    <row r="1635" spans="2:8" x14ac:dyDescent="0.25">
      <c r="B1635" s="18"/>
      <c r="C1635" s="13"/>
      <c r="D1635" s="18"/>
      <c r="E1635" s="18"/>
      <c r="F1635" s="20"/>
      <c r="H1635" s="18"/>
    </row>
    <row r="1636" spans="2:8" x14ac:dyDescent="0.25">
      <c r="B1636" s="18"/>
      <c r="C1636" s="13"/>
      <c r="D1636" s="18"/>
      <c r="E1636" s="18"/>
      <c r="F1636" s="20"/>
      <c r="H1636" s="18"/>
    </row>
    <row r="1637" spans="2:8" x14ac:dyDescent="0.25">
      <c r="B1637" s="18"/>
      <c r="C1637" s="13"/>
      <c r="D1637" s="18"/>
      <c r="E1637" s="18"/>
      <c r="F1637" s="20"/>
      <c r="H1637" s="18"/>
    </row>
    <row r="1638" spans="2:8" x14ac:dyDescent="0.25">
      <c r="B1638" s="18"/>
      <c r="C1638" s="13"/>
      <c r="D1638" s="18"/>
      <c r="E1638" s="18"/>
      <c r="F1638" s="20"/>
      <c r="H1638" s="18"/>
    </row>
    <row r="1639" spans="2:8" x14ac:dyDescent="0.25">
      <c r="B1639" s="18"/>
      <c r="C1639" s="13"/>
      <c r="D1639" s="18"/>
      <c r="E1639" s="18"/>
      <c r="F1639" s="20"/>
      <c r="H1639" s="18"/>
    </row>
    <row r="1640" spans="2:8" x14ac:dyDescent="0.25">
      <c r="B1640" s="18"/>
      <c r="C1640" s="13"/>
      <c r="D1640" s="18"/>
      <c r="E1640" s="18"/>
      <c r="F1640" s="20"/>
      <c r="H1640" s="18"/>
    </row>
    <row r="1641" spans="2:8" x14ac:dyDescent="0.25">
      <c r="B1641" s="18"/>
      <c r="C1641" s="13"/>
      <c r="D1641" s="18"/>
      <c r="E1641" s="18"/>
      <c r="F1641" s="20"/>
      <c r="H1641" s="18"/>
    </row>
    <row r="1642" spans="2:8" x14ac:dyDescent="0.25">
      <c r="B1642" s="18"/>
      <c r="C1642" s="13"/>
      <c r="D1642" s="18"/>
      <c r="E1642" s="18"/>
      <c r="F1642" s="20"/>
      <c r="H1642" s="18"/>
    </row>
    <row r="1643" spans="2:8" x14ac:dyDescent="0.25">
      <c r="B1643" s="18"/>
      <c r="C1643" s="13"/>
      <c r="D1643" s="18"/>
      <c r="E1643" s="18"/>
      <c r="F1643" s="20"/>
      <c r="H1643" s="18"/>
    </row>
    <row r="1644" spans="2:8" x14ac:dyDescent="0.25">
      <c r="B1644" s="18"/>
      <c r="C1644" s="13"/>
      <c r="D1644" s="18"/>
      <c r="E1644" s="18"/>
      <c r="F1644" s="20"/>
      <c r="H1644" s="18"/>
    </row>
    <row r="1645" spans="2:8" x14ac:dyDescent="0.25">
      <c r="B1645" s="18"/>
      <c r="C1645" s="13"/>
      <c r="D1645" s="18"/>
      <c r="E1645" s="18"/>
      <c r="F1645" s="20"/>
      <c r="H1645" s="18"/>
    </row>
    <row r="1646" spans="2:8" x14ac:dyDescent="0.25">
      <c r="B1646" s="18"/>
      <c r="C1646" s="13"/>
      <c r="D1646" s="18"/>
      <c r="E1646" s="18"/>
      <c r="F1646" s="20"/>
      <c r="H1646" s="18"/>
    </row>
    <row r="1647" spans="2:8" x14ac:dyDescent="0.25">
      <c r="B1647" s="18"/>
      <c r="C1647" s="13"/>
      <c r="D1647" s="18"/>
      <c r="E1647" s="18"/>
      <c r="F1647" s="20"/>
      <c r="H1647" s="18"/>
    </row>
    <row r="1648" spans="2:8" x14ac:dyDescent="0.25">
      <c r="B1648" s="18"/>
      <c r="C1648" s="13"/>
      <c r="D1648" s="18"/>
      <c r="E1648" s="18"/>
      <c r="F1648" s="20"/>
      <c r="H1648" s="18"/>
    </row>
    <row r="1649" spans="2:8" x14ac:dyDescent="0.25">
      <c r="B1649" s="18"/>
      <c r="C1649" s="13"/>
      <c r="D1649" s="18"/>
      <c r="E1649" s="18"/>
      <c r="F1649" s="20"/>
      <c r="H1649" s="18"/>
    </row>
    <row r="1650" spans="2:8" x14ac:dyDescent="0.25">
      <c r="B1650" s="18"/>
      <c r="C1650" s="13"/>
      <c r="D1650" s="18"/>
      <c r="E1650" s="18"/>
      <c r="F1650" s="20"/>
      <c r="H1650" s="18"/>
    </row>
    <row r="1651" spans="2:8" x14ac:dyDescent="0.25">
      <c r="B1651" s="18"/>
      <c r="C1651" s="13"/>
      <c r="D1651" s="18"/>
      <c r="E1651" s="18"/>
      <c r="F1651" s="20"/>
      <c r="H1651" s="18"/>
    </row>
    <row r="1652" spans="2:8" x14ac:dyDescent="0.25">
      <c r="B1652" s="18"/>
      <c r="C1652" s="13"/>
      <c r="D1652" s="18"/>
      <c r="E1652" s="18"/>
      <c r="F1652" s="20"/>
      <c r="H1652" s="18"/>
    </row>
    <row r="1653" spans="2:8" x14ac:dyDescent="0.25">
      <c r="B1653" s="18"/>
      <c r="C1653" s="13"/>
      <c r="D1653" s="18"/>
      <c r="E1653" s="18"/>
      <c r="F1653" s="20"/>
      <c r="H1653" s="18"/>
    </row>
    <row r="1654" spans="2:8" x14ac:dyDescent="0.25">
      <c r="B1654" s="18"/>
      <c r="C1654" s="13"/>
      <c r="D1654" s="18"/>
      <c r="E1654" s="18"/>
      <c r="F1654" s="20"/>
      <c r="H1654" s="18"/>
    </row>
    <row r="1655" spans="2:8" x14ac:dyDescent="0.25">
      <c r="B1655" s="18"/>
      <c r="C1655" s="13"/>
      <c r="D1655" s="18"/>
      <c r="E1655" s="18"/>
      <c r="F1655" s="20"/>
      <c r="H1655" s="18"/>
    </row>
    <row r="1656" spans="2:8" x14ac:dyDescent="0.25">
      <c r="B1656" s="18"/>
      <c r="C1656" s="13"/>
      <c r="D1656" s="18"/>
      <c r="E1656" s="18"/>
      <c r="F1656" s="20"/>
      <c r="H1656" s="18"/>
    </row>
    <row r="1657" spans="2:8" x14ac:dyDescent="0.25">
      <c r="B1657" s="18"/>
      <c r="C1657" s="13"/>
      <c r="D1657" s="18"/>
      <c r="E1657" s="18"/>
      <c r="F1657" s="20"/>
      <c r="H1657" s="18"/>
    </row>
    <row r="1658" spans="2:8" x14ac:dyDescent="0.25">
      <c r="B1658" s="18"/>
      <c r="C1658" s="13"/>
      <c r="D1658" s="18"/>
      <c r="E1658" s="18"/>
      <c r="F1658" s="20"/>
      <c r="H1658" s="18"/>
    </row>
    <row r="1659" spans="2:8" x14ac:dyDescent="0.25">
      <c r="B1659" s="18"/>
      <c r="C1659" s="13"/>
      <c r="D1659" s="18"/>
      <c r="E1659" s="18"/>
      <c r="F1659" s="20"/>
      <c r="H1659" s="18"/>
    </row>
    <row r="1660" spans="2:8" x14ac:dyDescent="0.25">
      <c r="B1660" s="18"/>
      <c r="C1660" s="13"/>
      <c r="D1660" s="18"/>
      <c r="E1660" s="18"/>
      <c r="F1660" s="20"/>
      <c r="H1660" s="18"/>
    </row>
    <row r="1661" spans="2:8" x14ac:dyDescent="0.25">
      <c r="B1661" s="18"/>
      <c r="C1661" s="13"/>
      <c r="D1661" s="18"/>
      <c r="E1661" s="18"/>
      <c r="F1661" s="20"/>
      <c r="H1661" s="18"/>
    </row>
    <row r="1662" spans="2:8" x14ac:dyDescent="0.25">
      <c r="B1662" s="18"/>
      <c r="C1662" s="13"/>
      <c r="D1662" s="18"/>
      <c r="E1662" s="18"/>
      <c r="F1662" s="20"/>
      <c r="H1662" s="18"/>
    </row>
    <row r="1663" spans="2:8" x14ac:dyDescent="0.25">
      <c r="B1663" s="18"/>
      <c r="C1663" s="13"/>
      <c r="D1663" s="18"/>
      <c r="E1663" s="18"/>
      <c r="F1663" s="20"/>
      <c r="H1663" s="18"/>
    </row>
    <row r="1664" spans="2:8" x14ac:dyDescent="0.25">
      <c r="B1664" s="18"/>
      <c r="C1664" s="13"/>
      <c r="D1664" s="18"/>
      <c r="E1664" s="18"/>
      <c r="F1664" s="20"/>
      <c r="H1664" s="18"/>
    </row>
    <row r="1665" spans="2:8" x14ac:dyDescent="0.25">
      <c r="B1665" s="18"/>
      <c r="C1665" s="13"/>
      <c r="D1665" s="18"/>
      <c r="E1665" s="18"/>
      <c r="F1665" s="20"/>
      <c r="H1665" s="18"/>
    </row>
    <row r="1666" spans="2:8" x14ac:dyDescent="0.25">
      <c r="B1666" s="18"/>
      <c r="C1666" s="13"/>
      <c r="D1666" s="18"/>
      <c r="E1666" s="18"/>
      <c r="F1666" s="20"/>
      <c r="H1666" s="18"/>
    </row>
    <row r="1667" spans="2:8" x14ac:dyDescent="0.25">
      <c r="B1667" s="18"/>
      <c r="C1667" s="13"/>
      <c r="D1667" s="18"/>
      <c r="E1667" s="18"/>
      <c r="F1667" s="20"/>
      <c r="H1667" s="18"/>
    </row>
    <row r="1668" spans="2:8" x14ac:dyDescent="0.25">
      <c r="B1668" s="18"/>
      <c r="C1668" s="13"/>
      <c r="D1668" s="18"/>
      <c r="E1668" s="18"/>
      <c r="F1668" s="20"/>
      <c r="H1668" s="18"/>
    </row>
    <row r="1669" spans="2:8" x14ac:dyDescent="0.25">
      <c r="B1669" s="18"/>
      <c r="C1669" s="13"/>
      <c r="D1669" s="18"/>
      <c r="E1669" s="18"/>
      <c r="F1669" s="20"/>
      <c r="H1669" s="18"/>
    </row>
    <row r="1670" spans="2:8" x14ac:dyDescent="0.25">
      <c r="B1670" s="18"/>
      <c r="C1670" s="13"/>
      <c r="D1670" s="18"/>
      <c r="E1670" s="18"/>
      <c r="F1670" s="20"/>
      <c r="H1670" s="18"/>
    </row>
    <row r="1671" spans="2:8" x14ac:dyDescent="0.25">
      <c r="B1671" s="18"/>
      <c r="C1671" s="13"/>
      <c r="D1671" s="18"/>
      <c r="E1671" s="18"/>
      <c r="F1671" s="20"/>
      <c r="H1671" s="18"/>
    </row>
    <row r="1672" spans="2:8" x14ac:dyDescent="0.25">
      <c r="B1672" s="18"/>
      <c r="C1672" s="13"/>
      <c r="D1672" s="18"/>
      <c r="E1672" s="18"/>
      <c r="F1672" s="20"/>
      <c r="H1672" s="18"/>
    </row>
    <row r="1673" spans="2:8" x14ac:dyDescent="0.25">
      <c r="B1673" s="18"/>
      <c r="C1673" s="13"/>
      <c r="D1673" s="18"/>
      <c r="E1673" s="18"/>
      <c r="F1673" s="20"/>
      <c r="H1673" s="18"/>
    </row>
    <row r="1674" spans="2:8" x14ac:dyDescent="0.25">
      <c r="B1674" s="18"/>
      <c r="C1674" s="13"/>
      <c r="D1674" s="18"/>
      <c r="E1674" s="18"/>
      <c r="F1674" s="20"/>
      <c r="H1674" s="18"/>
    </row>
    <row r="1675" spans="2:8" x14ac:dyDescent="0.25">
      <c r="B1675" s="18"/>
      <c r="C1675" s="13"/>
      <c r="D1675" s="18"/>
      <c r="E1675" s="18"/>
      <c r="F1675" s="20"/>
      <c r="H1675" s="18"/>
    </row>
    <row r="1676" spans="2:8" x14ac:dyDescent="0.25">
      <c r="B1676" s="18"/>
      <c r="C1676" s="13"/>
      <c r="D1676" s="18"/>
      <c r="E1676" s="18"/>
      <c r="F1676" s="20"/>
      <c r="H1676" s="18"/>
    </row>
    <row r="1677" spans="2:8" x14ac:dyDescent="0.25">
      <c r="B1677" s="18"/>
      <c r="C1677" s="13"/>
      <c r="D1677" s="18"/>
      <c r="E1677" s="18"/>
      <c r="F1677" s="20"/>
      <c r="H1677" s="18"/>
    </row>
    <row r="1678" spans="2:8" x14ac:dyDescent="0.25">
      <c r="B1678" s="18"/>
      <c r="C1678" s="13"/>
      <c r="D1678" s="18"/>
      <c r="E1678" s="18"/>
      <c r="F1678" s="20"/>
      <c r="H1678" s="18"/>
    </row>
    <row r="1679" spans="2:8" x14ac:dyDescent="0.25">
      <c r="B1679" s="18"/>
      <c r="C1679" s="13"/>
      <c r="D1679" s="18"/>
      <c r="E1679" s="18"/>
      <c r="F1679" s="20"/>
      <c r="H1679" s="18"/>
    </row>
    <row r="1680" spans="2:8" x14ac:dyDescent="0.25">
      <c r="B1680" s="18"/>
      <c r="C1680" s="13"/>
      <c r="D1680" s="18"/>
      <c r="E1680" s="18"/>
      <c r="F1680" s="20"/>
      <c r="H1680" s="18"/>
    </row>
    <row r="1681" spans="2:8" x14ac:dyDescent="0.25">
      <c r="B1681" s="18"/>
      <c r="C1681" s="13"/>
      <c r="D1681" s="18"/>
      <c r="E1681" s="18"/>
      <c r="F1681" s="20"/>
      <c r="H1681" s="18"/>
    </row>
    <row r="1682" spans="2:8" x14ac:dyDescent="0.25">
      <c r="B1682" s="18"/>
      <c r="C1682" s="13"/>
      <c r="D1682" s="18"/>
      <c r="E1682" s="18"/>
      <c r="F1682" s="20"/>
      <c r="H1682" s="18"/>
    </row>
    <row r="1683" spans="2:8" x14ac:dyDescent="0.25">
      <c r="B1683" s="18"/>
      <c r="C1683" s="13"/>
      <c r="D1683" s="18"/>
      <c r="E1683" s="18"/>
      <c r="F1683" s="20"/>
      <c r="H1683" s="18"/>
    </row>
    <row r="1684" spans="2:8" x14ac:dyDescent="0.25">
      <c r="B1684" s="18"/>
      <c r="C1684" s="13"/>
      <c r="D1684" s="18"/>
      <c r="E1684" s="18"/>
      <c r="F1684" s="20"/>
      <c r="H1684" s="18"/>
    </row>
    <row r="1685" spans="2:8" x14ac:dyDescent="0.25">
      <c r="B1685" s="18"/>
      <c r="C1685" s="13"/>
      <c r="D1685" s="18"/>
      <c r="E1685" s="18"/>
      <c r="F1685" s="20"/>
      <c r="H1685" s="18"/>
    </row>
    <row r="1686" spans="2:8" x14ac:dyDescent="0.25">
      <c r="B1686" s="18"/>
      <c r="C1686" s="13"/>
      <c r="D1686" s="18"/>
      <c r="E1686" s="18"/>
      <c r="F1686" s="20"/>
      <c r="H1686" s="18"/>
    </row>
    <row r="1687" spans="2:8" x14ac:dyDescent="0.25">
      <c r="B1687" s="18"/>
      <c r="C1687" s="13"/>
      <c r="D1687" s="18"/>
      <c r="E1687" s="18"/>
      <c r="F1687" s="20"/>
      <c r="H1687" s="18"/>
    </row>
    <row r="1688" spans="2:8" x14ac:dyDescent="0.25">
      <c r="B1688" s="18"/>
      <c r="C1688" s="13"/>
      <c r="D1688" s="18"/>
      <c r="E1688" s="18"/>
      <c r="F1688" s="20"/>
      <c r="H1688" s="18"/>
    </row>
    <row r="1689" spans="2:8" x14ac:dyDescent="0.25">
      <c r="B1689" s="18"/>
      <c r="C1689" s="13"/>
      <c r="D1689" s="18"/>
      <c r="E1689" s="18"/>
      <c r="F1689" s="20"/>
      <c r="H1689" s="18"/>
    </row>
    <row r="1690" spans="2:8" x14ac:dyDescent="0.25">
      <c r="B1690" s="18"/>
      <c r="C1690" s="13"/>
      <c r="D1690" s="18"/>
      <c r="E1690" s="18"/>
      <c r="F1690" s="20"/>
      <c r="H1690" s="18"/>
    </row>
    <row r="1691" spans="2:8" x14ac:dyDescent="0.25">
      <c r="B1691" s="18"/>
      <c r="C1691" s="13"/>
      <c r="D1691" s="18"/>
      <c r="E1691" s="18"/>
      <c r="F1691" s="20"/>
      <c r="H1691" s="18"/>
    </row>
    <row r="1692" spans="2:8" x14ac:dyDescent="0.25">
      <c r="B1692" s="18"/>
      <c r="C1692" s="13"/>
      <c r="D1692" s="18"/>
      <c r="E1692" s="18"/>
      <c r="F1692" s="20"/>
      <c r="H1692" s="18"/>
    </row>
    <row r="1693" spans="2:8" x14ac:dyDescent="0.25">
      <c r="B1693" s="18"/>
      <c r="C1693" s="13"/>
      <c r="D1693" s="18"/>
      <c r="E1693" s="18"/>
      <c r="F1693" s="20"/>
      <c r="H1693" s="18"/>
    </row>
    <row r="1694" spans="2:8" x14ac:dyDescent="0.25">
      <c r="B1694" s="18"/>
      <c r="C1694" s="13"/>
      <c r="D1694" s="18"/>
      <c r="E1694" s="18"/>
      <c r="F1694" s="20"/>
      <c r="H1694" s="18"/>
    </row>
    <row r="1695" spans="2:8" x14ac:dyDescent="0.25">
      <c r="B1695" s="18"/>
      <c r="C1695" s="13"/>
      <c r="D1695" s="18"/>
      <c r="E1695" s="18"/>
      <c r="F1695" s="20"/>
      <c r="H1695" s="18"/>
    </row>
    <row r="1696" spans="2:8" x14ac:dyDescent="0.25">
      <c r="B1696" s="18"/>
      <c r="C1696" s="13"/>
      <c r="D1696" s="18"/>
      <c r="E1696" s="18"/>
      <c r="F1696" s="20"/>
      <c r="H1696" s="18"/>
    </row>
    <row r="1697" spans="2:8" x14ac:dyDescent="0.25">
      <c r="B1697" s="18"/>
      <c r="C1697" s="13"/>
      <c r="D1697" s="18"/>
      <c r="E1697" s="18"/>
      <c r="F1697" s="20"/>
      <c r="H1697" s="18"/>
    </row>
    <row r="1698" spans="2:8" x14ac:dyDescent="0.25">
      <c r="B1698" s="18"/>
      <c r="C1698" s="13"/>
      <c r="D1698" s="18"/>
      <c r="E1698" s="18"/>
      <c r="F1698" s="20"/>
      <c r="H1698" s="18"/>
    </row>
    <row r="1699" spans="2:8" x14ac:dyDescent="0.25">
      <c r="B1699" s="18"/>
      <c r="C1699" s="13"/>
      <c r="D1699" s="18"/>
      <c r="E1699" s="18"/>
      <c r="F1699" s="20"/>
      <c r="H1699" s="18"/>
    </row>
    <row r="1700" spans="2:8" x14ac:dyDescent="0.25">
      <c r="B1700" s="18"/>
      <c r="C1700" s="13"/>
      <c r="D1700" s="18"/>
      <c r="E1700" s="18"/>
      <c r="F1700" s="20"/>
      <c r="H1700" s="18"/>
    </row>
    <row r="1701" spans="2:8" x14ac:dyDescent="0.25">
      <c r="B1701" s="18"/>
      <c r="C1701" s="13"/>
      <c r="D1701" s="18"/>
      <c r="E1701" s="18"/>
      <c r="F1701" s="20"/>
      <c r="H1701" s="18"/>
    </row>
    <row r="1702" spans="2:8" x14ac:dyDescent="0.25">
      <c r="B1702" s="18"/>
      <c r="C1702" s="13"/>
      <c r="D1702" s="18"/>
      <c r="E1702" s="18"/>
      <c r="F1702" s="20"/>
      <c r="H1702" s="18"/>
    </row>
    <row r="1703" spans="2:8" x14ac:dyDescent="0.25">
      <c r="B1703" s="18"/>
      <c r="C1703" s="13"/>
      <c r="D1703" s="18"/>
      <c r="E1703" s="18"/>
      <c r="F1703" s="20"/>
      <c r="H1703" s="18"/>
    </row>
    <row r="1704" spans="2:8" x14ac:dyDescent="0.25">
      <c r="B1704" s="18"/>
      <c r="C1704" s="13"/>
      <c r="D1704" s="18"/>
      <c r="E1704" s="18"/>
      <c r="F1704" s="20"/>
      <c r="H1704" s="18"/>
    </row>
    <row r="1705" spans="2:8" x14ac:dyDescent="0.25">
      <c r="B1705" s="18"/>
      <c r="C1705" s="13"/>
      <c r="D1705" s="18"/>
      <c r="E1705" s="18"/>
      <c r="F1705" s="20"/>
      <c r="H1705" s="18"/>
    </row>
    <row r="1706" spans="2:8" x14ac:dyDescent="0.25">
      <c r="B1706" s="18"/>
      <c r="C1706" s="13"/>
      <c r="D1706" s="18"/>
      <c r="E1706" s="18"/>
      <c r="F1706" s="20"/>
      <c r="H1706" s="18"/>
    </row>
    <row r="1707" spans="2:8" x14ac:dyDescent="0.25">
      <c r="B1707" s="18"/>
      <c r="C1707" s="13"/>
      <c r="D1707" s="18"/>
      <c r="E1707" s="18"/>
      <c r="F1707" s="20"/>
      <c r="H1707" s="18"/>
    </row>
    <row r="1708" spans="2:8" x14ac:dyDescent="0.25">
      <c r="B1708" s="18"/>
      <c r="C1708" s="13"/>
      <c r="D1708" s="18"/>
      <c r="E1708" s="18"/>
      <c r="F1708" s="20"/>
      <c r="H1708" s="18"/>
    </row>
    <row r="1709" spans="2:8" x14ac:dyDescent="0.25">
      <c r="B1709" s="18"/>
      <c r="C1709" s="13"/>
      <c r="D1709" s="18"/>
      <c r="E1709" s="18"/>
      <c r="F1709" s="20"/>
      <c r="H1709" s="18"/>
    </row>
    <row r="1710" spans="2:8" x14ac:dyDescent="0.25">
      <c r="B1710" s="18"/>
      <c r="C1710" s="13"/>
      <c r="D1710" s="18"/>
      <c r="E1710" s="18"/>
      <c r="F1710" s="20"/>
      <c r="H1710" s="18"/>
    </row>
    <row r="1711" spans="2:8" x14ac:dyDescent="0.25">
      <c r="B1711" s="18"/>
      <c r="C1711" s="13"/>
      <c r="D1711" s="18"/>
      <c r="E1711" s="18"/>
      <c r="F1711" s="20"/>
      <c r="H1711" s="18"/>
    </row>
    <row r="1712" spans="2:8" x14ac:dyDescent="0.25">
      <c r="B1712" s="18"/>
      <c r="C1712" s="13"/>
      <c r="D1712" s="18"/>
      <c r="E1712" s="18"/>
      <c r="F1712" s="20"/>
      <c r="H1712" s="18"/>
    </row>
    <row r="1713" spans="2:8" x14ac:dyDescent="0.25">
      <c r="B1713" s="18"/>
      <c r="C1713" s="13"/>
      <c r="D1713" s="18"/>
      <c r="E1713" s="18"/>
      <c r="F1713" s="20"/>
      <c r="H1713" s="18"/>
    </row>
    <row r="1714" spans="2:8" x14ac:dyDescent="0.25">
      <c r="B1714" s="18"/>
      <c r="C1714" s="13"/>
      <c r="D1714" s="18"/>
      <c r="E1714" s="18"/>
      <c r="F1714" s="20"/>
      <c r="H1714" s="18"/>
    </row>
    <row r="1715" spans="2:8" x14ac:dyDescent="0.25">
      <c r="B1715" s="18"/>
      <c r="C1715" s="13"/>
      <c r="D1715" s="18"/>
      <c r="E1715" s="18"/>
      <c r="F1715" s="20"/>
      <c r="H1715" s="18"/>
    </row>
    <row r="1716" spans="2:8" x14ac:dyDescent="0.25">
      <c r="B1716" s="18"/>
      <c r="C1716" s="13"/>
      <c r="D1716" s="18"/>
      <c r="E1716" s="18"/>
      <c r="F1716" s="20"/>
      <c r="H1716" s="18"/>
    </row>
    <row r="1717" spans="2:8" x14ac:dyDescent="0.25">
      <c r="B1717" s="18"/>
      <c r="C1717" s="13"/>
      <c r="D1717" s="18"/>
      <c r="E1717" s="18"/>
      <c r="F1717" s="20"/>
      <c r="H1717" s="18"/>
    </row>
    <row r="1718" spans="2:8" x14ac:dyDescent="0.25">
      <c r="B1718" s="18"/>
      <c r="C1718" s="13"/>
      <c r="D1718" s="18"/>
      <c r="E1718" s="18"/>
      <c r="F1718" s="20"/>
      <c r="H1718" s="18"/>
    </row>
    <row r="1719" spans="2:8" x14ac:dyDescent="0.25">
      <c r="B1719" s="18"/>
      <c r="C1719" s="13"/>
      <c r="D1719" s="18"/>
      <c r="E1719" s="18"/>
      <c r="F1719" s="20"/>
      <c r="H1719" s="18"/>
    </row>
    <row r="1720" spans="2:8" x14ac:dyDescent="0.25">
      <c r="B1720" s="18"/>
      <c r="C1720" s="13"/>
      <c r="D1720" s="18"/>
      <c r="E1720" s="18"/>
      <c r="F1720" s="20"/>
      <c r="H1720" s="18"/>
    </row>
    <row r="1721" spans="2:8" x14ac:dyDescent="0.25">
      <c r="B1721" s="18"/>
      <c r="C1721" s="13"/>
      <c r="D1721" s="18"/>
      <c r="E1721" s="18"/>
      <c r="F1721" s="20"/>
      <c r="H1721" s="18"/>
    </row>
    <row r="1722" spans="2:8" x14ac:dyDescent="0.25">
      <c r="B1722" s="18"/>
      <c r="C1722" s="13"/>
      <c r="D1722" s="18"/>
      <c r="E1722" s="18"/>
      <c r="F1722" s="20"/>
      <c r="H1722" s="18"/>
    </row>
    <row r="1723" spans="2:8" x14ac:dyDescent="0.25">
      <c r="B1723" s="18"/>
      <c r="C1723" s="13"/>
      <c r="D1723" s="18"/>
      <c r="E1723" s="18"/>
      <c r="F1723" s="20"/>
      <c r="H1723" s="18"/>
    </row>
    <row r="1724" spans="2:8" x14ac:dyDescent="0.25">
      <c r="B1724" s="18"/>
      <c r="C1724" s="13"/>
      <c r="D1724" s="18"/>
      <c r="E1724" s="18"/>
      <c r="F1724" s="20"/>
      <c r="H1724" s="18"/>
    </row>
    <row r="1725" spans="2:8" x14ac:dyDescent="0.25">
      <c r="B1725" s="18"/>
      <c r="C1725" s="13"/>
      <c r="D1725" s="18"/>
      <c r="E1725" s="18"/>
      <c r="F1725" s="20"/>
      <c r="H1725" s="18"/>
    </row>
    <row r="1726" spans="2:8" x14ac:dyDescent="0.25">
      <c r="B1726" s="18"/>
      <c r="C1726" s="13"/>
      <c r="D1726" s="18"/>
      <c r="E1726" s="18"/>
      <c r="F1726" s="20"/>
      <c r="H1726" s="18"/>
    </row>
    <row r="1727" spans="2:8" x14ac:dyDescent="0.25">
      <c r="B1727" s="18"/>
      <c r="C1727" s="13"/>
      <c r="D1727" s="18"/>
      <c r="E1727" s="18"/>
      <c r="F1727" s="20"/>
      <c r="H1727" s="18"/>
    </row>
    <row r="1728" spans="2:8" x14ac:dyDescent="0.25">
      <c r="B1728" s="18"/>
      <c r="C1728" s="13"/>
      <c r="D1728" s="18"/>
      <c r="E1728" s="18"/>
      <c r="F1728" s="20"/>
      <c r="H1728" s="18"/>
    </row>
    <row r="1729" spans="2:8" x14ac:dyDescent="0.25">
      <c r="B1729" s="18"/>
      <c r="C1729" s="13"/>
      <c r="D1729" s="18"/>
      <c r="E1729" s="18"/>
      <c r="F1729" s="20"/>
      <c r="H1729" s="18"/>
    </row>
    <row r="1730" spans="2:8" x14ac:dyDescent="0.25">
      <c r="B1730" s="18"/>
      <c r="C1730" s="13"/>
      <c r="D1730" s="18"/>
      <c r="E1730" s="18"/>
      <c r="F1730" s="20"/>
      <c r="H1730" s="18"/>
    </row>
    <row r="1731" spans="2:8" x14ac:dyDescent="0.25">
      <c r="B1731" s="18"/>
      <c r="C1731" s="13"/>
      <c r="D1731" s="18"/>
      <c r="E1731" s="18"/>
      <c r="F1731" s="20"/>
      <c r="H1731" s="18"/>
    </row>
    <row r="1732" spans="2:8" x14ac:dyDescent="0.25">
      <c r="B1732" s="18"/>
      <c r="C1732" s="13"/>
      <c r="D1732" s="18"/>
      <c r="E1732" s="18"/>
      <c r="F1732" s="20"/>
      <c r="H1732" s="18"/>
    </row>
    <row r="1733" spans="2:8" x14ac:dyDescent="0.25">
      <c r="B1733" s="18"/>
      <c r="C1733" s="13"/>
      <c r="D1733" s="18"/>
      <c r="E1733" s="18"/>
      <c r="F1733" s="20"/>
      <c r="H1733" s="18"/>
    </row>
    <row r="1734" spans="2:8" x14ac:dyDescent="0.25">
      <c r="B1734" s="18"/>
      <c r="C1734" s="13"/>
      <c r="D1734" s="18"/>
      <c r="E1734" s="18"/>
      <c r="F1734" s="20"/>
      <c r="H1734" s="18"/>
    </row>
    <row r="1735" spans="2:8" x14ac:dyDescent="0.25">
      <c r="B1735" s="18"/>
      <c r="C1735" s="13"/>
      <c r="D1735" s="18"/>
      <c r="E1735" s="18"/>
      <c r="F1735" s="20"/>
      <c r="H1735" s="18"/>
    </row>
    <row r="1736" spans="2:8" x14ac:dyDescent="0.25">
      <c r="B1736" s="18"/>
      <c r="C1736" s="13"/>
      <c r="D1736" s="18"/>
      <c r="E1736" s="18"/>
      <c r="F1736" s="20"/>
      <c r="H1736" s="18"/>
    </row>
    <row r="1737" spans="2:8" x14ac:dyDescent="0.25">
      <c r="B1737" s="18"/>
      <c r="C1737" s="13"/>
      <c r="D1737" s="18"/>
      <c r="E1737" s="18"/>
      <c r="F1737" s="20"/>
      <c r="H1737" s="18"/>
    </row>
    <row r="1738" spans="2:8" x14ac:dyDescent="0.25">
      <c r="B1738" s="18"/>
      <c r="C1738" s="13"/>
      <c r="D1738" s="18"/>
      <c r="E1738" s="18"/>
      <c r="F1738" s="20"/>
      <c r="H1738" s="18"/>
    </row>
    <row r="1739" spans="2:8" x14ac:dyDescent="0.25">
      <c r="B1739" s="18"/>
      <c r="C1739" s="13"/>
      <c r="D1739" s="18"/>
      <c r="E1739" s="18"/>
      <c r="F1739" s="20"/>
      <c r="H1739" s="18"/>
    </row>
    <row r="1740" spans="2:8" x14ac:dyDescent="0.25">
      <c r="B1740" s="18"/>
      <c r="C1740" s="13"/>
      <c r="D1740" s="18"/>
      <c r="E1740" s="18"/>
      <c r="F1740" s="20"/>
      <c r="H1740" s="18"/>
    </row>
    <row r="1741" spans="2:8" x14ac:dyDescent="0.25">
      <c r="B1741" s="18"/>
      <c r="C1741" s="13"/>
      <c r="D1741" s="18"/>
      <c r="E1741" s="18"/>
      <c r="F1741" s="20"/>
      <c r="H1741" s="18"/>
    </row>
    <row r="1742" spans="2:8" x14ac:dyDescent="0.25">
      <c r="B1742" s="18"/>
      <c r="C1742" s="13"/>
      <c r="D1742" s="18"/>
      <c r="E1742" s="18"/>
      <c r="F1742" s="20"/>
      <c r="H1742" s="18"/>
    </row>
    <row r="1743" spans="2:8" x14ac:dyDescent="0.25">
      <c r="B1743" s="18"/>
      <c r="C1743" s="13"/>
      <c r="D1743" s="18"/>
      <c r="E1743" s="18"/>
      <c r="F1743" s="20"/>
      <c r="H1743" s="18"/>
    </row>
    <row r="1744" spans="2:8" x14ac:dyDescent="0.25">
      <c r="B1744" s="18"/>
      <c r="C1744" s="13"/>
      <c r="D1744" s="18"/>
      <c r="E1744" s="18"/>
      <c r="F1744" s="20"/>
      <c r="H1744" s="18"/>
    </row>
    <row r="1745" spans="2:8" x14ac:dyDescent="0.25">
      <c r="B1745" s="18"/>
      <c r="C1745" s="13"/>
      <c r="D1745" s="18"/>
      <c r="E1745" s="18"/>
      <c r="F1745" s="20"/>
      <c r="H1745" s="18"/>
    </row>
    <row r="1746" spans="2:8" x14ac:dyDescent="0.25">
      <c r="B1746" s="18"/>
      <c r="C1746" s="13"/>
      <c r="D1746" s="18"/>
      <c r="E1746" s="18"/>
      <c r="F1746" s="20"/>
      <c r="H1746" s="18"/>
    </row>
    <row r="1747" spans="2:8" x14ac:dyDescent="0.25">
      <c r="B1747" s="18"/>
      <c r="C1747" s="13"/>
      <c r="D1747" s="18"/>
      <c r="E1747" s="18"/>
      <c r="F1747" s="20"/>
      <c r="H1747" s="18"/>
    </row>
    <row r="1748" spans="2:8" x14ac:dyDescent="0.25">
      <c r="B1748" s="18"/>
      <c r="C1748" s="13"/>
      <c r="D1748" s="18"/>
      <c r="E1748" s="18"/>
      <c r="F1748" s="20"/>
      <c r="H1748" s="18"/>
    </row>
    <row r="1749" spans="2:8" x14ac:dyDescent="0.25">
      <c r="B1749" s="18"/>
      <c r="C1749" s="13"/>
      <c r="D1749" s="18"/>
      <c r="E1749" s="18"/>
      <c r="F1749" s="20"/>
      <c r="H1749" s="18"/>
    </row>
    <row r="1750" spans="2:8" x14ac:dyDescent="0.25">
      <c r="B1750" s="18"/>
      <c r="C1750" s="13"/>
      <c r="D1750" s="18"/>
      <c r="E1750" s="18"/>
      <c r="F1750" s="20"/>
      <c r="H1750" s="18"/>
    </row>
    <row r="1751" spans="2:8" x14ac:dyDescent="0.25">
      <c r="B1751" s="18"/>
      <c r="C1751" s="13"/>
      <c r="D1751" s="18"/>
      <c r="E1751" s="18"/>
      <c r="F1751" s="20"/>
      <c r="H1751" s="18"/>
    </row>
    <row r="1752" spans="2:8" x14ac:dyDescent="0.25">
      <c r="B1752" s="18"/>
      <c r="C1752" s="13"/>
      <c r="D1752" s="18"/>
      <c r="E1752" s="18"/>
      <c r="F1752" s="20"/>
      <c r="H1752" s="18"/>
    </row>
    <row r="1753" spans="2:8" x14ac:dyDescent="0.25">
      <c r="B1753" s="18"/>
      <c r="C1753" s="13"/>
      <c r="D1753" s="18"/>
      <c r="E1753" s="18"/>
      <c r="F1753" s="20"/>
      <c r="H1753" s="18"/>
    </row>
    <row r="1754" spans="2:8" x14ac:dyDescent="0.25">
      <c r="B1754" s="18"/>
      <c r="C1754" s="13"/>
      <c r="D1754" s="18"/>
      <c r="E1754" s="18"/>
      <c r="F1754" s="20"/>
      <c r="H1754" s="18"/>
    </row>
    <row r="1755" spans="2:8" x14ac:dyDescent="0.25">
      <c r="B1755" s="18"/>
      <c r="C1755" s="13"/>
      <c r="D1755" s="18"/>
      <c r="E1755" s="18"/>
      <c r="F1755" s="20"/>
      <c r="H1755" s="18"/>
    </row>
    <row r="1756" spans="2:8" x14ac:dyDescent="0.25">
      <c r="B1756" s="18"/>
      <c r="C1756" s="13"/>
      <c r="D1756" s="18"/>
      <c r="E1756" s="18"/>
      <c r="F1756" s="20"/>
      <c r="H1756" s="18"/>
    </row>
    <row r="1757" spans="2:8" x14ac:dyDescent="0.25">
      <c r="B1757" s="18"/>
      <c r="C1757" s="13"/>
      <c r="D1757" s="18"/>
      <c r="E1757" s="18"/>
      <c r="F1757" s="20"/>
      <c r="H1757" s="18"/>
    </row>
    <row r="1758" spans="2:8" x14ac:dyDescent="0.25">
      <c r="B1758" s="18"/>
      <c r="C1758" s="13"/>
      <c r="D1758" s="18"/>
      <c r="E1758" s="18"/>
      <c r="F1758" s="20"/>
      <c r="H1758" s="18"/>
    </row>
    <row r="1759" spans="2:8" x14ac:dyDescent="0.25">
      <c r="B1759" s="18"/>
      <c r="C1759" s="13"/>
      <c r="D1759" s="18"/>
      <c r="E1759" s="18"/>
      <c r="F1759" s="20"/>
      <c r="H1759" s="18"/>
    </row>
    <row r="1760" spans="2:8" x14ac:dyDescent="0.25">
      <c r="B1760" s="18"/>
      <c r="C1760" s="13"/>
      <c r="D1760" s="18"/>
      <c r="E1760" s="18"/>
      <c r="F1760" s="20"/>
      <c r="H1760" s="18"/>
    </row>
    <row r="1761" spans="2:8" x14ac:dyDescent="0.25">
      <c r="B1761" s="18"/>
      <c r="C1761" s="13"/>
      <c r="D1761" s="18"/>
      <c r="E1761" s="18"/>
      <c r="F1761" s="20"/>
      <c r="H1761" s="18"/>
    </row>
    <row r="1762" spans="2:8" x14ac:dyDescent="0.25">
      <c r="B1762" s="18"/>
      <c r="C1762" s="13"/>
      <c r="D1762" s="18"/>
      <c r="E1762" s="18"/>
      <c r="F1762" s="20"/>
      <c r="H1762" s="18"/>
    </row>
    <row r="1763" spans="2:8" x14ac:dyDescent="0.25">
      <c r="B1763" s="18"/>
      <c r="C1763" s="13"/>
      <c r="D1763" s="18"/>
      <c r="E1763" s="18"/>
      <c r="F1763" s="20"/>
      <c r="H1763" s="18"/>
    </row>
    <row r="1764" spans="2:8" x14ac:dyDescent="0.25">
      <c r="B1764" s="18"/>
      <c r="C1764" s="13"/>
      <c r="D1764" s="18"/>
      <c r="E1764" s="18"/>
      <c r="F1764" s="20"/>
      <c r="H1764" s="18"/>
    </row>
    <row r="1765" spans="2:8" x14ac:dyDescent="0.25">
      <c r="B1765" s="18"/>
      <c r="C1765" s="13"/>
      <c r="D1765" s="18"/>
      <c r="E1765" s="18"/>
      <c r="F1765" s="20"/>
      <c r="H1765" s="18"/>
    </row>
    <row r="1766" spans="2:8" x14ac:dyDescent="0.25">
      <c r="B1766" s="18"/>
      <c r="C1766" s="13"/>
      <c r="D1766" s="18"/>
      <c r="E1766" s="18"/>
      <c r="F1766" s="20"/>
      <c r="H1766" s="18"/>
    </row>
    <row r="1767" spans="2:8" x14ac:dyDescent="0.25">
      <c r="B1767" s="18"/>
      <c r="C1767" s="13"/>
      <c r="D1767" s="18"/>
      <c r="E1767" s="18"/>
      <c r="F1767" s="20"/>
      <c r="H1767" s="18"/>
    </row>
    <row r="1768" spans="2:8" x14ac:dyDescent="0.25">
      <c r="B1768" s="18"/>
      <c r="C1768" s="13"/>
      <c r="D1768" s="18"/>
      <c r="E1768" s="18"/>
      <c r="F1768" s="20"/>
      <c r="H1768" s="18"/>
    </row>
    <row r="1769" spans="2:8" x14ac:dyDescent="0.25">
      <c r="B1769" s="18"/>
      <c r="C1769" s="13"/>
      <c r="D1769" s="18"/>
      <c r="E1769" s="18"/>
      <c r="F1769" s="20"/>
      <c r="H1769" s="18"/>
    </row>
    <row r="1770" spans="2:8" x14ac:dyDescent="0.25">
      <c r="B1770" s="18"/>
      <c r="C1770" s="13"/>
      <c r="D1770" s="18"/>
      <c r="E1770" s="18"/>
      <c r="F1770" s="20"/>
      <c r="H1770" s="18"/>
    </row>
    <row r="1771" spans="2:8" x14ac:dyDescent="0.25">
      <c r="B1771" s="18"/>
      <c r="C1771" s="13"/>
      <c r="D1771" s="18"/>
      <c r="E1771" s="18"/>
      <c r="F1771" s="20"/>
      <c r="H1771" s="18"/>
    </row>
    <row r="1772" spans="2:8" x14ac:dyDescent="0.25">
      <c r="B1772" s="18"/>
      <c r="C1772" s="13"/>
      <c r="D1772" s="18"/>
      <c r="E1772" s="18"/>
      <c r="F1772" s="20"/>
      <c r="H1772" s="18"/>
    </row>
    <row r="1773" spans="2:8" x14ac:dyDescent="0.25">
      <c r="B1773" s="18"/>
      <c r="C1773" s="13"/>
      <c r="D1773" s="18"/>
      <c r="E1773" s="18"/>
      <c r="F1773" s="20"/>
      <c r="H1773" s="18"/>
    </row>
    <row r="1774" spans="2:8" x14ac:dyDescent="0.25">
      <c r="B1774" s="18"/>
      <c r="C1774" s="13"/>
      <c r="D1774" s="18"/>
      <c r="E1774" s="18"/>
      <c r="F1774" s="20"/>
      <c r="H1774" s="18"/>
    </row>
    <row r="1775" spans="2:8" x14ac:dyDescent="0.25">
      <c r="B1775" s="18"/>
      <c r="C1775" s="13"/>
      <c r="D1775" s="18"/>
      <c r="E1775" s="18"/>
      <c r="F1775" s="20"/>
      <c r="H1775" s="18"/>
    </row>
    <row r="1776" spans="2:8" x14ac:dyDescent="0.25">
      <c r="B1776" s="18"/>
      <c r="C1776" s="13"/>
      <c r="D1776" s="18"/>
      <c r="E1776" s="18"/>
      <c r="F1776" s="20"/>
      <c r="H1776" s="18"/>
    </row>
    <row r="1777" spans="2:8" x14ac:dyDescent="0.25">
      <c r="B1777" s="18"/>
      <c r="C1777" s="13"/>
      <c r="D1777" s="18"/>
      <c r="E1777" s="18"/>
      <c r="F1777" s="20"/>
      <c r="H1777" s="18"/>
    </row>
    <row r="1778" spans="2:8" x14ac:dyDescent="0.25">
      <c r="B1778" s="18"/>
      <c r="C1778" s="13"/>
      <c r="D1778" s="18"/>
      <c r="E1778" s="18"/>
      <c r="F1778" s="20"/>
      <c r="H1778" s="18"/>
    </row>
    <row r="1779" spans="2:8" x14ac:dyDescent="0.25">
      <c r="B1779" s="18"/>
      <c r="C1779" s="13"/>
      <c r="D1779" s="18"/>
      <c r="E1779" s="18"/>
      <c r="F1779" s="20"/>
      <c r="H1779" s="18"/>
    </row>
    <row r="1780" spans="2:8" x14ac:dyDescent="0.25">
      <c r="B1780" s="18"/>
      <c r="C1780" s="13"/>
      <c r="D1780" s="18"/>
      <c r="E1780" s="18"/>
      <c r="F1780" s="20"/>
      <c r="H1780" s="18"/>
    </row>
    <row r="1781" spans="2:8" x14ac:dyDescent="0.25">
      <c r="B1781" s="18"/>
      <c r="C1781" s="13"/>
      <c r="D1781" s="18"/>
      <c r="E1781" s="18"/>
      <c r="F1781" s="20"/>
      <c r="H1781" s="18"/>
    </row>
    <row r="1782" spans="2:8" x14ac:dyDescent="0.25">
      <c r="B1782" s="18"/>
      <c r="C1782" s="13"/>
      <c r="D1782" s="18"/>
      <c r="E1782" s="18"/>
      <c r="F1782" s="20"/>
      <c r="H1782" s="18"/>
    </row>
    <row r="1783" spans="2:8" x14ac:dyDescent="0.25">
      <c r="B1783" s="18"/>
      <c r="C1783" s="13"/>
      <c r="D1783" s="18"/>
      <c r="E1783" s="18"/>
      <c r="F1783" s="20"/>
      <c r="H1783" s="18"/>
    </row>
    <row r="1784" spans="2:8" x14ac:dyDescent="0.25">
      <c r="B1784" s="18"/>
      <c r="C1784" s="13"/>
      <c r="D1784" s="18"/>
      <c r="E1784" s="18"/>
      <c r="F1784" s="20"/>
      <c r="H1784" s="18"/>
    </row>
    <row r="1785" spans="2:8" x14ac:dyDescent="0.25">
      <c r="B1785" s="18"/>
      <c r="C1785" s="13"/>
      <c r="D1785" s="18"/>
      <c r="E1785" s="18"/>
      <c r="F1785" s="20"/>
      <c r="H1785" s="18"/>
    </row>
    <row r="1786" spans="2:8" x14ac:dyDescent="0.25">
      <c r="B1786" s="18"/>
      <c r="C1786" s="13"/>
      <c r="D1786" s="18"/>
      <c r="E1786" s="18"/>
      <c r="F1786" s="20"/>
      <c r="H1786" s="18"/>
    </row>
    <row r="1787" spans="2:8" x14ac:dyDescent="0.25">
      <c r="B1787" s="18"/>
      <c r="C1787" s="13"/>
      <c r="D1787" s="18"/>
      <c r="E1787" s="18"/>
      <c r="F1787" s="20"/>
      <c r="H1787" s="18"/>
    </row>
    <row r="1788" spans="2:8" x14ac:dyDescent="0.25">
      <c r="B1788" s="18"/>
      <c r="C1788" s="13"/>
      <c r="D1788" s="18"/>
      <c r="E1788" s="18"/>
      <c r="F1788" s="20"/>
      <c r="H1788" s="18"/>
    </row>
    <row r="1789" spans="2:8" x14ac:dyDescent="0.25">
      <c r="B1789" s="18"/>
      <c r="C1789" s="13"/>
      <c r="D1789" s="18"/>
      <c r="E1789" s="18"/>
      <c r="F1789" s="20"/>
      <c r="H1789" s="18"/>
    </row>
    <row r="1790" spans="2:8" x14ac:dyDescent="0.25">
      <c r="B1790" s="18"/>
      <c r="C1790" s="13"/>
      <c r="D1790" s="18"/>
      <c r="E1790" s="18"/>
      <c r="F1790" s="20"/>
      <c r="H1790" s="18"/>
    </row>
    <row r="1791" spans="2:8" x14ac:dyDescent="0.25">
      <c r="B1791" s="18"/>
      <c r="C1791" s="13"/>
      <c r="D1791" s="18"/>
      <c r="E1791" s="18"/>
      <c r="F1791" s="20"/>
      <c r="H1791" s="18"/>
    </row>
    <row r="1792" spans="2:8" x14ac:dyDescent="0.25">
      <c r="B1792" s="18"/>
      <c r="C1792" s="13"/>
      <c r="D1792" s="18"/>
      <c r="E1792" s="18"/>
      <c r="F1792" s="20"/>
      <c r="H1792" s="18"/>
    </row>
    <row r="1793" spans="2:8" x14ac:dyDescent="0.25">
      <c r="B1793" s="18"/>
      <c r="C1793" s="13"/>
      <c r="D1793" s="18"/>
      <c r="E1793" s="18"/>
      <c r="F1793" s="20"/>
      <c r="H1793" s="18"/>
    </row>
    <row r="1794" spans="2:8" x14ac:dyDescent="0.25">
      <c r="B1794" s="18"/>
      <c r="C1794" s="13"/>
      <c r="D1794" s="18"/>
      <c r="E1794" s="18"/>
      <c r="F1794" s="20"/>
      <c r="H1794" s="18"/>
    </row>
    <row r="1795" spans="2:8" x14ac:dyDescent="0.25">
      <c r="B1795" s="18"/>
      <c r="C1795" s="13"/>
      <c r="D1795" s="18"/>
      <c r="E1795" s="18"/>
      <c r="F1795" s="20"/>
      <c r="H1795" s="18"/>
    </row>
    <row r="1796" spans="2:8" x14ac:dyDescent="0.25">
      <c r="B1796" s="18"/>
      <c r="C1796" s="13"/>
      <c r="D1796" s="18"/>
      <c r="E1796" s="18"/>
      <c r="F1796" s="20"/>
      <c r="H1796" s="18"/>
    </row>
    <row r="1797" spans="2:8" x14ac:dyDescent="0.25">
      <c r="B1797" s="18"/>
      <c r="C1797" s="13"/>
      <c r="D1797" s="18"/>
      <c r="E1797" s="18"/>
      <c r="F1797" s="20"/>
      <c r="H1797" s="18"/>
    </row>
    <row r="1798" spans="2:8" x14ac:dyDescent="0.25">
      <c r="B1798" s="18"/>
      <c r="C1798" s="13"/>
      <c r="D1798" s="18"/>
      <c r="E1798" s="18"/>
      <c r="F1798" s="20"/>
      <c r="H1798" s="18"/>
    </row>
    <row r="1799" spans="2:8" x14ac:dyDescent="0.25">
      <c r="B1799" s="18"/>
      <c r="C1799" s="13"/>
      <c r="D1799" s="18"/>
      <c r="E1799" s="18"/>
      <c r="F1799" s="20"/>
      <c r="H1799" s="18"/>
    </row>
    <row r="1800" spans="2:8" x14ac:dyDescent="0.25">
      <c r="B1800" s="18"/>
      <c r="C1800" s="13"/>
      <c r="D1800" s="18"/>
      <c r="E1800" s="18"/>
      <c r="F1800" s="20"/>
      <c r="H1800" s="18"/>
    </row>
    <row r="1801" spans="2:8" x14ac:dyDescent="0.25">
      <c r="B1801" s="18"/>
      <c r="C1801" s="13"/>
      <c r="D1801" s="18"/>
      <c r="E1801" s="18"/>
      <c r="F1801" s="20"/>
      <c r="H1801" s="18"/>
    </row>
    <row r="1802" spans="2:8" x14ac:dyDescent="0.25">
      <c r="B1802" s="18"/>
      <c r="C1802" s="13"/>
      <c r="D1802" s="18"/>
      <c r="E1802" s="18"/>
      <c r="F1802" s="20"/>
      <c r="H1802" s="18"/>
    </row>
    <row r="1803" spans="2:8" x14ac:dyDescent="0.25">
      <c r="B1803" s="18"/>
      <c r="C1803" s="13"/>
      <c r="D1803" s="18"/>
      <c r="E1803" s="18"/>
      <c r="F1803" s="20"/>
      <c r="H1803" s="18"/>
    </row>
    <row r="1804" spans="2:8" x14ac:dyDescent="0.25">
      <c r="B1804" s="18"/>
      <c r="C1804" s="13"/>
      <c r="D1804" s="18"/>
      <c r="E1804" s="18"/>
      <c r="F1804" s="20"/>
      <c r="H1804" s="18"/>
    </row>
    <row r="1805" spans="2:8" x14ac:dyDescent="0.25">
      <c r="B1805" s="18"/>
      <c r="C1805" s="13"/>
      <c r="D1805" s="18"/>
      <c r="E1805" s="18"/>
      <c r="F1805" s="20"/>
      <c r="H1805" s="18"/>
    </row>
    <row r="1806" spans="2:8" x14ac:dyDescent="0.25">
      <c r="B1806" s="18"/>
      <c r="C1806" s="13"/>
      <c r="D1806" s="18"/>
      <c r="E1806" s="18"/>
      <c r="F1806" s="20"/>
      <c r="H1806" s="18"/>
    </row>
    <row r="1807" spans="2:8" x14ac:dyDescent="0.25">
      <c r="B1807" s="18"/>
      <c r="C1807" s="13"/>
      <c r="D1807" s="18"/>
      <c r="E1807" s="18"/>
      <c r="F1807" s="20"/>
      <c r="H1807" s="18"/>
    </row>
    <row r="1808" spans="2:8" x14ac:dyDescent="0.25">
      <c r="B1808" s="18"/>
      <c r="C1808" s="13"/>
      <c r="D1808" s="18"/>
      <c r="E1808" s="18"/>
      <c r="F1808" s="20"/>
      <c r="H1808" s="18"/>
    </row>
    <row r="1809" spans="2:8" x14ac:dyDescent="0.25">
      <c r="B1809" s="18"/>
      <c r="C1809" s="13"/>
      <c r="D1809" s="18"/>
      <c r="E1809" s="18"/>
      <c r="F1809" s="20"/>
      <c r="H1809" s="18"/>
    </row>
    <row r="1810" spans="2:8" x14ac:dyDescent="0.25">
      <c r="B1810" s="18"/>
      <c r="C1810" s="13"/>
      <c r="D1810" s="18"/>
      <c r="E1810" s="18"/>
      <c r="F1810" s="20"/>
      <c r="H1810" s="18"/>
    </row>
    <row r="1811" spans="2:8" x14ac:dyDescent="0.25">
      <c r="B1811" s="18"/>
      <c r="C1811" s="13"/>
      <c r="D1811" s="18"/>
      <c r="E1811" s="18"/>
      <c r="F1811" s="20"/>
      <c r="H1811" s="18"/>
    </row>
    <row r="1812" spans="2:8" x14ac:dyDescent="0.25">
      <c r="B1812" s="18"/>
      <c r="C1812" s="13"/>
      <c r="D1812" s="18"/>
      <c r="E1812" s="18"/>
      <c r="F1812" s="20"/>
      <c r="H1812" s="18"/>
    </row>
    <row r="1813" spans="2:8" x14ac:dyDescent="0.25">
      <c r="B1813" s="18"/>
      <c r="C1813" s="13"/>
      <c r="D1813" s="18"/>
      <c r="E1813" s="18"/>
      <c r="F1813" s="20"/>
      <c r="H1813" s="18"/>
    </row>
    <row r="1814" spans="2:8" x14ac:dyDescent="0.25">
      <c r="B1814" s="18"/>
      <c r="C1814" s="13"/>
      <c r="D1814" s="18"/>
      <c r="E1814" s="18"/>
      <c r="F1814" s="20"/>
      <c r="H1814" s="18"/>
    </row>
    <row r="1815" spans="2:8" x14ac:dyDescent="0.25">
      <c r="B1815" s="18"/>
      <c r="C1815" s="13"/>
      <c r="D1815" s="18"/>
      <c r="E1815" s="18"/>
      <c r="F1815" s="20"/>
      <c r="H1815" s="18"/>
    </row>
    <row r="1816" spans="2:8" x14ac:dyDescent="0.25">
      <c r="B1816" s="18"/>
      <c r="C1816" s="13"/>
      <c r="D1816" s="18"/>
      <c r="E1816" s="18"/>
      <c r="F1816" s="20"/>
      <c r="H1816" s="18"/>
    </row>
    <row r="1817" spans="2:8" x14ac:dyDescent="0.25">
      <c r="B1817" s="18"/>
      <c r="C1817" s="13"/>
      <c r="D1817" s="18"/>
      <c r="E1817" s="18"/>
      <c r="F1817" s="20"/>
      <c r="H1817" s="18"/>
    </row>
    <row r="1818" spans="2:8" x14ac:dyDescent="0.25">
      <c r="B1818" s="18"/>
      <c r="C1818" s="13"/>
      <c r="D1818" s="18"/>
      <c r="E1818" s="18"/>
      <c r="F1818" s="20"/>
      <c r="H1818" s="18"/>
    </row>
    <row r="1819" spans="2:8" x14ac:dyDescent="0.25">
      <c r="B1819" s="18"/>
      <c r="C1819" s="13"/>
      <c r="D1819" s="18"/>
      <c r="E1819" s="18"/>
      <c r="F1819" s="20"/>
      <c r="H1819" s="18"/>
    </row>
    <row r="1820" spans="2:8" x14ac:dyDescent="0.25">
      <c r="B1820" s="18"/>
      <c r="C1820" s="13"/>
      <c r="D1820" s="18"/>
      <c r="E1820" s="18"/>
      <c r="F1820" s="20"/>
      <c r="H1820" s="18"/>
    </row>
    <row r="1821" spans="2:8" x14ac:dyDescent="0.25">
      <c r="B1821" s="18"/>
      <c r="C1821" s="13"/>
      <c r="D1821" s="18"/>
      <c r="E1821" s="18"/>
      <c r="F1821" s="20"/>
      <c r="H1821" s="18"/>
    </row>
    <row r="1822" spans="2:8" x14ac:dyDescent="0.25">
      <c r="B1822" s="18"/>
      <c r="C1822" s="13"/>
      <c r="D1822" s="18"/>
      <c r="E1822" s="18"/>
      <c r="F1822" s="20"/>
      <c r="H1822" s="18"/>
    </row>
    <row r="1823" spans="2:8" x14ac:dyDescent="0.25">
      <c r="B1823" s="18"/>
      <c r="C1823" s="13"/>
      <c r="D1823" s="18"/>
      <c r="E1823" s="18"/>
      <c r="F1823" s="20"/>
      <c r="H1823" s="18"/>
    </row>
    <row r="1824" spans="2:8" x14ac:dyDescent="0.25">
      <c r="B1824" s="18"/>
      <c r="C1824" s="13"/>
      <c r="D1824" s="18"/>
      <c r="E1824" s="18"/>
      <c r="F1824" s="20"/>
      <c r="H1824" s="18"/>
    </row>
    <row r="1825" spans="2:8" x14ac:dyDescent="0.25">
      <c r="B1825" s="18"/>
      <c r="C1825" s="13"/>
      <c r="D1825" s="18"/>
      <c r="E1825" s="18"/>
      <c r="F1825" s="20"/>
      <c r="H1825" s="18"/>
    </row>
    <row r="1826" spans="2:8" x14ac:dyDescent="0.25">
      <c r="B1826" s="18"/>
      <c r="C1826" s="13"/>
      <c r="D1826" s="18"/>
      <c r="E1826" s="18"/>
      <c r="F1826" s="20"/>
      <c r="H1826" s="18"/>
    </row>
    <row r="1827" spans="2:8" x14ac:dyDescent="0.25">
      <c r="B1827" s="18"/>
      <c r="C1827" s="13"/>
      <c r="D1827" s="18"/>
      <c r="E1827" s="18"/>
      <c r="F1827" s="20"/>
      <c r="H1827" s="18"/>
    </row>
    <row r="1828" spans="2:8" x14ac:dyDescent="0.25">
      <c r="B1828" s="18"/>
      <c r="C1828" s="13"/>
      <c r="D1828" s="18"/>
      <c r="E1828" s="18"/>
      <c r="F1828" s="20"/>
      <c r="H1828" s="18"/>
    </row>
    <row r="1829" spans="2:8" x14ac:dyDescent="0.25">
      <c r="B1829" s="18"/>
      <c r="C1829" s="13"/>
      <c r="D1829" s="18"/>
      <c r="E1829" s="18"/>
      <c r="F1829" s="20"/>
      <c r="H1829" s="18"/>
    </row>
    <row r="1830" spans="2:8" x14ac:dyDescent="0.25">
      <c r="B1830" s="18"/>
      <c r="C1830" s="13"/>
      <c r="D1830" s="18"/>
      <c r="E1830" s="18"/>
      <c r="F1830" s="20"/>
      <c r="H1830" s="18"/>
    </row>
    <row r="1831" spans="2:8" x14ac:dyDescent="0.25">
      <c r="B1831" s="18"/>
      <c r="C1831" s="13"/>
      <c r="D1831" s="18"/>
      <c r="E1831" s="18"/>
      <c r="F1831" s="20"/>
      <c r="H1831" s="18"/>
    </row>
    <row r="1832" spans="2:8" x14ac:dyDescent="0.25">
      <c r="B1832" s="18"/>
      <c r="C1832" s="13"/>
      <c r="D1832" s="18"/>
      <c r="E1832" s="18"/>
      <c r="F1832" s="20"/>
      <c r="H1832" s="18"/>
    </row>
    <row r="1833" spans="2:8" x14ac:dyDescent="0.25">
      <c r="B1833" s="18"/>
      <c r="C1833" s="13"/>
      <c r="D1833" s="18"/>
      <c r="E1833" s="18"/>
      <c r="F1833" s="20"/>
      <c r="H1833" s="18"/>
    </row>
    <row r="1834" spans="2:8" x14ac:dyDescent="0.25">
      <c r="B1834" s="18"/>
      <c r="C1834" s="13"/>
      <c r="D1834" s="18"/>
      <c r="E1834" s="18"/>
      <c r="F1834" s="20"/>
      <c r="H1834" s="18"/>
    </row>
    <row r="1835" spans="2:8" x14ac:dyDescent="0.25">
      <c r="B1835" s="18"/>
      <c r="C1835" s="13"/>
      <c r="D1835" s="18"/>
      <c r="E1835" s="18"/>
      <c r="F1835" s="20"/>
      <c r="H1835" s="18"/>
    </row>
    <row r="1836" spans="2:8" x14ac:dyDescent="0.25">
      <c r="B1836" s="18"/>
      <c r="C1836" s="13"/>
      <c r="D1836" s="18"/>
      <c r="E1836" s="18"/>
      <c r="F1836" s="20"/>
      <c r="H1836" s="18"/>
    </row>
    <row r="1837" spans="2:8" x14ac:dyDescent="0.25">
      <c r="B1837" s="18"/>
      <c r="C1837" s="13"/>
      <c r="D1837" s="18"/>
      <c r="E1837" s="18"/>
      <c r="F1837" s="20"/>
      <c r="H1837" s="18"/>
    </row>
    <row r="1838" spans="2:8" x14ac:dyDescent="0.25">
      <c r="B1838" s="18"/>
      <c r="C1838" s="13"/>
      <c r="D1838" s="18"/>
      <c r="E1838" s="18"/>
      <c r="F1838" s="20"/>
      <c r="H1838" s="18"/>
    </row>
    <row r="1839" spans="2:8" x14ac:dyDescent="0.25">
      <c r="B1839" s="18"/>
      <c r="C1839" s="13"/>
      <c r="D1839" s="18"/>
      <c r="E1839" s="18"/>
      <c r="F1839" s="20"/>
      <c r="H1839" s="18"/>
    </row>
    <row r="1840" spans="2:8" x14ac:dyDescent="0.25">
      <c r="B1840" s="18"/>
      <c r="C1840" s="13"/>
      <c r="D1840" s="18"/>
      <c r="E1840" s="18"/>
      <c r="F1840" s="20"/>
      <c r="H1840" s="18"/>
    </row>
    <row r="1841" spans="2:8" x14ac:dyDescent="0.25">
      <c r="B1841" s="18"/>
      <c r="C1841" s="13"/>
      <c r="D1841" s="18"/>
      <c r="E1841" s="18"/>
      <c r="F1841" s="20"/>
      <c r="H1841" s="18"/>
    </row>
    <row r="1842" spans="2:8" x14ac:dyDescent="0.25">
      <c r="B1842" s="18"/>
      <c r="C1842" s="13"/>
      <c r="D1842" s="18"/>
      <c r="E1842" s="18"/>
      <c r="F1842" s="20"/>
      <c r="H1842" s="18"/>
    </row>
    <row r="1843" spans="2:8" x14ac:dyDescent="0.25">
      <c r="B1843" s="18"/>
      <c r="C1843" s="13"/>
      <c r="D1843" s="18"/>
      <c r="E1843" s="18"/>
      <c r="F1843" s="20"/>
      <c r="H1843" s="18"/>
    </row>
    <row r="1844" spans="2:8" x14ac:dyDescent="0.25">
      <c r="B1844" s="18"/>
      <c r="C1844" s="13"/>
      <c r="D1844" s="18"/>
      <c r="E1844" s="18"/>
      <c r="F1844" s="20"/>
      <c r="H1844" s="18"/>
    </row>
    <row r="1845" spans="2:8" x14ac:dyDescent="0.25">
      <c r="B1845" s="18"/>
      <c r="C1845" s="13"/>
      <c r="D1845" s="18"/>
      <c r="E1845" s="18"/>
      <c r="F1845" s="20"/>
      <c r="H1845" s="18"/>
    </row>
    <row r="1846" spans="2:8" x14ac:dyDescent="0.25">
      <c r="B1846" s="18"/>
      <c r="C1846" s="13"/>
      <c r="D1846" s="18"/>
      <c r="E1846" s="18"/>
      <c r="F1846" s="20"/>
      <c r="H1846" s="18"/>
    </row>
    <row r="1847" spans="2:8" x14ac:dyDescent="0.25">
      <c r="B1847" s="18"/>
      <c r="C1847" s="13"/>
      <c r="D1847" s="18"/>
      <c r="E1847" s="18"/>
      <c r="F1847" s="20"/>
      <c r="H1847" s="18"/>
    </row>
    <row r="1848" spans="2:8" x14ac:dyDescent="0.25">
      <c r="B1848" s="18"/>
      <c r="C1848" s="13"/>
      <c r="D1848" s="18"/>
      <c r="E1848" s="18"/>
      <c r="F1848" s="20"/>
      <c r="H1848" s="18"/>
    </row>
    <row r="1849" spans="2:8" x14ac:dyDescent="0.25">
      <c r="B1849" s="18"/>
      <c r="C1849" s="13"/>
      <c r="D1849" s="18"/>
      <c r="E1849" s="18"/>
      <c r="F1849" s="20"/>
      <c r="H1849" s="18"/>
    </row>
    <row r="1850" spans="2:8" x14ac:dyDescent="0.25">
      <c r="B1850" s="18"/>
      <c r="C1850" s="13"/>
      <c r="D1850" s="18"/>
      <c r="E1850" s="18"/>
      <c r="F1850" s="20"/>
      <c r="H1850" s="18"/>
    </row>
    <row r="1851" spans="2:8" x14ac:dyDescent="0.25">
      <c r="B1851" s="18"/>
      <c r="C1851" s="13"/>
      <c r="D1851" s="18"/>
      <c r="E1851" s="18"/>
      <c r="F1851" s="20"/>
      <c r="H1851" s="18"/>
    </row>
    <row r="1852" spans="2:8" x14ac:dyDescent="0.25">
      <c r="B1852" s="18"/>
      <c r="C1852" s="13"/>
      <c r="D1852" s="18"/>
      <c r="E1852" s="18"/>
      <c r="F1852" s="20"/>
      <c r="H1852" s="18"/>
    </row>
    <row r="1853" spans="2:8" x14ac:dyDescent="0.25">
      <c r="B1853" s="18"/>
      <c r="C1853" s="13"/>
      <c r="D1853" s="18"/>
      <c r="E1853" s="18"/>
      <c r="F1853" s="20"/>
      <c r="H1853" s="18"/>
    </row>
    <row r="1854" spans="2:8" x14ac:dyDescent="0.25">
      <c r="B1854" s="18"/>
      <c r="C1854" s="13"/>
      <c r="D1854" s="18"/>
      <c r="E1854" s="18"/>
      <c r="F1854" s="20"/>
      <c r="H1854" s="18"/>
    </row>
    <row r="1855" spans="2:8" x14ac:dyDescent="0.25">
      <c r="B1855" s="18"/>
      <c r="C1855" s="13"/>
      <c r="D1855" s="18"/>
      <c r="E1855" s="18"/>
      <c r="F1855" s="20"/>
      <c r="H1855" s="18"/>
    </row>
    <row r="1856" spans="2:8" x14ac:dyDescent="0.25">
      <c r="B1856" s="18"/>
      <c r="C1856" s="13"/>
      <c r="D1856" s="18"/>
      <c r="E1856" s="18"/>
      <c r="F1856" s="20"/>
      <c r="H1856" s="18"/>
    </row>
    <row r="1857" spans="2:8" x14ac:dyDescent="0.25">
      <c r="B1857" s="18"/>
      <c r="C1857" s="13"/>
      <c r="D1857" s="18"/>
      <c r="E1857" s="18"/>
      <c r="F1857" s="20"/>
      <c r="H1857" s="18"/>
    </row>
    <row r="1858" spans="2:8" x14ac:dyDescent="0.25">
      <c r="B1858" s="18"/>
      <c r="C1858" s="13"/>
      <c r="D1858" s="18"/>
      <c r="E1858" s="18"/>
      <c r="F1858" s="20"/>
      <c r="H1858" s="18"/>
    </row>
    <row r="1859" spans="2:8" x14ac:dyDescent="0.25">
      <c r="B1859" s="18"/>
      <c r="C1859" s="13"/>
      <c r="D1859" s="18"/>
      <c r="E1859" s="18"/>
      <c r="F1859" s="20"/>
      <c r="H1859" s="18"/>
    </row>
    <row r="1860" spans="2:8" x14ac:dyDescent="0.25">
      <c r="B1860" s="18"/>
      <c r="C1860" s="13"/>
      <c r="D1860" s="18"/>
      <c r="E1860" s="18"/>
      <c r="F1860" s="20"/>
      <c r="H1860" s="18"/>
    </row>
    <row r="1861" spans="2:8" x14ac:dyDescent="0.25">
      <c r="B1861" s="18"/>
      <c r="C1861" s="13"/>
      <c r="D1861" s="18"/>
      <c r="E1861" s="18"/>
      <c r="F1861" s="20"/>
      <c r="H1861" s="18"/>
    </row>
    <row r="1862" spans="2:8" x14ac:dyDescent="0.25">
      <c r="B1862" s="18"/>
      <c r="C1862" s="13"/>
      <c r="D1862" s="18"/>
      <c r="E1862" s="18"/>
      <c r="F1862" s="20"/>
      <c r="H1862" s="18"/>
    </row>
    <row r="1863" spans="2:8" x14ac:dyDescent="0.25">
      <c r="B1863" s="18"/>
      <c r="C1863" s="13"/>
      <c r="D1863" s="18"/>
      <c r="E1863" s="18"/>
      <c r="F1863" s="20"/>
      <c r="H1863" s="18"/>
    </row>
    <row r="1864" spans="2:8" x14ac:dyDescent="0.25">
      <c r="B1864" s="18"/>
      <c r="C1864" s="13"/>
      <c r="D1864" s="18"/>
      <c r="E1864" s="18"/>
      <c r="F1864" s="20"/>
      <c r="H1864" s="18"/>
    </row>
    <row r="1865" spans="2:8" x14ac:dyDescent="0.25">
      <c r="B1865" s="18"/>
      <c r="C1865" s="13"/>
      <c r="D1865" s="18"/>
      <c r="E1865" s="18"/>
      <c r="F1865" s="20"/>
      <c r="H1865" s="18"/>
    </row>
    <row r="1866" spans="2:8" x14ac:dyDescent="0.25">
      <c r="B1866" s="18"/>
      <c r="C1866" s="13"/>
      <c r="D1866" s="18"/>
      <c r="E1866" s="18"/>
      <c r="F1866" s="20"/>
      <c r="H1866" s="18"/>
    </row>
    <row r="1867" spans="2:8" x14ac:dyDescent="0.25">
      <c r="B1867" s="18"/>
      <c r="C1867" s="13"/>
      <c r="D1867" s="18"/>
      <c r="E1867" s="18"/>
      <c r="F1867" s="20"/>
      <c r="H1867" s="18"/>
    </row>
    <row r="1868" spans="2:8" x14ac:dyDescent="0.25">
      <c r="B1868" s="18"/>
      <c r="C1868" s="13"/>
      <c r="D1868" s="18"/>
      <c r="E1868" s="18"/>
      <c r="F1868" s="20"/>
      <c r="H1868" s="18"/>
    </row>
    <row r="1869" spans="2:8" x14ac:dyDescent="0.25">
      <c r="B1869" s="18"/>
      <c r="C1869" s="13"/>
      <c r="D1869" s="18"/>
      <c r="E1869" s="18"/>
      <c r="F1869" s="20"/>
      <c r="H1869" s="18"/>
    </row>
    <row r="1870" spans="2:8" x14ac:dyDescent="0.25">
      <c r="B1870" s="18"/>
      <c r="C1870" s="13"/>
      <c r="D1870" s="18"/>
      <c r="E1870" s="18"/>
      <c r="F1870" s="20"/>
      <c r="H1870" s="18"/>
    </row>
    <row r="1871" spans="2:8" x14ac:dyDescent="0.25">
      <c r="B1871" s="18"/>
      <c r="C1871" s="13"/>
      <c r="D1871" s="18"/>
      <c r="E1871" s="18"/>
      <c r="F1871" s="20"/>
      <c r="H1871" s="18"/>
    </row>
    <row r="1872" spans="2:8" x14ac:dyDescent="0.25">
      <c r="B1872" s="18"/>
      <c r="C1872" s="13"/>
      <c r="D1872" s="18"/>
      <c r="E1872" s="18"/>
      <c r="F1872" s="20"/>
      <c r="H1872" s="18"/>
    </row>
    <row r="1873" spans="2:8" x14ac:dyDescent="0.25">
      <c r="B1873" s="18"/>
      <c r="C1873" s="13"/>
      <c r="D1873" s="18"/>
      <c r="E1873" s="18"/>
      <c r="F1873" s="20"/>
      <c r="H1873" s="18"/>
    </row>
    <row r="1874" spans="2:8" x14ac:dyDescent="0.25">
      <c r="B1874" s="18"/>
      <c r="C1874" s="13"/>
      <c r="D1874" s="18"/>
      <c r="E1874" s="18"/>
      <c r="F1874" s="20"/>
      <c r="H1874" s="18"/>
    </row>
    <row r="1875" spans="2:8" x14ac:dyDescent="0.25">
      <c r="B1875" s="18"/>
      <c r="C1875" s="13"/>
      <c r="D1875" s="18"/>
      <c r="E1875" s="18"/>
      <c r="F1875" s="20"/>
      <c r="H1875" s="18"/>
    </row>
    <row r="1876" spans="2:8" x14ac:dyDescent="0.25">
      <c r="B1876" s="18"/>
      <c r="C1876" s="13"/>
      <c r="D1876" s="18"/>
      <c r="E1876" s="18"/>
      <c r="F1876" s="20"/>
      <c r="H1876" s="18"/>
    </row>
    <row r="1877" spans="2:8" x14ac:dyDescent="0.25">
      <c r="B1877" s="18"/>
      <c r="C1877" s="13"/>
      <c r="D1877" s="18"/>
      <c r="E1877" s="18"/>
      <c r="F1877" s="20"/>
      <c r="H1877" s="18"/>
    </row>
    <row r="1878" spans="2:8" x14ac:dyDescent="0.25">
      <c r="B1878" s="18"/>
      <c r="C1878" s="13"/>
      <c r="D1878" s="18"/>
      <c r="E1878" s="18"/>
      <c r="F1878" s="20"/>
      <c r="H1878" s="18"/>
    </row>
    <row r="1879" spans="2:8" x14ac:dyDescent="0.25">
      <c r="B1879" s="18"/>
      <c r="C1879" s="13"/>
      <c r="D1879" s="18"/>
      <c r="E1879" s="18"/>
      <c r="F1879" s="20"/>
      <c r="H1879" s="18"/>
    </row>
    <row r="1880" spans="2:8" x14ac:dyDescent="0.25">
      <c r="B1880" s="18"/>
      <c r="C1880" s="13"/>
      <c r="D1880" s="18"/>
      <c r="E1880" s="18"/>
      <c r="F1880" s="20"/>
      <c r="H1880" s="18"/>
    </row>
    <row r="1881" spans="2:8" x14ac:dyDescent="0.25">
      <c r="B1881" s="18"/>
      <c r="C1881" s="13"/>
      <c r="D1881" s="18"/>
      <c r="E1881" s="18"/>
      <c r="F1881" s="20"/>
      <c r="H1881" s="18"/>
    </row>
    <row r="1882" spans="2:8" x14ac:dyDescent="0.25">
      <c r="B1882" s="18"/>
      <c r="C1882" s="13"/>
      <c r="D1882" s="18"/>
      <c r="E1882" s="18"/>
      <c r="F1882" s="20"/>
      <c r="H1882" s="18"/>
    </row>
    <row r="1883" spans="2:8" x14ac:dyDescent="0.25">
      <c r="B1883" s="18"/>
      <c r="C1883" s="13"/>
      <c r="D1883" s="18"/>
      <c r="E1883" s="18"/>
      <c r="F1883" s="20"/>
      <c r="H1883" s="18"/>
    </row>
    <row r="1884" spans="2:8" x14ac:dyDescent="0.25">
      <c r="B1884" s="18"/>
      <c r="C1884" s="13"/>
      <c r="D1884" s="18"/>
      <c r="E1884" s="18"/>
      <c r="F1884" s="20"/>
      <c r="H1884" s="18"/>
    </row>
    <row r="1885" spans="2:8" x14ac:dyDescent="0.25">
      <c r="B1885" s="18"/>
      <c r="C1885" s="13"/>
      <c r="D1885" s="18"/>
      <c r="E1885" s="18"/>
      <c r="F1885" s="20"/>
      <c r="H1885" s="18"/>
    </row>
    <row r="1886" spans="2:8" x14ac:dyDescent="0.25">
      <c r="B1886" s="18"/>
      <c r="C1886" s="13"/>
      <c r="D1886" s="18"/>
      <c r="E1886" s="18"/>
      <c r="F1886" s="20"/>
      <c r="H1886" s="18"/>
    </row>
    <row r="1887" spans="2:8" x14ac:dyDescent="0.25">
      <c r="B1887" s="18"/>
      <c r="C1887" s="13"/>
      <c r="D1887" s="18"/>
      <c r="E1887" s="18"/>
      <c r="F1887" s="20"/>
      <c r="H1887" s="18"/>
    </row>
    <row r="1888" spans="2:8" x14ac:dyDescent="0.25">
      <c r="B1888" s="18"/>
      <c r="C1888" s="13"/>
      <c r="D1888" s="18"/>
      <c r="E1888" s="18"/>
      <c r="F1888" s="20"/>
      <c r="H1888" s="18"/>
    </row>
    <row r="1889" spans="2:8" x14ac:dyDescent="0.25">
      <c r="B1889" s="18"/>
      <c r="C1889" s="13"/>
      <c r="D1889" s="18"/>
      <c r="E1889" s="18"/>
      <c r="F1889" s="20"/>
      <c r="H1889" s="18"/>
    </row>
    <row r="1890" spans="2:8" x14ac:dyDescent="0.25">
      <c r="B1890" s="18"/>
      <c r="C1890" s="13"/>
      <c r="D1890" s="18"/>
      <c r="E1890" s="18"/>
      <c r="F1890" s="20"/>
      <c r="H1890" s="18"/>
    </row>
    <row r="1891" spans="2:8" x14ac:dyDescent="0.25">
      <c r="B1891" s="18"/>
      <c r="C1891" s="13"/>
      <c r="D1891" s="18"/>
      <c r="E1891" s="18"/>
      <c r="F1891" s="20"/>
      <c r="H1891" s="18"/>
    </row>
    <row r="1892" spans="2:8" x14ac:dyDescent="0.25">
      <c r="B1892" s="18"/>
      <c r="C1892" s="13"/>
      <c r="D1892" s="18"/>
      <c r="E1892" s="18"/>
      <c r="F1892" s="20"/>
      <c r="H1892" s="18"/>
    </row>
    <row r="1893" spans="2:8" x14ac:dyDescent="0.25">
      <c r="B1893" s="18"/>
      <c r="C1893" s="13"/>
      <c r="D1893" s="18"/>
      <c r="E1893" s="18"/>
      <c r="F1893" s="20"/>
      <c r="H1893" s="18"/>
    </row>
    <row r="1894" spans="2:8" x14ac:dyDescent="0.25">
      <c r="B1894" s="18"/>
      <c r="C1894" s="13"/>
      <c r="D1894" s="18"/>
      <c r="E1894" s="18"/>
      <c r="F1894" s="20"/>
      <c r="H1894" s="18"/>
    </row>
    <row r="1895" spans="2:8" x14ac:dyDescent="0.25">
      <c r="B1895" s="18"/>
      <c r="C1895" s="13"/>
      <c r="D1895" s="18"/>
      <c r="E1895" s="18"/>
      <c r="F1895" s="20"/>
      <c r="H1895" s="18"/>
    </row>
    <row r="1896" spans="2:8" x14ac:dyDescent="0.25">
      <c r="B1896" s="18"/>
      <c r="C1896" s="13"/>
      <c r="D1896" s="18"/>
      <c r="E1896" s="18"/>
      <c r="F1896" s="20"/>
      <c r="H1896" s="18"/>
    </row>
    <row r="1897" spans="2:8" x14ac:dyDescent="0.25">
      <c r="B1897" s="18"/>
      <c r="C1897" s="13"/>
      <c r="D1897" s="18"/>
      <c r="E1897" s="18"/>
      <c r="F1897" s="20"/>
      <c r="H1897" s="18"/>
    </row>
    <row r="1898" spans="2:8" x14ac:dyDescent="0.25">
      <c r="B1898" s="18"/>
      <c r="C1898" s="13"/>
      <c r="D1898" s="18"/>
      <c r="E1898" s="18"/>
      <c r="F1898" s="20"/>
      <c r="H1898" s="18"/>
    </row>
    <row r="1899" spans="2:8" x14ac:dyDescent="0.25">
      <c r="B1899" s="18"/>
      <c r="C1899" s="13"/>
      <c r="D1899" s="18"/>
      <c r="E1899" s="18"/>
      <c r="F1899" s="20"/>
      <c r="H1899" s="18"/>
    </row>
    <row r="1900" spans="2:8" x14ac:dyDescent="0.25">
      <c r="B1900" s="18"/>
      <c r="C1900" s="13"/>
      <c r="D1900" s="18"/>
      <c r="E1900" s="18"/>
      <c r="F1900" s="20"/>
      <c r="H1900" s="18"/>
    </row>
    <row r="1901" spans="2:8" x14ac:dyDescent="0.25">
      <c r="B1901" s="18"/>
      <c r="C1901" s="13"/>
      <c r="D1901" s="18"/>
      <c r="E1901" s="18"/>
      <c r="F1901" s="20"/>
      <c r="H1901" s="18"/>
    </row>
    <row r="1902" spans="2:8" x14ac:dyDescent="0.25">
      <c r="B1902" s="18"/>
      <c r="C1902" s="13"/>
      <c r="D1902" s="18"/>
      <c r="E1902" s="18"/>
      <c r="F1902" s="20"/>
      <c r="H1902" s="18"/>
    </row>
    <row r="1903" spans="2:8" x14ac:dyDescent="0.25">
      <c r="B1903" s="18"/>
      <c r="C1903" s="13"/>
      <c r="D1903" s="18"/>
      <c r="E1903" s="18"/>
      <c r="F1903" s="20"/>
      <c r="H1903" s="18"/>
    </row>
    <row r="1904" spans="2:8" x14ac:dyDescent="0.25">
      <c r="B1904" s="18"/>
      <c r="C1904" s="13"/>
      <c r="D1904" s="18"/>
      <c r="E1904" s="18"/>
      <c r="F1904" s="20"/>
      <c r="H1904" s="18"/>
    </row>
    <row r="1905" spans="2:8" x14ac:dyDescent="0.25">
      <c r="B1905" s="18"/>
      <c r="C1905" s="13"/>
      <c r="D1905" s="18"/>
      <c r="E1905" s="18"/>
      <c r="F1905" s="20"/>
      <c r="H1905" s="18"/>
    </row>
    <row r="1906" spans="2:8" x14ac:dyDescent="0.25">
      <c r="B1906" s="18"/>
      <c r="C1906" s="13"/>
      <c r="D1906" s="18"/>
      <c r="E1906" s="18"/>
      <c r="F1906" s="20"/>
      <c r="H1906" s="18"/>
    </row>
    <row r="1907" spans="2:8" x14ac:dyDescent="0.25">
      <c r="B1907" s="18"/>
      <c r="C1907" s="13"/>
      <c r="D1907" s="18"/>
      <c r="E1907" s="18"/>
      <c r="F1907" s="20"/>
      <c r="H1907" s="18"/>
    </row>
    <row r="1908" spans="2:8" x14ac:dyDescent="0.25">
      <c r="B1908" s="18"/>
      <c r="C1908" s="13"/>
      <c r="D1908" s="18"/>
      <c r="E1908" s="18"/>
      <c r="F1908" s="20"/>
      <c r="H1908" s="18"/>
    </row>
    <row r="1909" spans="2:8" x14ac:dyDescent="0.25">
      <c r="B1909" s="18"/>
      <c r="C1909" s="13"/>
      <c r="D1909" s="18"/>
      <c r="E1909" s="18"/>
      <c r="F1909" s="20"/>
      <c r="H1909" s="18"/>
    </row>
    <row r="1910" spans="2:8" x14ac:dyDescent="0.25">
      <c r="B1910" s="18"/>
      <c r="C1910" s="13"/>
      <c r="D1910" s="18"/>
      <c r="E1910" s="18"/>
      <c r="F1910" s="20"/>
      <c r="H1910" s="18"/>
    </row>
    <row r="1911" spans="2:8" x14ac:dyDescent="0.25">
      <c r="B1911" s="18"/>
      <c r="C1911" s="13"/>
      <c r="D1911" s="18"/>
      <c r="E1911" s="18"/>
      <c r="F1911" s="20"/>
      <c r="H1911" s="18"/>
    </row>
    <row r="1912" spans="2:8" x14ac:dyDescent="0.25">
      <c r="B1912" s="18"/>
      <c r="C1912" s="13"/>
      <c r="D1912" s="18"/>
      <c r="E1912" s="18"/>
      <c r="F1912" s="20"/>
      <c r="H1912" s="18"/>
    </row>
    <row r="1913" spans="2:8" x14ac:dyDescent="0.25">
      <c r="B1913" s="18"/>
      <c r="C1913" s="13"/>
      <c r="D1913" s="18"/>
      <c r="E1913" s="18"/>
      <c r="F1913" s="20"/>
      <c r="H1913" s="18"/>
    </row>
    <row r="1914" spans="2:8" x14ac:dyDescent="0.25">
      <c r="B1914" s="18"/>
      <c r="C1914" s="13"/>
      <c r="D1914" s="18"/>
      <c r="E1914" s="18"/>
      <c r="F1914" s="20"/>
      <c r="H1914" s="18"/>
    </row>
    <row r="1915" spans="2:8" x14ac:dyDescent="0.25">
      <c r="B1915" s="18"/>
      <c r="C1915" s="13"/>
      <c r="D1915" s="18"/>
      <c r="E1915" s="18"/>
      <c r="F1915" s="20"/>
      <c r="H1915" s="18"/>
    </row>
    <row r="1916" spans="2:8" x14ac:dyDescent="0.25">
      <c r="B1916" s="18"/>
      <c r="C1916" s="13"/>
      <c r="D1916" s="18"/>
      <c r="E1916" s="18"/>
      <c r="F1916" s="20"/>
      <c r="H1916" s="18"/>
    </row>
    <row r="1917" spans="2:8" x14ac:dyDescent="0.25">
      <c r="B1917" s="18"/>
      <c r="C1917" s="13"/>
      <c r="D1917" s="18"/>
      <c r="E1917" s="18"/>
      <c r="F1917" s="20"/>
      <c r="H1917" s="18"/>
    </row>
    <row r="1918" spans="2:8" x14ac:dyDescent="0.25">
      <c r="B1918" s="18"/>
      <c r="C1918" s="13"/>
      <c r="D1918" s="18"/>
      <c r="E1918" s="18"/>
      <c r="F1918" s="20"/>
      <c r="H1918" s="18"/>
    </row>
    <row r="1919" spans="2:8" x14ac:dyDescent="0.25">
      <c r="B1919" s="18"/>
      <c r="C1919" s="13"/>
      <c r="D1919" s="18"/>
      <c r="E1919" s="18"/>
      <c r="F1919" s="20"/>
      <c r="H1919" s="18"/>
    </row>
    <row r="1920" spans="2:8" x14ac:dyDescent="0.25">
      <c r="B1920" s="18"/>
      <c r="C1920" s="13"/>
      <c r="D1920" s="18"/>
      <c r="E1920" s="18"/>
      <c r="F1920" s="20"/>
      <c r="H1920" s="18"/>
    </row>
    <row r="1921" spans="2:8" x14ac:dyDescent="0.25">
      <c r="B1921" s="18"/>
      <c r="C1921" s="13"/>
      <c r="D1921" s="18"/>
      <c r="E1921" s="18"/>
      <c r="F1921" s="20"/>
      <c r="H1921" s="18"/>
    </row>
    <row r="1922" spans="2:8" x14ac:dyDescent="0.25">
      <c r="B1922" s="18"/>
      <c r="C1922" s="13"/>
      <c r="D1922" s="18"/>
      <c r="E1922" s="18"/>
      <c r="F1922" s="20"/>
      <c r="H1922" s="18"/>
    </row>
    <row r="1923" spans="2:8" x14ac:dyDescent="0.25">
      <c r="B1923" s="18"/>
      <c r="C1923" s="13"/>
      <c r="D1923" s="18"/>
      <c r="E1923" s="18"/>
      <c r="F1923" s="20"/>
      <c r="H1923" s="18"/>
    </row>
    <row r="1924" spans="2:8" x14ac:dyDescent="0.25">
      <c r="B1924" s="18"/>
      <c r="C1924" s="13"/>
      <c r="D1924" s="18"/>
      <c r="E1924" s="18"/>
      <c r="F1924" s="20"/>
      <c r="H1924" s="18"/>
    </row>
    <row r="1925" spans="2:8" x14ac:dyDescent="0.25">
      <c r="B1925" s="18"/>
      <c r="C1925" s="13"/>
      <c r="D1925" s="18"/>
      <c r="E1925" s="18"/>
      <c r="F1925" s="20"/>
      <c r="H1925" s="18"/>
    </row>
    <row r="1926" spans="2:8" x14ac:dyDescent="0.25">
      <c r="B1926" s="18"/>
      <c r="C1926" s="13"/>
      <c r="D1926" s="18"/>
      <c r="E1926" s="18"/>
      <c r="F1926" s="20"/>
      <c r="H1926" s="18"/>
    </row>
    <row r="1927" spans="2:8" x14ac:dyDescent="0.25">
      <c r="B1927" s="18"/>
      <c r="C1927" s="13"/>
      <c r="D1927" s="18"/>
      <c r="E1927" s="18"/>
      <c r="F1927" s="20"/>
      <c r="H1927" s="18"/>
    </row>
    <row r="1928" spans="2:8" x14ac:dyDescent="0.25">
      <c r="B1928" s="18"/>
      <c r="C1928" s="13"/>
      <c r="D1928" s="18"/>
      <c r="E1928" s="18"/>
      <c r="F1928" s="20"/>
      <c r="H1928" s="18"/>
    </row>
    <row r="1929" spans="2:8" x14ac:dyDescent="0.25">
      <c r="B1929" s="18"/>
      <c r="C1929" s="13"/>
      <c r="D1929" s="18"/>
      <c r="E1929" s="18"/>
      <c r="F1929" s="20"/>
      <c r="H1929" s="18"/>
    </row>
    <row r="1930" spans="2:8" x14ac:dyDescent="0.25">
      <c r="B1930" s="18"/>
      <c r="C1930" s="13"/>
      <c r="D1930" s="18"/>
      <c r="E1930" s="18"/>
      <c r="F1930" s="20"/>
      <c r="H1930" s="18"/>
    </row>
    <row r="1931" spans="2:8" x14ac:dyDescent="0.25">
      <c r="B1931" s="18"/>
      <c r="C1931" s="13"/>
      <c r="D1931" s="18"/>
      <c r="E1931" s="18"/>
      <c r="F1931" s="20"/>
      <c r="H1931" s="18"/>
    </row>
    <row r="1932" spans="2:8" x14ac:dyDescent="0.25">
      <c r="B1932" s="18"/>
      <c r="C1932" s="13"/>
      <c r="D1932" s="18"/>
      <c r="E1932" s="18"/>
      <c r="F1932" s="20"/>
      <c r="H1932" s="18"/>
    </row>
    <row r="1933" spans="2:8" x14ac:dyDescent="0.25">
      <c r="B1933" s="18"/>
      <c r="C1933" s="13"/>
      <c r="D1933" s="18"/>
      <c r="E1933" s="18"/>
      <c r="F1933" s="20"/>
      <c r="H1933" s="18"/>
    </row>
    <row r="1934" spans="2:8" x14ac:dyDescent="0.25">
      <c r="B1934" s="18"/>
      <c r="C1934" s="13"/>
      <c r="D1934" s="18"/>
      <c r="E1934" s="18"/>
      <c r="F1934" s="20"/>
      <c r="H1934" s="18"/>
    </row>
    <row r="1935" spans="2:8" x14ac:dyDescent="0.25">
      <c r="B1935" s="18"/>
      <c r="C1935" s="13"/>
      <c r="D1935" s="18"/>
      <c r="E1935" s="18"/>
      <c r="F1935" s="20"/>
      <c r="H1935" s="18"/>
    </row>
    <row r="1936" spans="2:8" x14ac:dyDescent="0.25">
      <c r="B1936" s="18"/>
      <c r="C1936" s="13"/>
      <c r="D1936" s="18"/>
      <c r="E1936" s="18"/>
      <c r="F1936" s="20"/>
      <c r="H1936" s="18"/>
    </row>
    <row r="1937" spans="2:8" x14ac:dyDescent="0.25">
      <c r="B1937" s="18"/>
      <c r="C1937" s="13"/>
      <c r="D1937" s="18"/>
      <c r="E1937" s="18"/>
      <c r="F1937" s="20"/>
      <c r="H1937" s="18"/>
    </row>
    <row r="1938" spans="2:8" x14ac:dyDescent="0.25">
      <c r="B1938" s="18"/>
      <c r="C1938" s="13"/>
      <c r="D1938" s="18"/>
      <c r="E1938" s="18"/>
      <c r="F1938" s="20"/>
      <c r="H1938" s="18"/>
    </row>
    <row r="1939" spans="2:8" x14ac:dyDescent="0.25">
      <c r="B1939" s="18"/>
      <c r="C1939" s="13"/>
      <c r="D1939" s="18"/>
      <c r="E1939" s="18"/>
      <c r="F1939" s="20"/>
      <c r="H1939" s="18"/>
    </row>
    <row r="1940" spans="2:8" x14ac:dyDescent="0.25">
      <c r="B1940" s="18"/>
      <c r="C1940" s="13"/>
      <c r="D1940" s="18"/>
      <c r="E1940" s="18"/>
      <c r="F1940" s="20"/>
      <c r="H1940" s="18"/>
    </row>
    <row r="1941" spans="2:8" x14ac:dyDescent="0.25">
      <c r="B1941" s="18"/>
      <c r="C1941" s="13"/>
      <c r="D1941" s="18"/>
      <c r="E1941" s="18"/>
      <c r="F1941" s="20"/>
      <c r="H1941" s="18"/>
    </row>
    <row r="1942" spans="2:8" x14ac:dyDescent="0.25">
      <c r="B1942" s="18"/>
      <c r="C1942" s="13"/>
      <c r="D1942" s="18"/>
      <c r="E1942" s="18"/>
      <c r="F1942" s="20"/>
      <c r="H1942" s="18"/>
    </row>
    <row r="1943" spans="2:8" x14ac:dyDescent="0.25">
      <c r="B1943" s="18"/>
      <c r="C1943" s="13"/>
      <c r="D1943" s="18"/>
      <c r="E1943" s="18"/>
      <c r="F1943" s="20"/>
      <c r="H1943" s="18"/>
    </row>
    <row r="1944" spans="2:8" x14ac:dyDescent="0.25">
      <c r="B1944" s="18"/>
      <c r="C1944" s="13"/>
      <c r="D1944" s="18"/>
      <c r="E1944" s="18"/>
      <c r="F1944" s="20"/>
      <c r="H1944" s="18"/>
    </row>
    <row r="1945" spans="2:8" x14ac:dyDescent="0.25">
      <c r="B1945" s="18"/>
      <c r="C1945" s="13"/>
      <c r="D1945" s="18"/>
      <c r="E1945" s="18"/>
      <c r="F1945" s="20"/>
      <c r="H1945" s="18"/>
    </row>
    <row r="1946" spans="2:8" x14ac:dyDescent="0.25">
      <c r="B1946" s="18"/>
      <c r="C1946" s="13"/>
      <c r="D1946" s="18"/>
      <c r="E1946" s="18"/>
      <c r="F1946" s="20"/>
      <c r="H1946" s="18"/>
    </row>
    <row r="1947" spans="2:8" x14ac:dyDescent="0.25">
      <c r="B1947" s="18"/>
      <c r="C1947" s="13"/>
      <c r="D1947" s="18"/>
      <c r="E1947" s="18"/>
      <c r="F1947" s="20"/>
      <c r="H1947" s="18"/>
    </row>
    <row r="1948" spans="2:8" x14ac:dyDescent="0.25">
      <c r="B1948" s="18"/>
      <c r="C1948" s="13"/>
      <c r="D1948" s="18"/>
      <c r="E1948" s="18"/>
      <c r="F1948" s="20"/>
      <c r="H1948" s="18"/>
    </row>
    <row r="1949" spans="2:8" x14ac:dyDescent="0.25">
      <c r="B1949" s="18"/>
      <c r="C1949" s="13"/>
      <c r="D1949" s="18"/>
      <c r="E1949" s="18"/>
      <c r="F1949" s="20"/>
      <c r="H1949" s="18"/>
    </row>
    <row r="1950" spans="2:8" x14ac:dyDescent="0.25">
      <c r="B1950" s="18"/>
      <c r="C1950" s="13"/>
      <c r="D1950" s="18"/>
      <c r="E1950" s="18"/>
      <c r="F1950" s="20"/>
      <c r="H1950" s="18"/>
    </row>
    <row r="1951" spans="2:8" x14ac:dyDescent="0.25">
      <c r="B1951" s="18"/>
      <c r="C1951" s="13"/>
      <c r="D1951" s="18"/>
      <c r="E1951" s="18"/>
      <c r="F1951" s="20"/>
      <c r="H1951" s="18"/>
    </row>
    <row r="1952" spans="2:8" x14ac:dyDescent="0.25">
      <c r="B1952" s="18"/>
      <c r="C1952" s="13"/>
      <c r="D1952" s="18"/>
      <c r="E1952" s="18"/>
      <c r="F1952" s="20"/>
      <c r="H1952" s="18"/>
    </row>
    <row r="1953" spans="2:8" x14ac:dyDescent="0.25">
      <c r="B1953" s="18"/>
      <c r="C1953" s="13"/>
      <c r="D1953" s="18"/>
      <c r="E1953" s="18"/>
      <c r="F1953" s="20"/>
      <c r="H1953" s="18"/>
    </row>
    <row r="1954" spans="2:8" x14ac:dyDescent="0.25">
      <c r="B1954" s="18"/>
      <c r="C1954" s="13"/>
      <c r="D1954" s="18"/>
      <c r="E1954" s="18"/>
      <c r="F1954" s="20"/>
      <c r="H1954" s="18"/>
    </row>
    <row r="1955" spans="2:8" x14ac:dyDescent="0.25">
      <c r="B1955" s="18"/>
      <c r="C1955" s="13"/>
      <c r="D1955" s="18"/>
      <c r="E1955" s="18"/>
      <c r="F1955" s="20"/>
      <c r="H1955" s="18"/>
    </row>
    <row r="1956" spans="2:8" x14ac:dyDescent="0.25">
      <c r="B1956" s="18"/>
      <c r="C1956" s="13"/>
      <c r="D1956" s="18"/>
      <c r="E1956" s="18"/>
      <c r="F1956" s="20"/>
      <c r="H1956" s="18"/>
    </row>
    <row r="1957" spans="2:8" x14ac:dyDescent="0.25">
      <c r="B1957" s="18"/>
      <c r="C1957" s="13"/>
      <c r="D1957" s="18"/>
      <c r="E1957" s="18"/>
      <c r="F1957" s="20"/>
      <c r="H1957" s="18"/>
    </row>
    <row r="1958" spans="2:8" x14ac:dyDescent="0.25">
      <c r="B1958" s="18"/>
      <c r="C1958" s="13"/>
      <c r="D1958" s="18"/>
      <c r="E1958" s="18"/>
      <c r="F1958" s="20"/>
      <c r="H1958" s="18"/>
    </row>
    <row r="1959" spans="2:8" x14ac:dyDescent="0.25">
      <c r="B1959" s="18"/>
      <c r="C1959" s="13"/>
      <c r="D1959" s="18"/>
      <c r="E1959" s="18"/>
      <c r="F1959" s="20"/>
      <c r="H1959" s="18"/>
    </row>
    <row r="1960" spans="2:8" x14ac:dyDescent="0.25">
      <c r="B1960" s="18"/>
      <c r="C1960" s="13"/>
      <c r="D1960" s="18"/>
      <c r="E1960" s="18"/>
      <c r="F1960" s="20"/>
      <c r="H1960" s="18"/>
    </row>
    <row r="1961" spans="2:8" x14ac:dyDescent="0.25">
      <c r="B1961" s="18"/>
      <c r="C1961" s="13"/>
      <c r="D1961" s="18"/>
      <c r="E1961" s="18"/>
      <c r="F1961" s="20"/>
      <c r="H1961" s="18"/>
    </row>
    <row r="1962" spans="2:8" x14ac:dyDescent="0.25">
      <c r="B1962" s="18"/>
      <c r="C1962" s="13"/>
      <c r="D1962" s="18"/>
      <c r="E1962" s="18"/>
      <c r="F1962" s="20"/>
      <c r="H1962" s="18"/>
    </row>
    <row r="1963" spans="2:8" x14ac:dyDescent="0.25">
      <c r="B1963" s="18"/>
      <c r="C1963" s="13"/>
      <c r="D1963" s="18"/>
      <c r="E1963" s="18"/>
      <c r="F1963" s="20"/>
      <c r="H1963" s="18"/>
    </row>
    <row r="1964" spans="2:8" x14ac:dyDescent="0.25">
      <c r="B1964" s="18"/>
      <c r="C1964" s="13"/>
      <c r="D1964" s="18"/>
      <c r="E1964" s="18"/>
      <c r="F1964" s="20"/>
      <c r="H1964" s="18"/>
    </row>
    <row r="1965" spans="2:8" x14ac:dyDescent="0.25">
      <c r="B1965" s="18"/>
      <c r="C1965" s="13"/>
      <c r="D1965" s="18"/>
      <c r="E1965" s="18"/>
      <c r="F1965" s="20"/>
      <c r="H1965" s="18"/>
    </row>
    <row r="1966" spans="2:8" x14ac:dyDescent="0.25">
      <c r="B1966" s="18"/>
      <c r="C1966" s="13"/>
      <c r="D1966" s="18"/>
      <c r="E1966" s="18"/>
      <c r="F1966" s="20"/>
      <c r="H1966" s="18"/>
    </row>
    <row r="1967" spans="2:8" x14ac:dyDescent="0.25">
      <c r="B1967" s="18"/>
      <c r="C1967" s="13"/>
      <c r="D1967" s="18"/>
      <c r="E1967" s="18"/>
      <c r="F1967" s="20"/>
      <c r="H1967" s="18"/>
    </row>
    <row r="1968" spans="2:8" x14ac:dyDescent="0.25">
      <c r="B1968" s="18"/>
      <c r="C1968" s="13"/>
      <c r="D1968" s="18"/>
      <c r="E1968" s="18"/>
      <c r="F1968" s="20"/>
      <c r="H1968" s="18"/>
    </row>
    <row r="1969" spans="2:8" x14ac:dyDescent="0.25">
      <c r="B1969" s="18"/>
      <c r="C1969" s="13"/>
      <c r="D1969" s="18"/>
      <c r="E1969" s="18"/>
      <c r="F1969" s="20"/>
      <c r="H1969" s="18"/>
    </row>
    <row r="1970" spans="2:8" x14ac:dyDescent="0.25">
      <c r="B1970" s="18"/>
      <c r="C1970" s="13"/>
      <c r="D1970" s="18"/>
      <c r="E1970" s="18"/>
      <c r="F1970" s="20"/>
      <c r="H1970" s="18"/>
    </row>
    <row r="1971" spans="2:8" x14ac:dyDescent="0.25">
      <c r="B1971" s="18"/>
      <c r="C1971" s="13"/>
      <c r="D1971" s="18"/>
      <c r="E1971" s="18"/>
      <c r="F1971" s="20"/>
      <c r="H1971" s="18"/>
    </row>
    <row r="1972" spans="2:8" x14ac:dyDescent="0.25">
      <c r="B1972" s="18"/>
      <c r="C1972" s="13"/>
      <c r="D1972" s="18"/>
      <c r="E1972" s="18"/>
      <c r="F1972" s="20"/>
      <c r="H1972" s="18"/>
    </row>
    <row r="1973" spans="2:8" x14ac:dyDescent="0.25">
      <c r="B1973" s="18"/>
      <c r="C1973" s="13"/>
      <c r="D1973" s="18"/>
      <c r="E1973" s="18"/>
      <c r="F1973" s="20"/>
      <c r="H1973" s="18"/>
    </row>
    <row r="1974" spans="2:8" x14ac:dyDescent="0.25">
      <c r="B1974" s="18"/>
      <c r="C1974" s="13"/>
      <c r="D1974" s="18"/>
      <c r="E1974" s="18"/>
      <c r="F1974" s="20"/>
      <c r="H1974" s="18"/>
    </row>
    <row r="1975" spans="2:8" x14ac:dyDescent="0.25">
      <c r="B1975" s="18"/>
      <c r="C1975" s="13"/>
      <c r="D1975" s="18"/>
      <c r="E1975" s="18"/>
      <c r="F1975" s="20"/>
      <c r="H1975" s="18"/>
    </row>
    <row r="1976" spans="2:8" x14ac:dyDescent="0.25">
      <c r="B1976" s="18"/>
      <c r="C1976" s="13"/>
      <c r="D1976" s="18"/>
      <c r="E1976" s="18"/>
      <c r="F1976" s="20"/>
      <c r="H1976" s="18"/>
    </row>
    <row r="1977" spans="2:8" x14ac:dyDescent="0.25">
      <c r="B1977" s="18"/>
      <c r="C1977" s="13"/>
      <c r="D1977" s="18"/>
      <c r="E1977" s="18"/>
      <c r="F1977" s="20"/>
      <c r="H1977" s="18"/>
    </row>
    <row r="1978" spans="2:8" x14ac:dyDescent="0.25">
      <c r="B1978" s="18"/>
      <c r="C1978" s="13"/>
      <c r="D1978" s="18"/>
      <c r="E1978" s="18"/>
      <c r="F1978" s="20"/>
      <c r="H1978" s="18"/>
    </row>
    <row r="1979" spans="2:8" x14ac:dyDescent="0.25">
      <c r="B1979" s="18"/>
      <c r="C1979" s="13"/>
      <c r="D1979" s="18"/>
      <c r="E1979" s="18"/>
      <c r="F1979" s="20"/>
      <c r="H1979" s="18"/>
    </row>
    <row r="1980" spans="2:8" x14ac:dyDescent="0.25">
      <c r="B1980" s="18"/>
      <c r="C1980" s="13"/>
      <c r="D1980" s="18"/>
      <c r="E1980" s="18"/>
      <c r="F1980" s="20"/>
      <c r="H1980" s="18"/>
    </row>
    <row r="1981" spans="2:8" x14ac:dyDescent="0.25">
      <c r="B1981" s="18"/>
      <c r="C1981" s="13"/>
      <c r="D1981" s="18"/>
      <c r="E1981" s="18"/>
      <c r="F1981" s="20"/>
      <c r="H1981" s="18"/>
    </row>
    <row r="1982" spans="2:8" x14ac:dyDescent="0.25">
      <c r="B1982" s="18"/>
      <c r="C1982" s="13"/>
      <c r="D1982" s="18"/>
      <c r="E1982" s="18"/>
      <c r="F1982" s="20"/>
      <c r="H1982" s="18"/>
    </row>
    <row r="1983" spans="2:8" x14ac:dyDescent="0.25">
      <c r="B1983" s="18"/>
      <c r="C1983" s="13"/>
      <c r="D1983" s="18"/>
      <c r="E1983" s="18"/>
      <c r="F1983" s="20"/>
      <c r="H1983" s="18"/>
    </row>
    <row r="1984" spans="2:8" x14ac:dyDescent="0.25">
      <c r="B1984" s="18"/>
      <c r="C1984" s="13"/>
      <c r="D1984" s="18"/>
      <c r="E1984" s="18"/>
      <c r="F1984" s="20"/>
      <c r="H1984" s="18"/>
    </row>
    <row r="1985" spans="2:8" x14ac:dyDescent="0.25">
      <c r="B1985" s="18"/>
      <c r="C1985" s="13"/>
      <c r="D1985" s="18"/>
      <c r="E1985" s="18"/>
      <c r="F1985" s="20"/>
      <c r="H1985" s="18"/>
    </row>
    <row r="1986" spans="2:8" x14ac:dyDescent="0.25">
      <c r="B1986" s="18"/>
      <c r="C1986" s="13"/>
      <c r="D1986" s="18"/>
      <c r="E1986" s="18"/>
      <c r="F1986" s="20"/>
      <c r="H1986" s="18"/>
    </row>
    <row r="1987" spans="2:8" x14ac:dyDescent="0.25">
      <c r="B1987" s="18"/>
      <c r="C1987" s="13"/>
      <c r="D1987" s="18"/>
      <c r="E1987" s="18"/>
      <c r="F1987" s="20"/>
      <c r="H1987" s="18"/>
    </row>
    <row r="1988" spans="2:8" x14ac:dyDescent="0.25">
      <c r="B1988" s="18"/>
      <c r="C1988" s="13"/>
      <c r="D1988" s="18"/>
      <c r="E1988" s="18"/>
      <c r="F1988" s="20"/>
      <c r="H1988" s="18"/>
    </row>
    <row r="1989" spans="2:8" x14ac:dyDescent="0.25">
      <c r="B1989" s="18"/>
      <c r="C1989" s="13"/>
      <c r="D1989" s="18"/>
      <c r="E1989" s="18"/>
      <c r="F1989" s="20"/>
      <c r="H1989" s="18"/>
    </row>
    <row r="1990" spans="2:8" x14ac:dyDescent="0.25">
      <c r="B1990" s="18"/>
      <c r="C1990" s="13"/>
      <c r="D1990" s="18"/>
      <c r="E1990" s="18"/>
      <c r="F1990" s="20"/>
      <c r="H1990" s="18"/>
    </row>
    <row r="1991" spans="2:8" x14ac:dyDescent="0.25">
      <c r="B1991" s="18"/>
      <c r="C1991" s="13"/>
      <c r="D1991" s="18"/>
      <c r="E1991" s="18"/>
      <c r="F1991" s="20"/>
      <c r="H1991" s="18"/>
    </row>
    <row r="1992" spans="2:8" x14ac:dyDescent="0.25">
      <c r="B1992" s="18"/>
      <c r="C1992" s="13"/>
      <c r="D1992" s="18"/>
      <c r="E1992" s="18"/>
      <c r="F1992" s="20"/>
      <c r="H1992" s="18"/>
    </row>
    <row r="1993" spans="2:8" x14ac:dyDescent="0.25">
      <c r="B1993" s="18"/>
      <c r="C1993" s="13"/>
      <c r="D1993" s="18"/>
      <c r="E1993" s="18"/>
      <c r="F1993" s="20"/>
      <c r="H1993" s="18"/>
    </row>
    <row r="1994" spans="2:8" x14ac:dyDescent="0.25">
      <c r="B1994" s="18"/>
      <c r="C1994" s="13"/>
      <c r="D1994" s="18"/>
      <c r="E1994" s="18"/>
      <c r="F1994" s="20"/>
      <c r="H1994" s="18"/>
    </row>
    <row r="1995" spans="2:8" x14ac:dyDescent="0.25">
      <c r="B1995" s="18"/>
      <c r="C1995" s="13"/>
      <c r="D1995" s="18"/>
      <c r="E1995" s="18"/>
      <c r="F1995" s="20"/>
      <c r="H1995" s="18"/>
    </row>
    <row r="1996" spans="2:8" x14ac:dyDescent="0.25">
      <c r="B1996" s="18"/>
      <c r="C1996" s="13"/>
      <c r="D1996" s="18"/>
      <c r="E1996" s="18"/>
      <c r="F1996" s="20"/>
      <c r="H1996" s="18"/>
    </row>
    <row r="1997" spans="2:8" x14ac:dyDescent="0.25">
      <c r="B1997" s="18"/>
      <c r="C1997" s="13"/>
      <c r="D1997" s="18"/>
      <c r="E1997" s="18"/>
      <c r="F1997" s="20"/>
      <c r="H1997" s="18"/>
    </row>
    <row r="1998" spans="2:8" x14ac:dyDescent="0.25">
      <c r="B1998" s="18"/>
      <c r="C1998" s="13"/>
      <c r="D1998" s="18"/>
      <c r="E1998" s="18"/>
      <c r="F1998" s="20"/>
      <c r="H1998" s="18"/>
    </row>
    <row r="1999" spans="2:8" x14ac:dyDescent="0.25">
      <c r="B1999" s="18"/>
      <c r="C1999" s="13"/>
      <c r="D1999" s="18"/>
      <c r="E1999" s="18"/>
      <c r="F1999" s="20"/>
      <c r="H1999" s="18"/>
    </row>
    <row r="2000" spans="2:8" x14ac:dyDescent="0.25">
      <c r="B2000" s="18"/>
      <c r="C2000" s="13"/>
      <c r="D2000" s="18"/>
      <c r="E2000" s="18"/>
      <c r="F2000" s="20"/>
      <c r="H2000" s="18"/>
    </row>
    <row r="2001" spans="2:8" x14ac:dyDescent="0.25">
      <c r="B2001" s="18"/>
      <c r="C2001" s="13"/>
      <c r="D2001" s="18"/>
      <c r="E2001" s="18"/>
      <c r="F2001" s="20"/>
      <c r="H2001" s="18"/>
    </row>
    <row r="2002" spans="2:8" x14ac:dyDescent="0.25">
      <c r="B2002" s="18"/>
      <c r="C2002" s="13"/>
      <c r="D2002" s="18"/>
      <c r="E2002" s="18"/>
      <c r="F2002" s="20"/>
      <c r="H2002" s="18"/>
    </row>
    <row r="2003" spans="2:8" x14ac:dyDescent="0.25">
      <c r="B2003" s="18"/>
      <c r="C2003" s="13"/>
      <c r="D2003" s="18"/>
      <c r="E2003" s="18"/>
      <c r="F2003" s="20"/>
      <c r="H2003" s="18"/>
    </row>
    <row r="2004" spans="2:8" x14ac:dyDescent="0.25">
      <c r="B2004" s="18"/>
      <c r="C2004" s="13"/>
      <c r="D2004" s="18"/>
      <c r="E2004" s="18"/>
      <c r="F2004" s="20"/>
      <c r="H2004" s="18"/>
    </row>
    <row r="2005" spans="2:8" x14ac:dyDescent="0.25">
      <c r="B2005" s="18"/>
      <c r="C2005" s="13"/>
      <c r="D2005" s="18"/>
      <c r="E2005" s="18"/>
      <c r="F2005" s="20"/>
      <c r="H2005" s="18"/>
    </row>
    <row r="2006" spans="2:8" x14ac:dyDescent="0.25">
      <c r="B2006" s="18"/>
      <c r="C2006" s="13"/>
      <c r="D2006" s="18"/>
      <c r="E2006" s="18"/>
      <c r="F2006" s="20"/>
      <c r="H2006" s="18"/>
    </row>
    <row r="2007" spans="2:8" x14ac:dyDescent="0.25">
      <c r="B2007" s="18"/>
      <c r="C2007" s="13"/>
      <c r="D2007" s="18"/>
      <c r="E2007" s="18"/>
      <c r="F2007" s="20"/>
      <c r="H2007" s="18"/>
    </row>
    <row r="2008" spans="2:8" x14ac:dyDescent="0.25">
      <c r="B2008" s="18"/>
      <c r="C2008" s="13"/>
      <c r="D2008" s="18"/>
      <c r="E2008" s="18"/>
      <c r="F2008" s="20"/>
      <c r="H2008" s="18"/>
    </row>
    <row r="2009" spans="2:8" x14ac:dyDescent="0.25">
      <c r="B2009" s="18"/>
      <c r="C2009" s="13"/>
      <c r="D2009" s="18"/>
      <c r="E2009" s="18"/>
      <c r="F2009" s="20"/>
      <c r="H2009" s="18"/>
    </row>
    <row r="2010" spans="2:8" x14ac:dyDescent="0.25">
      <c r="B2010" s="18"/>
      <c r="C2010" s="13"/>
      <c r="D2010" s="18"/>
      <c r="E2010" s="18"/>
      <c r="F2010" s="20"/>
      <c r="H2010" s="18"/>
    </row>
    <row r="2011" spans="2:8" x14ac:dyDescent="0.25">
      <c r="B2011" s="18"/>
      <c r="C2011" s="13"/>
      <c r="D2011" s="18"/>
      <c r="E2011" s="18"/>
      <c r="F2011" s="20"/>
      <c r="H2011" s="18"/>
    </row>
    <row r="2012" spans="2:8" x14ac:dyDescent="0.25">
      <c r="B2012" s="18"/>
      <c r="C2012" s="13"/>
      <c r="D2012" s="18"/>
      <c r="E2012" s="18"/>
      <c r="F2012" s="20"/>
      <c r="H2012" s="18"/>
    </row>
    <row r="2013" spans="2:8" x14ac:dyDescent="0.25">
      <c r="B2013" s="18"/>
      <c r="C2013" s="13"/>
      <c r="D2013" s="18"/>
      <c r="E2013" s="18"/>
      <c r="F2013" s="20"/>
      <c r="H2013" s="18"/>
    </row>
    <row r="2014" spans="2:8" x14ac:dyDescent="0.25">
      <c r="B2014" s="18"/>
      <c r="C2014" s="13"/>
      <c r="D2014" s="18"/>
      <c r="E2014" s="18"/>
      <c r="F2014" s="20"/>
      <c r="H2014" s="18"/>
    </row>
    <row r="2015" spans="2:8" x14ac:dyDescent="0.25">
      <c r="B2015" s="18"/>
      <c r="C2015" s="13"/>
      <c r="D2015" s="18"/>
      <c r="E2015" s="18"/>
      <c r="F2015" s="20"/>
      <c r="H2015" s="18"/>
    </row>
    <row r="2016" spans="2:8" x14ac:dyDescent="0.25">
      <c r="B2016" s="18"/>
      <c r="C2016" s="13"/>
      <c r="D2016" s="18"/>
      <c r="E2016" s="18"/>
      <c r="F2016" s="20"/>
      <c r="H2016" s="18"/>
    </row>
    <row r="2017" spans="2:8" x14ac:dyDescent="0.25">
      <c r="B2017" s="18"/>
      <c r="C2017" s="13"/>
      <c r="D2017" s="18"/>
      <c r="E2017" s="18"/>
      <c r="F2017" s="20"/>
      <c r="H2017" s="18"/>
    </row>
    <row r="2018" spans="2:8" x14ac:dyDescent="0.25">
      <c r="B2018" s="18"/>
      <c r="C2018" s="13"/>
      <c r="D2018" s="18"/>
      <c r="E2018" s="18"/>
      <c r="F2018" s="20"/>
      <c r="H2018" s="18"/>
    </row>
    <row r="2019" spans="2:8" x14ac:dyDescent="0.25">
      <c r="B2019" s="18"/>
      <c r="C2019" s="13"/>
      <c r="D2019" s="18"/>
      <c r="E2019" s="18"/>
      <c r="F2019" s="20"/>
      <c r="H2019" s="18"/>
    </row>
    <row r="2020" spans="2:8" x14ac:dyDescent="0.25">
      <c r="B2020" s="18"/>
      <c r="C2020" s="13"/>
      <c r="D2020" s="18"/>
      <c r="E2020" s="18"/>
      <c r="F2020" s="20"/>
      <c r="H2020" s="18"/>
    </row>
    <row r="2021" spans="2:8" x14ac:dyDescent="0.25">
      <c r="B2021" s="18"/>
      <c r="C2021" s="13"/>
      <c r="D2021" s="18"/>
      <c r="E2021" s="18"/>
      <c r="F2021" s="20"/>
      <c r="H2021" s="18"/>
    </row>
    <row r="2022" spans="2:8" x14ac:dyDescent="0.25">
      <c r="B2022" s="18"/>
      <c r="C2022" s="13"/>
      <c r="D2022" s="18"/>
      <c r="E2022" s="18"/>
      <c r="F2022" s="20"/>
      <c r="H2022" s="18"/>
    </row>
    <row r="2023" spans="2:8" x14ac:dyDescent="0.25">
      <c r="B2023" s="18"/>
      <c r="C2023" s="13"/>
      <c r="D2023" s="18"/>
      <c r="E2023" s="18"/>
      <c r="F2023" s="20"/>
      <c r="H2023" s="18"/>
    </row>
    <row r="2024" spans="2:8" x14ac:dyDescent="0.25">
      <c r="B2024" s="18"/>
      <c r="C2024" s="13"/>
      <c r="D2024" s="18"/>
      <c r="E2024" s="18"/>
      <c r="F2024" s="20"/>
      <c r="H2024" s="18"/>
    </row>
    <row r="2025" spans="2:8" x14ac:dyDescent="0.25">
      <c r="B2025" s="18"/>
      <c r="C2025" s="13"/>
      <c r="D2025" s="18"/>
      <c r="E2025" s="18"/>
      <c r="F2025" s="20"/>
      <c r="H2025" s="18"/>
    </row>
    <row r="2026" spans="2:8" x14ac:dyDescent="0.25">
      <c r="B2026" s="18"/>
      <c r="C2026" s="13"/>
      <c r="D2026" s="18"/>
      <c r="E2026" s="18"/>
      <c r="F2026" s="20"/>
      <c r="H2026" s="18"/>
    </row>
    <row r="2027" spans="2:8" x14ac:dyDescent="0.25">
      <c r="B2027" s="18"/>
      <c r="C2027" s="13"/>
      <c r="D2027" s="18"/>
      <c r="E2027" s="18"/>
      <c r="F2027" s="20"/>
      <c r="H2027" s="18"/>
    </row>
    <row r="2028" spans="2:8" x14ac:dyDescent="0.25">
      <c r="B2028" s="18"/>
      <c r="C2028" s="13"/>
      <c r="D2028" s="18"/>
      <c r="E2028" s="18"/>
      <c r="F2028" s="20"/>
      <c r="H2028" s="18"/>
    </row>
    <row r="2029" spans="2:8" x14ac:dyDescent="0.25">
      <c r="B2029" s="18"/>
      <c r="C2029" s="13"/>
      <c r="D2029" s="18"/>
      <c r="E2029" s="18"/>
      <c r="F2029" s="20"/>
      <c r="H2029" s="18"/>
    </row>
    <row r="2030" spans="2:8" x14ac:dyDescent="0.25">
      <c r="B2030" s="18"/>
      <c r="C2030" s="13"/>
      <c r="D2030" s="18"/>
      <c r="E2030" s="18"/>
      <c r="F2030" s="20"/>
      <c r="H2030" s="18"/>
    </row>
    <row r="2031" spans="2:8" x14ac:dyDescent="0.25">
      <c r="B2031" s="18"/>
      <c r="C2031" s="13"/>
      <c r="D2031" s="18"/>
      <c r="E2031" s="18"/>
      <c r="F2031" s="20"/>
      <c r="H2031" s="18"/>
    </row>
    <row r="2032" spans="2:8" x14ac:dyDescent="0.25">
      <c r="B2032" s="18"/>
      <c r="C2032" s="13"/>
      <c r="D2032" s="18"/>
      <c r="E2032" s="18"/>
      <c r="F2032" s="20"/>
      <c r="H2032" s="18"/>
    </row>
    <row r="2033" spans="2:8" x14ac:dyDescent="0.25">
      <c r="B2033" s="18"/>
      <c r="C2033" s="13"/>
      <c r="D2033" s="18"/>
      <c r="E2033" s="18"/>
      <c r="F2033" s="20"/>
      <c r="H2033" s="18"/>
    </row>
    <row r="2034" spans="2:8" x14ac:dyDescent="0.25">
      <c r="B2034" s="18"/>
      <c r="C2034" s="13"/>
      <c r="D2034" s="18"/>
      <c r="E2034" s="18"/>
      <c r="F2034" s="20"/>
      <c r="H2034" s="18"/>
    </row>
    <row r="2035" spans="2:8" x14ac:dyDescent="0.25">
      <c r="B2035" s="18"/>
      <c r="C2035" s="13"/>
      <c r="D2035" s="18"/>
      <c r="E2035" s="18"/>
      <c r="F2035" s="20"/>
      <c r="H2035" s="18"/>
    </row>
    <row r="2036" spans="2:8" x14ac:dyDescent="0.25">
      <c r="B2036" s="18"/>
      <c r="C2036" s="13"/>
      <c r="D2036" s="18"/>
      <c r="E2036" s="18"/>
      <c r="F2036" s="20"/>
      <c r="H2036" s="18"/>
    </row>
    <row r="2037" spans="2:8" x14ac:dyDescent="0.25">
      <c r="B2037" s="18"/>
      <c r="C2037" s="13"/>
      <c r="D2037" s="18"/>
      <c r="E2037" s="18"/>
      <c r="F2037" s="20"/>
      <c r="H2037" s="18"/>
    </row>
    <row r="2038" spans="2:8" x14ac:dyDescent="0.25">
      <c r="B2038" s="18"/>
      <c r="C2038" s="13"/>
      <c r="D2038" s="18"/>
      <c r="E2038" s="18"/>
      <c r="F2038" s="20"/>
      <c r="H2038" s="18"/>
    </row>
    <row r="2039" spans="2:8" x14ac:dyDescent="0.25">
      <c r="B2039" s="18"/>
      <c r="C2039" s="13"/>
      <c r="D2039" s="18"/>
      <c r="E2039" s="18"/>
      <c r="F2039" s="20"/>
      <c r="H2039" s="18"/>
    </row>
    <row r="2040" spans="2:8" x14ac:dyDescent="0.25">
      <c r="B2040" s="18"/>
      <c r="C2040" s="13"/>
      <c r="D2040" s="18"/>
      <c r="E2040" s="18"/>
      <c r="F2040" s="20"/>
      <c r="H2040" s="18"/>
    </row>
    <row r="2041" spans="2:8" x14ac:dyDescent="0.25">
      <c r="B2041" s="18"/>
      <c r="C2041" s="13"/>
      <c r="D2041" s="18"/>
      <c r="E2041" s="18"/>
      <c r="F2041" s="20"/>
      <c r="H2041" s="18"/>
    </row>
    <row r="2042" spans="2:8" x14ac:dyDescent="0.25">
      <c r="B2042" s="18"/>
      <c r="C2042" s="13"/>
      <c r="D2042" s="18"/>
      <c r="E2042" s="18"/>
      <c r="F2042" s="20"/>
      <c r="H2042" s="18"/>
    </row>
    <row r="2043" spans="2:8" x14ac:dyDescent="0.25">
      <c r="B2043" s="18"/>
      <c r="C2043" s="13"/>
      <c r="D2043" s="18"/>
      <c r="E2043" s="18"/>
      <c r="F2043" s="20"/>
      <c r="H2043" s="18"/>
    </row>
    <row r="2044" spans="2:8" x14ac:dyDescent="0.25">
      <c r="B2044" s="18"/>
      <c r="C2044" s="13"/>
      <c r="D2044" s="18"/>
      <c r="E2044" s="18"/>
      <c r="F2044" s="20"/>
      <c r="H2044" s="18"/>
    </row>
    <row r="2045" spans="2:8" x14ac:dyDescent="0.25">
      <c r="B2045" s="18"/>
      <c r="C2045" s="13"/>
      <c r="D2045" s="18"/>
      <c r="E2045" s="18"/>
      <c r="F2045" s="20"/>
      <c r="H2045" s="18"/>
    </row>
    <row r="2046" spans="2:8" x14ac:dyDescent="0.25">
      <c r="B2046" s="18"/>
      <c r="C2046" s="13"/>
      <c r="D2046" s="18"/>
      <c r="E2046" s="18"/>
      <c r="F2046" s="20"/>
      <c r="H2046" s="18"/>
    </row>
    <row r="2047" spans="2:8" x14ac:dyDescent="0.25">
      <c r="B2047" s="18"/>
      <c r="C2047" s="13"/>
      <c r="D2047" s="18"/>
      <c r="E2047" s="18"/>
      <c r="F2047" s="20"/>
      <c r="H2047" s="18"/>
    </row>
    <row r="2048" spans="2:8" x14ac:dyDescent="0.25">
      <c r="B2048" s="18"/>
      <c r="C2048" s="13"/>
      <c r="D2048" s="18"/>
      <c r="E2048" s="18"/>
      <c r="F2048" s="20"/>
      <c r="H2048" s="18"/>
    </row>
    <row r="2049" spans="2:8" x14ac:dyDescent="0.25">
      <c r="B2049" s="18"/>
      <c r="C2049" s="13"/>
      <c r="D2049" s="18"/>
      <c r="E2049" s="18"/>
      <c r="F2049" s="20"/>
      <c r="H2049" s="18"/>
    </row>
    <row r="2050" spans="2:8" x14ac:dyDescent="0.25">
      <c r="B2050" s="18"/>
      <c r="C2050" s="13"/>
      <c r="D2050" s="18"/>
      <c r="E2050" s="18"/>
      <c r="F2050" s="20"/>
      <c r="H2050" s="18"/>
    </row>
    <row r="2051" spans="2:8" x14ac:dyDescent="0.25">
      <c r="B2051" s="18"/>
      <c r="C2051" s="13"/>
      <c r="D2051" s="18"/>
      <c r="E2051" s="18"/>
      <c r="F2051" s="20"/>
      <c r="H2051" s="18"/>
    </row>
    <row r="2052" spans="2:8" x14ac:dyDescent="0.25">
      <c r="B2052" s="18"/>
      <c r="C2052" s="13"/>
      <c r="D2052" s="18"/>
      <c r="E2052" s="18"/>
      <c r="F2052" s="20"/>
      <c r="H2052" s="18"/>
    </row>
    <row r="2053" spans="2:8" x14ac:dyDescent="0.25">
      <c r="B2053" s="18"/>
      <c r="C2053" s="13"/>
      <c r="D2053" s="18"/>
      <c r="E2053" s="18"/>
      <c r="F2053" s="20"/>
      <c r="H2053" s="18"/>
    </row>
    <row r="2054" spans="2:8" x14ac:dyDescent="0.25">
      <c r="B2054" s="18"/>
      <c r="C2054" s="13"/>
      <c r="D2054" s="18"/>
      <c r="E2054" s="18"/>
      <c r="F2054" s="20"/>
      <c r="H2054" s="18"/>
    </row>
    <row r="2055" spans="2:8" x14ac:dyDescent="0.25">
      <c r="B2055" s="18"/>
      <c r="C2055" s="13"/>
      <c r="D2055" s="18"/>
      <c r="E2055" s="18"/>
      <c r="F2055" s="20"/>
      <c r="H2055" s="18"/>
    </row>
    <row r="2056" spans="2:8" x14ac:dyDescent="0.25">
      <c r="B2056" s="18"/>
      <c r="C2056" s="13"/>
      <c r="D2056" s="18"/>
      <c r="E2056" s="18"/>
      <c r="F2056" s="20"/>
      <c r="H2056" s="18"/>
    </row>
    <row r="2057" spans="2:8" x14ac:dyDescent="0.25">
      <c r="B2057" s="18"/>
      <c r="C2057" s="13"/>
      <c r="D2057" s="18"/>
      <c r="E2057" s="18"/>
      <c r="F2057" s="20"/>
      <c r="H2057" s="18"/>
    </row>
    <row r="2058" spans="2:8" x14ac:dyDescent="0.25">
      <c r="B2058" s="18"/>
      <c r="C2058" s="13"/>
      <c r="D2058" s="18"/>
      <c r="E2058" s="18"/>
      <c r="F2058" s="20"/>
      <c r="H2058" s="18"/>
    </row>
    <row r="2059" spans="2:8" x14ac:dyDescent="0.25">
      <c r="B2059" s="18"/>
      <c r="C2059" s="13"/>
      <c r="D2059" s="18"/>
      <c r="E2059" s="18"/>
      <c r="F2059" s="20"/>
      <c r="H2059" s="18"/>
    </row>
    <row r="2060" spans="2:8" x14ac:dyDescent="0.25">
      <c r="B2060" s="18"/>
      <c r="C2060" s="13"/>
      <c r="D2060" s="18"/>
      <c r="E2060" s="18"/>
      <c r="F2060" s="20"/>
      <c r="H2060" s="18"/>
    </row>
    <row r="2061" spans="2:8" x14ac:dyDescent="0.25">
      <c r="B2061" s="18"/>
      <c r="C2061" s="13"/>
      <c r="D2061" s="18"/>
      <c r="E2061" s="18"/>
      <c r="F2061" s="20"/>
      <c r="H2061" s="18"/>
    </row>
    <row r="2062" spans="2:8" x14ac:dyDescent="0.25">
      <c r="B2062" s="18"/>
      <c r="C2062" s="13"/>
      <c r="D2062" s="18"/>
      <c r="E2062" s="18"/>
      <c r="F2062" s="20"/>
      <c r="H2062" s="18"/>
    </row>
    <row r="2063" spans="2:8" x14ac:dyDescent="0.25">
      <c r="B2063" s="18"/>
      <c r="C2063" s="13"/>
      <c r="D2063" s="18"/>
      <c r="E2063" s="18"/>
      <c r="F2063" s="20"/>
      <c r="H2063" s="18"/>
    </row>
    <row r="2064" spans="2:8" x14ac:dyDescent="0.25">
      <c r="B2064" s="18"/>
      <c r="C2064" s="13"/>
      <c r="D2064" s="18"/>
      <c r="E2064" s="18"/>
      <c r="F2064" s="20"/>
      <c r="H2064" s="18"/>
    </row>
    <row r="2065" spans="2:8" x14ac:dyDescent="0.25">
      <c r="B2065" s="18"/>
      <c r="C2065" s="13"/>
      <c r="D2065" s="18"/>
      <c r="E2065" s="18"/>
      <c r="F2065" s="20"/>
      <c r="H2065" s="18"/>
    </row>
    <row r="2066" spans="2:8" x14ac:dyDescent="0.25">
      <c r="B2066" s="18"/>
      <c r="C2066" s="13"/>
      <c r="D2066" s="18"/>
      <c r="E2066" s="18"/>
      <c r="F2066" s="20"/>
      <c r="H2066" s="18"/>
    </row>
    <row r="2067" spans="2:8" x14ac:dyDescent="0.25">
      <c r="B2067" s="18"/>
      <c r="C2067" s="13"/>
      <c r="D2067" s="18"/>
      <c r="E2067" s="18"/>
      <c r="F2067" s="20"/>
      <c r="H2067" s="18"/>
    </row>
    <row r="2068" spans="2:8" x14ac:dyDescent="0.25">
      <c r="B2068" s="18"/>
      <c r="C2068" s="13"/>
      <c r="D2068" s="18"/>
      <c r="E2068" s="18"/>
      <c r="F2068" s="20"/>
      <c r="H2068" s="18"/>
    </row>
    <row r="2069" spans="2:8" x14ac:dyDescent="0.25">
      <c r="B2069" s="18"/>
      <c r="C2069" s="13"/>
      <c r="D2069" s="18"/>
      <c r="E2069" s="18"/>
      <c r="F2069" s="20"/>
      <c r="H2069" s="18"/>
    </row>
    <row r="2070" spans="2:8" x14ac:dyDescent="0.25">
      <c r="B2070" s="18"/>
      <c r="C2070" s="13"/>
      <c r="D2070" s="18"/>
      <c r="E2070" s="18"/>
      <c r="F2070" s="20"/>
      <c r="H2070" s="18"/>
    </row>
    <row r="2071" spans="2:8" x14ac:dyDescent="0.25">
      <c r="B2071" s="18"/>
      <c r="C2071" s="13"/>
      <c r="D2071" s="18"/>
      <c r="E2071" s="18"/>
      <c r="F2071" s="20"/>
      <c r="H2071" s="18"/>
    </row>
    <row r="2072" spans="2:8" x14ac:dyDescent="0.25">
      <c r="B2072" s="18"/>
      <c r="C2072" s="13"/>
      <c r="D2072" s="18"/>
      <c r="E2072" s="18"/>
      <c r="F2072" s="20"/>
      <c r="H2072" s="18"/>
    </row>
    <row r="2073" spans="2:8" x14ac:dyDescent="0.25">
      <c r="B2073" s="18"/>
      <c r="C2073" s="13"/>
      <c r="D2073" s="18"/>
      <c r="E2073" s="18"/>
      <c r="F2073" s="20"/>
      <c r="H2073" s="18"/>
    </row>
    <row r="2074" spans="2:8" x14ac:dyDescent="0.25">
      <c r="B2074" s="18"/>
      <c r="C2074" s="13"/>
      <c r="D2074" s="18"/>
      <c r="E2074" s="18"/>
      <c r="F2074" s="20"/>
      <c r="H2074" s="18"/>
    </row>
    <row r="2075" spans="2:8" x14ac:dyDescent="0.25">
      <c r="B2075" s="18"/>
      <c r="C2075" s="13"/>
      <c r="D2075" s="18"/>
      <c r="E2075" s="18"/>
      <c r="F2075" s="20"/>
      <c r="H2075" s="18"/>
    </row>
    <row r="2076" spans="2:8" x14ac:dyDescent="0.25">
      <c r="B2076" s="18"/>
      <c r="C2076" s="13"/>
      <c r="D2076" s="18"/>
      <c r="E2076" s="18"/>
      <c r="F2076" s="20"/>
      <c r="H2076" s="18"/>
    </row>
    <row r="2077" spans="2:8" x14ac:dyDescent="0.25">
      <c r="B2077" s="18"/>
      <c r="C2077" s="13"/>
      <c r="D2077" s="18"/>
      <c r="E2077" s="18"/>
      <c r="F2077" s="20"/>
      <c r="H2077" s="18"/>
    </row>
    <row r="2078" spans="2:8" x14ac:dyDescent="0.25">
      <c r="B2078" s="18"/>
      <c r="C2078" s="13"/>
      <c r="D2078" s="18"/>
      <c r="E2078" s="18"/>
      <c r="F2078" s="20"/>
      <c r="H2078" s="18"/>
    </row>
    <row r="2079" spans="2:8" x14ac:dyDescent="0.25">
      <c r="B2079" s="18"/>
      <c r="C2079" s="13"/>
      <c r="D2079" s="18"/>
      <c r="E2079" s="18"/>
      <c r="F2079" s="20"/>
      <c r="H2079" s="18"/>
    </row>
    <row r="2080" spans="2:8" x14ac:dyDescent="0.25">
      <c r="B2080" s="18"/>
      <c r="C2080" s="13"/>
      <c r="D2080" s="18"/>
      <c r="E2080" s="18"/>
      <c r="F2080" s="20"/>
      <c r="H2080" s="18"/>
    </row>
    <row r="2081" spans="2:8" x14ac:dyDescent="0.25">
      <c r="B2081" s="18"/>
      <c r="C2081" s="13"/>
      <c r="D2081" s="18"/>
      <c r="E2081" s="18"/>
      <c r="F2081" s="20"/>
      <c r="H2081" s="18"/>
    </row>
    <row r="2082" spans="2:8" x14ac:dyDescent="0.25">
      <c r="B2082" s="18"/>
      <c r="C2082" s="13"/>
      <c r="D2082" s="18"/>
      <c r="E2082" s="18"/>
      <c r="F2082" s="20"/>
      <c r="H2082" s="18"/>
    </row>
    <row r="2083" spans="2:8" x14ac:dyDescent="0.25">
      <c r="B2083" s="18"/>
      <c r="C2083" s="13"/>
      <c r="D2083" s="18"/>
      <c r="E2083" s="18"/>
      <c r="F2083" s="20"/>
      <c r="H2083" s="18"/>
    </row>
    <row r="2084" spans="2:8" x14ac:dyDescent="0.25">
      <c r="B2084" s="18"/>
      <c r="C2084" s="13"/>
      <c r="D2084" s="18"/>
      <c r="E2084" s="18"/>
      <c r="F2084" s="20"/>
      <c r="H2084" s="18"/>
    </row>
    <row r="2085" spans="2:8" x14ac:dyDescent="0.25">
      <c r="B2085" s="18"/>
      <c r="C2085" s="13"/>
      <c r="D2085" s="18"/>
      <c r="E2085" s="18"/>
      <c r="F2085" s="20"/>
      <c r="H2085" s="18"/>
    </row>
    <row r="2086" spans="2:8" x14ac:dyDescent="0.25">
      <c r="B2086" s="18"/>
      <c r="C2086" s="13"/>
      <c r="D2086" s="18"/>
      <c r="E2086" s="18"/>
      <c r="F2086" s="20"/>
      <c r="H2086" s="18"/>
    </row>
    <row r="2087" spans="2:8" x14ac:dyDescent="0.25">
      <c r="B2087" s="18"/>
      <c r="C2087" s="13"/>
      <c r="D2087" s="18"/>
      <c r="E2087" s="18"/>
      <c r="F2087" s="20"/>
      <c r="H2087" s="18"/>
    </row>
    <row r="2088" spans="2:8" x14ac:dyDescent="0.25">
      <c r="B2088" s="18"/>
      <c r="C2088" s="13"/>
      <c r="D2088" s="18"/>
      <c r="E2088" s="18"/>
      <c r="F2088" s="20"/>
      <c r="H2088" s="18"/>
    </row>
    <row r="2089" spans="2:8" x14ac:dyDescent="0.25">
      <c r="B2089" s="18"/>
      <c r="C2089" s="13"/>
      <c r="D2089" s="18"/>
      <c r="E2089" s="18"/>
      <c r="F2089" s="20"/>
      <c r="H2089" s="18"/>
    </row>
    <row r="2090" spans="2:8" x14ac:dyDescent="0.25">
      <c r="B2090" s="18"/>
      <c r="C2090" s="13"/>
      <c r="D2090" s="18"/>
      <c r="E2090" s="18"/>
      <c r="F2090" s="20"/>
      <c r="H2090" s="18"/>
    </row>
    <row r="2091" spans="2:8" x14ac:dyDescent="0.25">
      <c r="B2091" s="18"/>
      <c r="C2091" s="13"/>
      <c r="D2091" s="18"/>
      <c r="E2091" s="18"/>
      <c r="F2091" s="20"/>
      <c r="H2091" s="18"/>
    </row>
    <row r="2092" spans="2:8" x14ac:dyDescent="0.25">
      <c r="B2092" s="18"/>
      <c r="C2092" s="13"/>
      <c r="D2092" s="18"/>
      <c r="E2092" s="18"/>
      <c r="F2092" s="20"/>
      <c r="H2092" s="18"/>
    </row>
    <row r="2093" spans="2:8" x14ac:dyDescent="0.25">
      <c r="B2093" s="18"/>
      <c r="C2093" s="13"/>
      <c r="D2093" s="18"/>
      <c r="E2093" s="18"/>
      <c r="F2093" s="20"/>
      <c r="H2093" s="18"/>
    </row>
    <row r="2094" spans="2:8" x14ac:dyDescent="0.25">
      <c r="B2094" s="18"/>
      <c r="C2094" s="13"/>
      <c r="D2094" s="18"/>
      <c r="E2094" s="18"/>
      <c r="F2094" s="20"/>
      <c r="H2094" s="18"/>
    </row>
    <row r="2095" spans="2:8" x14ac:dyDescent="0.25">
      <c r="B2095" s="18"/>
      <c r="C2095" s="13"/>
      <c r="D2095" s="18"/>
      <c r="E2095" s="18"/>
      <c r="F2095" s="20"/>
      <c r="H2095" s="18"/>
    </row>
    <row r="2096" spans="2:8" x14ac:dyDescent="0.25">
      <c r="B2096" s="18"/>
      <c r="C2096" s="13"/>
      <c r="D2096" s="18"/>
      <c r="E2096" s="18"/>
      <c r="F2096" s="20"/>
      <c r="H2096" s="18"/>
    </row>
    <row r="2097" spans="2:8" x14ac:dyDescent="0.25">
      <c r="B2097" s="18"/>
      <c r="C2097" s="13"/>
      <c r="D2097" s="18"/>
      <c r="E2097" s="18"/>
      <c r="F2097" s="20"/>
      <c r="H2097" s="18"/>
    </row>
    <row r="2098" spans="2:8" x14ac:dyDescent="0.25">
      <c r="B2098" s="18"/>
      <c r="C2098" s="13"/>
      <c r="D2098" s="18"/>
      <c r="E2098" s="18"/>
      <c r="F2098" s="20"/>
      <c r="H2098" s="18"/>
    </row>
    <row r="2099" spans="2:8" x14ac:dyDescent="0.25">
      <c r="B2099" s="18"/>
      <c r="C2099" s="13"/>
      <c r="D2099" s="18"/>
      <c r="E2099" s="18"/>
      <c r="F2099" s="20"/>
      <c r="H2099" s="18"/>
    </row>
    <row r="2100" spans="2:8" x14ac:dyDescent="0.25">
      <c r="B2100" s="18"/>
      <c r="C2100" s="13"/>
      <c r="D2100" s="18"/>
      <c r="E2100" s="18"/>
      <c r="F2100" s="20"/>
      <c r="H2100" s="18"/>
    </row>
    <row r="2101" spans="2:8" x14ac:dyDescent="0.25">
      <c r="B2101" s="18"/>
      <c r="C2101" s="13"/>
      <c r="D2101" s="18"/>
      <c r="E2101" s="18"/>
      <c r="F2101" s="20"/>
      <c r="H2101" s="18"/>
    </row>
    <row r="2102" spans="2:8" x14ac:dyDescent="0.25">
      <c r="B2102" s="18"/>
      <c r="C2102" s="13"/>
      <c r="D2102" s="18"/>
      <c r="E2102" s="18"/>
      <c r="F2102" s="20"/>
      <c r="H2102" s="18"/>
    </row>
    <row r="2103" spans="2:8" x14ac:dyDescent="0.25">
      <c r="B2103" s="18"/>
      <c r="C2103" s="13"/>
      <c r="D2103" s="18"/>
      <c r="E2103" s="18"/>
      <c r="F2103" s="20"/>
      <c r="H2103" s="18"/>
    </row>
    <row r="2104" spans="2:8" x14ac:dyDescent="0.25">
      <c r="B2104" s="18"/>
      <c r="C2104" s="13"/>
      <c r="D2104" s="18"/>
      <c r="E2104" s="18"/>
      <c r="F2104" s="20"/>
      <c r="H2104" s="18"/>
    </row>
    <row r="2105" spans="2:8" x14ac:dyDescent="0.25">
      <c r="B2105" s="18"/>
      <c r="C2105" s="13"/>
      <c r="D2105" s="18"/>
      <c r="E2105" s="18"/>
      <c r="F2105" s="20"/>
      <c r="H2105" s="18"/>
    </row>
    <row r="2106" spans="2:8" x14ac:dyDescent="0.25">
      <c r="B2106" s="18"/>
      <c r="C2106" s="13"/>
      <c r="D2106" s="18"/>
      <c r="E2106" s="18"/>
      <c r="F2106" s="20"/>
      <c r="H2106" s="18"/>
    </row>
    <row r="2107" spans="2:8" x14ac:dyDescent="0.25">
      <c r="B2107" s="18"/>
      <c r="C2107" s="13"/>
      <c r="D2107" s="18"/>
      <c r="E2107" s="18"/>
      <c r="F2107" s="20"/>
      <c r="H2107" s="18"/>
    </row>
    <row r="2108" spans="2:8" x14ac:dyDescent="0.25">
      <c r="B2108" s="18"/>
      <c r="C2108" s="13"/>
      <c r="D2108" s="18"/>
      <c r="E2108" s="18"/>
      <c r="F2108" s="20"/>
      <c r="H2108" s="18"/>
    </row>
    <row r="2109" spans="2:8" x14ac:dyDescent="0.25">
      <c r="B2109" s="18"/>
      <c r="C2109" s="13"/>
      <c r="D2109" s="18"/>
      <c r="E2109" s="18"/>
      <c r="F2109" s="20"/>
      <c r="H2109" s="18"/>
    </row>
    <row r="2110" spans="2:8" x14ac:dyDescent="0.25">
      <c r="B2110" s="18"/>
      <c r="C2110" s="13"/>
      <c r="D2110" s="18"/>
      <c r="E2110" s="18"/>
      <c r="F2110" s="20"/>
      <c r="H2110" s="18"/>
    </row>
    <row r="2111" spans="2:8" x14ac:dyDescent="0.25">
      <c r="B2111" s="18"/>
      <c r="C2111" s="13"/>
      <c r="D2111" s="18"/>
      <c r="E2111" s="18"/>
      <c r="F2111" s="20"/>
      <c r="H2111" s="18"/>
    </row>
    <row r="2112" spans="2:8" x14ac:dyDescent="0.25">
      <c r="B2112" s="18"/>
      <c r="C2112" s="13"/>
      <c r="D2112" s="18"/>
      <c r="E2112" s="18"/>
      <c r="F2112" s="20"/>
      <c r="H2112" s="18"/>
    </row>
    <row r="2113" spans="2:8" x14ac:dyDescent="0.25">
      <c r="B2113" s="18"/>
      <c r="C2113" s="13"/>
      <c r="D2113" s="18"/>
      <c r="E2113" s="18"/>
      <c r="F2113" s="20"/>
      <c r="H2113" s="18"/>
    </row>
    <row r="2114" spans="2:8" x14ac:dyDescent="0.25">
      <c r="B2114" s="18"/>
      <c r="C2114" s="13"/>
      <c r="D2114" s="18"/>
      <c r="E2114" s="18"/>
      <c r="F2114" s="20"/>
      <c r="H2114" s="18"/>
    </row>
    <row r="2115" spans="2:8" x14ac:dyDescent="0.25">
      <c r="B2115" s="18"/>
      <c r="C2115" s="13"/>
      <c r="D2115" s="18"/>
      <c r="E2115" s="18"/>
      <c r="F2115" s="20"/>
      <c r="H2115" s="18"/>
    </row>
    <row r="2116" spans="2:8" x14ac:dyDescent="0.25">
      <c r="B2116" s="18"/>
      <c r="C2116" s="13"/>
      <c r="D2116" s="18"/>
      <c r="E2116" s="18"/>
      <c r="F2116" s="20"/>
      <c r="H2116" s="18"/>
    </row>
    <row r="2117" spans="2:8" x14ac:dyDescent="0.25">
      <c r="B2117" s="18"/>
      <c r="C2117" s="13"/>
      <c r="D2117" s="18"/>
      <c r="E2117" s="18"/>
      <c r="F2117" s="20"/>
      <c r="H2117" s="18"/>
    </row>
    <row r="2118" spans="2:8" x14ac:dyDescent="0.25">
      <c r="B2118" s="18"/>
      <c r="C2118" s="13"/>
      <c r="D2118" s="18"/>
      <c r="E2118" s="18"/>
      <c r="F2118" s="20"/>
      <c r="H2118" s="18"/>
    </row>
    <row r="2119" spans="2:8" x14ac:dyDescent="0.25">
      <c r="B2119" s="18"/>
      <c r="C2119" s="13"/>
      <c r="D2119" s="18"/>
      <c r="E2119" s="18"/>
      <c r="F2119" s="20"/>
      <c r="H2119" s="18"/>
    </row>
    <row r="2120" spans="2:8" x14ac:dyDescent="0.25">
      <c r="B2120" s="18"/>
      <c r="C2120" s="13"/>
      <c r="D2120" s="18"/>
      <c r="E2120" s="18"/>
      <c r="F2120" s="20"/>
      <c r="H2120" s="18"/>
    </row>
    <row r="2121" spans="2:8" x14ac:dyDescent="0.25">
      <c r="B2121" s="18"/>
      <c r="C2121" s="13"/>
      <c r="D2121" s="18"/>
      <c r="E2121" s="18"/>
      <c r="F2121" s="20"/>
      <c r="H2121" s="18"/>
    </row>
    <row r="2122" spans="2:8" x14ac:dyDescent="0.25">
      <c r="B2122" s="18"/>
      <c r="C2122" s="13"/>
      <c r="D2122" s="18"/>
      <c r="E2122" s="18"/>
      <c r="F2122" s="20"/>
      <c r="H2122" s="18"/>
    </row>
    <row r="2123" spans="2:8" x14ac:dyDescent="0.25">
      <c r="B2123" s="18"/>
      <c r="C2123" s="13"/>
      <c r="D2123" s="18"/>
      <c r="E2123" s="18"/>
      <c r="F2123" s="20"/>
      <c r="H2123" s="18"/>
    </row>
    <row r="2124" spans="2:8" x14ac:dyDescent="0.25">
      <c r="B2124" s="18"/>
      <c r="C2124" s="13"/>
      <c r="D2124" s="18"/>
      <c r="E2124" s="18"/>
      <c r="F2124" s="20"/>
      <c r="H2124" s="18"/>
    </row>
    <row r="2125" spans="2:8" x14ac:dyDescent="0.25">
      <c r="B2125" s="18"/>
      <c r="C2125" s="13"/>
      <c r="D2125" s="18"/>
      <c r="E2125" s="18"/>
      <c r="F2125" s="20"/>
      <c r="H2125" s="18"/>
    </row>
    <row r="2126" spans="2:8" x14ac:dyDescent="0.25">
      <c r="B2126" s="18"/>
      <c r="C2126" s="13"/>
      <c r="D2126" s="18"/>
      <c r="E2126" s="18"/>
      <c r="F2126" s="20"/>
      <c r="H2126" s="18"/>
    </row>
    <row r="2127" spans="2:8" x14ac:dyDescent="0.25">
      <c r="B2127" s="18"/>
      <c r="C2127" s="13"/>
      <c r="D2127" s="18"/>
      <c r="E2127" s="18"/>
      <c r="F2127" s="20"/>
      <c r="H2127" s="18"/>
    </row>
    <row r="2128" spans="2:8" x14ac:dyDescent="0.25">
      <c r="B2128" s="18"/>
      <c r="C2128" s="13"/>
      <c r="D2128" s="18"/>
      <c r="E2128" s="18"/>
      <c r="F2128" s="20"/>
      <c r="H2128" s="18"/>
    </row>
    <row r="2129" spans="2:8" x14ac:dyDescent="0.25">
      <c r="B2129" s="18"/>
      <c r="C2129" s="13"/>
      <c r="D2129" s="18"/>
      <c r="E2129" s="18"/>
      <c r="F2129" s="20"/>
      <c r="H2129" s="18"/>
    </row>
    <row r="2130" spans="2:8" x14ac:dyDescent="0.25">
      <c r="B2130" s="18"/>
      <c r="C2130" s="13"/>
      <c r="D2130" s="18"/>
      <c r="E2130" s="18"/>
      <c r="F2130" s="20"/>
      <c r="H2130" s="18"/>
    </row>
    <row r="2131" spans="2:8" x14ac:dyDescent="0.25">
      <c r="B2131" s="18"/>
      <c r="C2131" s="13"/>
      <c r="D2131" s="18"/>
      <c r="E2131" s="18"/>
      <c r="F2131" s="20"/>
      <c r="H2131" s="18"/>
    </row>
    <row r="2132" spans="2:8" x14ac:dyDescent="0.25">
      <c r="B2132" s="18"/>
      <c r="C2132" s="13"/>
      <c r="D2132" s="18"/>
      <c r="E2132" s="18"/>
      <c r="F2132" s="20"/>
      <c r="H2132" s="18"/>
    </row>
    <row r="2133" spans="2:8" x14ac:dyDescent="0.25">
      <c r="B2133" s="18"/>
      <c r="C2133" s="13"/>
      <c r="D2133" s="18"/>
      <c r="E2133" s="18"/>
      <c r="F2133" s="20"/>
      <c r="H2133" s="18"/>
    </row>
    <row r="2134" spans="2:8" x14ac:dyDescent="0.25">
      <c r="B2134" s="18"/>
      <c r="C2134" s="13"/>
      <c r="D2134" s="18"/>
      <c r="E2134" s="18"/>
      <c r="F2134" s="20"/>
      <c r="H2134" s="18"/>
    </row>
    <row r="2135" spans="2:8" x14ac:dyDescent="0.25">
      <c r="B2135" s="18"/>
      <c r="C2135" s="13"/>
      <c r="D2135" s="18"/>
      <c r="E2135" s="18"/>
      <c r="F2135" s="20"/>
      <c r="H2135" s="18"/>
    </row>
    <row r="2136" spans="2:8" x14ac:dyDescent="0.25">
      <c r="B2136" s="18"/>
      <c r="C2136" s="13"/>
      <c r="D2136" s="18"/>
      <c r="E2136" s="18"/>
      <c r="F2136" s="20"/>
      <c r="H2136" s="18"/>
    </row>
    <row r="2137" spans="2:8" x14ac:dyDescent="0.25">
      <c r="B2137" s="18"/>
      <c r="C2137" s="13"/>
      <c r="D2137" s="18"/>
      <c r="E2137" s="18"/>
      <c r="F2137" s="20"/>
      <c r="H2137" s="18"/>
    </row>
    <row r="2138" spans="2:8" x14ac:dyDescent="0.25">
      <c r="B2138" s="18"/>
      <c r="C2138" s="13"/>
      <c r="D2138" s="18"/>
      <c r="E2138" s="18"/>
      <c r="F2138" s="20"/>
      <c r="H2138" s="18"/>
    </row>
    <row r="2139" spans="2:8" x14ac:dyDescent="0.25">
      <c r="B2139" s="18"/>
      <c r="C2139" s="13"/>
      <c r="D2139" s="18"/>
      <c r="E2139" s="18"/>
      <c r="F2139" s="20"/>
      <c r="H2139" s="18"/>
    </row>
    <row r="2140" spans="2:8" x14ac:dyDescent="0.25">
      <c r="B2140" s="18"/>
      <c r="C2140" s="13"/>
      <c r="D2140" s="18"/>
      <c r="E2140" s="18"/>
      <c r="F2140" s="20"/>
      <c r="H2140" s="18"/>
    </row>
    <row r="2141" spans="2:8" x14ac:dyDescent="0.25">
      <c r="B2141" s="18"/>
      <c r="C2141" s="13"/>
      <c r="D2141" s="18"/>
      <c r="E2141" s="18"/>
      <c r="F2141" s="20"/>
      <c r="H2141" s="18"/>
    </row>
    <row r="2142" spans="2:8" x14ac:dyDescent="0.25">
      <c r="B2142" s="18"/>
      <c r="C2142" s="13"/>
      <c r="D2142" s="18"/>
      <c r="E2142" s="18"/>
      <c r="F2142" s="20"/>
      <c r="H2142" s="18"/>
    </row>
    <row r="2143" spans="2:8" x14ac:dyDescent="0.25">
      <c r="B2143" s="18"/>
      <c r="C2143" s="13"/>
      <c r="D2143" s="18"/>
      <c r="E2143" s="18"/>
      <c r="F2143" s="20"/>
      <c r="H2143" s="18"/>
    </row>
    <row r="2144" spans="2:8" x14ac:dyDescent="0.25">
      <c r="B2144" s="18"/>
      <c r="C2144" s="13"/>
      <c r="D2144" s="18"/>
      <c r="E2144" s="18"/>
      <c r="F2144" s="20"/>
      <c r="H2144" s="18"/>
    </row>
    <row r="2145" spans="2:8" x14ac:dyDescent="0.25">
      <c r="B2145" s="18"/>
      <c r="C2145" s="13"/>
      <c r="D2145" s="18"/>
      <c r="E2145" s="18"/>
      <c r="F2145" s="20"/>
      <c r="H2145" s="18"/>
    </row>
    <row r="2146" spans="2:8" x14ac:dyDescent="0.25">
      <c r="B2146" s="18"/>
      <c r="C2146" s="13"/>
      <c r="D2146" s="18"/>
      <c r="E2146" s="18"/>
      <c r="F2146" s="20"/>
      <c r="H2146" s="18"/>
    </row>
    <row r="2147" spans="2:8" x14ac:dyDescent="0.25">
      <c r="B2147" s="18"/>
      <c r="C2147" s="13"/>
      <c r="D2147" s="18"/>
      <c r="E2147" s="18"/>
      <c r="F2147" s="20"/>
      <c r="H2147" s="18"/>
    </row>
    <row r="2148" spans="2:8" x14ac:dyDescent="0.25">
      <c r="B2148" s="18"/>
      <c r="C2148" s="13"/>
      <c r="D2148" s="18"/>
      <c r="E2148" s="18"/>
      <c r="F2148" s="20"/>
      <c r="H2148" s="18"/>
    </row>
    <row r="2149" spans="2:8" x14ac:dyDescent="0.25">
      <c r="B2149" s="18"/>
      <c r="C2149" s="13"/>
      <c r="D2149" s="18"/>
      <c r="E2149" s="18"/>
      <c r="F2149" s="20"/>
      <c r="H2149" s="18"/>
    </row>
    <row r="2150" spans="2:8" x14ac:dyDescent="0.25">
      <c r="B2150" s="18"/>
      <c r="C2150" s="13"/>
      <c r="D2150" s="18"/>
      <c r="E2150" s="18"/>
      <c r="F2150" s="20"/>
      <c r="H2150" s="18"/>
    </row>
    <row r="2151" spans="2:8" x14ac:dyDescent="0.25">
      <c r="B2151" s="18"/>
      <c r="C2151" s="13"/>
      <c r="D2151" s="18"/>
      <c r="E2151" s="18"/>
      <c r="F2151" s="20"/>
      <c r="H2151" s="18"/>
    </row>
    <row r="2152" spans="2:8" x14ac:dyDescent="0.25">
      <c r="B2152" s="18"/>
      <c r="C2152" s="13"/>
      <c r="D2152" s="18"/>
      <c r="E2152" s="18"/>
      <c r="F2152" s="20"/>
      <c r="H2152" s="18"/>
    </row>
    <row r="2153" spans="2:8" x14ac:dyDescent="0.25">
      <c r="B2153" s="18"/>
      <c r="C2153" s="13"/>
      <c r="D2153" s="18"/>
      <c r="E2153" s="18"/>
      <c r="F2153" s="20"/>
      <c r="H2153" s="18"/>
    </row>
    <row r="2154" spans="2:8" x14ac:dyDescent="0.25">
      <c r="B2154" s="18"/>
      <c r="C2154" s="13"/>
      <c r="D2154" s="18"/>
      <c r="E2154" s="18"/>
      <c r="F2154" s="20"/>
      <c r="H2154" s="18"/>
    </row>
    <row r="2155" spans="2:8" x14ac:dyDescent="0.25">
      <c r="B2155" s="18"/>
      <c r="C2155" s="13"/>
      <c r="D2155" s="18"/>
      <c r="E2155" s="18"/>
      <c r="F2155" s="20"/>
      <c r="H2155" s="18"/>
    </row>
    <row r="2156" spans="2:8" x14ac:dyDescent="0.25">
      <c r="B2156" s="18"/>
      <c r="C2156" s="13"/>
      <c r="D2156" s="18"/>
      <c r="E2156" s="18"/>
      <c r="F2156" s="20"/>
      <c r="H2156" s="18"/>
    </row>
    <row r="2157" spans="2:8" x14ac:dyDescent="0.25">
      <c r="B2157" s="18"/>
      <c r="C2157" s="13"/>
      <c r="D2157" s="18"/>
      <c r="E2157" s="18"/>
      <c r="F2157" s="20"/>
      <c r="H2157" s="18"/>
    </row>
    <row r="2158" spans="2:8" x14ac:dyDescent="0.25">
      <c r="B2158" s="18"/>
      <c r="C2158" s="13"/>
      <c r="D2158" s="18"/>
      <c r="E2158" s="18"/>
      <c r="F2158" s="20"/>
      <c r="H2158" s="18"/>
    </row>
    <row r="2159" spans="2:8" x14ac:dyDescent="0.25">
      <c r="B2159" s="18"/>
      <c r="C2159" s="13"/>
      <c r="D2159" s="18"/>
      <c r="E2159" s="18"/>
      <c r="F2159" s="20"/>
      <c r="H2159" s="18"/>
    </row>
    <row r="2160" spans="2:8" x14ac:dyDescent="0.25">
      <c r="B2160" s="18"/>
      <c r="C2160" s="13"/>
      <c r="D2160" s="18"/>
      <c r="E2160" s="18"/>
      <c r="F2160" s="20"/>
      <c r="H2160" s="18"/>
    </row>
    <row r="2161" spans="2:8" x14ac:dyDescent="0.25">
      <c r="B2161" s="18"/>
      <c r="C2161" s="13"/>
      <c r="D2161" s="18"/>
      <c r="E2161" s="18"/>
      <c r="F2161" s="20"/>
      <c r="H2161" s="18"/>
    </row>
    <row r="2162" spans="2:8" x14ac:dyDescent="0.25">
      <c r="B2162" s="18"/>
      <c r="C2162" s="13"/>
      <c r="D2162" s="18"/>
      <c r="E2162" s="18"/>
      <c r="F2162" s="20"/>
      <c r="H2162" s="18"/>
    </row>
    <row r="2163" spans="2:8" x14ac:dyDescent="0.25">
      <c r="B2163" s="18"/>
      <c r="C2163" s="13"/>
      <c r="D2163" s="18"/>
      <c r="E2163" s="18"/>
      <c r="F2163" s="20"/>
      <c r="H2163" s="18"/>
    </row>
    <row r="2164" spans="2:8" x14ac:dyDescent="0.25">
      <c r="B2164" s="18"/>
      <c r="C2164" s="13"/>
      <c r="D2164" s="18"/>
      <c r="E2164" s="18"/>
      <c r="F2164" s="20"/>
      <c r="H2164" s="18"/>
    </row>
    <row r="2165" spans="2:8" x14ac:dyDescent="0.25">
      <c r="B2165" s="18"/>
      <c r="C2165" s="13"/>
      <c r="D2165" s="18"/>
      <c r="E2165" s="18"/>
      <c r="F2165" s="20"/>
      <c r="H2165" s="18"/>
    </row>
    <row r="2166" spans="2:8" x14ac:dyDescent="0.25">
      <c r="B2166" s="18"/>
      <c r="C2166" s="13"/>
      <c r="D2166" s="18"/>
      <c r="E2166" s="18"/>
      <c r="F2166" s="20"/>
      <c r="H2166" s="18"/>
    </row>
    <row r="2167" spans="2:8" x14ac:dyDescent="0.25">
      <c r="B2167" s="18"/>
      <c r="C2167" s="13"/>
      <c r="D2167" s="18"/>
      <c r="E2167" s="18"/>
      <c r="F2167" s="20"/>
      <c r="H2167" s="18"/>
    </row>
    <row r="2168" spans="2:8" x14ac:dyDescent="0.25">
      <c r="B2168" s="18"/>
      <c r="C2168" s="13"/>
      <c r="D2168" s="18"/>
      <c r="E2168" s="18"/>
      <c r="F2168" s="20"/>
      <c r="H2168" s="18"/>
    </row>
    <row r="2169" spans="2:8" x14ac:dyDescent="0.25">
      <c r="B2169" s="18"/>
      <c r="C2169" s="13"/>
      <c r="D2169" s="18"/>
      <c r="E2169" s="18"/>
      <c r="F2169" s="20"/>
      <c r="H2169" s="18"/>
    </row>
    <row r="2170" spans="2:8" x14ac:dyDescent="0.25">
      <c r="B2170" s="18"/>
      <c r="C2170" s="13"/>
      <c r="D2170" s="18"/>
      <c r="E2170" s="18"/>
      <c r="F2170" s="20"/>
      <c r="H2170" s="18"/>
    </row>
    <row r="2171" spans="2:8" x14ac:dyDescent="0.25">
      <c r="B2171" s="18"/>
      <c r="C2171" s="13"/>
      <c r="D2171" s="18"/>
      <c r="E2171" s="18"/>
      <c r="F2171" s="20"/>
      <c r="H2171" s="18"/>
    </row>
    <row r="2172" spans="2:8" x14ac:dyDescent="0.25">
      <c r="B2172" s="18"/>
      <c r="C2172" s="13"/>
      <c r="D2172" s="18"/>
      <c r="E2172" s="18"/>
      <c r="F2172" s="20"/>
      <c r="H2172" s="18"/>
    </row>
    <row r="2173" spans="2:8" x14ac:dyDescent="0.25">
      <c r="B2173" s="18"/>
      <c r="C2173" s="13"/>
      <c r="D2173" s="18"/>
      <c r="E2173" s="18"/>
      <c r="F2173" s="20"/>
      <c r="H2173" s="18"/>
    </row>
    <row r="2174" spans="2:8" x14ac:dyDescent="0.25">
      <c r="B2174" s="18"/>
      <c r="C2174" s="13"/>
      <c r="D2174" s="18"/>
      <c r="E2174" s="18"/>
      <c r="F2174" s="20"/>
      <c r="H2174" s="18"/>
    </row>
    <row r="2175" spans="2:8" x14ac:dyDescent="0.25">
      <c r="B2175" s="18"/>
      <c r="C2175" s="13"/>
      <c r="D2175" s="18"/>
      <c r="E2175" s="18"/>
      <c r="F2175" s="20"/>
      <c r="H2175" s="18"/>
    </row>
    <row r="2176" spans="2:8" x14ac:dyDescent="0.25">
      <c r="B2176" s="18"/>
      <c r="C2176" s="13"/>
      <c r="D2176" s="18"/>
      <c r="E2176" s="18"/>
      <c r="F2176" s="20"/>
      <c r="H2176" s="18"/>
    </row>
    <row r="2177" spans="2:8" x14ac:dyDescent="0.25">
      <c r="B2177" s="18"/>
      <c r="C2177" s="13"/>
      <c r="D2177" s="18"/>
      <c r="E2177" s="18"/>
      <c r="F2177" s="20"/>
      <c r="H2177" s="18"/>
    </row>
    <row r="2178" spans="2:8" x14ac:dyDescent="0.25">
      <c r="B2178" s="18"/>
      <c r="C2178" s="13"/>
      <c r="D2178" s="18"/>
      <c r="E2178" s="18"/>
      <c r="F2178" s="20"/>
      <c r="H2178" s="18"/>
    </row>
    <row r="2179" spans="2:8" x14ac:dyDescent="0.25">
      <c r="B2179" s="18"/>
      <c r="C2179" s="13"/>
      <c r="D2179" s="18"/>
      <c r="E2179" s="18"/>
      <c r="F2179" s="20"/>
      <c r="H2179" s="18"/>
    </row>
    <row r="2180" spans="2:8" x14ac:dyDescent="0.25">
      <c r="B2180" s="18"/>
      <c r="C2180" s="13"/>
      <c r="D2180" s="18"/>
      <c r="E2180" s="18"/>
      <c r="F2180" s="20"/>
      <c r="H2180" s="18"/>
    </row>
    <row r="2181" spans="2:8" x14ac:dyDescent="0.25">
      <c r="B2181" s="18"/>
      <c r="C2181" s="13"/>
      <c r="D2181" s="18"/>
      <c r="E2181" s="18"/>
      <c r="F2181" s="20"/>
      <c r="H2181" s="18"/>
    </row>
    <row r="2182" spans="2:8" x14ac:dyDescent="0.25">
      <c r="B2182" s="18"/>
      <c r="C2182" s="13"/>
      <c r="D2182" s="18"/>
      <c r="E2182" s="18"/>
      <c r="F2182" s="20"/>
      <c r="H2182" s="18"/>
    </row>
    <row r="2183" spans="2:8" x14ac:dyDescent="0.25">
      <c r="B2183" s="18"/>
      <c r="C2183" s="13"/>
      <c r="D2183" s="18"/>
      <c r="E2183" s="18"/>
      <c r="F2183" s="20"/>
      <c r="H2183" s="18"/>
    </row>
    <row r="2184" spans="2:8" x14ac:dyDescent="0.25">
      <c r="B2184" s="18"/>
      <c r="C2184" s="13"/>
      <c r="D2184" s="18"/>
      <c r="E2184" s="18"/>
      <c r="F2184" s="20"/>
      <c r="H2184" s="18"/>
    </row>
    <row r="2185" spans="2:8" x14ac:dyDescent="0.25">
      <c r="B2185" s="18"/>
      <c r="C2185" s="13"/>
      <c r="D2185" s="18"/>
      <c r="E2185" s="18"/>
      <c r="F2185" s="20"/>
      <c r="H2185" s="18"/>
    </row>
    <row r="2186" spans="2:8" x14ac:dyDescent="0.25">
      <c r="B2186" s="18"/>
      <c r="C2186" s="13"/>
      <c r="D2186" s="18"/>
      <c r="E2186" s="18"/>
      <c r="F2186" s="20"/>
      <c r="H2186" s="18"/>
    </row>
    <row r="2187" spans="2:8" x14ac:dyDescent="0.25">
      <c r="B2187" s="18"/>
      <c r="C2187" s="13"/>
      <c r="D2187" s="18"/>
      <c r="E2187" s="18"/>
      <c r="F2187" s="20"/>
      <c r="H2187" s="18"/>
    </row>
    <row r="2188" spans="2:8" x14ac:dyDescent="0.25">
      <c r="B2188" s="18"/>
      <c r="C2188" s="13"/>
      <c r="D2188" s="18"/>
      <c r="E2188" s="18"/>
      <c r="F2188" s="20"/>
      <c r="H2188" s="18"/>
    </row>
    <row r="2189" spans="2:8" x14ac:dyDescent="0.25">
      <c r="B2189" s="18"/>
      <c r="C2189" s="13"/>
      <c r="D2189" s="18"/>
      <c r="E2189" s="18"/>
      <c r="F2189" s="20"/>
      <c r="H2189" s="18"/>
    </row>
    <row r="2190" spans="2:8" x14ac:dyDescent="0.25">
      <c r="B2190" s="18"/>
      <c r="C2190" s="13"/>
      <c r="D2190" s="18"/>
      <c r="E2190" s="18"/>
      <c r="F2190" s="20"/>
      <c r="H2190" s="18"/>
    </row>
    <row r="2191" spans="2:8" x14ac:dyDescent="0.25">
      <c r="B2191" s="18"/>
      <c r="C2191" s="13"/>
      <c r="D2191" s="18"/>
      <c r="E2191" s="18"/>
      <c r="F2191" s="20"/>
      <c r="H2191" s="18"/>
    </row>
    <row r="2192" spans="2:8" x14ac:dyDescent="0.25">
      <c r="B2192" s="18"/>
      <c r="C2192" s="13"/>
      <c r="D2192" s="18"/>
      <c r="E2192" s="18"/>
      <c r="F2192" s="20"/>
      <c r="H2192" s="18"/>
    </row>
    <row r="2193" spans="2:8" x14ac:dyDescent="0.25">
      <c r="B2193" s="18"/>
      <c r="C2193" s="13"/>
      <c r="D2193" s="18"/>
      <c r="E2193" s="18"/>
      <c r="F2193" s="20"/>
      <c r="H2193" s="18"/>
    </row>
    <row r="2194" spans="2:8" x14ac:dyDescent="0.25">
      <c r="B2194" s="18"/>
      <c r="C2194" s="13"/>
      <c r="D2194" s="18"/>
      <c r="E2194" s="18"/>
      <c r="F2194" s="20"/>
      <c r="H2194" s="18"/>
    </row>
    <row r="2195" spans="2:8" x14ac:dyDescent="0.25">
      <c r="B2195" s="18"/>
      <c r="C2195" s="13"/>
      <c r="D2195" s="18"/>
      <c r="E2195" s="18"/>
      <c r="F2195" s="20"/>
      <c r="H2195" s="18"/>
    </row>
    <row r="2196" spans="2:8" x14ac:dyDescent="0.25">
      <c r="B2196" s="18"/>
      <c r="C2196" s="13"/>
      <c r="D2196" s="18"/>
      <c r="E2196" s="18"/>
      <c r="F2196" s="20"/>
      <c r="H2196" s="18"/>
    </row>
    <row r="2197" spans="2:8" x14ac:dyDescent="0.25">
      <c r="B2197" s="18"/>
      <c r="C2197" s="13"/>
      <c r="D2197" s="18"/>
      <c r="E2197" s="18"/>
      <c r="F2197" s="20"/>
      <c r="H2197" s="18"/>
    </row>
    <row r="2198" spans="2:8" x14ac:dyDescent="0.25">
      <c r="B2198" s="18"/>
      <c r="C2198" s="13"/>
      <c r="D2198" s="18"/>
      <c r="E2198" s="18"/>
      <c r="F2198" s="20"/>
      <c r="H2198" s="18"/>
    </row>
    <row r="2199" spans="2:8" x14ac:dyDescent="0.25">
      <c r="B2199" s="18"/>
      <c r="C2199" s="13"/>
      <c r="D2199" s="18"/>
      <c r="E2199" s="18"/>
      <c r="F2199" s="20"/>
      <c r="H2199" s="18"/>
    </row>
    <row r="2200" spans="2:8" x14ac:dyDescent="0.25">
      <c r="B2200" s="18"/>
      <c r="C2200" s="13"/>
      <c r="D2200" s="18"/>
      <c r="E2200" s="18"/>
      <c r="F2200" s="20"/>
      <c r="H2200" s="18"/>
    </row>
    <row r="2201" spans="2:8" x14ac:dyDescent="0.25">
      <c r="B2201" s="18"/>
      <c r="C2201" s="13"/>
      <c r="D2201" s="18"/>
      <c r="E2201" s="18"/>
      <c r="F2201" s="20"/>
      <c r="H2201" s="18"/>
    </row>
    <row r="2202" spans="2:8" x14ac:dyDescent="0.25">
      <c r="B2202" s="18"/>
      <c r="C2202" s="13"/>
      <c r="D2202" s="18"/>
      <c r="E2202" s="18"/>
      <c r="F2202" s="20"/>
      <c r="H2202" s="18"/>
    </row>
    <row r="2203" spans="2:8" x14ac:dyDescent="0.25">
      <c r="B2203" s="18"/>
      <c r="C2203" s="13"/>
      <c r="D2203" s="18"/>
      <c r="E2203" s="18"/>
      <c r="F2203" s="20"/>
      <c r="H2203" s="18"/>
    </row>
    <row r="2204" spans="2:8" x14ac:dyDescent="0.25">
      <c r="B2204" s="18"/>
      <c r="C2204" s="13"/>
      <c r="D2204" s="18"/>
      <c r="E2204" s="18"/>
      <c r="F2204" s="20"/>
      <c r="H2204" s="18"/>
    </row>
    <row r="2205" spans="2:8" x14ac:dyDescent="0.25">
      <c r="B2205" s="18"/>
      <c r="C2205" s="13"/>
      <c r="D2205" s="18"/>
      <c r="E2205" s="18"/>
      <c r="F2205" s="20"/>
      <c r="H2205" s="18"/>
    </row>
    <row r="2206" spans="2:8" x14ac:dyDescent="0.25">
      <c r="B2206" s="18"/>
      <c r="C2206" s="13"/>
      <c r="D2206" s="18"/>
      <c r="E2206" s="18"/>
      <c r="F2206" s="20"/>
      <c r="H2206" s="18"/>
    </row>
    <row r="2207" spans="2:8" x14ac:dyDescent="0.25">
      <c r="B2207" s="18"/>
      <c r="C2207" s="13"/>
      <c r="D2207" s="18"/>
      <c r="E2207" s="18"/>
      <c r="F2207" s="20"/>
      <c r="H2207" s="18"/>
    </row>
    <row r="2208" spans="2:8" x14ac:dyDescent="0.25">
      <c r="B2208" s="18"/>
      <c r="C2208" s="13"/>
      <c r="D2208" s="18"/>
      <c r="E2208" s="18"/>
      <c r="F2208" s="20"/>
      <c r="H2208" s="18"/>
    </row>
    <row r="2209" spans="2:8" x14ac:dyDescent="0.25">
      <c r="B2209" s="18"/>
      <c r="C2209" s="13"/>
      <c r="D2209" s="18"/>
      <c r="E2209" s="18"/>
      <c r="F2209" s="20"/>
      <c r="H2209" s="18"/>
    </row>
    <row r="2210" spans="2:8" x14ac:dyDescent="0.25">
      <c r="B2210" s="18"/>
      <c r="C2210" s="13"/>
      <c r="D2210" s="18"/>
      <c r="E2210" s="18"/>
      <c r="F2210" s="20"/>
      <c r="H2210" s="18"/>
    </row>
    <row r="2211" spans="2:8" x14ac:dyDescent="0.25">
      <c r="B2211" s="18"/>
      <c r="C2211" s="13"/>
      <c r="D2211" s="18"/>
      <c r="E2211" s="18"/>
      <c r="F2211" s="20"/>
      <c r="H2211" s="18"/>
    </row>
    <row r="2212" spans="2:8" x14ac:dyDescent="0.25">
      <c r="B2212" s="18"/>
      <c r="C2212" s="13"/>
      <c r="D2212" s="18"/>
      <c r="E2212" s="18"/>
      <c r="F2212" s="20"/>
      <c r="H2212" s="18"/>
    </row>
    <row r="2213" spans="2:8" x14ac:dyDescent="0.25">
      <c r="B2213" s="18"/>
      <c r="C2213" s="13"/>
      <c r="D2213" s="18"/>
      <c r="E2213" s="18"/>
      <c r="F2213" s="20"/>
      <c r="H2213" s="18"/>
    </row>
    <row r="2214" spans="2:8" x14ac:dyDescent="0.25">
      <c r="B2214" s="18"/>
      <c r="C2214" s="13"/>
      <c r="D2214" s="18"/>
      <c r="E2214" s="18"/>
      <c r="F2214" s="20"/>
      <c r="H2214" s="18"/>
    </row>
    <row r="2215" spans="2:8" x14ac:dyDescent="0.25">
      <c r="B2215" s="18"/>
      <c r="C2215" s="13"/>
      <c r="D2215" s="18"/>
      <c r="E2215" s="18"/>
      <c r="F2215" s="20"/>
      <c r="H2215" s="18"/>
    </row>
    <row r="2216" spans="2:8" x14ac:dyDescent="0.25">
      <c r="B2216" s="18"/>
      <c r="C2216" s="13"/>
      <c r="D2216" s="18"/>
      <c r="E2216" s="18"/>
      <c r="F2216" s="20"/>
      <c r="H2216" s="18"/>
    </row>
    <row r="2217" spans="2:8" x14ac:dyDescent="0.25">
      <c r="B2217" s="18"/>
      <c r="C2217" s="13"/>
      <c r="D2217" s="18"/>
      <c r="E2217" s="18"/>
      <c r="F2217" s="20"/>
      <c r="H2217" s="18"/>
    </row>
    <row r="2218" spans="2:8" x14ac:dyDescent="0.25">
      <c r="B2218" s="18"/>
      <c r="C2218" s="13"/>
      <c r="D2218" s="18"/>
      <c r="E2218" s="18"/>
      <c r="F2218" s="20"/>
      <c r="H2218" s="18"/>
    </row>
    <row r="2219" spans="2:8" x14ac:dyDescent="0.25">
      <c r="B2219" s="18"/>
      <c r="C2219" s="13"/>
      <c r="D2219" s="18"/>
      <c r="E2219" s="18"/>
      <c r="F2219" s="20"/>
      <c r="H2219" s="18"/>
    </row>
    <row r="2220" spans="2:8" x14ac:dyDescent="0.25">
      <c r="B2220" s="18"/>
      <c r="C2220" s="13"/>
      <c r="D2220" s="18"/>
      <c r="E2220" s="18"/>
      <c r="F2220" s="20"/>
      <c r="H2220" s="18"/>
    </row>
    <row r="2221" spans="2:8" x14ac:dyDescent="0.25">
      <c r="B2221" s="18"/>
      <c r="C2221" s="13"/>
      <c r="D2221" s="18"/>
      <c r="E2221" s="18"/>
      <c r="F2221" s="20"/>
      <c r="H2221" s="18"/>
    </row>
    <row r="2222" spans="2:8" x14ac:dyDescent="0.25">
      <c r="B2222" s="18"/>
      <c r="C2222" s="13"/>
      <c r="D2222" s="18"/>
      <c r="E2222" s="18"/>
      <c r="F2222" s="20"/>
      <c r="H2222" s="18"/>
    </row>
    <row r="2223" spans="2:8" x14ac:dyDescent="0.25">
      <c r="B2223" s="18"/>
      <c r="C2223" s="13"/>
      <c r="D2223" s="18"/>
      <c r="E2223" s="18"/>
      <c r="F2223" s="20"/>
      <c r="H2223" s="18"/>
    </row>
    <row r="2224" spans="2:8" x14ac:dyDescent="0.25">
      <c r="B2224" s="18"/>
      <c r="C2224" s="13"/>
      <c r="D2224" s="18"/>
      <c r="E2224" s="18"/>
      <c r="F2224" s="20"/>
      <c r="H2224" s="18"/>
    </row>
    <row r="2225" spans="2:8" x14ac:dyDescent="0.25">
      <c r="B2225" s="18"/>
      <c r="C2225" s="13"/>
      <c r="D2225" s="18"/>
      <c r="E2225" s="18"/>
      <c r="F2225" s="20"/>
      <c r="H2225" s="18"/>
    </row>
    <row r="2226" spans="2:8" x14ac:dyDescent="0.25">
      <c r="B2226" s="18"/>
      <c r="C2226" s="13"/>
      <c r="D2226" s="18"/>
      <c r="E2226" s="18"/>
      <c r="F2226" s="20"/>
      <c r="H2226" s="18"/>
    </row>
    <row r="2227" spans="2:8" x14ac:dyDescent="0.25">
      <c r="B2227" s="18"/>
      <c r="C2227" s="13"/>
      <c r="D2227" s="18"/>
      <c r="E2227" s="18"/>
      <c r="F2227" s="20"/>
      <c r="H2227" s="18"/>
    </row>
    <row r="2228" spans="2:8" x14ac:dyDescent="0.25">
      <c r="B2228" s="18"/>
      <c r="C2228" s="13"/>
      <c r="D2228" s="18"/>
      <c r="E2228" s="18"/>
      <c r="F2228" s="20"/>
      <c r="H2228" s="18"/>
    </row>
    <row r="2229" spans="2:8" x14ac:dyDescent="0.25">
      <c r="B2229" s="18"/>
      <c r="C2229" s="13"/>
      <c r="D2229" s="18"/>
      <c r="E2229" s="18"/>
      <c r="F2229" s="20"/>
      <c r="H2229" s="18"/>
    </row>
    <row r="2230" spans="2:8" x14ac:dyDescent="0.25">
      <c r="B2230" s="18"/>
      <c r="C2230" s="13"/>
      <c r="D2230" s="18"/>
      <c r="E2230" s="18"/>
      <c r="F2230" s="20"/>
      <c r="H2230" s="18"/>
    </row>
    <row r="2231" spans="2:8" x14ac:dyDescent="0.25">
      <c r="B2231" s="18"/>
      <c r="C2231" s="13"/>
      <c r="D2231" s="18"/>
      <c r="E2231" s="18"/>
      <c r="F2231" s="20"/>
      <c r="H2231" s="18"/>
    </row>
    <row r="2232" spans="2:8" x14ac:dyDescent="0.25">
      <c r="B2232" s="18"/>
      <c r="C2232" s="13"/>
      <c r="D2232" s="18"/>
      <c r="E2232" s="18"/>
      <c r="F2232" s="20"/>
      <c r="H2232" s="18"/>
    </row>
    <row r="2233" spans="2:8" x14ac:dyDescent="0.25">
      <c r="B2233" s="18"/>
      <c r="C2233" s="13"/>
      <c r="D2233" s="18"/>
      <c r="E2233" s="18"/>
      <c r="F2233" s="20"/>
      <c r="H2233" s="18"/>
    </row>
    <row r="2234" spans="2:8" x14ac:dyDescent="0.25">
      <c r="B2234" s="18"/>
      <c r="C2234" s="13"/>
      <c r="D2234" s="18"/>
      <c r="E2234" s="18"/>
      <c r="F2234" s="20"/>
      <c r="H2234" s="18"/>
    </row>
    <row r="2235" spans="2:8" x14ac:dyDescent="0.25">
      <c r="B2235" s="18"/>
      <c r="C2235" s="13"/>
      <c r="D2235" s="18"/>
      <c r="E2235" s="18"/>
      <c r="F2235" s="20"/>
      <c r="H2235" s="18"/>
    </row>
    <row r="2236" spans="2:8" x14ac:dyDescent="0.25">
      <c r="B2236" s="18"/>
      <c r="C2236" s="13"/>
      <c r="D2236" s="18"/>
      <c r="E2236" s="18"/>
      <c r="F2236" s="20"/>
      <c r="H2236" s="18"/>
    </row>
    <row r="2237" spans="2:8" x14ac:dyDescent="0.25">
      <c r="B2237" s="18"/>
      <c r="C2237" s="13"/>
      <c r="D2237" s="18"/>
      <c r="E2237" s="18"/>
      <c r="F2237" s="20"/>
      <c r="H2237" s="18"/>
    </row>
    <row r="2238" spans="2:8" x14ac:dyDescent="0.25">
      <c r="B2238" s="18"/>
      <c r="C2238" s="13"/>
      <c r="D2238" s="18"/>
      <c r="E2238" s="18"/>
      <c r="F2238" s="20"/>
      <c r="H2238" s="18"/>
    </row>
    <row r="2239" spans="2:8" x14ac:dyDescent="0.25">
      <c r="B2239" s="18"/>
      <c r="C2239" s="13"/>
      <c r="D2239" s="18"/>
      <c r="E2239" s="18"/>
      <c r="F2239" s="20"/>
      <c r="H2239" s="18"/>
    </row>
    <row r="2240" spans="2:8" x14ac:dyDescent="0.25">
      <c r="B2240" s="18"/>
      <c r="C2240" s="13"/>
      <c r="D2240" s="18"/>
      <c r="E2240" s="18"/>
      <c r="F2240" s="20"/>
      <c r="H2240" s="18"/>
    </row>
    <row r="2241" spans="2:8" x14ac:dyDescent="0.25">
      <c r="B2241" s="18"/>
      <c r="C2241" s="13"/>
      <c r="D2241" s="18"/>
      <c r="E2241" s="18"/>
      <c r="F2241" s="20"/>
      <c r="H2241" s="18"/>
    </row>
    <row r="2242" spans="2:8" x14ac:dyDescent="0.25">
      <c r="B2242" s="18"/>
      <c r="C2242" s="13"/>
      <c r="D2242" s="18"/>
      <c r="E2242" s="18"/>
      <c r="F2242" s="20"/>
      <c r="H2242" s="18"/>
    </row>
    <row r="2243" spans="2:8" x14ac:dyDescent="0.25">
      <c r="B2243" s="18"/>
      <c r="C2243" s="13"/>
      <c r="D2243" s="18"/>
      <c r="E2243" s="18"/>
      <c r="F2243" s="20"/>
      <c r="H2243" s="18"/>
    </row>
    <row r="2244" spans="2:8" x14ac:dyDescent="0.25">
      <c r="B2244" s="18"/>
      <c r="C2244" s="13"/>
      <c r="D2244" s="18"/>
      <c r="E2244" s="18"/>
      <c r="F2244" s="20"/>
      <c r="H2244" s="18"/>
    </row>
    <row r="2245" spans="2:8" x14ac:dyDescent="0.25">
      <c r="B2245" s="18"/>
      <c r="C2245" s="13"/>
      <c r="D2245" s="18"/>
      <c r="E2245" s="18"/>
      <c r="F2245" s="20"/>
      <c r="H2245" s="18"/>
    </row>
    <row r="2246" spans="2:8" x14ac:dyDescent="0.25">
      <c r="B2246" s="18"/>
      <c r="C2246" s="13"/>
      <c r="D2246" s="18"/>
      <c r="E2246" s="18"/>
      <c r="F2246" s="20"/>
      <c r="H2246" s="18"/>
    </row>
    <row r="2247" spans="2:8" x14ac:dyDescent="0.25">
      <c r="B2247" s="18"/>
      <c r="C2247" s="13"/>
      <c r="D2247" s="18"/>
      <c r="E2247" s="18"/>
      <c r="F2247" s="20"/>
      <c r="H2247" s="18"/>
    </row>
    <row r="2248" spans="2:8" x14ac:dyDescent="0.25">
      <c r="B2248" s="18"/>
      <c r="C2248" s="13"/>
      <c r="D2248" s="18"/>
      <c r="E2248" s="18"/>
      <c r="F2248" s="20"/>
      <c r="H2248" s="18"/>
    </row>
    <row r="2249" spans="2:8" x14ac:dyDescent="0.25">
      <c r="B2249" s="18"/>
      <c r="C2249" s="13"/>
      <c r="D2249" s="18"/>
      <c r="E2249" s="18"/>
      <c r="F2249" s="20"/>
      <c r="H2249" s="18"/>
    </row>
    <row r="2250" spans="2:8" x14ac:dyDescent="0.25">
      <c r="B2250" s="18"/>
      <c r="C2250" s="13"/>
      <c r="D2250" s="18"/>
      <c r="E2250" s="18"/>
      <c r="F2250" s="20"/>
      <c r="H2250" s="18"/>
    </row>
    <row r="2251" spans="2:8" x14ac:dyDescent="0.25">
      <c r="B2251" s="18"/>
      <c r="C2251" s="13"/>
      <c r="D2251" s="18"/>
      <c r="E2251" s="18"/>
      <c r="F2251" s="20"/>
      <c r="H2251" s="18"/>
    </row>
    <row r="2252" spans="2:8" x14ac:dyDescent="0.25">
      <c r="B2252" s="18"/>
      <c r="C2252" s="13"/>
      <c r="D2252" s="18"/>
      <c r="E2252" s="18"/>
      <c r="F2252" s="20"/>
      <c r="H2252" s="18"/>
    </row>
    <row r="2253" spans="2:8" x14ac:dyDescent="0.25">
      <c r="B2253" s="18"/>
      <c r="C2253" s="13"/>
      <c r="D2253" s="18"/>
      <c r="E2253" s="18"/>
      <c r="F2253" s="20"/>
      <c r="H2253" s="18"/>
    </row>
    <row r="2254" spans="2:8" x14ac:dyDescent="0.25">
      <c r="B2254" s="18"/>
      <c r="C2254" s="13"/>
      <c r="D2254" s="18"/>
      <c r="E2254" s="18"/>
      <c r="F2254" s="20"/>
      <c r="H2254" s="18"/>
    </row>
    <row r="2255" spans="2:8" x14ac:dyDescent="0.25">
      <c r="B2255" s="18"/>
      <c r="C2255" s="13"/>
      <c r="D2255" s="18"/>
      <c r="E2255" s="18"/>
      <c r="F2255" s="20"/>
      <c r="H2255" s="18"/>
    </row>
    <row r="2256" spans="2:8" x14ac:dyDescent="0.25">
      <c r="B2256" s="18"/>
      <c r="C2256" s="13"/>
      <c r="D2256" s="18"/>
      <c r="E2256" s="18"/>
      <c r="F2256" s="20"/>
      <c r="H2256" s="18"/>
    </row>
    <row r="2257" spans="2:8" x14ac:dyDescent="0.25">
      <c r="B2257" s="18"/>
      <c r="C2257" s="13"/>
      <c r="D2257" s="18"/>
      <c r="E2257" s="18"/>
      <c r="F2257" s="20"/>
      <c r="H2257" s="18"/>
    </row>
    <row r="2258" spans="2:8" x14ac:dyDescent="0.25">
      <c r="B2258" s="18"/>
      <c r="C2258" s="13"/>
      <c r="D2258" s="18"/>
      <c r="E2258" s="18"/>
      <c r="F2258" s="20"/>
      <c r="H2258" s="18"/>
    </row>
    <row r="2259" spans="2:8" x14ac:dyDescent="0.25">
      <c r="B2259" s="18"/>
      <c r="C2259" s="13"/>
      <c r="D2259" s="18"/>
      <c r="E2259" s="18"/>
      <c r="F2259" s="20"/>
      <c r="H2259" s="18"/>
    </row>
    <row r="2260" spans="2:8" x14ac:dyDescent="0.25">
      <c r="B2260" s="18"/>
      <c r="C2260" s="13"/>
      <c r="D2260" s="18"/>
      <c r="E2260" s="18"/>
      <c r="F2260" s="20"/>
      <c r="H2260" s="18"/>
    </row>
    <row r="2261" spans="2:8" x14ac:dyDescent="0.25">
      <c r="B2261" s="18"/>
      <c r="C2261" s="13"/>
      <c r="D2261" s="18"/>
      <c r="E2261" s="18"/>
      <c r="F2261" s="20"/>
      <c r="H2261" s="18"/>
    </row>
    <row r="2262" spans="2:8" x14ac:dyDescent="0.25">
      <c r="B2262" s="18"/>
      <c r="C2262" s="13"/>
      <c r="D2262" s="18"/>
      <c r="E2262" s="18"/>
      <c r="F2262" s="20"/>
      <c r="H2262" s="18"/>
    </row>
    <row r="2263" spans="2:8" x14ac:dyDescent="0.25">
      <c r="B2263" s="18"/>
      <c r="C2263" s="13"/>
      <c r="D2263" s="18"/>
      <c r="E2263" s="18"/>
      <c r="F2263" s="20"/>
      <c r="H2263" s="18"/>
    </row>
    <row r="2264" spans="2:8" x14ac:dyDescent="0.25">
      <c r="B2264" s="18"/>
      <c r="C2264" s="13"/>
      <c r="D2264" s="18"/>
      <c r="E2264" s="18"/>
      <c r="F2264" s="20"/>
      <c r="H2264" s="18"/>
    </row>
    <row r="2265" spans="2:8" x14ac:dyDescent="0.25">
      <c r="B2265" s="18"/>
      <c r="C2265" s="13"/>
      <c r="D2265" s="18"/>
      <c r="E2265" s="18"/>
      <c r="F2265" s="20"/>
      <c r="H2265" s="18"/>
    </row>
    <row r="2266" spans="2:8" x14ac:dyDescent="0.25">
      <c r="B2266" s="18"/>
      <c r="C2266" s="13"/>
      <c r="D2266" s="18"/>
      <c r="E2266" s="18"/>
      <c r="F2266" s="20"/>
      <c r="H2266" s="18"/>
    </row>
    <row r="2267" spans="2:8" x14ac:dyDescent="0.25">
      <c r="B2267" s="18"/>
      <c r="C2267" s="13"/>
      <c r="D2267" s="18"/>
      <c r="E2267" s="18"/>
      <c r="F2267" s="20"/>
      <c r="H2267" s="18"/>
    </row>
    <row r="2268" spans="2:8" x14ac:dyDescent="0.25">
      <c r="B2268" s="18"/>
      <c r="C2268" s="13"/>
      <c r="D2268" s="18"/>
      <c r="E2268" s="18"/>
      <c r="F2268" s="20"/>
      <c r="H2268" s="18"/>
    </row>
    <row r="2269" spans="2:8" x14ac:dyDescent="0.25">
      <c r="B2269" s="18"/>
      <c r="C2269" s="13"/>
      <c r="D2269" s="18"/>
      <c r="E2269" s="18"/>
      <c r="F2269" s="20"/>
      <c r="H2269" s="18"/>
    </row>
    <row r="2270" spans="2:8" x14ac:dyDescent="0.25">
      <c r="B2270" s="18"/>
      <c r="C2270" s="13"/>
      <c r="D2270" s="18"/>
      <c r="E2270" s="18"/>
      <c r="F2270" s="20"/>
      <c r="H2270" s="18"/>
    </row>
    <row r="2271" spans="2:8" x14ac:dyDescent="0.25">
      <c r="B2271" s="18"/>
      <c r="C2271" s="13"/>
      <c r="D2271" s="18"/>
      <c r="E2271" s="18"/>
      <c r="F2271" s="20"/>
      <c r="H2271" s="18"/>
    </row>
    <row r="2272" spans="2:8" x14ac:dyDescent="0.25">
      <c r="B2272" s="18"/>
      <c r="C2272" s="13"/>
      <c r="D2272" s="18"/>
      <c r="E2272" s="18"/>
      <c r="F2272" s="20"/>
      <c r="H2272" s="18"/>
    </row>
    <row r="2273" spans="2:8" x14ac:dyDescent="0.25">
      <c r="B2273" s="18"/>
      <c r="C2273" s="13"/>
      <c r="D2273" s="18"/>
      <c r="E2273" s="18"/>
      <c r="F2273" s="20"/>
      <c r="H2273" s="18"/>
    </row>
    <row r="2274" spans="2:8" x14ac:dyDescent="0.25">
      <c r="B2274" s="18"/>
      <c r="C2274" s="13"/>
      <c r="D2274" s="18"/>
      <c r="E2274" s="18"/>
      <c r="F2274" s="20"/>
      <c r="H2274" s="18"/>
    </row>
    <row r="2275" spans="2:8" x14ac:dyDescent="0.25">
      <c r="B2275" s="18"/>
      <c r="C2275" s="13"/>
      <c r="D2275" s="18"/>
      <c r="E2275" s="18"/>
      <c r="F2275" s="20"/>
      <c r="H2275" s="18"/>
    </row>
    <row r="2276" spans="2:8" x14ac:dyDescent="0.25">
      <c r="B2276" s="18"/>
      <c r="C2276" s="13"/>
      <c r="D2276" s="18"/>
      <c r="E2276" s="18"/>
      <c r="F2276" s="20"/>
      <c r="H2276" s="18"/>
    </row>
    <row r="2277" spans="2:8" x14ac:dyDescent="0.25">
      <c r="B2277" s="18"/>
      <c r="C2277" s="13"/>
      <c r="D2277" s="18"/>
      <c r="E2277" s="18"/>
      <c r="F2277" s="20"/>
      <c r="H2277" s="18"/>
    </row>
    <row r="2278" spans="2:8" x14ac:dyDescent="0.25">
      <c r="B2278" s="18"/>
      <c r="C2278" s="13"/>
      <c r="D2278" s="18"/>
      <c r="E2278" s="18"/>
      <c r="F2278" s="20"/>
      <c r="H2278" s="18"/>
    </row>
    <row r="2279" spans="2:8" x14ac:dyDescent="0.25">
      <c r="B2279" s="18"/>
      <c r="C2279" s="13"/>
      <c r="D2279" s="18"/>
      <c r="E2279" s="18"/>
      <c r="F2279" s="20"/>
      <c r="H2279" s="18"/>
    </row>
    <row r="2280" spans="2:8" x14ac:dyDescent="0.25">
      <c r="B2280" s="18"/>
      <c r="C2280" s="13"/>
      <c r="D2280" s="18"/>
      <c r="E2280" s="18"/>
      <c r="F2280" s="20"/>
      <c r="H2280" s="18"/>
    </row>
    <row r="2281" spans="2:8" x14ac:dyDescent="0.25">
      <c r="B2281" s="18"/>
      <c r="C2281" s="13"/>
      <c r="D2281" s="18"/>
      <c r="E2281" s="18"/>
      <c r="F2281" s="20"/>
      <c r="H2281" s="18"/>
    </row>
    <row r="2282" spans="2:8" x14ac:dyDescent="0.25">
      <c r="B2282" s="18"/>
      <c r="C2282" s="13"/>
      <c r="D2282" s="18"/>
      <c r="E2282" s="18"/>
      <c r="F2282" s="20"/>
      <c r="H2282" s="18"/>
    </row>
    <row r="2283" spans="2:8" x14ac:dyDescent="0.25">
      <c r="B2283" s="18"/>
      <c r="C2283" s="13"/>
      <c r="D2283" s="18"/>
      <c r="E2283" s="18"/>
      <c r="F2283" s="20"/>
      <c r="H2283" s="18"/>
    </row>
    <row r="2284" spans="2:8" x14ac:dyDescent="0.25">
      <c r="B2284" s="18"/>
      <c r="C2284" s="13"/>
      <c r="D2284" s="18"/>
      <c r="E2284" s="18"/>
      <c r="F2284" s="20"/>
      <c r="H2284" s="18"/>
    </row>
    <row r="2285" spans="2:8" x14ac:dyDescent="0.25">
      <c r="B2285" s="18"/>
      <c r="C2285" s="13"/>
      <c r="D2285" s="18"/>
      <c r="E2285" s="18"/>
      <c r="F2285" s="20"/>
      <c r="H2285" s="18"/>
    </row>
    <row r="2286" spans="2:8" x14ac:dyDescent="0.25">
      <c r="B2286" s="18"/>
      <c r="C2286" s="13"/>
      <c r="D2286" s="18"/>
      <c r="E2286" s="18"/>
      <c r="F2286" s="20"/>
      <c r="H2286" s="18"/>
    </row>
    <row r="2287" spans="2:8" x14ac:dyDescent="0.25">
      <c r="B2287" s="18"/>
      <c r="C2287" s="13"/>
      <c r="D2287" s="18"/>
      <c r="E2287" s="18"/>
      <c r="F2287" s="20"/>
      <c r="H2287" s="18"/>
    </row>
    <row r="2288" spans="2:8" x14ac:dyDescent="0.25">
      <c r="B2288" s="18"/>
      <c r="C2288" s="13"/>
      <c r="D2288" s="18"/>
      <c r="E2288" s="18"/>
      <c r="F2288" s="20"/>
      <c r="H2288" s="18"/>
    </row>
    <row r="2289" spans="2:8" x14ac:dyDescent="0.25">
      <c r="B2289" s="18"/>
      <c r="C2289" s="13"/>
      <c r="D2289" s="18"/>
      <c r="E2289" s="18"/>
      <c r="F2289" s="20"/>
      <c r="H2289" s="18"/>
    </row>
    <row r="2290" spans="2:8" x14ac:dyDescent="0.25">
      <c r="B2290" s="18"/>
      <c r="C2290" s="13"/>
      <c r="D2290" s="18"/>
      <c r="E2290" s="18"/>
      <c r="F2290" s="20"/>
      <c r="H2290" s="18"/>
    </row>
    <row r="2291" spans="2:8" x14ac:dyDescent="0.25">
      <c r="B2291" s="18"/>
      <c r="C2291" s="13"/>
      <c r="D2291" s="18"/>
      <c r="E2291" s="18"/>
      <c r="F2291" s="20"/>
      <c r="H2291" s="18"/>
    </row>
    <row r="2292" spans="2:8" x14ac:dyDescent="0.25">
      <c r="B2292" s="18"/>
      <c r="C2292" s="13"/>
      <c r="D2292" s="18"/>
      <c r="E2292" s="18"/>
      <c r="F2292" s="20"/>
      <c r="H2292" s="18"/>
    </row>
    <row r="2293" spans="2:8" x14ac:dyDescent="0.25">
      <c r="B2293" s="18"/>
      <c r="C2293" s="13"/>
      <c r="D2293" s="18"/>
      <c r="E2293" s="18"/>
      <c r="F2293" s="20"/>
      <c r="H2293" s="18"/>
    </row>
    <row r="2294" spans="2:8" x14ac:dyDescent="0.25">
      <c r="B2294" s="18"/>
      <c r="C2294" s="13"/>
      <c r="D2294" s="18"/>
      <c r="E2294" s="18"/>
      <c r="F2294" s="20"/>
      <c r="H2294" s="18"/>
    </row>
    <row r="2295" spans="2:8" x14ac:dyDescent="0.25">
      <c r="B2295" s="18"/>
      <c r="C2295" s="13"/>
      <c r="D2295" s="18"/>
      <c r="E2295" s="18"/>
      <c r="F2295" s="20"/>
      <c r="H2295" s="18"/>
    </row>
    <row r="2296" spans="2:8" x14ac:dyDescent="0.25">
      <c r="B2296" s="18"/>
      <c r="C2296" s="13"/>
      <c r="D2296" s="18"/>
      <c r="E2296" s="18"/>
      <c r="F2296" s="20"/>
      <c r="H2296" s="18"/>
    </row>
    <row r="2297" spans="2:8" x14ac:dyDescent="0.25">
      <c r="B2297" s="18"/>
      <c r="C2297" s="13"/>
      <c r="D2297" s="18"/>
      <c r="E2297" s="18"/>
      <c r="F2297" s="20"/>
      <c r="H2297" s="18"/>
    </row>
    <row r="2298" spans="2:8" x14ac:dyDescent="0.25">
      <c r="B2298" s="18"/>
      <c r="C2298" s="13"/>
      <c r="D2298" s="18"/>
      <c r="E2298" s="18"/>
      <c r="F2298" s="20"/>
      <c r="H2298" s="18"/>
    </row>
    <row r="2299" spans="2:8" x14ac:dyDescent="0.25">
      <c r="B2299" s="18"/>
      <c r="C2299" s="13"/>
      <c r="D2299" s="18"/>
      <c r="E2299" s="18"/>
      <c r="F2299" s="20"/>
      <c r="H2299" s="18"/>
    </row>
    <row r="2300" spans="2:8" x14ac:dyDescent="0.25">
      <c r="B2300" s="18"/>
      <c r="C2300" s="13"/>
      <c r="D2300" s="18"/>
      <c r="E2300" s="18"/>
      <c r="F2300" s="20"/>
      <c r="H2300" s="18"/>
    </row>
    <row r="2301" spans="2:8" x14ac:dyDescent="0.25">
      <c r="B2301" s="18"/>
      <c r="C2301" s="13"/>
      <c r="D2301" s="18"/>
      <c r="E2301" s="18"/>
      <c r="F2301" s="20"/>
      <c r="H2301" s="18"/>
    </row>
    <row r="2302" spans="2:8" x14ac:dyDescent="0.25">
      <c r="B2302" s="18"/>
      <c r="C2302" s="13"/>
      <c r="D2302" s="18"/>
      <c r="E2302" s="18"/>
      <c r="F2302" s="20"/>
      <c r="H2302" s="18"/>
    </row>
    <row r="2303" spans="2:8" x14ac:dyDescent="0.25">
      <c r="B2303" s="18"/>
      <c r="C2303" s="13"/>
      <c r="D2303" s="18"/>
      <c r="E2303" s="18"/>
      <c r="F2303" s="20"/>
      <c r="H2303" s="18"/>
    </row>
    <row r="2304" spans="2:8" x14ac:dyDescent="0.25">
      <c r="B2304" s="18"/>
      <c r="C2304" s="13"/>
      <c r="D2304" s="18"/>
      <c r="E2304" s="18"/>
      <c r="F2304" s="20"/>
      <c r="H2304" s="18"/>
    </row>
    <row r="2305" spans="2:8" x14ac:dyDescent="0.25">
      <c r="B2305" s="18"/>
      <c r="C2305" s="13"/>
      <c r="D2305" s="18"/>
      <c r="E2305" s="18"/>
      <c r="F2305" s="20"/>
      <c r="H2305" s="18"/>
    </row>
    <row r="2306" spans="2:8" x14ac:dyDescent="0.25">
      <c r="C2306" s="13"/>
      <c r="E2306" s="4"/>
    </row>
    <row r="2307" spans="2:8" x14ac:dyDescent="0.25">
      <c r="C2307" s="13"/>
      <c r="E2307" s="4"/>
    </row>
    <row r="2308" spans="2:8" x14ac:dyDescent="0.25">
      <c r="C2308" s="13"/>
      <c r="E2308" s="4"/>
    </row>
    <row r="2309" spans="2:8" x14ac:dyDescent="0.25">
      <c r="C2309" s="13"/>
      <c r="E2309" s="4"/>
    </row>
    <row r="2310" spans="2:8" x14ac:dyDescent="0.25">
      <c r="C2310" s="13"/>
      <c r="E2310" s="4"/>
    </row>
    <row r="2311" spans="2:8" x14ac:dyDescent="0.25">
      <c r="C2311" s="13"/>
      <c r="E2311" s="4"/>
    </row>
    <row r="2312" spans="2:8" x14ac:dyDescent="0.25">
      <c r="C2312" s="13"/>
      <c r="E2312" s="4"/>
    </row>
    <row r="2313" spans="2:8" x14ac:dyDescent="0.25">
      <c r="C2313" s="13"/>
      <c r="E2313" s="4"/>
    </row>
    <row r="2314" spans="2:8" x14ac:dyDescent="0.25">
      <c r="C2314" s="13"/>
      <c r="E2314" s="4"/>
    </row>
    <row r="2315" spans="2:8" x14ac:dyDescent="0.25">
      <c r="C2315" s="13"/>
      <c r="E2315" s="4"/>
    </row>
    <row r="2316" spans="2:8" x14ac:dyDescent="0.25">
      <c r="C2316" s="13"/>
      <c r="E2316" s="4"/>
    </row>
    <row r="2317" spans="2:8" x14ac:dyDescent="0.25">
      <c r="C2317" s="13"/>
      <c r="E2317" s="4"/>
    </row>
    <row r="2318" spans="2:8" x14ac:dyDescent="0.25">
      <c r="C2318" s="13"/>
      <c r="E2318" s="4"/>
    </row>
    <row r="2319" spans="2:8" x14ac:dyDescent="0.25">
      <c r="C2319" s="13"/>
      <c r="E2319" s="4"/>
    </row>
    <row r="2320" spans="2:8" x14ac:dyDescent="0.25">
      <c r="C2320" s="13"/>
      <c r="E2320" s="4"/>
    </row>
    <row r="2321" spans="3:5" x14ac:dyDescent="0.25">
      <c r="C2321" s="13"/>
      <c r="E2321" s="4"/>
    </row>
    <row r="2322" spans="3:5" x14ac:dyDescent="0.25">
      <c r="C2322" s="13"/>
      <c r="E2322" s="4"/>
    </row>
    <row r="2323" spans="3:5" x14ac:dyDescent="0.25">
      <c r="C2323" s="13"/>
      <c r="E2323" s="4"/>
    </row>
    <row r="2324" spans="3:5" x14ac:dyDescent="0.25">
      <c r="C2324" s="13"/>
      <c r="E2324" s="4"/>
    </row>
    <row r="2325" spans="3:5" x14ac:dyDescent="0.25">
      <c r="C2325" s="13"/>
      <c r="E2325" s="4"/>
    </row>
    <row r="2326" spans="3:5" x14ac:dyDescent="0.25">
      <c r="C2326" s="13"/>
      <c r="E2326" s="4"/>
    </row>
    <row r="2327" spans="3:5" x14ac:dyDescent="0.25">
      <c r="C2327" s="13"/>
      <c r="E2327" s="4"/>
    </row>
    <row r="2328" spans="3:5" x14ac:dyDescent="0.25">
      <c r="C2328" s="13"/>
      <c r="E2328" s="4"/>
    </row>
    <row r="2329" spans="3:5" x14ac:dyDescent="0.25">
      <c r="C2329" s="13"/>
      <c r="E2329" s="4"/>
    </row>
    <row r="2330" spans="3:5" x14ac:dyDescent="0.25">
      <c r="C2330" s="13"/>
      <c r="E2330" s="4"/>
    </row>
    <row r="2331" spans="3:5" x14ac:dyDescent="0.25">
      <c r="C2331" s="13"/>
      <c r="E2331" s="4"/>
    </row>
    <row r="2332" spans="3:5" x14ac:dyDescent="0.25">
      <c r="C2332" s="13"/>
      <c r="E2332" s="4"/>
    </row>
    <row r="2333" spans="3:5" x14ac:dyDescent="0.25">
      <c r="C2333" s="13"/>
      <c r="E2333" s="4"/>
    </row>
    <row r="2334" spans="3:5" x14ac:dyDescent="0.25">
      <c r="C2334" s="13"/>
      <c r="E2334" s="4"/>
    </row>
    <row r="2335" spans="3:5" x14ac:dyDescent="0.25">
      <c r="C2335" s="13"/>
      <c r="E2335" s="4"/>
    </row>
    <row r="2336" spans="3:5" x14ac:dyDescent="0.25">
      <c r="C2336" s="13"/>
      <c r="E2336" s="4"/>
    </row>
    <row r="2337" spans="3:5" x14ac:dyDescent="0.25">
      <c r="C2337" s="13"/>
      <c r="E2337" s="4"/>
    </row>
    <row r="2338" spans="3:5" x14ac:dyDescent="0.25">
      <c r="C2338" s="13"/>
      <c r="E2338" s="4"/>
    </row>
    <row r="2339" spans="3:5" x14ac:dyDescent="0.25">
      <c r="C2339" s="13"/>
      <c r="E2339" s="4"/>
    </row>
    <row r="2340" spans="3:5" x14ac:dyDescent="0.25">
      <c r="C2340" s="13"/>
      <c r="E2340" s="4"/>
    </row>
    <row r="2341" spans="3:5" x14ac:dyDescent="0.25">
      <c r="C2341" s="13"/>
      <c r="E2341" s="4"/>
    </row>
    <row r="2342" spans="3:5" x14ac:dyDescent="0.25">
      <c r="C2342" s="13"/>
      <c r="E2342" s="4"/>
    </row>
    <row r="2343" spans="3:5" x14ac:dyDescent="0.25">
      <c r="C2343" s="13"/>
      <c r="E2343" s="4"/>
    </row>
    <row r="2344" spans="3:5" x14ac:dyDescent="0.25">
      <c r="C2344" s="13"/>
      <c r="E2344" s="4"/>
    </row>
    <row r="2345" spans="3:5" x14ac:dyDescent="0.25">
      <c r="C2345" s="13"/>
      <c r="E2345" s="4"/>
    </row>
    <row r="2346" spans="3:5" x14ac:dyDescent="0.25">
      <c r="C2346" s="13"/>
      <c r="E2346" s="4"/>
    </row>
    <row r="2347" spans="3:5" x14ac:dyDescent="0.25">
      <c r="C2347" s="13"/>
      <c r="E2347" s="4"/>
    </row>
    <row r="2348" spans="3:5" x14ac:dyDescent="0.25">
      <c r="C2348" s="13"/>
      <c r="E2348" s="4"/>
    </row>
    <row r="2349" spans="3:5" x14ac:dyDescent="0.25">
      <c r="C2349" s="13"/>
      <c r="E2349" s="4"/>
    </row>
    <row r="2350" spans="3:5" x14ac:dyDescent="0.25">
      <c r="C2350" s="13"/>
      <c r="E2350" s="4"/>
    </row>
    <row r="2351" spans="3:5" x14ac:dyDescent="0.25">
      <c r="C2351" s="13"/>
      <c r="E2351" s="4"/>
    </row>
    <row r="2352" spans="3:5" x14ac:dyDescent="0.25">
      <c r="C2352" s="13"/>
      <c r="E2352" s="4"/>
    </row>
    <row r="2353" spans="3:5" x14ac:dyDescent="0.25">
      <c r="C2353" s="13"/>
      <c r="E2353" s="4"/>
    </row>
    <row r="2354" spans="3:5" x14ac:dyDescent="0.25">
      <c r="C2354" s="13"/>
      <c r="E2354" s="4"/>
    </row>
    <row r="2355" spans="3:5" x14ac:dyDescent="0.25">
      <c r="C2355" s="13"/>
      <c r="E2355" s="4"/>
    </row>
    <row r="2356" spans="3:5" x14ac:dyDescent="0.25">
      <c r="C2356" s="13"/>
      <c r="E2356" s="4"/>
    </row>
    <row r="2357" spans="3:5" x14ac:dyDescent="0.25">
      <c r="C2357" s="13"/>
      <c r="E2357" s="4"/>
    </row>
    <row r="2358" spans="3:5" x14ac:dyDescent="0.25">
      <c r="C2358" s="13"/>
      <c r="E2358" s="4"/>
    </row>
    <row r="2359" spans="3:5" x14ac:dyDescent="0.25">
      <c r="C2359" s="13"/>
      <c r="E2359" s="4"/>
    </row>
    <row r="2360" spans="3:5" x14ac:dyDescent="0.25">
      <c r="C2360" s="13"/>
      <c r="E2360" s="4"/>
    </row>
    <row r="2361" spans="3:5" x14ac:dyDescent="0.25">
      <c r="C2361" s="13"/>
      <c r="E2361" s="4"/>
    </row>
    <row r="2362" spans="3:5" x14ac:dyDescent="0.25">
      <c r="C2362" s="13"/>
      <c r="E2362" s="4"/>
    </row>
    <row r="2363" spans="3:5" x14ac:dyDescent="0.25">
      <c r="C2363" s="13"/>
      <c r="E2363" s="4"/>
    </row>
    <row r="2364" spans="3:5" x14ac:dyDescent="0.25">
      <c r="C2364" s="13"/>
      <c r="E2364" s="4"/>
    </row>
    <row r="2365" spans="3:5" x14ac:dyDescent="0.25">
      <c r="C2365" s="13"/>
      <c r="E2365" s="4"/>
    </row>
    <row r="2366" spans="3:5" x14ac:dyDescent="0.25">
      <c r="C2366" s="13"/>
      <c r="E2366" s="4"/>
    </row>
    <row r="2367" spans="3:5" x14ac:dyDescent="0.25">
      <c r="C2367" s="13"/>
      <c r="E2367" s="4"/>
    </row>
    <row r="2368" spans="3:5" x14ac:dyDescent="0.25">
      <c r="C2368" s="13"/>
      <c r="E2368" s="4"/>
    </row>
    <row r="2369" spans="3:5" x14ac:dyDescent="0.25">
      <c r="C2369" s="13"/>
      <c r="E2369" s="4"/>
    </row>
    <row r="2370" spans="3:5" x14ac:dyDescent="0.25">
      <c r="C2370" s="13"/>
      <c r="E2370" s="4"/>
    </row>
    <row r="2371" spans="3:5" x14ac:dyDescent="0.25">
      <c r="C2371" s="13"/>
      <c r="E2371" s="4"/>
    </row>
    <row r="2372" spans="3:5" x14ac:dyDescent="0.25">
      <c r="C2372" s="13"/>
      <c r="E2372" s="4"/>
    </row>
    <row r="2373" spans="3:5" x14ac:dyDescent="0.25">
      <c r="C2373" s="13"/>
      <c r="E2373" s="4"/>
    </row>
    <row r="2374" spans="3:5" x14ac:dyDescent="0.25">
      <c r="C2374" s="13"/>
      <c r="E2374" s="4"/>
    </row>
    <row r="2375" spans="3:5" x14ac:dyDescent="0.25">
      <c r="C2375" s="13"/>
      <c r="E2375" s="4"/>
    </row>
    <row r="2376" spans="3:5" x14ac:dyDescent="0.25">
      <c r="C2376" s="13"/>
      <c r="E2376" s="4"/>
    </row>
    <row r="2377" spans="3:5" x14ac:dyDescent="0.25">
      <c r="C2377" s="13"/>
      <c r="E2377" s="4"/>
    </row>
    <row r="2378" spans="3:5" x14ac:dyDescent="0.25">
      <c r="C2378" s="13"/>
      <c r="E2378" s="4"/>
    </row>
    <row r="2379" spans="3:5" x14ac:dyDescent="0.25">
      <c r="C2379" s="13"/>
      <c r="E2379" s="4"/>
    </row>
    <row r="2380" spans="3:5" x14ac:dyDescent="0.25">
      <c r="C2380" s="13"/>
      <c r="E2380" s="4"/>
    </row>
    <row r="2381" spans="3:5" x14ac:dyDescent="0.25">
      <c r="C2381" s="13"/>
      <c r="E2381" s="4"/>
    </row>
    <row r="2382" spans="3:5" x14ac:dyDescent="0.25">
      <c r="C2382" s="13"/>
      <c r="E2382" s="4"/>
    </row>
    <row r="2383" spans="3:5" x14ac:dyDescent="0.25">
      <c r="C2383" s="13"/>
      <c r="E2383" s="4"/>
    </row>
    <row r="2384" spans="3:5" x14ac:dyDescent="0.25">
      <c r="C2384" s="13"/>
      <c r="E2384" s="4"/>
    </row>
    <row r="2385" spans="3:5" x14ac:dyDescent="0.25">
      <c r="C2385" s="13"/>
      <c r="E2385" s="4"/>
    </row>
    <row r="2386" spans="3:5" x14ac:dyDescent="0.25">
      <c r="C2386" s="13"/>
      <c r="E2386" s="4"/>
    </row>
    <row r="2387" spans="3:5" x14ac:dyDescent="0.25">
      <c r="C2387" s="13"/>
      <c r="E2387" s="4"/>
    </row>
    <row r="2388" spans="3:5" x14ac:dyDescent="0.25">
      <c r="C2388" s="13"/>
      <c r="E2388" s="4"/>
    </row>
    <row r="2389" spans="3:5" x14ac:dyDescent="0.25">
      <c r="C2389" s="13"/>
      <c r="E2389" s="4"/>
    </row>
    <row r="2390" spans="3:5" x14ac:dyDescent="0.25">
      <c r="C2390" s="13"/>
      <c r="E2390" s="4"/>
    </row>
    <row r="2391" spans="3:5" x14ac:dyDescent="0.25">
      <c r="C2391" s="13"/>
      <c r="E2391" s="4"/>
    </row>
    <row r="2392" spans="3:5" x14ac:dyDescent="0.25">
      <c r="C2392" s="13"/>
      <c r="E2392" s="4"/>
    </row>
    <row r="2393" spans="3:5" x14ac:dyDescent="0.25">
      <c r="C2393" s="13"/>
      <c r="E2393" s="4"/>
    </row>
    <row r="2394" spans="3:5" x14ac:dyDescent="0.25">
      <c r="C2394" s="13"/>
      <c r="E2394" s="4"/>
    </row>
    <row r="2395" spans="3:5" x14ac:dyDescent="0.25">
      <c r="C2395" s="13"/>
      <c r="E2395" s="4"/>
    </row>
    <row r="2396" spans="3:5" x14ac:dyDescent="0.25">
      <c r="C2396" s="13"/>
      <c r="E2396" s="4"/>
    </row>
    <row r="2397" spans="3:5" x14ac:dyDescent="0.25">
      <c r="C2397" s="13"/>
      <c r="E2397" s="4"/>
    </row>
    <row r="2398" spans="3:5" x14ac:dyDescent="0.25">
      <c r="C2398" s="13"/>
      <c r="E2398" s="4"/>
    </row>
    <row r="2399" spans="3:5" x14ac:dyDescent="0.25">
      <c r="C2399" s="13"/>
      <c r="E2399" s="4"/>
    </row>
    <row r="2400" spans="3:5" x14ac:dyDescent="0.25">
      <c r="C2400" s="13"/>
      <c r="E2400" s="4"/>
    </row>
    <row r="2401" spans="3:5" x14ac:dyDescent="0.25">
      <c r="C2401" s="13"/>
      <c r="E2401" s="4"/>
    </row>
    <row r="2402" spans="3:5" x14ac:dyDescent="0.25">
      <c r="C2402" s="13"/>
      <c r="E2402" s="4"/>
    </row>
    <row r="2403" spans="3:5" x14ac:dyDescent="0.25">
      <c r="C2403" s="13"/>
      <c r="E2403" s="4"/>
    </row>
    <row r="2404" spans="3:5" x14ac:dyDescent="0.25">
      <c r="C2404" s="13"/>
      <c r="E2404" s="4"/>
    </row>
    <row r="2405" spans="3:5" x14ac:dyDescent="0.25">
      <c r="C2405" s="13"/>
      <c r="E2405" s="4"/>
    </row>
    <row r="2406" spans="3:5" x14ac:dyDescent="0.25">
      <c r="C2406" s="13"/>
      <c r="E2406" s="4"/>
    </row>
    <row r="2407" spans="3:5" x14ac:dyDescent="0.25">
      <c r="C2407" s="13"/>
      <c r="E2407" s="4"/>
    </row>
    <row r="2408" spans="3:5" x14ac:dyDescent="0.25">
      <c r="C2408" s="13"/>
      <c r="E2408" s="4"/>
    </row>
    <row r="2409" spans="3:5" x14ac:dyDescent="0.25">
      <c r="C2409" s="13"/>
      <c r="E2409" s="4"/>
    </row>
    <row r="2410" spans="3:5" x14ac:dyDescent="0.25">
      <c r="C2410" s="13"/>
      <c r="E2410" s="4"/>
    </row>
    <row r="2411" spans="3:5" x14ac:dyDescent="0.25">
      <c r="C2411" s="13"/>
      <c r="E2411" s="4"/>
    </row>
    <row r="2412" spans="3:5" x14ac:dyDescent="0.25">
      <c r="C2412" s="13"/>
      <c r="E2412" s="4"/>
    </row>
    <row r="2413" spans="3:5" x14ac:dyDescent="0.25">
      <c r="C2413" s="13"/>
      <c r="E2413" s="4"/>
    </row>
    <row r="2414" spans="3:5" x14ac:dyDescent="0.25">
      <c r="C2414" s="13"/>
      <c r="E2414" s="4"/>
    </row>
    <row r="2415" spans="3:5" x14ac:dyDescent="0.25">
      <c r="C2415" s="13"/>
      <c r="E2415" s="4"/>
    </row>
    <row r="2416" spans="3:5" x14ac:dyDescent="0.25">
      <c r="C2416" s="13"/>
      <c r="E2416" s="4"/>
    </row>
    <row r="2417" spans="3:5" x14ac:dyDescent="0.25">
      <c r="C2417" s="13"/>
      <c r="E2417" s="4"/>
    </row>
    <row r="2418" spans="3:5" x14ac:dyDescent="0.25">
      <c r="C2418" s="13"/>
      <c r="E2418" s="4"/>
    </row>
    <row r="2419" spans="3:5" x14ac:dyDescent="0.25">
      <c r="C2419" s="13"/>
      <c r="E2419" s="4"/>
    </row>
    <row r="2420" spans="3:5" x14ac:dyDescent="0.25">
      <c r="C2420" s="13"/>
      <c r="E2420" s="4"/>
    </row>
    <row r="2421" spans="3:5" x14ac:dyDescent="0.25">
      <c r="C2421" s="13"/>
      <c r="E2421" s="4"/>
    </row>
    <row r="2422" spans="3:5" x14ac:dyDescent="0.25">
      <c r="C2422" s="13"/>
      <c r="E2422" s="4"/>
    </row>
    <row r="2423" spans="3:5" x14ac:dyDescent="0.25">
      <c r="C2423" s="13"/>
      <c r="E2423" s="4"/>
    </row>
    <row r="2424" spans="3:5" x14ac:dyDescent="0.25">
      <c r="C2424" s="13"/>
      <c r="E2424" s="4"/>
    </row>
    <row r="2425" spans="3:5" x14ac:dyDescent="0.25">
      <c r="C2425" s="13"/>
      <c r="E2425" s="4"/>
    </row>
    <row r="2426" spans="3:5" x14ac:dyDescent="0.25">
      <c r="C2426" s="13"/>
      <c r="E2426" s="4"/>
    </row>
    <row r="2427" spans="3:5" x14ac:dyDescent="0.25">
      <c r="C2427" s="13"/>
      <c r="E2427" s="4"/>
    </row>
    <row r="2428" spans="3:5" x14ac:dyDescent="0.25">
      <c r="C2428" s="13"/>
      <c r="E2428" s="4"/>
    </row>
    <row r="2429" spans="3:5" x14ac:dyDescent="0.25">
      <c r="C2429" s="13"/>
      <c r="E2429" s="4"/>
    </row>
    <row r="2430" spans="3:5" x14ac:dyDescent="0.25">
      <c r="C2430" s="13"/>
      <c r="E2430" s="4"/>
    </row>
    <row r="2431" spans="3:5" x14ac:dyDescent="0.25">
      <c r="C2431" s="13"/>
      <c r="E2431" s="4"/>
    </row>
    <row r="2432" spans="3:5" x14ac:dyDescent="0.25">
      <c r="C2432" s="13"/>
      <c r="E2432" s="4"/>
    </row>
    <row r="2433" spans="3:5" x14ac:dyDescent="0.25">
      <c r="C2433" s="13"/>
      <c r="E2433" s="4"/>
    </row>
    <row r="2434" spans="3:5" x14ac:dyDescent="0.25">
      <c r="C2434" s="13"/>
      <c r="E2434" s="4"/>
    </row>
    <row r="2435" spans="3:5" x14ac:dyDescent="0.25">
      <c r="C2435" s="13"/>
      <c r="E2435" s="4"/>
    </row>
    <row r="2436" spans="3:5" x14ac:dyDescent="0.25">
      <c r="C2436" s="13"/>
      <c r="E2436" s="4"/>
    </row>
    <row r="2437" spans="3:5" x14ac:dyDescent="0.25">
      <c r="C2437" s="13"/>
      <c r="E2437" s="4"/>
    </row>
    <row r="2438" spans="3:5" x14ac:dyDescent="0.25">
      <c r="C2438" s="13"/>
      <c r="E2438" s="4"/>
    </row>
    <row r="2439" spans="3:5" x14ac:dyDescent="0.25">
      <c r="C2439" s="13"/>
      <c r="E2439" s="4"/>
    </row>
    <row r="2440" spans="3:5" x14ac:dyDescent="0.25">
      <c r="C2440" s="13"/>
      <c r="E2440" s="4"/>
    </row>
    <row r="2441" spans="3:5" x14ac:dyDescent="0.25">
      <c r="C2441" s="13"/>
      <c r="E2441" s="4"/>
    </row>
    <row r="2442" spans="3:5" x14ac:dyDescent="0.25">
      <c r="C2442" s="13"/>
      <c r="E2442" s="4"/>
    </row>
    <row r="2443" spans="3:5" x14ac:dyDescent="0.25">
      <c r="C2443" s="13"/>
      <c r="E2443" s="4"/>
    </row>
    <row r="2444" spans="3:5" x14ac:dyDescent="0.25">
      <c r="C2444" s="13"/>
      <c r="E2444" s="4"/>
    </row>
    <row r="2445" spans="3:5" x14ac:dyDescent="0.25">
      <c r="C2445" s="13"/>
      <c r="E2445" s="4"/>
    </row>
    <row r="2446" spans="3:5" x14ac:dyDescent="0.25">
      <c r="C2446" s="13"/>
      <c r="E2446" s="4"/>
    </row>
    <row r="2447" spans="3:5" x14ac:dyDescent="0.25">
      <c r="C2447" s="13"/>
      <c r="E2447" s="4"/>
    </row>
    <row r="2448" spans="3:5" x14ac:dyDescent="0.25">
      <c r="C2448" s="13"/>
      <c r="E2448" s="4"/>
    </row>
    <row r="2449" spans="3:5" x14ac:dyDescent="0.25">
      <c r="C2449" s="13"/>
      <c r="E2449" s="4"/>
    </row>
    <row r="2450" spans="3:5" x14ac:dyDescent="0.25">
      <c r="C2450" s="13"/>
      <c r="E2450" s="4"/>
    </row>
    <row r="2451" spans="3:5" x14ac:dyDescent="0.25">
      <c r="C2451" s="13"/>
      <c r="E2451" s="4"/>
    </row>
    <row r="2452" spans="3:5" x14ac:dyDescent="0.25">
      <c r="C2452" s="13"/>
      <c r="E2452" s="4"/>
    </row>
    <row r="2453" spans="3:5" x14ac:dyDescent="0.25">
      <c r="C2453" s="13"/>
      <c r="E2453" s="4"/>
    </row>
    <row r="2454" spans="3:5" x14ac:dyDescent="0.25">
      <c r="C2454" s="13"/>
      <c r="E2454" s="4"/>
    </row>
    <row r="2455" spans="3:5" x14ac:dyDescent="0.25">
      <c r="C2455" s="13"/>
      <c r="E2455" s="4"/>
    </row>
    <row r="2456" spans="3:5" x14ac:dyDescent="0.25">
      <c r="C2456" s="13"/>
      <c r="E2456" s="4"/>
    </row>
    <row r="2457" spans="3:5" x14ac:dyDescent="0.25">
      <c r="C2457" s="13"/>
      <c r="E2457" s="4"/>
    </row>
    <row r="2458" spans="3:5" x14ac:dyDescent="0.25">
      <c r="C2458" s="13"/>
      <c r="E2458" s="4"/>
    </row>
    <row r="2459" spans="3:5" x14ac:dyDescent="0.25">
      <c r="C2459" s="13"/>
      <c r="E2459" s="4"/>
    </row>
    <row r="2460" spans="3:5" x14ac:dyDescent="0.25">
      <c r="C2460" s="13"/>
      <c r="E2460" s="4"/>
    </row>
    <row r="2461" spans="3:5" x14ac:dyDescent="0.25">
      <c r="C2461" s="13"/>
      <c r="E2461" s="4"/>
    </row>
    <row r="2462" spans="3:5" x14ac:dyDescent="0.25">
      <c r="C2462" s="13"/>
      <c r="E2462" s="4"/>
    </row>
    <row r="2463" spans="3:5" x14ac:dyDescent="0.25">
      <c r="C2463" s="13"/>
      <c r="E2463" s="4"/>
    </row>
    <row r="2464" spans="3:5" x14ac:dyDescent="0.25">
      <c r="C2464" s="13"/>
      <c r="E2464" s="4"/>
    </row>
    <row r="2465" spans="3:5" x14ac:dyDescent="0.25">
      <c r="C2465" s="13"/>
      <c r="E2465" s="4"/>
    </row>
    <row r="2466" spans="3:5" x14ac:dyDescent="0.25">
      <c r="C2466" s="13"/>
      <c r="E2466" s="4"/>
    </row>
    <row r="2467" spans="3:5" x14ac:dyDescent="0.25">
      <c r="C2467" s="13"/>
      <c r="E2467" s="4"/>
    </row>
    <row r="2468" spans="3:5" x14ac:dyDescent="0.25">
      <c r="C2468" s="13"/>
      <c r="E2468" s="4"/>
    </row>
    <row r="2469" spans="3:5" x14ac:dyDescent="0.25">
      <c r="C2469" s="13"/>
      <c r="E2469" s="4"/>
    </row>
    <row r="2470" spans="3:5" x14ac:dyDescent="0.25">
      <c r="C2470" s="13"/>
      <c r="E2470" s="4"/>
    </row>
    <row r="2471" spans="3:5" x14ac:dyDescent="0.25">
      <c r="C2471" s="13"/>
      <c r="E2471" s="4"/>
    </row>
    <row r="2472" spans="3:5" x14ac:dyDescent="0.25">
      <c r="C2472" s="13"/>
      <c r="E2472" s="4"/>
    </row>
    <row r="2473" spans="3:5" x14ac:dyDescent="0.25">
      <c r="C2473" s="13"/>
      <c r="E2473" s="4"/>
    </row>
    <row r="2474" spans="3:5" x14ac:dyDescent="0.25">
      <c r="C2474" s="13"/>
      <c r="E2474" s="4"/>
    </row>
    <row r="2475" spans="3:5" x14ac:dyDescent="0.25">
      <c r="C2475" s="13"/>
      <c r="E2475" s="4"/>
    </row>
    <row r="2476" spans="3:5" x14ac:dyDescent="0.25">
      <c r="C2476" s="13"/>
      <c r="E2476" s="4"/>
    </row>
    <row r="2477" spans="3:5" x14ac:dyDescent="0.25">
      <c r="C2477" s="13"/>
      <c r="E2477" s="4"/>
    </row>
    <row r="2478" spans="3:5" x14ac:dyDescent="0.25">
      <c r="C2478" s="13"/>
      <c r="E2478" s="4"/>
    </row>
    <row r="2479" spans="3:5" x14ac:dyDescent="0.25">
      <c r="C2479" s="13"/>
      <c r="E2479" s="4"/>
    </row>
    <row r="2480" spans="3:5" x14ac:dyDescent="0.25">
      <c r="C2480" s="13"/>
      <c r="E2480" s="4"/>
    </row>
    <row r="2481" spans="3:5" x14ac:dyDescent="0.25">
      <c r="C2481" s="13"/>
      <c r="E2481" s="4"/>
    </row>
    <row r="2482" spans="3:5" x14ac:dyDescent="0.25">
      <c r="C2482" s="13"/>
      <c r="E2482" s="4"/>
    </row>
    <row r="2483" spans="3:5" x14ac:dyDescent="0.25">
      <c r="C2483" s="13"/>
      <c r="E2483" s="4"/>
    </row>
    <row r="2484" spans="3:5" x14ac:dyDescent="0.25">
      <c r="C2484" s="13"/>
      <c r="E2484" s="4"/>
    </row>
    <row r="2485" spans="3:5" x14ac:dyDescent="0.25">
      <c r="C2485" s="13"/>
      <c r="E2485" s="4"/>
    </row>
    <row r="2486" spans="3:5" x14ac:dyDescent="0.25">
      <c r="C2486" s="13"/>
      <c r="E2486" s="4"/>
    </row>
    <row r="2487" spans="3:5" x14ac:dyDescent="0.25">
      <c r="C2487" s="13"/>
      <c r="E2487" s="4"/>
    </row>
    <row r="2488" spans="3:5" x14ac:dyDescent="0.25">
      <c r="C2488" s="13"/>
      <c r="E2488" s="4"/>
    </row>
    <row r="2489" spans="3:5" x14ac:dyDescent="0.25">
      <c r="C2489" s="13"/>
      <c r="E2489" s="4"/>
    </row>
    <row r="2490" spans="3:5" x14ac:dyDescent="0.25">
      <c r="C2490" s="13"/>
      <c r="E2490" s="4"/>
    </row>
    <row r="2491" spans="3:5" x14ac:dyDescent="0.25">
      <c r="C2491" s="13"/>
      <c r="E2491" s="4"/>
    </row>
    <row r="2492" spans="3:5" x14ac:dyDescent="0.25">
      <c r="C2492" s="13"/>
      <c r="E2492" s="4"/>
    </row>
    <row r="2493" spans="3:5" x14ac:dyDescent="0.25">
      <c r="C2493" s="13"/>
      <c r="E2493" s="4"/>
    </row>
    <row r="2494" spans="3:5" x14ac:dyDescent="0.25">
      <c r="C2494" s="13"/>
      <c r="E2494" s="4"/>
    </row>
    <row r="2495" spans="3:5" x14ac:dyDescent="0.25">
      <c r="C2495" s="13"/>
      <c r="E2495" s="4"/>
    </row>
    <row r="2496" spans="3:5" x14ac:dyDescent="0.25">
      <c r="C2496" s="13"/>
      <c r="E2496" s="4"/>
    </row>
    <row r="2497" spans="3:5" x14ac:dyDescent="0.25">
      <c r="C2497" s="13"/>
      <c r="E2497" s="4"/>
    </row>
    <row r="2498" spans="3:5" x14ac:dyDescent="0.25">
      <c r="C2498" s="13"/>
      <c r="E2498" s="4"/>
    </row>
    <row r="2499" spans="3:5" x14ac:dyDescent="0.25">
      <c r="C2499" s="13"/>
      <c r="E2499" s="4"/>
    </row>
    <row r="2500" spans="3:5" x14ac:dyDescent="0.25">
      <c r="C2500" s="13"/>
      <c r="E2500" s="4"/>
    </row>
    <row r="2501" spans="3:5" x14ac:dyDescent="0.25">
      <c r="C2501" s="13"/>
      <c r="E2501" s="4"/>
    </row>
    <row r="2502" spans="3:5" x14ac:dyDescent="0.25">
      <c r="C2502" s="13"/>
      <c r="E2502" s="4"/>
    </row>
    <row r="2503" spans="3:5" x14ac:dyDescent="0.25">
      <c r="C2503" s="13"/>
      <c r="E2503" s="4"/>
    </row>
    <row r="2504" spans="3:5" x14ac:dyDescent="0.25">
      <c r="C2504" s="13"/>
      <c r="E2504" s="4"/>
    </row>
    <row r="2505" spans="3:5" x14ac:dyDescent="0.25">
      <c r="C2505" s="13"/>
      <c r="E2505" s="4"/>
    </row>
    <row r="2506" spans="3:5" x14ac:dyDescent="0.25">
      <c r="C2506" s="13"/>
      <c r="E2506" s="4"/>
    </row>
    <row r="2507" spans="3:5" x14ac:dyDescent="0.25">
      <c r="C2507" s="13"/>
      <c r="E2507" s="4"/>
    </row>
    <row r="2508" spans="3:5" x14ac:dyDescent="0.25">
      <c r="C2508" s="13"/>
      <c r="E2508" s="4"/>
    </row>
    <row r="2509" spans="3:5" x14ac:dyDescent="0.25">
      <c r="C2509" s="13"/>
      <c r="E2509" s="4"/>
    </row>
    <row r="2510" spans="3:5" x14ac:dyDescent="0.25">
      <c r="C2510" s="13"/>
      <c r="E2510" s="4"/>
    </row>
    <row r="2511" spans="3:5" x14ac:dyDescent="0.25">
      <c r="C2511" s="13"/>
      <c r="E2511" s="4"/>
    </row>
    <row r="2512" spans="3:5" x14ac:dyDescent="0.25">
      <c r="C2512" s="13"/>
      <c r="E2512" s="4"/>
    </row>
    <row r="2513" spans="3:5" x14ac:dyDescent="0.25">
      <c r="C2513" s="13"/>
      <c r="E2513" s="4"/>
    </row>
    <row r="2514" spans="3:5" x14ac:dyDescent="0.25">
      <c r="C2514" s="13"/>
      <c r="E2514" s="4"/>
    </row>
    <row r="2515" spans="3:5" x14ac:dyDescent="0.25">
      <c r="C2515" s="13"/>
      <c r="E2515" s="4"/>
    </row>
    <row r="2516" spans="3:5" x14ac:dyDescent="0.25">
      <c r="C2516" s="13"/>
      <c r="E2516" s="4"/>
    </row>
    <row r="2517" spans="3:5" x14ac:dyDescent="0.25">
      <c r="C2517" s="13"/>
      <c r="E2517" s="4"/>
    </row>
    <row r="2518" spans="3:5" x14ac:dyDescent="0.25">
      <c r="C2518" s="13"/>
      <c r="E2518" s="4"/>
    </row>
    <row r="2519" spans="3:5" x14ac:dyDescent="0.25">
      <c r="C2519" s="13"/>
      <c r="E2519" s="4"/>
    </row>
    <row r="2520" spans="3:5" x14ac:dyDescent="0.25">
      <c r="C2520" s="13"/>
      <c r="E2520" s="4"/>
    </row>
    <row r="2521" spans="3:5" x14ac:dyDescent="0.25">
      <c r="C2521" s="13"/>
      <c r="E2521" s="4"/>
    </row>
    <row r="2522" spans="3:5" x14ac:dyDescent="0.25">
      <c r="C2522" s="13"/>
      <c r="E2522" s="4"/>
    </row>
    <row r="2523" spans="3:5" x14ac:dyDescent="0.25">
      <c r="C2523" s="13"/>
      <c r="E2523" s="4"/>
    </row>
    <row r="2524" spans="3:5" x14ac:dyDescent="0.25">
      <c r="C2524" s="13"/>
      <c r="E2524" s="4"/>
    </row>
    <row r="2525" spans="3:5" x14ac:dyDescent="0.25">
      <c r="C2525" s="13"/>
      <c r="E2525" s="4"/>
    </row>
    <row r="2526" spans="3:5" x14ac:dyDescent="0.25">
      <c r="C2526" s="13"/>
      <c r="E2526" s="4"/>
    </row>
    <row r="2527" spans="3:5" x14ac:dyDescent="0.25">
      <c r="C2527" s="13"/>
      <c r="E2527" s="4"/>
    </row>
    <row r="2528" spans="3:5" x14ac:dyDescent="0.25">
      <c r="C2528" s="13"/>
      <c r="E2528" s="4"/>
    </row>
    <row r="2529" spans="3:5" x14ac:dyDescent="0.25">
      <c r="C2529" s="13"/>
      <c r="E2529" s="4"/>
    </row>
    <row r="2530" spans="3:5" x14ac:dyDescent="0.25">
      <c r="C2530" s="13"/>
      <c r="E2530" s="4"/>
    </row>
    <row r="2531" spans="3:5" x14ac:dyDescent="0.25">
      <c r="C2531" s="13"/>
      <c r="E2531" s="4"/>
    </row>
    <row r="2532" spans="3:5" x14ac:dyDescent="0.25">
      <c r="C2532" s="13"/>
      <c r="E2532" s="4"/>
    </row>
    <row r="2533" spans="3:5" x14ac:dyDescent="0.25">
      <c r="C2533" s="13"/>
      <c r="E2533" s="4"/>
    </row>
    <row r="2534" spans="3:5" x14ac:dyDescent="0.25">
      <c r="C2534" s="13"/>
      <c r="E2534" s="4"/>
    </row>
    <row r="2535" spans="3:5" x14ac:dyDescent="0.25">
      <c r="C2535" s="13"/>
      <c r="E2535" s="4"/>
    </row>
    <row r="2536" spans="3:5" x14ac:dyDescent="0.25">
      <c r="C2536" s="13"/>
      <c r="E2536" s="4"/>
    </row>
    <row r="2537" spans="3:5" x14ac:dyDescent="0.25">
      <c r="C2537" s="13"/>
      <c r="E2537" s="4"/>
    </row>
    <row r="2538" spans="3:5" x14ac:dyDescent="0.25">
      <c r="C2538" s="13"/>
      <c r="E2538" s="4"/>
    </row>
    <row r="2539" spans="3:5" x14ac:dyDescent="0.25">
      <c r="C2539" s="13"/>
      <c r="E2539" s="4"/>
    </row>
    <row r="2540" spans="3:5" x14ac:dyDescent="0.25">
      <c r="C2540" s="13"/>
      <c r="E2540" s="4"/>
    </row>
    <row r="2541" spans="3:5" x14ac:dyDescent="0.25">
      <c r="C2541" s="13"/>
      <c r="E2541" s="4"/>
    </row>
    <row r="2542" spans="3:5" x14ac:dyDescent="0.25">
      <c r="C2542" s="13"/>
      <c r="E2542" s="4"/>
    </row>
    <row r="2543" spans="3:5" x14ac:dyDescent="0.25">
      <c r="C2543" s="13"/>
      <c r="E2543" s="4"/>
    </row>
    <row r="2544" spans="3:5" x14ac:dyDescent="0.25">
      <c r="C2544" s="13"/>
      <c r="E2544" s="4"/>
    </row>
    <row r="2545" spans="3:5" x14ac:dyDescent="0.25">
      <c r="C2545" s="13"/>
      <c r="E2545" s="4"/>
    </row>
    <row r="2546" spans="3:5" x14ac:dyDescent="0.25">
      <c r="C2546" s="13"/>
      <c r="E2546" s="4"/>
    </row>
    <row r="2547" spans="3:5" x14ac:dyDescent="0.25">
      <c r="C2547" s="13"/>
      <c r="E2547" s="4"/>
    </row>
    <row r="2548" spans="3:5" x14ac:dyDescent="0.25">
      <c r="C2548" s="13"/>
      <c r="E2548" s="4"/>
    </row>
    <row r="2549" spans="3:5" x14ac:dyDescent="0.25">
      <c r="C2549" s="13"/>
      <c r="E2549" s="4"/>
    </row>
    <row r="2550" spans="3:5" x14ac:dyDescent="0.25">
      <c r="C2550" s="13"/>
      <c r="E2550" s="4"/>
    </row>
    <row r="2551" spans="3:5" x14ac:dyDescent="0.25">
      <c r="C2551" s="13"/>
      <c r="E2551" s="4"/>
    </row>
    <row r="2552" spans="3:5" x14ac:dyDescent="0.25">
      <c r="C2552" s="13"/>
      <c r="E2552" s="4"/>
    </row>
    <row r="2553" spans="3:5" x14ac:dyDescent="0.25">
      <c r="C2553" s="13"/>
      <c r="E2553" s="4"/>
    </row>
    <row r="2554" spans="3:5" x14ac:dyDescent="0.25">
      <c r="C2554" s="13"/>
      <c r="E2554" s="4"/>
    </row>
    <row r="2555" spans="3:5" x14ac:dyDescent="0.25">
      <c r="C2555" s="13"/>
      <c r="E2555" s="4"/>
    </row>
    <row r="2556" spans="3:5" x14ac:dyDescent="0.25">
      <c r="C2556" s="13"/>
      <c r="E2556" s="4"/>
    </row>
    <row r="2557" spans="3:5" x14ac:dyDescent="0.25">
      <c r="C2557" s="13"/>
      <c r="E2557" s="4"/>
    </row>
    <row r="2558" spans="3:5" x14ac:dyDescent="0.25">
      <c r="C2558" s="13"/>
      <c r="E2558" s="4"/>
    </row>
    <row r="2559" spans="3:5" x14ac:dyDescent="0.25">
      <c r="C2559" s="13"/>
      <c r="E2559" s="4"/>
    </row>
    <row r="2560" spans="3:5" x14ac:dyDescent="0.25">
      <c r="C2560" s="13"/>
      <c r="E2560" s="4"/>
    </row>
    <row r="2561" spans="3:5" x14ac:dyDescent="0.25">
      <c r="C2561" s="13"/>
      <c r="E2561" s="4"/>
    </row>
    <row r="2562" spans="3:5" x14ac:dyDescent="0.25">
      <c r="C2562" s="13"/>
      <c r="E2562" s="4"/>
    </row>
    <row r="2563" spans="3:5" x14ac:dyDescent="0.25">
      <c r="C2563" s="13"/>
      <c r="E2563" s="4"/>
    </row>
    <row r="2564" spans="3:5" x14ac:dyDescent="0.25">
      <c r="C2564" s="13"/>
      <c r="E2564" s="4"/>
    </row>
    <row r="2565" spans="3:5" x14ac:dyDescent="0.25">
      <c r="C2565" s="13"/>
      <c r="E2565" s="4"/>
    </row>
    <row r="2566" spans="3:5" x14ac:dyDescent="0.25">
      <c r="C2566" s="13"/>
      <c r="E2566" s="4"/>
    </row>
    <row r="2567" spans="3:5" x14ac:dyDescent="0.25">
      <c r="C2567" s="13"/>
      <c r="E2567" s="4"/>
    </row>
    <row r="2568" spans="3:5" x14ac:dyDescent="0.25">
      <c r="C2568" s="13"/>
      <c r="E2568" s="4"/>
    </row>
    <row r="2569" spans="3:5" x14ac:dyDescent="0.25">
      <c r="C2569" s="13"/>
      <c r="E2569" s="4"/>
    </row>
    <row r="2570" spans="3:5" x14ac:dyDescent="0.25">
      <c r="C2570" s="13"/>
      <c r="E2570" s="4"/>
    </row>
    <row r="2571" spans="3:5" x14ac:dyDescent="0.25">
      <c r="C2571" s="13"/>
      <c r="E2571" s="4"/>
    </row>
    <row r="2572" spans="3:5" x14ac:dyDescent="0.25">
      <c r="C2572" s="13"/>
      <c r="E2572" s="4"/>
    </row>
    <row r="2573" spans="3:5" x14ac:dyDescent="0.25">
      <c r="C2573" s="13"/>
      <c r="E2573" s="4"/>
    </row>
    <row r="2574" spans="3:5" x14ac:dyDescent="0.25">
      <c r="C2574" s="13"/>
      <c r="E2574" s="4"/>
    </row>
    <row r="2575" spans="3:5" x14ac:dyDescent="0.25">
      <c r="C2575" s="13"/>
      <c r="E2575" s="4"/>
    </row>
    <row r="2576" spans="3:5" x14ac:dyDescent="0.25">
      <c r="C2576" s="13"/>
      <c r="E2576" s="4"/>
    </row>
    <row r="2577" spans="3:5" x14ac:dyDescent="0.25">
      <c r="C2577" s="13"/>
      <c r="E2577" s="4"/>
    </row>
    <row r="2578" spans="3:5" x14ac:dyDescent="0.25">
      <c r="C2578" s="13"/>
      <c r="E2578" s="4"/>
    </row>
    <row r="2579" spans="3:5" x14ac:dyDescent="0.25">
      <c r="C2579" s="13"/>
      <c r="E2579" s="4"/>
    </row>
    <row r="2580" spans="3:5" x14ac:dyDescent="0.25">
      <c r="C2580" s="13"/>
      <c r="E2580" s="4"/>
    </row>
    <row r="2581" spans="3:5" x14ac:dyDescent="0.25">
      <c r="C2581" s="13"/>
      <c r="E2581" s="4"/>
    </row>
    <row r="2582" spans="3:5" x14ac:dyDescent="0.25">
      <c r="C2582" s="13"/>
      <c r="E2582" s="4"/>
    </row>
    <row r="2583" spans="3:5" x14ac:dyDescent="0.25">
      <c r="C2583" s="13"/>
      <c r="E2583" s="4"/>
    </row>
    <row r="2584" spans="3:5" x14ac:dyDescent="0.25">
      <c r="C2584" s="13"/>
      <c r="E2584" s="4"/>
    </row>
    <row r="2585" spans="3:5" x14ac:dyDescent="0.25">
      <c r="C2585" s="13"/>
      <c r="E2585" s="4"/>
    </row>
    <row r="2586" spans="3:5" x14ac:dyDescent="0.25">
      <c r="C2586" s="13"/>
      <c r="E2586" s="4"/>
    </row>
    <row r="2587" spans="3:5" x14ac:dyDescent="0.25">
      <c r="C2587" s="13"/>
      <c r="E2587" s="4"/>
    </row>
    <row r="2588" spans="3:5" x14ac:dyDescent="0.25">
      <c r="C2588" s="13"/>
      <c r="E2588" s="4"/>
    </row>
    <row r="2589" spans="3:5" x14ac:dyDescent="0.25">
      <c r="C2589" s="13"/>
      <c r="E2589" s="4"/>
    </row>
    <row r="2590" spans="3:5" x14ac:dyDescent="0.25">
      <c r="C2590" s="13"/>
      <c r="E2590" s="4"/>
    </row>
    <row r="2591" spans="3:5" x14ac:dyDescent="0.25">
      <c r="C2591" s="13"/>
      <c r="E2591" s="4"/>
    </row>
    <row r="2592" spans="3:5" x14ac:dyDescent="0.25">
      <c r="C2592" s="13"/>
      <c r="E2592" s="4"/>
    </row>
    <row r="2593" spans="3:5" x14ac:dyDescent="0.25">
      <c r="C2593" s="13"/>
      <c r="E2593" s="4"/>
    </row>
    <row r="2594" spans="3:5" x14ac:dyDescent="0.25">
      <c r="C2594" s="13"/>
      <c r="E2594" s="4"/>
    </row>
    <row r="2595" spans="3:5" x14ac:dyDescent="0.25">
      <c r="C2595" s="13"/>
      <c r="E2595" s="4"/>
    </row>
    <row r="2596" spans="3:5" x14ac:dyDescent="0.25">
      <c r="C2596" s="13"/>
      <c r="E2596" s="4"/>
    </row>
    <row r="2597" spans="3:5" x14ac:dyDescent="0.25">
      <c r="C2597" s="13"/>
      <c r="E2597" s="4"/>
    </row>
    <row r="2598" spans="3:5" x14ac:dyDescent="0.25">
      <c r="C2598" s="13"/>
      <c r="E2598" s="4"/>
    </row>
    <row r="2599" spans="3:5" x14ac:dyDescent="0.25">
      <c r="C2599" s="13"/>
      <c r="E2599" s="4"/>
    </row>
    <row r="2600" spans="3:5" x14ac:dyDescent="0.25">
      <c r="C2600" s="13"/>
      <c r="E2600" s="4"/>
    </row>
    <row r="2601" spans="3:5" x14ac:dyDescent="0.25">
      <c r="C2601" s="13"/>
      <c r="E2601" s="4"/>
    </row>
    <row r="2602" spans="3:5" x14ac:dyDescent="0.25">
      <c r="C2602" s="13"/>
      <c r="E2602" s="4"/>
    </row>
    <row r="2603" spans="3:5" x14ac:dyDescent="0.25">
      <c r="C2603" s="13"/>
      <c r="E2603" s="4"/>
    </row>
    <row r="2604" spans="3:5" x14ac:dyDescent="0.25">
      <c r="C2604" s="13"/>
      <c r="E2604" s="4"/>
    </row>
    <row r="2605" spans="3:5" x14ac:dyDescent="0.25">
      <c r="C2605" s="13"/>
      <c r="E2605" s="4"/>
    </row>
    <row r="2606" spans="3:5" x14ac:dyDescent="0.25">
      <c r="C2606" s="13"/>
      <c r="E2606" s="4"/>
    </row>
    <row r="2607" spans="3:5" x14ac:dyDescent="0.25">
      <c r="C2607" s="13"/>
      <c r="E2607" s="4"/>
    </row>
    <row r="2608" spans="3:5" x14ac:dyDescent="0.25">
      <c r="C2608" s="13"/>
      <c r="E2608" s="4"/>
    </row>
    <row r="2609" spans="3:5" x14ac:dyDescent="0.25">
      <c r="C2609" s="13"/>
      <c r="E2609" s="4"/>
    </row>
    <row r="2610" spans="3:5" x14ac:dyDescent="0.25">
      <c r="C2610" s="13"/>
      <c r="E2610" s="4"/>
    </row>
    <row r="2611" spans="3:5" x14ac:dyDescent="0.25">
      <c r="C2611" s="13"/>
      <c r="E2611" s="4"/>
    </row>
    <row r="2612" spans="3:5" x14ac:dyDescent="0.25">
      <c r="C2612" s="13"/>
      <c r="E2612" s="4"/>
    </row>
    <row r="2613" spans="3:5" x14ac:dyDescent="0.25">
      <c r="C2613" s="13"/>
      <c r="E2613" s="4"/>
    </row>
    <row r="2614" spans="3:5" x14ac:dyDescent="0.25">
      <c r="C2614" s="13"/>
      <c r="E2614" s="4"/>
    </row>
    <row r="2615" spans="3:5" x14ac:dyDescent="0.25">
      <c r="C2615" s="13"/>
      <c r="E2615" s="4"/>
    </row>
    <row r="2616" spans="3:5" x14ac:dyDescent="0.25">
      <c r="C2616" s="13"/>
      <c r="E2616" s="4"/>
    </row>
    <row r="2617" spans="3:5" x14ac:dyDescent="0.25">
      <c r="C2617" s="13"/>
      <c r="E2617" s="4"/>
    </row>
    <row r="2618" spans="3:5" x14ac:dyDescent="0.25">
      <c r="C2618" s="13"/>
      <c r="E2618" s="4"/>
    </row>
    <row r="2619" spans="3:5" x14ac:dyDescent="0.25">
      <c r="C2619" s="13"/>
      <c r="E2619" s="4"/>
    </row>
    <row r="2620" spans="3:5" x14ac:dyDescent="0.25">
      <c r="C2620" s="13"/>
      <c r="E2620" s="4"/>
    </row>
    <row r="2621" spans="3:5" x14ac:dyDescent="0.25">
      <c r="C2621" s="13"/>
      <c r="E2621" s="4"/>
    </row>
    <row r="2622" spans="3:5" x14ac:dyDescent="0.25">
      <c r="C2622" s="13"/>
      <c r="E2622" s="4"/>
    </row>
    <row r="2623" spans="3:5" x14ac:dyDescent="0.25">
      <c r="C2623" s="13"/>
      <c r="E2623" s="4"/>
    </row>
    <row r="2624" spans="3:5" x14ac:dyDescent="0.25">
      <c r="C2624" s="13"/>
      <c r="E2624" s="4"/>
    </row>
    <row r="2625" spans="3:5" x14ac:dyDescent="0.25">
      <c r="C2625" s="13"/>
      <c r="E2625" s="4"/>
    </row>
    <row r="2626" spans="3:5" x14ac:dyDescent="0.25">
      <c r="C2626" s="13"/>
      <c r="E2626" s="4"/>
    </row>
    <row r="2627" spans="3:5" x14ac:dyDescent="0.25">
      <c r="C2627" s="13"/>
      <c r="E2627" s="4"/>
    </row>
    <row r="2628" spans="3:5" x14ac:dyDescent="0.25">
      <c r="C2628" s="13"/>
      <c r="E2628" s="4"/>
    </row>
    <row r="2629" spans="3:5" x14ac:dyDescent="0.25">
      <c r="C2629" s="13"/>
      <c r="E2629" s="4"/>
    </row>
    <row r="2630" spans="3:5" x14ac:dyDescent="0.25">
      <c r="C2630" s="13"/>
      <c r="E2630" s="4"/>
    </row>
    <row r="2631" spans="3:5" x14ac:dyDescent="0.25">
      <c r="C2631" s="13"/>
      <c r="E2631" s="4"/>
    </row>
    <row r="2632" spans="3:5" x14ac:dyDescent="0.25">
      <c r="C2632" s="13"/>
      <c r="E2632" s="4"/>
    </row>
    <row r="2633" spans="3:5" x14ac:dyDescent="0.25">
      <c r="C2633" s="13"/>
      <c r="E2633" s="4"/>
    </row>
    <row r="2634" spans="3:5" x14ac:dyDescent="0.25">
      <c r="C2634" s="13"/>
      <c r="E2634" s="4"/>
    </row>
    <row r="2635" spans="3:5" x14ac:dyDescent="0.25">
      <c r="C2635" s="13"/>
      <c r="E2635" s="4"/>
    </row>
    <row r="2636" spans="3:5" x14ac:dyDescent="0.25">
      <c r="C2636" s="13"/>
      <c r="E2636" s="4"/>
    </row>
    <row r="2637" spans="3:5" x14ac:dyDescent="0.25">
      <c r="C2637" s="13"/>
      <c r="E2637" s="4"/>
    </row>
    <row r="2638" spans="3:5" x14ac:dyDescent="0.25">
      <c r="C2638" s="13"/>
      <c r="E2638" s="4"/>
    </row>
    <row r="2639" spans="3:5" x14ac:dyDescent="0.25">
      <c r="C2639" s="13"/>
      <c r="E2639" s="4"/>
    </row>
    <row r="2640" spans="3:5" x14ac:dyDescent="0.25">
      <c r="C2640" s="13"/>
      <c r="E2640" s="4"/>
    </row>
    <row r="2641" spans="3:5" x14ac:dyDescent="0.25">
      <c r="C2641" s="13"/>
      <c r="E2641" s="4"/>
    </row>
    <row r="2642" spans="3:5" x14ac:dyDescent="0.25">
      <c r="C2642" s="13"/>
      <c r="E2642" s="4"/>
    </row>
    <row r="2643" spans="3:5" x14ac:dyDescent="0.25">
      <c r="C2643" s="13"/>
      <c r="E2643" s="4"/>
    </row>
    <row r="2644" spans="3:5" x14ac:dyDescent="0.25">
      <c r="C2644" s="13"/>
      <c r="E2644" s="4"/>
    </row>
    <row r="2645" spans="3:5" x14ac:dyDescent="0.25">
      <c r="C2645" s="13"/>
      <c r="E2645" s="4"/>
    </row>
    <row r="2646" spans="3:5" x14ac:dyDescent="0.25">
      <c r="C2646" s="13"/>
      <c r="E2646" s="4"/>
    </row>
    <row r="2647" spans="3:5" x14ac:dyDescent="0.25">
      <c r="C2647" s="13"/>
      <c r="E2647" s="4"/>
    </row>
    <row r="2648" spans="3:5" x14ac:dyDescent="0.25">
      <c r="C2648" s="13"/>
      <c r="E2648" s="4"/>
    </row>
    <row r="2649" spans="3:5" x14ac:dyDescent="0.25">
      <c r="C2649" s="13"/>
      <c r="E2649" s="4"/>
    </row>
    <row r="2650" spans="3:5" x14ac:dyDescent="0.25">
      <c r="C2650" s="13"/>
      <c r="E2650" s="4"/>
    </row>
    <row r="2651" spans="3:5" x14ac:dyDescent="0.25">
      <c r="C2651" s="13"/>
      <c r="E2651" s="4"/>
    </row>
    <row r="2652" spans="3:5" x14ac:dyDescent="0.25">
      <c r="C2652" s="13"/>
      <c r="E2652" s="4"/>
    </row>
    <row r="2653" spans="3:5" x14ac:dyDescent="0.25">
      <c r="C2653" s="13"/>
      <c r="E2653" s="4"/>
    </row>
    <row r="2654" spans="3:5" x14ac:dyDescent="0.25">
      <c r="C2654" s="13"/>
      <c r="E2654" s="4"/>
    </row>
    <row r="2655" spans="3:5" x14ac:dyDescent="0.25">
      <c r="C2655" s="13"/>
      <c r="E2655" s="4"/>
    </row>
    <row r="2656" spans="3:5" x14ac:dyDescent="0.25">
      <c r="C2656" s="13"/>
      <c r="E2656" s="4"/>
    </row>
    <row r="2657" spans="3:5" x14ac:dyDescent="0.25">
      <c r="C2657" s="13"/>
      <c r="E2657" s="4"/>
    </row>
    <row r="2658" spans="3:5" x14ac:dyDescent="0.25">
      <c r="C2658" s="13"/>
      <c r="E2658" s="4"/>
    </row>
    <row r="2659" spans="3:5" x14ac:dyDescent="0.25">
      <c r="C2659" s="13"/>
      <c r="E2659" s="4"/>
    </row>
    <row r="2660" spans="3:5" x14ac:dyDescent="0.25">
      <c r="C2660" s="13"/>
      <c r="E2660" s="4"/>
    </row>
    <row r="2661" spans="3:5" x14ac:dyDescent="0.25">
      <c r="C2661" s="13"/>
      <c r="E2661" s="4"/>
    </row>
    <row r="2662" spans="3:5" x14ac:dyDescent="0.25">
      <c r="C2662" s="13"/>
      <c r="E2662" s="4"/>
    </row>
    <row r="2663" spans="3:5" x14ac:dyDescent="0.25">
      <c r="C2663" s="13"/>
      <c r="E2663" s="4"/>
    </row>
    <row r="2664" spans="3:5" x14ac:dyDescent="0.25">
      <c r="C2664" s="13"/>
      <c r="E2664" s="4"/>
    </row>
    <row r="2665" spans="3:5" x14ac:dyDescent="0.25">
      <c r="C2665" s="13"/>
      <c r="E2665" s="4"/>
    </row>
    <row r="2666" spans="3:5" x14ac:dyDescent="0.25">
      <c r="C2666" s="13"/>
      <c r="E2666" s="4"/>
    </row>
    <row r="2667" spans="3:5" x14ac:dyDescent="0.25">
      <c r="C2667" s="13"/>
      <c r="E2667" s="4"/>
    </row>
    <row r="2668" spans="3:5" x14ac:dyDescent="0.25">
      <c r="C2668" s="13"/>
      <c r="E2668" s="4"/>
    </row>
    <row r="2669" spans="3:5" x14ac:dyDescent="0.25">
      <c r="C2669" s="13"/>
      <c r="E2669" s="4"/>
    </row>
    <row r="2670" spans="3:5" x14ac:dyDescent="0.25">
      <c r="C2670" s="13"/>
      <c r="E2670" s="4"/>
    </row>
    <row r="2671" spans="3:5" x14ac:dyDescent="0.25">
      <c r="C2671" s="13"/>
      <c r="E2671" s="4"/>
    </row>
    <row r="2672" spans="3:5" x14ac:dyDescent="0.25">
      <c r="C2672" s="13"/>
      <c r="E2672" s="4"/>
    </row>
    <row r="2673" spans="3:5" x14ac:dyDescent="0.25">
      <c r="C2673" s="13"/>
      <c r="E2673" s="4"/>
    </row>
    <row r="2674" spans="3:5" x14ac:dyDescent="0.25">
      <c r="C2674" s="13"/>
      <c r="E2674" s="4"/>
    </row>
    <row r="2675" spans="3:5" x14ac:dyDescent="0.25">
      <c r="C2675" s="13"/>
      <c r="E2675" s="4"/>
    </row>
    <row r="2676" spans="3:5" x14ac:dyDescent="0.25">
      <c r="C2676" s="13"/>
      <c r="E2676" s="4"/>
    </row>
    <row r="2677" spans="3:5" x14ac:dyDescent="0.25">
      <c r="C2677" s="13"/>
      <c r="E2677" s="4"/>
    </row>
    <row r="2678" spans="3:5" x14ac:dyDescent="0.25">
      <c r="C2678" s="13"/>
      <c r="E2678" s="4"/>
    </row>
    <row r="2679" spans="3:5" x14ac:dyDescent="0.25">
      <c r="C2679" s="13"/>
      <c r="E2679" s="4"/>
    </row>
    <row r="2680" spans="3:5" x14ac:dyDescent="0.25">
      <c r="C2680" s="13"/>
      <c r="E2680" s="4"/>
    </row>
    <row r="2681" spans="3:5" x14ac:dyDescent="0.25">
      <c r="C2681" s="13"/>
      <c r="E2681" s="4"/>
    </row>
    <row r="2682" spans="3:5" x14ac:dyDescent="0.25">
      <c r="C2682" s="13"/>
      <c r="E2682" s="4"/>
    </row>
    <row r="2683" spans="3:5" x14ac:dyDescent="0.25">
      <c r="C2683" s="13"/>
      <c r="E2683" s="4"/>
    </row>
    <row r="2684" spans="3:5" x14ac:dyDescent="0.25">
      <c r="C2684" s="13"/>
      <c r="E2684" s="4"/>
    </row>
    <row r="2685" spans="3:5" x14ac:dyDescent="0.25">
      <c r="C2685" s="13"/>
      <c r="E2685" s="4"/>
    </row>
    <row r="2686" spans="3:5" x14ac:dyDescent="0.25">
      <c r="C2686" s="13"/>
      <c r="E2686" s="4"/>
    </row>
    <row r="2687" spans="3:5" x14ac:dyDescent="0.25">
      <c r="C2687" s="13"/>
      <c r="E2687" s="4"/>
    </row>
    <row r="2688" spans="3:5" x14ac:dyDescent="0.25">
      <c r="C2688" s="13"/>
      <c r="E2688" s="4"/>
    </row>
    <row r="2689" spans="3:5" x14ac:dyDescent="0.25">
      <c r="C2689" s="13"/>
      <c r="E2689" s="4"/>
    </row>
    <row r="2690" spans="3:5" x14ac:dyDescent="0.25">
      <c r="C2690" s="13"/>
      <c r="E2690" s="4"/>
    </row>
    <row r="2691" spans="3:5" x14ac:dyDescent="0.25">
      <c r="C2691" s="13"/>
      <c r="E2691" s="4"/>
    </row>
    <row r="2692" spans="3:5" x14ac:dyDescent="0.25">
      <c r="C2692" s="13"/>
      <c r="E2692" s="4"/>
    </row>
    <row r="2693" spans="3:5" x14ac:dyDescent="0.25">
      <c r="C2693" s="13"/>
      <c r="E2693" s="4"/>
    </row>
    <row r="2694" spans="3:5" x14ac:dyDescent="0.25">
      <c r="C2694" s="13"/>
      <c r="E2694" s="4"/>
    </row>
    <row r="2695" spans="3:5" x14ac:dyDescent="0.25">
      <c r="C2695" s="13"/>
      <c r="E2695" s="4"/>
    </row>
    <row r="2696" spans="3:5" x14ac:dyDescent="0.25">
      <c r="C2696" s="13"/>
      <c r="E2696" s="4"/>
    </row>
    <row r="2697" spans="3:5" x14ac:dyDescent="0.25">
      <c r="C2697" s="13"/>
      <c r="E2697" s="4"/>
    </row>
    <row r="2698" spans="3:5" x14ac:dyDescent="0.25">
      <c r="C2698" s="13"/>
      <c r="E2698" s="4"/>
    </row>
    <row r="2699" spans="3:5" x14ac:dyDescent="0.25">
      <c r="C2699" s="13"/>
      <c r="E2699" s="4"/>
    </row>
    <row r="2700" spans="3:5" x14ac:dyDescent="0.25">
      <c r="C2700" s="13"/>
      <c r="E2700" s="4"/>
    </row>
    <row r="2701" spans="3:5" x14ac:dyDescent="0.25">
      <c r="C2701" s="13"/>
      <c r="E2701" s="4"/>
    </row>
    <row r="2702" spans="3:5" x14ac:dyDescent="0.25">
      <c r="C2702" s="13"/>
      <c r="E2702" s="4"/>
    </row>
    <row r="2703" spans="3:5" x14ac:dyDescent="0.25">
      <c r="C2703" s="13"/>
      <c r="E2703" s="4"/>
    </row>
    <row r="2704" spans="3:5" x14ac:dyDescent="0.25">
      <c r="C2704" s="13"/>
      <c r="E2704" s="4"/>
    </row>
    <row r="2705" spans="3:5" x14ac:dyDescent="0.25">
      <c r="C2705" s="13"/>
      <c r="E2705" s="4"/>
    </row>
    <row r="2706" spans="3:5" x14ac:dyDescent="0.25">
      <c r="C2706" s="13"/>
      <c r="E2706" s="4"/>
    </row>
    <row r="2707" spans="3:5" x14ac:dyDescent="0.25">
      <c r="C2707" s="13"/>
      <c r="E2707" s="4"/>
    </row>
    <row r="2708" spans="3:5" x14ac:dyDescent="0.25">
      <c r="C2708" s="13"/>
      <c r="E2708" s="4"/>
    </row>
    <row r="2709" spans="3:5" x14ac:dyDescent="0.25">
      <c r="C2709" s="13"/>
      <c r="E2709" s="4"/>
    </row>
    <row r="2710" spans="3:5" x14ac:dyDescent="0.25">
      <c r="C2710" s="13"/>
      <c r="E2710" s="4"/>
    </row>
    <row r="2711" spans="3:5" x14ac:dyDescent="0.25">
      <c r="C2711" s="13"/>
      <c r="E2711" s="4"/>
    </row>
    <row r="2712" spans="3:5" x14ac:dyDescent="0.25">
      <c r="C2712" s="13"/>
      <c r="E2712" s="4"/>
    </row>
    <row r="2713" spans="3:5" x14ac:dyDescent="0.25">
      <c r="C2713" s="13"/>
      <c r="E2713" s="4"/>
    </row>
    <row r="2714" spans="3:5" x14ac:dyDescent="0.25">
      <c r="C2714" s="13"/>
      <c r="E2714" s="4"/>
    </row>
    <row r="2715" spans="3:5" x14ac:dyDescent="0.25">
      <c r="C2715" s="13"/>
      <c r="E2715" s="4"/>
    </row>
    <row r="2716" spans="3:5" x14ac:dyDescent="0.25">
      <c r="C2716" s="13"/>
      <c r="E2716" s="4"/>
    </row>
    <row r="2717" spans="3:5" x14ac:dyDescent="0.25">
      <c r="C2717" s="13"/>
      <c r="E2717" s="4"/>
    </row>
    <row r="2718" spans="3:5" x14ac:dyDescent="0.25">
      <c r="C2718" s="13"/>
      <c r="E2718" s="4"/>
    </row>
    <row r="2719" spans="3:5" x14ac:dyDescent="0.25">
      <c r="C2719" s="13"/>
      <c r="E2719" s="4"/>
    </row>
    <row r="2720" spans="3:5" x14ac:dyDescent="0.25">
      <c r="C2720" s="13"/>
      <c r="E2720" s="4"/>
    </row>
    <row r="2721" spans="3:5" x14ac:dyDescent="0.25">
      <c r="C2721" s="13"/>
      <c r="E2721" s="4"/>
    </row>
    <row r="2722" spans="3:5" x14ac:dyDescent="0.25">
      <c r="C2722" s="13"/>
      <c r="E2722" s="4"/>
    </row>
    <row r="2723" spans="3:5" x14ac:dyDescent="0.25">
      <c r="C2723" s="13"/>
      <c r="E2723" s="4"/>
    </row>
    <row r="2724" spans="3:5" x14ac:dyDescent="0.25">
      <c r="C2724" s="13"/>
      <c r="E2724" s="4"/>
    </row>
    <row r="2725" spans="3:5" x14ac:dyDescent="0.25">
      <c r="C2725" s="13"/>
      <c r="E2725" s="4"/>
    </row>
    <row r="2726" spans="3:5" x14ac:dyDescent="0.25">
      <c r="C2726" s="13"/>
      <c r="E2726" s="4"/>
    </row>
    <row r="2727" spans="3:5" x14ac:dyDescent="0.25">
      <c r="C2727" s="13"/>
      <c r="E2727" s="4"/>
    </row>
    <row r="2728" spans="3:5" x14ac:dyDescent="0.25">
      <c r="C2728" s="13"/>
      <c r="E2728" s="4"/>
    </row>
    <row r="2729" spans="3:5" x14ac:dyDescent="0.25">
      <c r="C2729" s="13"/>
      <c r="E2729" s="4"/>
    </row>
    <row r="2730" spans="3:5" x14ac:dyDescent="0.25">
      <c r="C2730" s="13"/>
      <c r="E2730" s="4"/>
    </row>
    <row r="2731" spans="3:5" x14ac:dyDescent="0.25">
      <c r="C2731" s="13"/>
      <c r="E2731" s="4"/>
    </row>
    <row r="2732" spans="3:5" x14ac:dyDescent="0.25">
      <c r="C2732" s="13"/>
      <c r="E2732" s="4"/>
    </row>
    <row r="2733" spans="3:5" x14ac:dyDescent="0.25">
      <c r="C2733" s="13"/>
      <c r="E2733" s="4"/>
    </row>
    <row r="2734" spans="3:5" x14ac:dyDescent="0.25">
      <c r="C2734" s="13"/>
      <c r="E2734" s="4"/>
    </row>
    <row r="2735" spans="3:5" x14ac:dyDescent="0.25">
      <c r="C2735" s="13"/>
      <c r="E2735" s="4"/>
    </row>
    <row r="2736" spans="3:5" x14ac:dyDescent="0.25">
      <c r="C2736" s="13"/>
      <c r="E2736" s="4"/>
    </row>
    <row r="2737" spans="3:5" x14ac:dyDescent="0.25">
      <c r="C2737" s="13"/>
      <c r="E2737" s="4"/>
    </row>
    <row r="2738" spans="3:5" x14ac:dyDescent="0.25">
      <c r="C2738" s="13"/>
      <c r="E2738" s="4"/>
    </row>
    <row r="2739" spans="3:5" x14ac:dyDescent="0.25">
      <c r="C2739" s="13"/>
      <c r="E2739" s="4"/>
    </row>
    <row r="2740" spans="3:5" x14ac:dyDescent="0.25">
      <c r="C2740" s="13"/>
      <c r="E2740" s="4"/>
    </row>
    <row r="2741" spans="3:5" x14ac:dyDescent="0.25">
      <c r="C2741" s="13"/>
      <c r="E2741" s="4"/>
    </row>
    <row r="2742" spans="3:5" x14ac:dyDescent="0.25">
      <c r="C2742" s="13"/>
      <c r="E2742" s="4"/>
    </row>
    <row r="2743" spans="3:5" x14ac:dyDescent="0.25">
      <c r="C2743" s="13"/>
      <c r="E2743" s="4"/>
    </row>
    <row r="2744" spans="3:5" x14ac:dyDescent="0.25">
      <c r="C2744" s="13"/>
      <c r="E2744" s="4"/>
    </row>
    <row r="2745" spans="3:5" x14ac:dyDescent="0.25">
      <c r="C2745" s="13"/>
      <c r="E2745" s="4"/>
    </row>
    <row r="2746" spans="3:5" x14ac:dyDescent="0.25">
      <c r="C2746" s="13"/>
      <c r="E2746" s="4"/>
    </row>
    <row r="2747" spans="3:5" x14ac:dyDescent="0.25">
      <c r="C2747" s="13"/>
      <c r="E2747" s="4"/>
    </row>
    <row r="2748" spans="3:5" x14ac:dyDescent="0.25">
      <c r="C2748" s="13"/>
      <c r="E2748" s="4"/>
    </row>
    <row r="2749" spans="3:5" x14ac:dyDescent="0.25">
      <c r="C2749" s="13"/>
      <c r="E2749" s="4"/>
    </row>
    <row r="2750" spans="3:5" x14ac:dyDescent="0.25">
      <c r="C2750" s="13"/>
      <c r="E2750" s="4"/>
    </row>
    <row r="2751" spans="3:5" x14ac:dyDescent="0.25">
      <c r="C2751" s="13"/>
      <c r="E2751" s="4"/>
    </row>
    <row r="2752" spans="3:5" x14ac:dyDescent="0.25">
      <c r="C2752" s="13"/>
      <c r="E2752" s="4"/>
    </row>
    <row r="2753" spans="3:5" x14ac:dyDescent="0.25">
      <c r="C2753" s="13"/>
      <c r="E2753" s="4"/>
    </row>
    <row r="2754" spans="3:5" x14ac:dyDescent="0.25">
      <c r="C2754" s="13"/>
      <c r="E2754" s="4"/>
    </row>
    <row r="2755" spans="3:5" x14ac:dyDescent="0.25">
      <c r="C2755" s="13"/>
      <c r="E2755" s="4"/>
    </row>
    <row r="2756" spans="3:5" x14ac:dyDescent="0.25">
      <c r="C2756" s="13"/>
      <c r="E2756" s="4"/>
    </row>
    <row r="2757" spans="3:5" x14ac:dyDescent="0.25">
      <c r="C2757" s="13"/>
      <c r="E2757" s="4"/>
    </row>
    <row r="2758" spans="3:5" x14ac:dyDescent="0.25">
      <c r="C2758" s="13"/>
      <c r="E2758" s="4"/>
    </row>
    <row r="2759" spans="3:5" x14ac:dyDescent="0.25">
      <c r="C2759" s="13"/>
      <c r="E2759" s="4"/>
    </row>
    <row r="2760" spans="3:5" x14ac:dyDescent="0.25">
      <c r="C2760" s="13"/>
      <c r="E2760" s="4"/>
    </row>
    <row r="2761" spans="3:5" x14ac:dyDescent="0.25">
      <c r="C2761" s="13"/>
      <c r="E2761" s="4"/>
    </row>
    <row r="2762" spans="3:5" x14ac:dyDescent="0.25">
      <c r="C2762" s="13"/>
      <c r="E2762" s="4"/>
    </row>
    <row r="2763" spans="3:5" x14ac:dyDescent="0.25">
      <c r="C2763" s="13"/>
      <c r="E2763" s="4"/>
    </row>
    <row r="2764" spans="3:5" x14ac:dyDescent="0.25">
      <c r="C2764" s="13"/>
      <c r="E2764" s="4"/>
    </row>
    <row r="2765" spans="3:5" x14ac:dyDescent="0.25">
      <c r="C2765" s="13"/>
      <c r="E2765" s="4"/>
    </row>
    <row r="2766" spans="3:5" x14ac:dyDescent="0.25">
      <c r="C2766" s="13"/>
      <c r="E2766" s="4"/>
    </row>
    <row r="2767" spans="3:5" x14ac:dyDescent="0.25">
      <c r="C2767" s="13"/>
      <c r="E2767" s="4"/>
    </row>
    <row r="2768" spans="3:5" x14ac:dyDescent="0.25">
      <c r="C2768" s="13"/>
      <c r="E2768" s="4"/>
    </row>
    <row r="2769" spans="3:5" x14ac:dyDescent="0.25">
      <c r="C2769" s="13"/>
      <c r="E2769" s="4"/>
    </row>
    <row r="2770" spans="3:5" x14ac:dyDescent="0.25">
      <c r="C2770" s="13"/>
      <c r="E2770" s="4"/>
    </row>
    <row r="2771" spans="3:5" x14ac:dyDescent="0.25">
      <c r="C2771" s="13"/>
      <c r="E2771" s="4"/>
    </row>
    <row r="2772" spans="3:5" x14ac:dyDescent="0.25">
      <c r="C2772" s="13"/>
      <c r="E2772" s="4"/>
    </row>
    <row r="2773" spans="3:5" x14ac:dyDescent="0.25">
      <c r="C2773" s="13"/>
      <c r="E2773" s="4"/>
    </row>
    <row r="2774" spans="3:5" x14ac:dyDescent="0.25">
      <c r="C2774" s="13"/>
      <c r="E2774" s="4"/>
    </row>
    <row r="2775" spans="3:5" x14ac:dyDescent="0.25">
      <c r="C2775" s="13"/>
      <c r="E2775" s="4"/>
    </row>
    <row r="2776" spans="3:5" x14ac:dyDescent="0.25">
      <c r="C2776" s="13"/>
      <c r="E2776" s="4"/>
    </row>
    <row r="2777" spans="3:5" x14ac:dyDescent="0.25">
      <c r="C2777" s="13"/>
      <c r="E2777" s="4"/>
    </row>
    <row r="2778" spans="3:5" x14ac:dyDescent="0.25">
      <c r="C2778" s="13"/>
      <c r="E2778" s="4"/>
    </row>
    <row r="2779" spans="3:5" x14ac:dyDescent="0.25">
      <c r="C2779" s="13"/>
      <c r="E2779" s="4"/>
    </row>
    <row r="2780" spans="3:5" x14ac:dyDescent="0.25">
      <c r="C2780" s="13"/>
      <c r="E2780" s="4"/>
    </row>
    <row r="2781" spans="3:5" x14ac:dyDescent="0.25">
      <c r="C2781" s="13"/>
      <c r="E2781" s="4"/>
    </row>
    <row r="2782" spans="3:5" x14ac:dyDescent="0.25">
      <c r="C2782" s="13"/>
      <c r="E2782" s="4"/>
    </row>
    <row r="2783" spans="3:5" x14ac:dyDescent="0.25">
      <c r="C2783" s="13"/>
      <c r="E2783" s="4"/>
    </row>
    <row r="2784" spans="3:5" x14ac:dyDescent="0.25">
      <c r="C2784" s="13"/>
      <c r="E2784" s="4"/>
    </row>
    <row r="2785" spans="3:5" x14ac:dyDescent="0.25">
      <c r="C2785" s="13"/>
      <c r="E2785" s="4"/>
    </row>
    <row r="2786" spans="3:5" x14ac:dyDescent="0.25">
      <c r="C2786" s="13"/>
      <c r="E2786" s="4"/>
    </row>
    <row r="2787" spans="3:5" x14ac:dyDescent="0.25">
      <c r="C2787" s="13"/>
      <c r="E2787" s="4"/>
    </row>
    <row r="2788" spans="3:5" x14ac:dyDescent="0.25">
      <c r="C2788" s="13"/>
      <c r="E2788" s="4"/>
    </row>
    <row r="2789" spans="3:5" x14ac:dyDescent="0.25">
      <c r="C2789" s="13"/>
      <c r="E2789" s="4"/>
    </row>
    <row r="2790" spans="3:5" x14ac:dyDescent="0.25">
      <c r="C2790" s="13"/>
      <c r="E2790" s="4"/>
    </row>
    <row r="2791" spans="3:5" x14ac:dyDescent="0.25">
      <c r="C2791" s="13"/>
      <c r="E2791" s="4"/>
    </row>
    <row r="2792" spans="3:5" x14ac:dyDescent="0.25">
      <c r="C2792" s="13"/>
      <c r="E2792" s="4"/>
    </row>
    <row r="2793" spans="3:5" x14ac:dyDescent="0.25">
      <c r="C2793" s="13"/>
      <c r="E2793" s="4"/>
    </row>
    <row r="2794" spans="3:5" x14ac:dyDescent="0.25">
      <c r="C2794" s="13"/>
      <c r="E2794" s="4"/>
    </row>
    <row r="2795" spans="3:5" x14ac:dyDescent="0.25">
      <c r="C2795" s="13"/>
      <c r="E2795" s="4"/>
    </row>
    <row r="2796" spans="3:5" x14ac:dyDescent="0.25">
      <c r="C2796" s="13"/>
      <c r="E2796" s="4"/>
    </row>
    <row r="2797" spans="3:5" x14ac:dyDescent="0.25">
      <c r="C2797" s="13"/>
      <c r="E2797" s="4"/>
    </row>
    <row r="2798" spans="3:5" x14ac:dyDescent="0.25">
      <c r="C2798" s="13"/>
      <c r="E2798" s="4"/>
    </row>
    <row r="2799" spans="3:5" x14ac:dyDescent="0.25">
      <c r="C2799" s="13"/>
      <c r="E2799" s="4"/>
    </row>
    <row r="2800" spans="3:5" x14ac:dyDescent="0.25">
      <c r="C2800" s="13"/>
      <c r="E2800" s="4"/>
    </row>
    <row r="2801" spans="3:5" x14ac:dyDescent="0.25">
      <c r="C2801" s="13"/>
      <c r="E2801" s="4"/>
    </row>
    <row r="2802" spans="3:5" x14ac:dyDescent="0.25">
      <c r="C2802" s="13"/>
      <c r="E2802" s="4"/>
    </row>
    <row r="2803" spans="3:5" x14ac:dyDescent="0.25">
      <c r="C2803" s="13"/>
      <c r="E2803" s="4"/>
    </row>
    <row r="2804" spans="3:5" x14ac:dyDescent="0.25">
      <c r="C2804" s="13"/>
      <c r="E2804" s="4"/>
    </row>
    <row r="2805" spans="3:5" x14ac:dyDescent="0.25">
      <c r="C2805" s="13"/>
      <c r="E2805" s="4"/>
    </row>
    <row r="2806" spans="3:5" x14ac:dyDescent="0.25">
      <c r="C2806" s="13"/>
      <c r="E2806" s="4"/>
    </row>
    <row r="2807" spans="3:5" x14ac:dyDescent="0.25">
      <c r="C2807" s="13"/>
      <c r="E2807" s="4"/>
    </row>
    <row r="2808" spans="3:5" x14ac:dyDescent="0.25">
      <c r="C2808" s="13"/>
      <c r="E2808" s="4"/>
    </row>
    <row r="2809" spans="3:5" x14ac:dyDescent="0.25">
      <c r="C2809" s="13"/>
      <c r="E2809" s="4"/>
    </row>
    <row r="2810" spans="3:5" x14ac:dyDescent="0.25">
      <c r="C2810" s="13"/>
      <c r="E2810" s="4"/>
    </row>
    <row r="2811" spans="3:5" x14ac:dyDescent="0.25">
      <c r="C2811" s="13"/>
      <c r="E2811" s="4"/>
    </row>
    <row r="2812" spans="3:5" x14ac:dyDescent="0.25">
      <c r="C2812" s="13"/>
      <c r="E2812" s="4"/>
    </row>
    <row r="2813" spans="3:5" x14ac:dyDescent="0.25">
      <c r="C2813" s="13"/>
      <c r="E2813" s="4"/>
    </row>
    <row r="2814" spans="3:5" x14ac:dyDescent="0.25">
      <c r="C2814" s="13"/>
      <c r="E2814" s="4"/>
    </row>
    <row r="2815" spans="3:5" x14ac:dyDescent="0.25">
      <c r="C2815" s="13"/>
      <c r="E2815" s="4"/>
    </row>
    <row r="2816" spans="3:5" x14ac:dyDescent="0.25">
      <c r="C2816" s="13"/>
      <c r="E2816" s="4"/>
    </row>
    <row r="2817" spans="3:5" x14ac:dyDescent="0.25">
      <c r="C2817" s="13"/>
      <c r="E2817" s="4"/>
    </row>
    <row r="2818" spans="3:5" x14ac:dyDescent="0.25">
      <c r="C2818" s="13"/>
      <c r="E2818" s="4"/>
    </row>
    <row r="2819" spans="3:5" x14ac:dyDescent="0.25">
      <c r="C2819" s="13"/>
      <c r="E2819" s="4"/>
    </row>
    <row r="2820" spans="3:5" x14ac:dyDescent="0.25">
      <c r="C2820" s="13"/>
      <c r="E2820" s="4"/>
    </row>
    <row r="2821" spans="3:5" x14ac:dyDescent="0.25">
      <c r="C2821" s="13"/>
      <c r="E2821" s="4"/>
    </row>
    <row r="2822" spans="3:5" x14ac:dyDescent="0.25">
      <c r="C2822" s="13"/>
      <c r="E2822" s="4"/>
    </row>
    <row r="2823" spans="3:5" x14ac:dyDescent="0.25">
      <c r="C2823" s="13"/>
      <c r="E2823" s="4"/>
    </row>
    <row r="2824" spans="3:5" x14ac:dyDescent="0.25">
      <c r="C2824" s="13"/>
      <c r="E2824" s="4"/>
    </row>
    <row r="2825" spans="3:5" x14ac:dyDescent="0.25">
      <c r="C2825" s="13"/>
      <c r="E2825" s="4"/>
    </row>
    <row r="2826" spans="3:5" x14ac:dyDescent="0.25">
      <c r="C2826" s="13"/>
      <c r="E2826" s="4"/>
    </row>
    <row r="2827" spans="3:5" x14ac:dyDescent="0.25">
      <c r="C2827" s="13"/>
      <c r="E2827" s="4"/>
    </row>
    <row r="2828" spans="3:5" x14ac:dyDescent="0.25">
      <c r="C2828" s="13"/>
      <c r="E2828" s="4"/>
    </row>
    <row r="2829" spans="3:5" x14ac:dyDescent="0.25">
      <c r="C2829" s="13"/>
      <c r="E2829" s="4"/>
    </row>
    <row r="2830" spans="3:5" x14ac:dyDescent="0.25">
      <c r="C2830" s="13"/>
      <c r="E2830" s="4"/>
    </row>
    <row r="2831" spans="3:5" x14ac:dyDescent="0.25">
      <c r="C2831" s="13"/>
      <c r="E2831" s="4"/>
    </row>
    <row r="2832" spans="3:5" x14ac:dyDescent="0.25">
      <c r="C2832" s="13"/>
      <c r="E2832" s="4"/>
    </row>
    <row r="2833" spans="3:5" x14ac:dyDescent="0.25">
      <c r="C2833" s="13"/>
      <c r="E2833" s="4"/>
    </row>
    <row r="2834" spans="3:5" x14ac:dyDescent="0.25">
      <c r="C2834" s="13"/>
      <c r="E2834" s="4"/>
    </row>
    <row r="2835" spans="3:5" x14ac:dyDescent="0.25">
      <c r="C2835" s="13"/>
      <c r="E2835" s="4"/>
    </row>
    <row r="2836" spans="3:5" x14ac:dyDescent="0.25">
      <c r="C2836" s="13"/>
      <c r="E2836" s="4"/>
    </row>
    <row r="2837" spans="3:5" x14ac:dyDescent="0.25">
      <c r="C2837" s="13"/>
      <c r="E2837" s="4"/>
    </row>
    <row r="2838" spans="3:5" x14ac:dyDescent="0.25">
      <c r="C2838" s="13"/>
      <c r="E2838" s="4"/>
    </row>
    <row r="2839" spans="3:5" x14ac:dyDescent="0.25">
      <c r="C2839" s="13"/>
      <c r="E2839" s="4"/>
    </row>
    <row r="2840" spans="3:5" x14ac:dyDescent="0.25">
      <c r="C2840" s="13"/>
      <c r="E2840" s="4"/>
    </row>
    <row r="2841" spans="3:5" x14ac:dyDescent="0.25">
      <c r="C2841" s="13"/>
      <c r="E2841" s="4"/>
    </row>
    <row r="2842" spans="3:5" x14ac:dyDescent="0.25">
      <c r="C2842" s="13"/>
      <c r="E2842" s="4"/>
    </row>
    <row r="2843" spans="3:5" x14ac:dyDescent="0.25">
      <c r="C2843" s="13"/>
      <c r="E2843" s="4"/>
    </row>
    <row r="2844" spans="3:5" x14ac:dyDescent="0.25">
      <c r="C2844" s="13"/>
      <c r="E2844" s="4"/>
    </row>
    <row r="2845" spans="3:5" x14ac:dyDescent="0.25">
      <c r="C2845" s="13"/>
      <c r="E2845" s="4"/>
    </row>
    <row r="2846" spans="3:5" x14ac:dyDescent="0.25">
      <c r="C2846" s="13"/>
      <c r="E2846" s="4"/>
    </row>
    <row r="2847" spans="3:5" x14ac:dyDescent="0.25">
      <c r="C2847" s="13"/>
      <c r="E2847" s="4"/>
    </row>
    <row r="2848" spans="3:5" x14ac:dyDescent="0.25">
      <c r="C2848" s="13"/>
      <c r="E2848" s="4"/>
    </row>
    <row r="2849" spans="3:5" x14ac:dyDescent="0.25">
      <c r="C2849" s="13"/>
      <c r="E2849" s="4"/>
    </row>
    <row r="2850" spans="3:5" x14ac:dyDescent="0.25">
      <c r="C2850" s="13"/>
      <c r="E2850" s="4"/>
    </row>
    <row r="2851" spans="3:5" x14ac:dyDescent="0.25">
      <c r="C2851" s="13"/>
      <c r="E2851" s="4"/>
    </row>
    <row r="2852" spans="3:5" x14ac:dyDescent="0.25">
      <c r="C2852" s="13"/>
      <c r="E2852" s="4"/>
    </row>
    <row r="2853" spans="3:5" x14ac:dyDescent="0.25">
      <c r="C2853" s="13"/>
      <c r="E2853" s="4"/>
    </row>
    <row r="2854" spans="3:5" x14ac:dyDescent="0.25">
      <c r="C2854" s="13"/>
      <c r="E2854" s="4"/>
    </row>
    <row r="2855" spans="3:5" x14ac:dyDescent="0.25">
      <c r="C2855" s="13"/>
      <c r="E2855" s="4"/>
    </row>
    <row r="2856" spans="3:5" x14ac:dyDescent="0.25">
      <c r="C2856" s="13"/>
      <c r="E2856" s="4"/>
    </row>
    <row r="2857" spans="3:5" x14ac:dyDescent="0.25">
      <c r="C2857" s="13"/>
      <c r="E2857" s="4"/>
    </row>
    <row r="2858" spans="3:5" x14ac:dyDescent="0.25">
      <c r="C2858" s="13"/>
      <c r="E2858" s="4"/>
    </row>
    <row r="2859" spans="3:5" x14ac:dyDescent="0.25">
      <c r="C2859" s="13"/>
      <c r="E2859" s="4"/>
    </row>
    <row r="2860" spans="3:5" x14ac:dyDescent="0.25">
      <c r="C2860" s="13"/>
      <c r="E2860" s="4"/>
    </row>
    <row r="2861" spans="3:5" x14ac:dyDescent="0.25">
      <c r="C2861" s="13"/>
      <c r="E2861" s="4"/>
    </row>
    <row r="2862" spans="3:5" x14ac:dyDescent="0.25">
      <c r="C2862" s="13"/>
      <c r="E2862" s="4"/>
    </row>
    <row r="2863" spans="3:5" x14ac:dyDescent="0.25">
      <c r="C2863" s="13"/>
      <c r="E2863" s="4"/>
    </row>
    <row r="2864" spans="3:5" x14ac:dyDescent="0.25">
      <c r="C2864" s="13"/>
      <c r="E2864" s="4"/>
    </row>
    <row r="2865" spans="3:5" x14ac:dyDescent="0.25">
      <c r="C2865" s="13"/>
      <c r="E2865" s="4"/>
    </row>
    <row r="2866" spans="3:5" x14ac:dyDescent="0.25">
      <c r="C2866" s="13"/>
      <c r="E2866" s="4"/>
    </row>
    <row r="2867" spans="3:5" x14ac:dyDescent="0.25">
      <c r="C2867" s="13"/>
      <c r="E2867" s="4"/>
    </row>
    <row r="2868" spans="3:5" x14ac:dyDescent="0.25">
      <c r="C2868" s="13"/>
      <c r="E2868" s="4"/>
    </row>
    <row r="2869" spans="3:5" x14ac:dyDescent="0.25">
      <c r="C2869" s="13"/>
      <c r="E2869" s="4"/>
    </row>
    <row r="2870" spans="3:5" x14ac:dyDescent="0.25">
      <c r="C2870" s="13"/>
      <c r="E2870" s="4"/>
    </row>
    <row r="2871" spans="3:5" x14ac:dyDescent="0.25">
      <c r="C2871" s="13"/>
      <c r="E2871" s="4"/>
    </row>
    <row r="2872" spans="3:5" x14ac:dyDescent="0.25">
      <c r="C2872" s="13"/>
      <c r="E2872" s="4"/>
    </row>
    <row r="2873" spans="3:5" x14ac:dyDescent="0.25">
      <c r="C2873" s="13"/>
      <c r="E2873" s="4"/>
    </row>
    <row r="2874" spans="3:5" x14ac:dyDescent="0.25">
      <c r="C2874" s="13"/>
      <c r="E2874" s="4"/>
    </row>
    <row r="2875" spans="3:5" x14ac:dyDescent="0.25">
      <c r="C2875" s="13"/>
      <c r="E2875" s="4"/>
    </row>
    <row r="2876" spans="3:5" x14ac:dyDescent="0.25">
      <c r="C2876" s="13"/>
      <c r="E2876" s="4"/>
    </row>
    <row r="2877" spans="3:5" x14ac:dyDescent="0.25">
      <c r="C2877" s="13"/>
      <c r="E2877" s="4"/>
    </row>
    <row r="2878" spans="3:5" x14ac:dyDescent="0.25">
      <c r="C2878" s="13"/>
      <c r="E2878" s="4"/>
    </row>
    <row r="2879" spans="3:5" x14ac:dyDescent="0.25">
      <c r="C2879" s="13"/>
      <c r="E2879" s="4"/>
    </row>
    <row r="2880" spans="3:5" x14ac:dyDescent="0.25">
      <c r="C2880" s="13"/>
      <c r="E2880" s="4"/>
    </row>
    <row r="2881" spans="3:5" x14ac:dyDescent="0.25">
      <c r="C2881" s="13"/>
      <c r="E2881" s="4"/>
    </row>
    <row r="2882" spans="3:5" x14ac:dyDescent="0.25">
      <c r="C2882" s="13"/>
      <c r="E2882" s="4"/>
    </row>
    <row r="2883" spans="3:5" x14ac:dyDescent="0.25">
      <c r="C2883" s="13"/>
      <c r="E2883" s="4"/>
    </row>
    <row r="2884" spans="3:5" x14ac:dyDescent="0.25">
      <c r="C2884" s="13"/>
      <c r="E2884" s="4"/>
    </row>
    <row r="2885" spans="3:5" x14ac:dyDescent="0.25">
      <c r="C2885" s="13"/>
      <c r="E2885" s="4"/>
    </row>
    <row r="2886" spans="3:5" x14ac:dyDescent="0.25">
      <c r="C2886" s="13"/>
      <c r="E2886" s="4"/>
    </row>
    <row r="2887" spans="3:5" x14ac:dyDescent="0.25">
      <c r="C2887" s="13"/>
      <c r="E2887" s="4"/>
    </row>
    <row r="2888" spans="3:5" x14ac:dyDescent="0.25">
      <c r="C2888" s="13"/>
      <c r="E2888" s="4"/>
    </row>
    <row r="2889" spans="3:5" x14ac:dyDescent="0.25">
      <c r="C2889" s="13"/>
      <c r="E2889" s="4"/>
    </row>
    <row r="2890" spans="3:5" x14ac:dyDescent="0.25">
      <c r="C2890" s="13"/>
      <c r="E2890" s="4"/>
    </row>
    <row r="2891" spans="3:5" x14ac:dyDescent="0.25">
      <c r="C2891" s="13"/>
      <c r="E2891" s="4"/>
    </row>
    <row r="2892" spans="3:5" x14ac:dyDescent="0.25">
      <c r="C2892" s="13"/>
      <c r="E2892" s="4"/>
    </row>
    <row r="2893" spans="3:5" x14ac:dyDescent="0.25">
      <c r="C2893" s="13"/>
      <c r="E2893" s="4"/>
    </row>
    <row r="2894" spans="3:5" x14ac:dyDescent="0.25">
      <c r="C2894" s="13"/>
      <c r="E2894" s="4"/>
    </row>
    <row r="2895" spans="3:5" x14ac:dyDescent="0.25">
      <c r="C2895" s="13"/>
      <c r="E2895" s="4"/>
    </row>
    <row r="2896" spans="3:5" x14ac:dyDescent="0.25">
      <c r="C2896" s="13"/>
      <c r="E2896" s="4"/>
    </row>
    <row r="2897" spans="3:5" x14ac:dyDescent="0.25">
      <c r="C2897" s="13"/>
      <c r="E2897" s="4"/>
    </row>
    <row r="2898" spans="3:5" x14ac:dyDescent="0.25">
      <c r="C2898" s="13"/>
      <c r="E2898" s="4"/>
    </row>
    <row r="2899" spans="3:5" x14ac:dyDescent="0.25">
      <c r="C2899" s="13"/>
      <c r="E2899" s="4"/>
    </row>
    <row r="2900" spans="3:5" x14ac:dyDescent="0.25">
      <c r="C2900" s="13"/>
      <c r="E2900" s="4"/>
    </row>
    <row r="2901" spans="3:5" x14ac:dyDescent="0.25">
      <c r="C2901" s="13"/>
      <c r="E2901" s="4"/>
    </row>
    <row r="2902" spans="3:5" x14ac:dyDescent="0.25">
      <c r="C2902" s="13"/>
      <c r="E2902" s="4"/>
    </row>
    <row r="2903" spans="3:5" x14ac:dyDescent="0.25">
      <c r="C2903" s="13"/>
      <c r="E2903" s="4"/>
    </row>
    <row r="2904" spans="3:5" x14ac:dyDescent="0.25">
      <c r="C2904" s="13"/>
      <c r="E2904" s="4"/>
    </row>
    <row r="2905" spans="3:5" x14ac:dyDescent="0.25">
      <c r="C2905" s="13"/>
      <c r="E2905" s="4"/>
    </row>
    <row r="2906" spans="3:5" x14ac:dyDescent="0.25">
      <c r="C2906" s="13"/>
      <c r="E2906" s="4"/>
    </row>
    <row r="2907" spans="3:5" x14ac:dyDescent="0.25">
      <c r="C2907" s="13"/>
      <c r="E2907" s="4"/>
    </row>
    <row r="2908" spans="3:5" x14ac:dyDescent="0.25">
      <c r="C2908" s="13"/>
      <c r="E2908" s="4"/>
    </row>
    <row r="2909" spans="3:5" x14ac:dyDescent="0.25">
      <c r="C2909" s="13"/>
      <c r="E2909" s="4"/>
    </row>
    <row r="2910" spans="3:5" x14ac:dyDescent="0.25">
      <c r="C2910" s="13"/>
      <c r="E2910" s="4"/>
    </row>
    <row r="2911" spans="3:5" x14ac:dyDescent="0.25">
      <c r="C2911" s="13"/>
      <c r="E2911" s="4"/>
    </row>
    <row r="2912" spans="3:5" x14ac:dyDescent="0.25">
      <c r="C2912" s="13"/>
      <c r="E2912" s="4"/>
    </row>
    <row r="2913" spans="3:5" x14ac:dyDescent="0.25">
      <c r="C2913" s="13"/>
      <c r="E2913" s="4"/>
    </row>
    <row r="2914" spans="3:5" x14ac:dyDescent="0.25">
      <c r="C2914" s="13"/>
      <c r="E2914" s="4"/>
    </row>
    <row r="2915" spans="3:5" x14ac:dyDescent="0.25">
      <c r="C2915" s="13"/>
      <c r="E2915" s="4"/>
    </row>
    <row r="2916" spans="3:5" x14ac:dyDescent="0.25">
      <c r="C2916" s="13"/>
      <c r="E2916" s="4"/>
    </row>
    <row r="2917" spans="3:5" x14ac:dyDescent="0.25">
      <c r="C2917" s="13"/>
      <c r="E2917" s="4"/>
    </row>
    <row r="2918" spans="3:5" x14ac:dyDescent="0.25">
      <c r="C2918" s="13"/>
      <c r="E2918" s="4"/>
    </row>
    <row r="2919" spans="3:5" x14ac:dyDescent="0.25">
      <c r="C2919" s="13"/>
      <c r="E2919" s="4"/>
    </row>
    <row r="2920" spans="3:5" x14ac:dyDescent="0.25">
      <c r="C2920" s="13"/>
      <c r="E2920" s="4"/>
    </row>
    <row r="2921" spans="3:5" x14ac:dyDescent="0.25">
      <c r="C2921" s="13"/>
      <c r="E2921" s="4"/>
    </row>
    <row r="2922" spans="3:5" x14ac:dyDescent="0.25">
      <c r="C2922" s="13"/>
      <c r="E2922" s="4"/>
    </row>
    <row r="2923" spans="3:5" x14ac:dyDescent="0.25">
      <c r="C2923" s="13"/>
      <c r="E2923" s="4"/>
    </row>
    <row r="2924" spans="3:5" x14ac:dyDescent="0.25">
      <c r="C2924" s="13"/>
      <c r="E2924" s="4"/>
    </row>
    <row r="2925" spans="3:5" x14ac:dyDescent="0.25">
      <c r="C2925" s="13"/>
      <c r="E2925" s="4"/>
    </row>
    <row r="2926" spans="3:5" x14ac:dyDescent="0.25">
      <c r="C2926" s="13"/>
      <c r="E2926" s="4"/>
    </row>
    <row r="2927" spans="3:5" x14ac:dyDescent="0.25">
      <c r="C2927" s="13"/>
      <c r="E2927" s="4"/>
    </row>
    <row r="2928" spans="3:5" x14ac:dyDescent="0.25">
      <c r="C2928" s="13"/>
      <c r="E2928" s="4"/>
    </row>
    <row r="2929" spans="3:5" x14ac:dyDescent="0.25">
      <c r="C2929" s="13"/>
      <c r="E2929" s="4"/>
    </row>
    <row r="2930" spans="3:5" x14ac:dyDescent="0.25">
      <c r="C2930" s="13"/>
      <c r="E2930" s="4"/>
    </row>
    <row r="2931" spans="3:5" x14ac:dyDescent="0.25">
      <c r="C2931" s="13"/>
      <c r="E2931" s="4"/>
    </row>
    <row r="2932" spans="3:5" x14ac:dyDescent="0.25">
      <c r="C2932" s="13"/>
      <c r="E2932" s="4"/>
    </row>
    <row r="2933" spans="3:5" x14ac:dyDescent="0.25">
      <c r="C2933" s="13"/>
      <c r="E2933" s="4"/>
    </row>
    <row r="2934" spans="3:5" x14ac:dyDescent="0.25">
      <c r="C2934" s="13"/>
      <c r="E2934" s="4"/>
    </row>
    <row r="2935" spans="3:5" x14ac:dyDescent="0.25">
      <c r="C2935" s="13"/>
      <c r="E2935" s="4"/>
    </row>
    <row r="2936" spans="3:5" x14ac:dyDescent="0.25">
      <c r="C2936" s="13"/>
      <c r="E2936" s="4"/>
    </row>
    <row r="2937" spans="3:5" x14ac:dyDescent="0.25">
      <c r="C2937" s="13"/>
      <c r="E2937" s="4"/>
    </row>
    <row r="2938" spans="3:5" x14ac:dyDescent="0.25">
      <c r="C2938" s="13"/>
      <c r="E2938" s="4"/>
    </row>
    <row r="2939" spans="3:5" x14ac:dyDescent="0.25">
      <c r="C2939" s="13"/>
      <c r="E2939" s="4"/>
    </row>
    <row r="2940" spans="3:5" x14ac:dyDescent="0.25">
      <c r="C2940" s="13"/>
      <c r="E2940" s="4"/>
    </row>
    <row r="2941" spans="3:5" x14ac:dyDescent="0.25">
      <c r="C2941" s="13"/>
      <c r="E2941" s="4"/>
    </row>
    <row r="2942" spans="3:5" x14ac:dyDescent="0.25">
      <c r="C2942" s="13"/>
      <c r="E2942" s="4"/>
    </row>
    <row r="2943" spans="3:5" x14ac:dyDescent="0.25">
      <c r="C2943" s="13"/>
      <c r="E2943" s="4"/>
    </row>
    <row r="2944" spans="3:5" x14ac:dyDescent="0.25">
      <c r="C2944" s="13"/>
      <c r="E2944" s="4"/>
    </row>
    <row r="2945" spans="3:5" x14ac:dyDescent="0.25">
      <c r="C2945" s="13"/>
      <c r="E2945" s="4"/>
    </row>
    <row r="2946" spans="3:5" x14ac:dyDescent="0.25">
      <c r="C2946" s="13"/>
      <c r="E2946" s="4"/>
    </row>
    <row r="2947" spans="3:5" x14ac:dyDescent="0.25">
      <c r="C2947" s="13"/>
      <c r="E2947" s="4"/>
    </row>
    <row r="2948" spans="3:5" x14ac:dyDescent="0.25">
      <c r="C2948" s="13"/>
      <c r="E2948" s="4"/>
    </row>
    <row r="2949" spans="3:5" x14ac:dyDescent="0.25">
      <c r="C2949" s="13"/>
      <c r="E2949" s="4"/>
    </row>
    <row r="2950" spans="3:5" x14ac:dyDescent="0.25">
      <c r="C2950" s="13"/>
      <c r="E2950" s="4"/>
    </row>
    <row r="2951" spans="3:5" x14ac:dyDescent="0.25">
      <c r="C2951" s="13"/>
      <c r="E2951" s="4"/>
    </row>
    <row r="2952" spans="3:5" x14ac:dyDescent="0.25">
      <c r="C2952" s="13"/>
      <c r="E2952" s="4"/>
    </row>
    <row r="2953" spans="3:5" x14ac:dyDescent="0.25">
      <c r="C2953" s="13"/>
      <c r="E2953" s="4"/>
    </row>
    <row r="2954" spans="3:5" x14ac:dyDescent="0.25">
      <c r="C2954" s="13"/>
      <c r="E2954" s="4"/>
    </row>
    <row r="2955" spans="3:5" x14ac:dyDescent="0.25">
      <c r="C2955" s="13"/>
      <c r="E2955" s="4"/>
    </row>
    <row r="2956" spans="3:5" x14ac:dyDescent="0.25">
      <c r="C2956" s="13"/>
      <c r="E2956" s="4"/>
    </row>
    <row r="2957" spans="3:5" x14ac:dyDescent="0.25">
      <c r="C2957" s="13"/>
      <c r="E2957" s="4"/>
    </row>
    <row r="2958" spans="3:5" x14ac:dyDescent="0.25">
      <c r="C2958" s="13"/>
      <c r="E2958" s="4"/>
    </row>
    <row r="2959" spans="3:5" x14ac:dyDescent="0.25">
      <c r="C2959" s="13"/>
      <c r="E2959" s="4"/>
    </row>
    <row r="2960" spans="3:5" x14ac:dyDescent="0.25">
      <c r="C2960" s="13"/>
      <c r="E2960" s="4"/>
    </row>
    <row r="2961" spans="3:5" x14ac:dyDescent="0.25">
      <c r="C2961" s="13"/>
      <c r="E2961" s="4"/>
    </row>
    <row r="2962" spans="3:5" x14ac:dyDescent="0.25">
      <c r="C2962" s="13"/>
      <c r="E2962" s="4"/>
    </row>
    <row r="2963" spans="3:5" x14ac:dyDescent="0.25">
      <c r="C2963" s="13"/>
      <c r="E2963" s="4"/>
    </row>
    <row r="2964" spans="3:5" x14ac:dyDescent="0.25">
      <c r="C2964" s="13"/>
      <c r="E2964" s="4"/>
    </row>
    <row r="2965" spans="3:5" x14ac:dyDescent="0.25">
      <c r="C2965" s="13"/>
      <c r="E2965" s="4"/>
    </row>
    <row r="2966" spans="3:5" x14ac:dyDescent="0.25">
      <c r="C2966" s="13"/>
      <c r="E2966" s="4"/>
    </row>
    <row r="2967" spans="3:5" x14ac:dyDescent="0.25">
      <c r="C2967" s="13"/>
      <c r="E2967" s="4"/>
    </row>
    <row r="2968" spans="3:5" x14ac:dyDescent="0.25">
      <c r="C2968" s="13"/>
      <c r="E2968" s="4"/>
    </row>
    <row r="2969" spans="3:5" x14ac:dyDescent="0.25">
      <c r="C2969" s="13"/>
      <c r="E2969" s="4"/>
    </row>
    <row r="2970" spans="3:5" x14ac:dyDescent="0.25">
      <c r="C2970" s="13"/>
      <c r="E2970" s="4"/>
    </row>
    <row r="2971" spans="3:5" x14ac:dyDescent="0.25">
      <c r="C2971" s="13"/>
      <c r="E2971" s="4"/>
    </row>
    <row r="2972" spans="3:5" x14ac:dyDescent="0.25">
      <c r="C2972" s="13"/>
      <c r="E2972" s="4"/>
    </row>
    <row r="2973" spans="3:5" x14ac:dyDescent="0.25">
      <c r="C2973" s="13"/>
      <c r="E2973" s="4"/>
    </row>
    <row r="2974" spans="3:5" x14ac:dyDescent="0.25">
      <c r="C2974" s="13"/>
      <c r="E2974" s="4"/>
    </row>
    <row r="2975" spans="3:5" x14ac:dyDescent="0.25">
      <c r="C2975" s="13"/>
      <c r="E2975" s="4"/>
    </row>
    <row r="2976" spans="3:5" x14ac:dyDescent="0.25">
      <c r="C2976" s="13"/>
      <c r="E2976" s="4"/>
    </row>
    <row r="2977" spans="3:5" x14ac:dyDescent="0.25">
      <c r="C2977" s="13"/>
      <c r="E2977" s="4"/>
    </row>
    <row r="2978" spans="3:5" x14ac:dyDescent="0.25">
      <c r="C2978" s="13"/>
      <c r="E2978" s="4"/>
    </row>
    <row r="2979" spans="3:5" x14ac:dyDescent="0.25">
      <c r="C2979" s="13"/>
      <c r="E2979" s="4"/>
    </row>
    <row r="2980" spans="3:5" x14ac:dyDescent="0.25">
      <c r="C2980" s="13"/>
      <c r="E2980" s="4"/>
    </row>
    <row r="2981" spans="3:5" x14ac:dyDescent="0.25">
      <c r="C2981" s="13"/>
      <c r="E2981" s="4"/>
    </row>
    <row r="2982" spans="3:5" x14ac:dyDescent="0.25">
      <c r="C2982" s="13"/>
      <c r="E2982" s="4"/>
    </row>
    <row r="2983" spans="3:5" x14ac:dyDescent="0.25">
      <c r="C2983" s="13"/>
      <c r="E2983" s="4"/>
    </row>
    <row r="2984" spans="3:5" x14ac:dyDescent="0.25">
      <c r="C2984" s="13"/>
      <c r="E2984" s="4"/>
    </row>
    <row r="2985" spans="3:5" x14ac:dyDescent="0.25">
      <c r="C2985" s="13"/>
      <c r="E2985" s="4"/>
    </row>
    <row r="2986" spans="3:5" x14ac:dyDescent="0.25">
      <c r="C2986" s="13"/>
      <c r="E2986" s="4"/>
    </row>
    <row r="2987" spans="3:5" x14ac:dyDescent="0.25">
      <c r="C2987" s="13"/>
      <c r="E2987" s="4"/>
    </row>
    <row r="2988" spans="3:5" x14ac:dyDescent="0.25">
      <c r="C2988" s="13"/>
      <c r="E2988" s="4"/>
    </row>
    <row r="2989" spans="3:5" x14ac:dyDescent="0.25">
      <c r="C2989" s="13"/>
      <c r="E2989" s="4"/>
    </row>
    <row r="2990" spans="3:5" x14ac:dyDescent="0.25">
      <c r="C2990" s="13"/>
      <c r="E2990" s="4"/>
    </row>
    <row r="2991" spans="3:5" x14ac:dyDescent="0.25">
      <c r="C2991" s="13"/>
      <c r="E2991" s="4"/>
    </row>
    <row r="2992" spans="3:5" x14ac:dyDescent="0.25">
      <c r="C2992" s="13"/>
      <c r="E2992" s="4"/>
    </row>
    <row r="2993" spans="3:5" x14ac:dyDescent="0.25">
      <c r="C2993" s="13"/>
      <c r="E2993" s="4"/>
    </row>
    <row r="2994" spans="3:5" x14ac:dyDescent="0.25">
      <c r="C2994" s="13"/>
      <c r="E2994" s="4"/>
    </row>
    <row r="2995" spans="3:5" x14ac:dyDescent="0.25">
      <c r="C2995" s="13"/>
      <c r="E2995" s="4"/>
    </row>
    <row r="2996" spans="3:5" x14ac:dyDescent="0.25">
      <c r="C2996" s="13"/>
      <c r="E2996" s="4"/>
    </row>
    <row r="2997" spans="3:5" x14ac:dyDescent="0.25">
      <c r="C2997" s="13"/>
      <c r="E2997" s="4"/>
    </row>
    <row r="2998" spans="3:5" x14ac:dyDescent="0.25">
      <c r="C2998" s="13"/>
      <c r="E2998" s="4"/>
    </row>
    <row r="2999" spans="3:5" x14ac:dyDescent="0.25">
      <c r="C2999" s="13"/>
      <c r="E2999" s="4"/>
    </row>
    <row r="3000" spans="3:5" x14ac:dyDescent="0.25">
      <c r="C3000" s="13"/>
      <c r="E3000" s="4"/>
    </row>
    <row r="3001" spans="3:5" x14ac:dyDescent="0.25">
      <c r="C3001" s="13"/>
      <c r="E3001" s="4"/>
    </row>
    <row r="3002" spans="3:5" x14ac:dyDescent="0.25">
      <c r="C3002" s="13"/>
      <c r="E3002" s="4"/>
    </row>
    <row r="3003" spans="3:5" x14ac:dyDescent="0.25">
      <c r="C3003" s="13"/>
      <c r="E3003" s="4"/>
    </row>
    <row r="3004" spans="3:5" x14ac:dyDescent="0.25">
      <c r="C3004" s="13"/>
      <c r="E3004" s="4"/>
    </row>
    <row r="3005" spans="3:5" x14ac:dyDescent="0.25">
      <c r="C3005" s="13"/>
      <c r="E3005" s="4"/>
    </row>
    <row r="3006" spans="3:5" x14ac:dyDescent="0.25">
      <c r="C3006" s="13"/>
      <c r="E3006" s="4"/>
    </row>
    <row r="3007" spans="3:5" x14ac:dyDescent="0.25">
      <c r="C3007" s="13"/>
      <c r="E3007" s="4"/>
    </row>
    <row r="3008" spans="3:5" x14ac:dyDescent="0.25">
      <c r="C3008" s="13"/>
      <c r="E3008" s="4"/>
    </row>
    <row r="3009" spans="3:5" x14ac:dyDescent="0.25">
      <c r="C3009" s="13"/>
      <c r="E3009" s="4"/>
    </row>
    <row r="3010" spans="3:5" x14ac:dyDescent="0.25">
      <c r="C3010" s="13"/>
      <c r="E3010" s="4"/>
    </row>
    <row r="3011" spans="3:5" x14ac:dyDescent="0.25">
      <c r="C3011" s="13"/>
      <c r="E3011" s="4"/>
    </row>
    <row r="3012" spans="3:5" x14ac:dyDescent="0.25">
      <c r="C3012" s="13"/>
      <c r="E3012" s="4"/>
    </row>
    <row r="3013" spans="3:5" x14ac:dyDescent="0.25">
      <c r="C3013" s="13"/>
      <c r="E3013" s="4"/>
    </row>
    <row r="3014" spans="3:5" x14ac:dyDescent="0.25">
      <c r="C3014" s="13"/>
      <c r="E3014" s="4"/>
    </row>
    <row r="3015" spans="3:5" x14ac:dyDescent="0.25">
      <c r="C3015" s="13"/>
      <c r="E3015" s="4"/>
    </row>
    <row r="3016" spans="3:5" x14ac:dyDescent="0.25">
      <c r="C3016" s="13"/>
      <c r="E3016" s="4"/>
    </row>
    <row r="3017" spans="3:5" x14ac:dyDescent="0.25">
      <c r="C3017" s="13"/>
      <c r="E3017" s="4"/>
    </row>
    <row r="3018" spans="3:5" x14ac:dyDescent="0.25">
      <c r="C3018" s="13"/>
      <c r="E3018" s="4"/>
    </row>
    <row r="3019" spans="3:5" x14ac:dyDescent="0.25">
      <c r="C3019" s="13"/>
      <c r="E3019" s="4"/>
    </row>
    <row r="3020" spans="3:5" x14ac:dyDescent="0.25">
      <c r="C3020" s="13"/>
      <c r="E3020" s="4"/>
    </row>
    <row r="3021" spans="3:5" x14ac:dyDescent="0.25">
      <c r="C3021" s="13"/>
      <c r="E3021" s="4"/>
    </row>
    <row r="3022" spans="3:5" x14ac:dyDescent="0.25">
      <c r="C3022" s="13"/>
      <c r="E3022" s="4"/>
    </row>
    <row r="3023" spans="3:5" x14ac:dyDescent="0.25">
      <c r="C3023" s="13"/>
      <c r="E3023" s="4"/>
    </row>
    <row r="3024" spans="3:5" x14ac:dyDescent="0.25">
      <c r="C3024" s="13"/>
      <c r="E3024" s="4"/>
    </row>
    <row r="3025" spans="3:5" x14ac:dyDescent="0.25">
      <c r="C3025" s="13"/>
      <c r="E3025" s="4"/>
    </row>
    <row r="3026" spans="3:5" x14ac:dyDescent="0.25">
      <c r="C3026" s="13"/>
      <c r="E3026" s="4"/>
    </row>
    <row r="3027" spans="3:5" x14ac:dyDescent="0.25">
      <c r="C3027" s="13"/>
      <c r="E3027" s="4"/>
    </row>
    <row r="3028" spans="3:5" x14ac:dyDescent="0.25">
      <c r="C3028" s="13"/>
      <c r="E3028" s="4"/>
    </row>
    <row r="3029" spans="3:5" x14ac:dyDescent="0.25">
      <c r="C3029" s="13"/>
      <c r="E3029" s="4"/>
    </row>
    <row r="3030" spans="3:5" x14ac:dyDescent="0.25">
      <c r="C3030" s="13"/>
      <c r="E3030" s="4"/>
    </row>
    <row r="3031" spans="3:5" x14ac:dyDescent="0.25">
      <c r="C3031" s="13"/>
      <c r="E3031" s="4"/>
    </row>
    <row r="3032" spans="3:5" x14ac:dyDescent="0.25">
      <c r="C3032" s="13"/>
      <c r="E3032" s="4"/>
    </row>
    <row r="3033" spans="3:5" x14ac:dyDescent="0.25">
      <c r="C3033" s="13"/>
      <c r="E3033" s="4"/>
    </row>
    <row r="3034" spans="3:5" x14ac:dyDescent="0.25">
      <c r="C3034" s="13"/>
      <c r="E3034" s="4"/>
    </row>
    <row r="3035" spans="3:5" x14ac:dyDescent="0.25">
      <c r="C3035" s="13"/>
      <c r="E3035" s="4"/>
    </row>
    <row r="3036" spans="3:5" x14ac:dyDescent="0.25">
      <c r="C3036" s="13"/>
      <c r="E3036" s="4"/>
    </row>
    <row r="3037" spans="3:5" x14ac:dyDescent="0.25">
      <c r="C3037" s="13"/>
      <c r="E3037" s="4"/>
    </row>
    <row r="3038" spans="3:5" x14ac:dyDescent="0.25">
      <c r="C3038" s="13"/>
      <c r="E3038" s="4"/>
    </row>
    <row r="3039" spans="3:5" x14ac:dyDescent="0.25">
      <c r="C3039" s="13"/>
      <c r="E3039" s="4"/>
    </row>
    <row r="3040" spans="3:5" x14ac:dyDescent="0.25">
      <c r="C3040" s="13"/>
      <c r="E3040" s="4"/>
    </row>
    <row r="3041" spans="3:5" x14ac:dyDescent="0.25">
      <c r="C3041" s="13"/>
      <c r="E3041" s="4"/>
    </row>
    <row r="3042" spans="3:5" x14ac:dyDescent="0.25">
      <c r="C3042" s="13"/>
      <c r="E3042" s="4"/>
    </row>
    <row r="3043" spans="3:5" x14ac:dyDescent="0.25">
      <c r="C3043" s="13"/>
      <c r="E3043" s="4"/>
    </row>
    <row r="3044" spans="3:5" x14ac:dyDescent="0.25">
      <c r="C3044" s="13"/>
      <c r="E3044" s="4"/>
    </row>
    <row r="3045" spans="3:5" x14ac:dyDescent="0.25">
      <c r="C3045" s="13"/>
      <c r="E3045" s="4"/>
    </row>
    <row r="3046" spans="3:5" x14ac:dyDescent="0.25">
      <c r="C3046" s="13"/>
      <c r="E3046" s="4"/>
    </row>
    <row r="3047" spans="3:5" x14ac:dyDescent="0.25">
      <c r="C3047" s="13"/>
      <c r="E3047" s="4"/>
    </row>
    <row r="3048" spans="3:5" x14ac:dyDescent="0.25">
      <c r="C3048" s="13"/>
      <c r="E3048" s="4"/>
    </row>
    <row r="3049" spans="3:5" x14ac:dyDescent="0.25">
      <c r="C3049" s="13"/>
      <c r="E3049" s="4"/>
    </row>
    <row r="3050" spans="3:5" x14ac:dyDescent="0.25">
      <c r="C3050" s="13"/>
      <c r="E3050" s="4"/>
    </row>
    <row r="3051" spans="3:5" x14ac:dyDescent="0.25">
      <c r="C3051" s="13"/>
      <c r="E3051" s="4"/>
    </row>
    <row r="3052" spans="3:5" x14ac:dyDescent="0.25">
      <c r="C3052" s="13"/>
      <c r="E3052" s="4"/>
    </row>
    <row r="3053" spans="3:5" x14ac:dyDescent="0.25">
      <c r="C3053" s="13"/>
      <c r="E3053" s="4"/>
    </row>
    <row r="3054" spans="3:5" x14ac:dyDescent="0.25">
      <c r="C3054" s="13"/>
      <c r="E3054" s="4"/>
    </row>
    <row r="3055" spans="3:5" x14ac:dyDescent="0.25">
      <c r="C3055" s="13"/>
      <c r="E3055" s="4"/>
    </row>
    <row r="3056" spans="3:5" x14ac:dyDescent="0.25">
      <c r="C3056" s="13"/>
      <c r="E3056" s="4"/>
    </row>
    <row r="3057" spans="3:5" x14ac:dyDescent="0.25">
      <c r="C3057" s="13"/>
      <c r="E3057" s="4"/>
    </row>
    <row r="3058" spans="3:5" x14ac:dyDescent="0.25">
      <c r="C3058" s="13"/>
      <c r="E3058" s="4"/>
    </row>
    <row r="3059" spans="3:5" x14ac:dyDescent="0.25">
      <c r="C3059" s="13"/>
      <c r="E3059" s="4"/>
    </row>
    <row r="3060" spans="3:5" x14ac:dyDescent="0.25">
      <c r="C3060" s="13"/>
      <c r="E3060" s="4"/>
    </row>
    <row r="3061" spans="3:5" x14ac:dyDescent="0.25">
      <c r="C3061" s="13"/>
      <c r="E3061" s="4"/>
    </row>
    <row r="3062" spans="3:5" x14ac:dyDescent="0.25">
      <c r="C3062" s="13"/>
      <c r="E3062" s="4"/>
    </row>
    <row r="3063" spans="3:5" x14ac:dyDescent="0.25">
      <c r="C3063" s="13"/>
      <c r="E3063" s="4"/>
    </row>
    <row r="3064" spans="3:5" x14ac:dyDescent="0.25">
      <c r="C3064" s="13"/>
      <c r="E3064" s="4"/>
    </row>
    <row r="3065" spans="3:5" x14ac:dyDescent="0.25">
      <c r="C3065" s="13"/>
      <c r="E3065" s="4"/>
    </row>
    <row r="3066" spans="3:5" x14ac:dyDescent="0.25">
      <c r="C3066" s="13"/>
      <c r="E3066" s="4"/>
    </row>
    <row r="3067" spans="3:5" x14ac:dyDescent="0.25">
      <c r="C3067" s="13"/>
      <c r="E3067" s="4"/>
    </row>
    <row r="3068" spans="3:5" x14ac:dyDescent="0.25">
      <c r="C3068" s="13"/>
      <c r="E3068" s="4"/>
    </row>
    <row r="3069" spans="3:5" x14ac:dyDescent="0.25">
      <c r="C3069" s="13"/>
      <c r="E3069" s="4"/>
    </row>
    <row r="3070" spans="3:5" x14ac:dyDescent="0.25">
      <c r="C3070" s="13"/>
      <c r="E3070" s="4"/>
    </row>
    <row r="3071" spans="3:5" x14ac:dyDescent="0.25">
      <c r="C3071" s="13"/>
      <c r="E3071" s="4"/>
    </row>
    <row r="3072" spans="3:5" x14ac:dyDescent="0.25">
      <c r="C3072" s="13"/>
      <c r="E3072" s="4"/>
    </row>
    <row r="3073" spans="3:5" x14ac:dyDescent="0.25">
      <c r="C3073" s="13"/>
      <c r="E3073" s="4"/>
    </row>
    <row r="3074" spans="3:5" x14ac:dyDescent="0.25">
      <c r="C3074" s="13"/>
      <c r="E3074" s="4"/>
    </row>
    <row r="3075" spans="3:5" x14ac:dyDescent="0.25">
      <c r="C3075" s="13"/>
      <c r="E3075" s="4"/>
    </row>
    <row r="3076" spans="3:5" x14ac:dyDescent="0.25">
      <c r="C3076" s="13"/>
      <c r="E3076" s="4"/>
    </row>
    <row r="3077" spans="3:5" x14ac:dyDescent="0.25">
      <c r="C3077" s="13"/>
      <c r="E3077" s="4"/>
    </row>
    <row r="3078" spans="3:5" x14ac:dyDescent="0.25">
      <c r="C3078" s="13"/>
      <c r="E3078" s="4"/>
    </row>
    <row r="3079" spans="3:5" x14ac:dyDescent="0.25">
      <c r="C3079" s="13"/>
      <c r="E3079" s="4"/>
    </row>
    <row r="3080" spans="3:5" x14ac:dyDescent="0.25">
      <c r="C3080" s="13"/>
      <c r="E3080" s="4"/>
    </row>
    <row r="3081" spans="3:5" x14ac:dyDescent="0.25">
      <c r="C3081" s="13"/>
      <c r="E3081" s="4"/>
    </row>
    <row r="3082" spans="3:5" x14ac:dyDescent="0.25">
      <c r="C3082" s="13"/>
      <c r="E3082" s="4"/>
    </row>
    <row r="3083" spans="3:5" x14ac:dyDescent="0.25">
      <c r="C3083" s="13"/>
      <c r="E3083" s="4"/>
    </row>
    <row r="3084" spans="3:5" x14ac:dyDescent="0.25">
      <c r="C3084" s="13"/>
      <c r="E3084" s="4"/>
    </row>
    <row r="3085" spans="3:5" x14ac:dyDescent="0.25">
      <c r="C3085" s="13"/>
      <c r="E3085" s="4"/>
    </row>
    <row r="3086" spans="3:5" x14ac:dyDescent="0.25">
      <c r="C3086" s="13"/>
      <c r="E3086" s="4"/>
    </row>
    <row r="3087" spans="3:5" x14ac:dyDescent="0.25">
      <c r="C3087" s="13"/>
      <c r="E3087" s="4"/>
    </row>
    <row r="3088" spans="3:5" x14ac:dyDescent="0.25">
      <c r="C3088" s="13"/>
      <c r="E3088" s="4"/>
    </row>
    <row r="3089" spans="3:5" x14ac:dyDescent="0.25">
      <c r="C3089" s="13"/>
      <c r="E3089" s="4"/>
    </row>
    <row r="3090" spans="3:5" x14ac:dyDescent="0.25">
      <c r="C3090" s="13"/>
      <c r="E3090" s="4"/>
    </row>
    <row r="3091" spans="3:5" x14ac:dyDescent="0.25">
      <c r="C3091" s="13"/>
      <c r="E3091" s="4"/>
    </row>
    <row r="3092" spans="3:5" x14ac:dyDescent="0.25">
      <c r="C3092" s="13"/>
      <c r="E3092" s="4"/>
    </row>
    <row r="3093" spans="3:5" x14ac:dyDescent="0.25">
      <c r="C3093" s="13"/>
      <c r="E3093" s="4"/>
    </row>
    <row r="3094" spans="3:5" x14ac:dyDescent="0.25">
      <c r="C3094" s="13"/>
      <c r="E3094" s="4"/>
    </row>
    <row r="3095" spans="3:5" x14ac:dyDescent="0.25">
      <c r="C3095" s="13"/>
      <c r="E3095" s="4"/>
    </row>
    <row r="3096" spans="3:5" x14ac:dyDescent="0.25">
      <c r="C3096" s="13"/>
      <c r="E3096" s="4"/>
    </row>
    <row r="3097" spans="3:5" x14ac:dyDescent="0.25">
      <c r="C3097" s="13"/>
      <c r="E3097" s="4"/>
    </row>
    <row r="3098" spans="3:5" x14ac:dyDescent="0.25">
      <c r="C3098" s="13"/>
      <c r="E3098" s="4"/>
    </row>
    <row r="3099" spans="3:5" x14ac:dyDescent="0.25">
      <c r="C3099" s="13"/>
      <c r="E3099" s="4"/>
    </row>
    <row r="3100" spans="3:5" x14ac:dyDescent="0.25">
      <c r="C3100" s="13"/>
      <c r="E3100" s="4"/>
    </row>
    <row r="3101" spans="3:5" x14ac:dyDescent="0.25">
      <c r="C3101" s="13"/>
      <c r="E3101" s="4"/>
    </row>
    <row r="3102" spans="3:5" x14ac:dyDescent="0.25">
      <c r="C3102" s="13"/>
      <c r="E3102" s="4"/>
    </row>
    <row r="3103" spans="3:5" x14ac:dyDescent="0.25">
      <c r="C3103" s="13"/>
      <c r="E3103" s="4"/>
    </row>
    <row r="3104" spans="3:5" x14ac:dyDescent="0.25">
      <c r="C3104" s="13"/>
      <c r="E3104" s="4"/>
    </row>
    <row r="3105" spans="3:5" x14ac:dyDescent="0.25">
      <c r="C3105" s="13"/>
      <c r="E3105" s="4"/>
    </row>
    <row r="3106" spans="3:5" x14ac:dyDescent="0.25">
      <c r="C3106" s="13"/>
      <c r="E3106" s="4"/>
    </row>
    <row r="3107" spans="3:5" x14ac:dyDescent="0.25">
      <c r="C3107" s="13"/>
      <c r="E3107" s="4"/>
    </row>
    <row r="3108" spans="3:5" x14ac:dyDescent="0.25">
      <c r="C3108" s="13"/>
      <c r="E3108" s="4"/>
    </row>
    <row r="3109" spans="3:5" x14ac:dyDescent="0.25">
      <c r="C3109" s="13"/>
      <c r="E3109" s="4"/>
    </row>
    <row r="3110" spans="3:5" x14ac:dyDescent="0.25">
      <c r="C3110" s="13"/>
      <c r="E3110" s="4"/>
    </row>
    <row r="3111" spans="3:5" x14ac:dyDescent="0.25">
      <c r="C3111" s="13"/>
      <c r="E3111" s="4"/>
    </row>
    <row r="3112" spans="3:5" x14ac:dyDescent="0.25">
      <c r="C3112" s="13"/>
      <c r="E3112" s="4"/>
    </row>
    <row r="3113" spans="3:5" x14ac:dyDescent="0.25">
      <c r="C3113" s="13"/>
      <c r="E3113" s="4"/>
    </row>
    <row r="3114" spans="3:5" x14ac:dyDescent="0.25">
      <c r="C3114" s="13"/>
      <c r="E3114" s="4"/>
    </row>
    <row r="3115" spans="3:5" x14ac:dyDescent="0.25">
      <c r="C3115" s="13"/>
      <c r="E3115" s="4"/>
    </row>
    <row r="3116" spans="3:5" x14ac:dyDescent="0.25">
      <c r="C3116" s="13"/>
      <c r="E3116" s="4"/>
    </row>
    <row r="3117" spans="3:5" x14ac:dyDescent="0.25">
      <c r="C3117" s="13"/>
      <c r="E3117" s="4"/>
    </row>
    <row r="3118" spans="3:5" x14ac:dyDescent="0.25">
      <c r="C3118" s="13"/>
      <c r="E3118" s="4"/>
    </row>
    <row r="3119" spans="3:5" x14ac:dyDescent="0.25">
      <c r="C3119" s="13"/>
      <c r="E3119" s="4"/>
    </row>
    <row r="3120" spans="3:5" x14ac:dyDescent="0.25">
      <c r="C3120" s="13"/>
      <c r="E3120" s="4"/>
    </row>
    <row r="3121" spans="3:5" x14ac:dyDescent="0.25">
      <c r="C3121" s="13"/>
      <c r="E3121" s="4"/>
    </row>
    <row r="3122" spans="3:5" x14ac:dyDescent="0.25">
      <c r="C3122" s="13"/>
      <c r="E3122" s="4"/>
    </row>
    <row r="3123" spans="3:5" x14ac:dyDescent="0.25">
      <c r="C3123" s="13"/>
      <c r="E3123" s="4"/>
    </row>
    <row r="3124" spans="3:5" x14ac:dyDescent="0.25">
      <c r="C3124" s="13"/>
      <c r="E3124" s="4"/>
    </row>
    <row r="3125" spans="3:5" x14ac:dyDescent="0.25">
      <c r="C3125" s="13"/>
      <c r="E3125" s="4"/>
    </row>
    <row r="3126" spans="3:5" x14ac:dyDescent="0.25">
      <c r="C3126" s="13"/>
      <c r="E3126" s="4"/>
    </row>
    <row r="3127" spans="3:5" x14ac:dyDescent="0.25">
      <c r="C3127" s="13"/>
      <c r="E3127" s="4"/>
    </row>
    <row r="3128" spans="3:5" x14ac:dyDescent="0.25">
      <c r="C3128" s="13"/>
      <c r="E3128" s="4"/>
    </row>
    <row r="3129" spans="3:5" x14ac:dyDescent="0.25">
      <c r="C3129" s="13"/>
      <c r="E3129" s="4"/>
    </row>
    <row r="3130" spans="3:5" x14ac:dyDescent="0.25">
      <c r="C3130" s="13"/>
      <c r="E3130" s="4"/>
    </row>
    <row r="3131" spans="3:5" x14ac:dyDescent="0.25">
      <c r="C3131" s="13"/>
      <c r="E3131" s="4"/>
    </row>
    <row r="3132" spans="3:5" x14ac:dyDescent="0.25">
      <c r="C3132" s="13"/>
      <c r="E3132" s="4"/>
    </row>
    <row r="3133" spans="3:5" x14ac:dyDescent="0.25">
      <c r="C3133" s="13"/>
      <c r="E3133" s="4"/>
    </row>
    <row r="3134" spans="3:5" x14ac:dyDescent="0.25">
      <c r="C3134" s="13"/>
      <c r="E3134" s="4"/>
    </row>
    <row r="3135" spans="3:5" x14ac:dyDescent="0.25">
      <c r="C3135" s="13"/>
      <c r="E3135" s="4"/>
    </row>
    <row r="3136" spans="3:5" x14ac:dyDescent="0.25">
      <c r="C3136" s="13"/>
      <c r="E3136" s="4"/>
    </row>
    <row r="3137" spans="3:5" x14ac:dyDescent="0.25">
      <c r="C3137" s="13"/>
      <c r="E3137" s="4"/>
    </row>
    <row r="3138" spans="3:5" x14ac:dyDescent="0.25">
      <c r="C3138" s="13"/>
      <c r="E3138" s="4"/>
    </row>
    <row r="3139" spans="3:5" x14ac:dyDescent="0.25">
      <c r="C3139" s="13"/>
      <c r="E3139" s="4"/>
    </row>
    <row r="3140" spans="3:5" x14ac:dyDescent="0.25">
      <c r="C3140" s="13"/>
      <c r="E3140" s="4"/>
    </row>
    <row r="3141" spans="3:5" x14ac:dyDescent="0.25">
      <c r="C3141" s="13"/>
      <c r="E3141" s="4"/>
    </row>
    <row r="3142" spans="3:5" x14ac:dyDescent="0.25">
      <c r="C3142" s="13"/>
      <c r="E3142" s="4"/>
    </row>
    <row r="3143" spans="3:5" x14ac:dyDescent="0.25">
      <c r="C3143" s="13"/>
      <c r="E3143" s="4"/>
    </row>
    <row r="3144" spans="3:5" x14ac:dyDescent="0.25">
      <c r="C3144" s="13"/>
      <c r="E3144" s="4"/>
    </row>
    <row r="3145" spans="3:5" x14ac:dyDescent="0.25">
      <c r="C3145" s="13"/>
      <c r="E3145" s="4"/>
    </row>
    <row r="3146" spans="3:5" x14ac:dyDescent="0.25">
      <c r="C3146" s="13"/>
      <c r="E3146" s="4"/>
    </row>
    <row r="3147" spans="3:5" x14ac:dyDescent="0.25">
      <c r="C3147" s="13"/>
      <c r="E3147" s="4"/>
    </row>
    <row r="3148" spans="3:5" x14ac:dyDescent="0.25">
      <c r="C3148" s="13"/>
      <c r="E3148" s="4"/>
    </row>
    <row r="3149" spans="3:5" x14ac:dyDescent="0.25">
      <c r="C3149" s="13"/>
      <c r="E3149" s="4"/>
    </row>
    <row r="3150" spans="3:5" x14ac:dyDescent="0.25">
      <c r="C3150" s="13"/>
      <c r="E3150" s="4"/>
    </row>
    <row r="3151" spans="3:5" x14ac:dyDescent="0.25">
      <c r="C3151" s="13"/>
      <c r="E3151" s="4"/>
    </row>
    <row r="3152" spans="3:5" x14ac:dyDescent="0.25">
      <c r="C3152" s="13"/>
      <c r="E3152" s="4"/>
    </row>
    <row r="3153" spans="3:5" x14ac:dyDescent="0.25">
      <c r="C3153" s="13"/>
      <c r="E3153" s="4"/>
    </row>
    <row r="3154" spans="3:5" x14ac:dyDescent="0.25">
      <c r="C3154" s="13"/>
      <c r="E3154" s="4"/>
    </row>
    <row r="3155" spans="3:5" x14ac:dyDescent="0.25">
      <c r="C3155" s="13"/>
      <c r="E3155" s="4"/>
    </row>
    <row r="3156" spans="3:5" x14ac:dyDescent="0.25">
      <c r="C3156" s="13"/>
      <c r="E3156" s="4"/>
    </row>
    <row r="3157" spans="3:5" x14ac:dyDescent="0.25">
      <c r="C3157" s="13"/>
      <c r="E3157" s="4"/>
    </row>
    <row r="3158" spans="3:5" x14ac:dyDescent="0.25">
      <c r="C3158" s="13"/>
      <c r="E3158" s="4"/>
    </row>
    <row r="3159" spans="3:5" x14ac:dyDescent="0.25">
      <c r="C3159" s="13"/>
      <c r="E3159" s="4"/>
    </row>
    <row r="3160" spans="3:5" x14ac:dyDescent="0.25">
      <c r="C3160" s="13"/>
      <c r="E3160" s="4"/>
    </row>
    <row r="3161" spans="3:5" x14ac:dyDescent="0.25">
      <c r="C3161" s="13"/>
      <c r="E3161" s="4"/>
    </row>
    <row r="3162" spans="3:5" x14ac:dyDescent="0.25">
      <c r="C3162" s="13"/>
      <c r="E3162" s="4"/>
    </row>
    <row r="3163" spans="3:5" x14ac:dyDescent="0.25">
      <c r="C3163" s="13"/>
      <c r="E3163" s="4"/>
    </row>
    <row r="3164" spans="3:5" x14ac:dyDescent="0.25">
      <c r="C3164" s="13"/>
      <c r="E3164" s="4"/>
    </row>
    <row r="3165" spans="3:5" x14ac:dyDescent="0.25">
      <c r="C3165" s="13"/>
      <c r="E3165" s="4"/>
    </row>
    <row r="3166" spans="3:5" x14ac:dyDescent="0.25">
      <c r="C3166" s="13"/>
      <c r="E3166" s="4"/>
    </row>
    <row r="3167" spans="3:5" x14ac:dyDescent="0.25">
      <c r="C3167" s="13"/>
      <c r="E3167" s="4"/>
    </row>
    <row r="3168" spans="3:5" x14ac:dyDescent="0.25">
      <c r="C3168" s="13"/>
      <c r="E3168" s="4"/>
    </row>
    <row r="3169" spans="3:5" x14ac:dyDescent="0.25">
      <c r="C3169" s="13"/>
      <c r="E3169" s="4"/>
    </row>
    <row r="3170" spans="3:5" x14ac:dyDescent="0.25">
      <c r="C3170" s="13"/>
      <c r="E3170" s="4"/>
    </row>
    <row r="3171" spans="3:5" x14ac:dyDescent="0.25">
      <c r="C3171" s="13"/>
      <c r="E3171" s="4"/>
    </row>
    <row r="3172" spans="3:5" x14ac:dyDescent="0.25">
      <c r="C3172" s="13"/>
      <c r="E3172" s="4"/>
    </row>
    <row r="3173" spans="3:5" x14ac:dyDescent="0.25">
      <c r="C3173" s="13"/>
      <c r="E3173" s="4"/>
    </row>
    <row r="3174" spans="3:5" x14ac:dyDescent="0.25">
      <c r="C3174" s="13"/>
      <c r="E3174" s="4"/>
    </row>
    <row r="3175" spans="3:5" x14ac:dyDescent="0.25">
      <c r="C3175" s="13"/>
      <c r="E3175" s="4"/>
    </row>
    <row r="3176" spans="3:5" x14ac:dyDescent="0.25">
      <c r="C3176" s="13"/>
      <c r="E3176" s="4"/>
    </row>
    <row r="3177" spans="3:5" x14ac:dyDescent="0.25">
      <c r="C3177" s="13"/>
      <c r="E3177" s="4"/>
    </row>
    <row r="3178" spans="3:5" x14ac:dyDescent="0.25">
      <c r="C3178" s="13"/>
      <c r="E3178" s="4"/>
    </row>
    <row r="3179" spans="3:5" x14ac:dyDescent="0.25">
      <c r="C3179" s="13"/>
      <c r="E3179" s="4"/>
    </row>
    <row r="3180" spans="3:5" x14ac:dyDescent="0.25">
      <c r="C3180" s="13"/>
      <c r="E3180" s="4"/>
    </row>
    <row r="3181" spans="3:5" x14ac:dyDescent="0.25">
      <c r="C3181" s="13"/>
      <c r="E3181" s="4"/>
    </row>
    <row r="3182" spans="3:5" x14ac:dyDescent="0.25">
      <c r="C3182" s="13"/>
      <c r="E3182" s="4"/>
    </row>
    <row r="3183" spans="3:5" x14ac:dyDescent="0.25">
      <c r="C3183" s="13"/>
      <c r="E3183" s="4"/>
    </row>
    <row r="3184" spans="3:5" x14ac:dyDescent="0.25">
      <c r="C3184" s="13"/>
      <c r="E3184" s="4"/>
    </row>
    <row r="3185" spans="3:5" x14ac:dyDescent="0.25">
      <c r="C3185" s="13"/>
      <c r="E3185" s="4"/>
    </row>
    <row r="3186" spans="3:5" x14ac:dyDescent="0.25">
      <c r="C3186" s="13"/>
      <c r="E3186" s="4"/>
    </row>
    <row r="3187" spans="3:5" x14ac:dyDescent="0.25">
      <c r="C3187" s="13"/>
      <c r="E3187" s="4"/>
    </row>
    <row r="3188" spans="3:5" x14ac:dyDescent="0.25">
      <c r="C3188" s="13"/>
      <c r="E3188" s="4"/>
    </row>
    <row r="3189" spans="3:5" x14ac:dyDescent="0.25">
      <c r="C3189" s="13"/>
      <c r="E3189" s="4"/>
    </row>
    <row r="3190" spans="3:5" x14ac:dyDescent="0.25">
      <c r="C3190" s="13"/>
      <c r="E3190" s="4"/>
    </row>
    <row r="3191" spans="3:5" x14ac:dyDescent="0.25">
      <c r="C3191" s="13"/>
      <c r="E3191" s="4"/>
    </row>
    <row r="3192" spans="3:5" x14ac:dyDescent="0.25">
      <c r="C3192" s="13"/>
      <c r="E3192" s="4"/>
    </row>
    <row r="3193" spans="3:5" x14ac:dyDescent="0.25">
      <c r="C3193" s="13"/>
      <c r="E3193" s="4"/>
    </row>
    <row r="3194" spans="3:5" x14ac:dyDescent="0.25">
      <c r="C3194" s="13"/>
      <c r="E3194" s="4"/>
    </row>
    <row r="3195" spans="3:5" x14ac:dyDescent="0.25">
      <c r="C3195" s="13"/>
      <c r="E3195" s="4"/>
    </row>
    <row r="3196" spans="3:5" x14ac:dyDescent="0.25">
      <c r="C3196" s="13"/>
      <c r="E3196" s="4"/>
    </row>
    <row r="3197" spans="3:5" x14ac:dyDescent="0.25">
      <c r="C3197" s="13"/>
      <c r="E3197" s="4"/>
    </row>
    <row r="3198" spans="3:5" x14ac:dyDescent="0.25">
      <c r="C3198" s="13"/>
      <c r="E3198" s="4"/>
    </row>
    <row r="3199" spans="3:5" x14ac:dyDescent="0.25">
      <c r="C3199" s="13"/>
      <c r="E3199" s="4"/>
    </row>
    <row r="3200" spans="3:5" x14ac:dyDescent="0.25">
      <c r="C3200" s="13"/>
      <c r="E3200" s="4"/>
    </row>
    <row r="3201" spans="3:5" x14ac:dyDescent="0.25">
      <c r="C3201" s="13"/>
      <c r="E3201" s="4"/>
    </row>
    <row r="3202" spans="3:5" x14ac:dyDescent="0.25">
      <c r="C3202" s="13"/>
      <c r="E3202" s="4"/>
    </row>
    <row r="3203" spans="3:5" x14ac:dyDescent="0.25">
      <c r="C3203" s="13"/>
      <c r="E3203" s="4"/>
    </row>
    <row r="3204" spans="3:5" x14ac:dyDescent="0.25">
      <c r="C3204" s="13"/>
      <c r="E3204" s="4"/>
    </row>
    <row r="3205" spans="3:5" x14ac:dyDescent="0.25">
      <c r="C3205" s="13"/>
      <c r="E3205" s="4"/>
    </row>
    <row r="3206" spans="3:5" x14ac:dyDescent="0.25">
      <c r="C3206" s="13"/>
      <c r="E3206" s="4"/>
    </row>
    <row r="3207" spans="3:5" x14ac:dyDescent="0.25">
      <c r="C3207" s="13"/>
      <c r="E3207" s="4"/>
    </row>
    <row r="3208" spans="3:5" x14ac:dyDescent="0.25">
      <c r="C3208" s="13"/>
      <c r="E3208" s="4"/>
    </row>
    <row r="3209" spans="3:5" x14ac:dyDescent="0.25">
      <c r="C3209" s="13"/>
      <c r="E3209" s="4"/>
    </row>
    <row r="3210" spans="3:5" x14ac:dyDescent="0.25">
      <c r="C3210" s="13"/>
      <c r="E3210" s="4"/>
    </row>
    <row r="3211" spans="3:5" x14ac:dyDescent="0.25">
      <c r="C3211" s="13"/>
      <c r="E3211" s="4"/>
    </row>
    <row r="3212" spans="3:5" x14ac:dyDescent="0.25">
      <c r="C3212" s="13"/>
      <c r="E3212" s="4"/>
    </row>
    <row r="3213" spans="3:5" x14ac:dyDescent="0.25">
      <c r="C3213" s="13"/>
      <c r="E3213" s="4"/>
    </row>
    <row r="3214" spans="3:5" x14ac:dyDescent="0.25">
      <c r="C3214" s="13"/>
      <c r="E3214" s="4"/>
    </row>
    <row r="3215" spans="3:5" x14ac:dyDescent="0.25">
      <c r="C3215" s="13"/>
      <c r="E3215" s="4"/>
    </row>
    <row r="3216" spans="3:5" x14ac:dyDescent="0.25">
      <c r="C3216" s="13"/>
      <c r="E3216" s="4"/>
    </row>
    <row r="3217" spans="3:5" x14ac:dyDescent="0.25">
      <c r="C3217" s="13"/>
      <c r="E3217" s="4"/>
    </row>
    <row r="3218" spans="3:5" x14ac:dyDescent="0.25">
      <c r="C3218" s="13"/>
      <c r="E3218" s="4"/>
    </row>
    <row r="3219" spans="3:5" x14ac:dyDescent="0.25">
      <c r="C3219" s="13"/>
      <c r="E3219" s="4"/>
    </row>
    <row r="3220" spans="3:5" x14ac:dyDescent="0.25">
      <c r="C3220" s="13"/>
      <c r="E3220" s="4"/>
    </row>
    <row r="3221" spans="3:5" x14ac:dyDescent="0.25">
      <c r="C3221" s="13"/>
      <c r="E3221" s="4"/>
    </row>
    <row r="3222" spans="3:5" x14ac:dyDescent="0.25">
      <c r="C3222" s="13"/>
      <c r="E3222" s="4"/>
    </row>
    <row r="3223" spans="3:5" x14ac:dyDescent="0.25">
      <c r="C3223" s="13"/>
      <c r="E3223" s="4"/>
    </row>
    <row r="3224" spans="3:5" x14ac:dyDescent="0.25">
      <c r="C3224" s="13"/>
      <c r="E3224" s="4"/>
    </row>
    <row r="3225" spans="3:5" x14ac:dyDescent="0.25">
      <c r="C3225" s="13"/>
      <c r="E3225" s="4"/>
    </row>
    <row r="3226" spans="3:5" x14ac:dyDescent="0.25">
      <c r="C3226" s="13"/>
      <c r="E3226" s="4"/>
    </row>
    <row r="3227" spans="3:5" x14ac:dyDescent="0.25">
      <c r="C3227" s="13"/>
      <c r="E3227" s="4"/>
    </row>
    <row r="3228" spans="3:5" x14ac:dyDescent="0.25">
      <c r="C3228" s="13"/>
      <c r="E3228" s="4"/>
    </row>
    <row r="3229" spans="3:5" x14ac:dyDescent="0.25">
      <c r="C3229" s="13"/>
      <c r="E3229" s="4"/>
    </row>
    <row r="3230" spans="3:5" x14ac:dyDescent="0.25">
      <c r="C3230" s="13"/>
      <c r="E3230" s="4"/>
    </row>
    <row r="3231" spans="3:5" x14ac:dyDescent="0.25">
      <c r="C3231" s="13"/>
      <c r="E3231" s="4"/>
    </row>
    <row r="3232" spans="3:5" x14ac:dyDescent="0.25">
      <c r="C3232" s="13"/>
      <c r="E3232" s="4"/>
    </row>
    <row r="3233" spans="3:5" x14ac:dyDescent="0.25">
      <c r="C3233" s="13"/>
      <c r="E3233" s="4"/>
    </row>
    <row r="3234" spans="3:5" x14ac:dyDescent="0.25">
      <c r="C3234" s="13"/>
      <c r="E3234" s="4"/>
    </row>
    <row r="3235" spans="3:5" x14ac:dyDescent="0.25">
      <c r="C3235" s="13"/>
      <c r="E3235" s="4"/>
    </row>
    <row r="3236" spans="3:5" x14ac:dyDescent="0.25">
      <c r="C3236" s="13"/>
      <c r="E3236" s="4"/>
    </row>
    <row r="3237" spans="3:5" x14ac:dyDescent="0.25">
      <c r="C3237" s="13"/>
      <c r="E3237" s="4"/>
    </row>
    <row r="3238" spans="3:5" x14ac:dyDescent="0.25">
      <c r="C3238" s="13"/>
      <c r="E3238" s="4"/>
    </row>
    <row r="3239" spans="3:5" x14ac:dyDescent="0.25">
      <c r="C3239" s="13"/>
      <c r="E3239" s="4"/>
    </row>
    <row r="3240" spans="3:5" x14ac:dyDescent="0.25">
      <c r="C3240" s="13"/>
      <c r="E3240" s="4"/>
    </row>
    <row r="3241" spans="3:5" x14ac:dyDescent="0.25">
      <c r="C3241" s="13"/>
      <c r="E3241" s="4"/>
    </row>
    <row r="3242" spans="3:5" x14ac:dyDescent="0.25">
      <c r="C3242" s="13"/>
      <c r="E3242" s="4"/>
    </row>
    <row r="3243" spans="3:5" x14ac:dyDescent="0.25">
      <c r="C3243" s="13"/>
      <c r="E3243" s="4"/>
    </row>
    <row r="3244" spans="3:5" x14ac:dyDescent="0.25">
      <c r="C3244" s="13"/>
      <c r="E3244" s="4"/>
    </row>
    <row r="3245" spans="3:5" x14ac:dyDescent="0.25">
      <c r="C3245" s="13"/>
      <c r="E3245" s="4"/>
    </row>
    <row r="3246" spans="3:5" x14ac:dyDescent="0.25">
      <c r="C3246" s="13"/>
      <c r="E3246" s="4"/>
    </row>
    <row r="3247" spans="3:5" x14ac:dyDescent="0.25">
      <c r="C3247" s="13"/>
      <c r="E3247" s="4"/>
    </row>
    <row r="3248" spans="3:5" x14ac:dyDescent="0.25">
      <c r="C3248" s="13"/>
      <c r="E3248" s="4"/>
    </row>
    <row r="3249" spans="3:5" x14ac:dyDescent="0.25">
      <c r="C3249" s="13"/>
      <c r="E3249" s="4"/>
    </row>
    <row r="3250" spans="3:5" x14ac:dyDescent="0.25">
      <c r="C3250" s="13"/>
      <c r="E3250" s="4"/>
    </row>
    <row r="3251" spans="3:5" x14ac:dyDescent="0.25">
      <c r="C3251" s="13"/>
      <c r="E3251" s="4"/>
    </row>
    <row r="3252" spans="3:5" x14ac:dyDescent="0.25">
      <c r="C3252" s="13"/>
      <c r="E3252" s="4"/>
    </row>
    <row r="3253" spans="3:5" x14ac:dyDescent="0.25">
      <c r="C3253" s="13"/>
      <c r="E3253" s="4"/>
    </row>
    <row r="3254" spans="3:5" x14ac:dyDescent="0.25">
      <c r="C3254" s="13"/>
      <c r="E3254" s="4"/>
    </row>
    <row r="3255" spans="3:5" x14ac:dyDescent="0.25">
      <c r="C3255" s="13"/>
      <c r="E3255" s="4"/>
    </row>
    <row r="3256" spans="3:5" x14ac:dyDescent="0.25">
      <c r="C3256" s="13"/>
      <c r="E3256" s="4"/>
    </row>
    <row r="3257" spans="3:5" x14ac:dyDescent="0.25">
      <c r="C3257" s="13"/>
      <c r="E3257" s="4"/>
    </row>
    <row r="3258" spans="3:5" x14ac:dyDescent="0.25">
      <c r="C3258" s="13"/>
      <c r="E3258" s="4"/>
    </row>
    <row r="3259" spans="3:5" x14ac:dyDescent="0.25">
      <c r="C3259" s="13"/>
      <c r="E3259" s="4"/>
    </row>
    <row r="3260" spans="3:5" x14ac:dyDescent="0.25">
      <c r="C3260" s="13"/>
      <c r="E3260" s="4"/>
    </row>
    <row r="3261" spans="3:5" x14ac:dyDescent="0.25">
      <c r="C3261" s="13"/>
      <c r="E3261" s="4"/>
    </row>
    <row r="3262" spans="3:5" x14ac:dyDescent="0.25">
      <c r="C3262" s="13"/>
      <c r="E3262" s="4"/>
    </row>
    <row r="3263" spans="3:5" x14ac:dyDescent="0.25">
      <c r="C3263" s="13"/>
      <c r="E3263" s="4"/>
    </row>
    <row r="3264" spans="3:5" x14ac:dyDescent="0.25">
      <c r="C3264" s="13"/>
      <c r="E3264" s="4"/>
    </row>
    <row r="3265" spans="3:5" x14ac:dyDescent="0.25">
      <c r="C3265" s="13"/>
      <c r="E3265" s="4"/>
    </row>
    <row r="3266" spans="3:5" x14ac:dyDescent="0.25">
      <c r="C3266" s="13"/>
      <c r="E3266" s="4"/>
    </row>
    <row r="3267" spans="3:5" x14ac:dyDescent="0.25">
      <c r="C3267" s="13"/>
      <c r="E3267" s="4"/>
    </row>
    <row r="3268" spans="3:5" x14ac:dyDescent="0.25">
      <c r="C3268" s="13"/>
      <c r="E3268" s="4"/>
    </row>
    <row r="3269" spans="3:5" x14ac:dyDescent="0.25">
      <c r="C3269" s="13"/>
      <c r="E3269" s="4"/>
    </row>
    <row r="3270" spans="3:5" x14ac:dyDescent="0.25">
      <c r="C3270" s="13"/>
      <c r="E3270" s="4"/>
    </row>
    <row r="3271" spans="3:5" x14ac:dyDescent="0.25">
      <c r="C3271" s="13"/>
      <c r="E3271" s="4"/>
    </row>
    <row r="3272" spans="3:5" x14ac:dyDescent="0.25">
      <c r="C3272" s="13"/>
      <c r="E3272" s="4"/>
    </row>
    <row r="3273" spans="3:5" x14ac:dyDescent="0.25">
      <c r="C3273" s="13"/>
      <c r="E3273" s="4"/>
    </row>
    <row r="3274" spans="3:5" x14ac:dyDescent="0.25">
      <c r="C3274" s="13"/>
      <c r="E3274" s="4"/>
    </row>
    <row r="3275" spans="3:5" x14ac:dyDescent="0.25">
      <c r="C3275" s="13"/>
      <c r="E3275" s="4"/>
    </row>
    <row r="3276" spans="3:5" x14ac:dyDescent="0.25">
      <c r="C3276" s="13"/>
      <c r="E3276" s="4"/>
    </row>
    <row r="3277" spans="3:5" x14ac:dyDescent="0.25">
      <c r="C3277" s="13"/>
      <c r="E3277" s="4"/>
    </row>
    <row r="3278" spans="3:5" x14ac:dyDescent="0.25">
      <c r="C3278" s="13"/>
      <c r="E3278" s="4"/>
    </row>
    <row r="3279" spans="3:5" x14ac:dyDescent="0.25">
      <c r="C3279" s="13"/>
      <c r="E3279" s="4"/>
    </row>
    <row r="3280" spans="3:5" x14ac:dyDescent="0.25">
      <c r="C3280" s="13"/>
      <c r="E3280" s="4"/>
    </row>
    <row r="3281" spans="3:5" x14ac:dyDescent="0.25">
      <c r="C3281" s="13"/>
      <c r="E3281" s="4"/>
    </row>
    <row r="3282" spans="3:5" x14ac:dyDescent="0.25">
      <c r="C3282" s="13"/>
      <c r="E3282" s="4"/>
    </row>
    <row r="3283" spans="3:5" x14ac:dyDescent="0.25">
      <c r="C3283" s="13"/>
      <c r="E3283" s="4"/>
    </row>
    <row r="3284" spans="3:5" x14ac:dyDescent="0.25">
      <c r="C3284" s="13"/>
      <c r="E3284" s="4"/>
    </row>
    <row r="3285" spans="3:5" x14ac:dyDescent="0.25">
      <c r="C3285" s="13"/>
      <c r="E3285" s="4"/>
    </row>
    <row r="3286" spans="3:5" x14ac:dyDescent="0.25">
      <c r="C3286" s="13"/>
      <c r="E3286" s="4"/>
    </row>
    <row r="3287" spans="3:5" x14ac:dyDescent="0.25">
      <c r="C3287" s="13"/>
      <c r="E3287" s="4"/>
    </row>
    <row r="3288" spans="3:5" x14ac:dyDescent="0.25">
      <c r="C3288" s="13"/>
      <c r="E3288" s="4"/>
    </row>
    <row r="3289" spans="3:5" x14ac:dyDescent="0.25">
      <c r="C3289" s="13"/>
      <c r="E3289" s="4"/>
    </row>
    <row r="3290" spans="3:5" x14ac:dyDescent="0.25">
      <c r="C3290" s="13"/>
      <c r="E3290" s="4"/>
    </row>
    <row r="3291" spans="3:5" x14ac:dyDescent="0.25">
      <c r="C3291" s="13"/>
      <c r="E3291" s="4"/>
    </row>
    <row r="3292" spans="3:5" x14ac:dyDescent="0.25">
      <c r="C3292" s="13"/>
      <c r="E3292" s="4"/>
    </row>
    <row r="3293" spans="3:5" x14ac:dyDescent="0.25">
      <c r="C3293" s="13"/>
      <c r="E3293" s="4"/>
    </row>
    <row r="3294" spans="3:5" x14ac:dyDescent="0.25">
      <c r="C3294" s="13"/>
      <c r="E3294" s="4"/>
    </row>
    <row r="3295" spans="3:5" x14ac:dyDescent="0.25">
      <c r="C3295" s="13"/>
      <c r="E3295" s="4"/>
    </row>
    <row r="3296" spans="3:5" x14ac:dyDescent="0.25">
      <c r="C3296" s="13"/>
      <c r="E3296" s="4"/>
    </row>
    <row r="3297" spans="3:5" x14ac:dyDescent="0.25">
      <c r="C3297" s="13"/>
      <c r="E3297" s="4"/>
    </row>
    <row r="3298" spans="3:5" x14ac:dyDescent="0.25">
      <c r="C3298" s="13"/>
      <c r="E3298" s="4"/>
    </row>
    <row r="3299" spans="3:5" x14ac:dyDescent="0.25">
      <c r="C3299" s="13"/>
      <c r="E3299" s="4"/>
    </row>
    <row r="3300" spans="3:5" x14ac:dyDescent="0.25">
      <c r="C3300" s="13"/>
      <c r="E3300" s="4"/>
    </row>
    <row r="3301" spans="3:5" x14ac:dyDescent="0.25">
      <c r="C3301" s="13"/>
      <c r="E3301" s="4"/>
    </row>
    <row r="3302" spans="3:5" x14ac:dyDescent="0.25">
      <c r="C3302" s="13"/>
      <c r="E3302" s="4"/>
    </row>
    <row r="3303" spans="3:5" x14ac:dyDescent="0.25">
      <c r="C3303" s="13"/>
      <c r="E3303" s="4"/>
    </row>
    <row r="3304" spans="3:5" x14ac:dyDescent="0.25">
      <c r="C3304" s="13"/>
      <c r="E3304" s="4"/>
    </row>
    <row r="3305" spans="3:5" x14ac:dyDescent="0.25">
      <c r="C3305" s="13"/>
      <c r="E3305" s="4"/>
    </row>
    <row r="3306" spans="3:5" x14ac:dyDescent="0.25">
      <c r="C3306" s="13"/>
      <c r="E3306" s="4"/>
    </row>
    <row r="3307" spans="3:5" x14ac:dyDescent="0.25">
      <c r="C3307" s="13"/>
      <c r="E3307" s="4"/>
    </row>
    <row r="3308" spans="3:5" x14ac:dyDescent="0.25">
      <c r="C3308" s="13"/>
      <c r="E3308" s="4"/>
    </row>
    <row r="3309" spans="3:5" x14ac:dyDescent="0.25">
      <c r="C3309" s="13"/>
      <c r="E3309" s="4"/>
    </row>
    <row r="3310" spans="3:5" x14ac:dyDescent="0.25">
      <c r="C3310" s="13"/>
      <c r="E3310" s="4"/>
    </row>
    <row r="3311" spans="3:5" x14ac:dyDescent="0.25">
      <c r="C3311" s="13"/>
      <c r="E3311" s="4"/>
    </row>
    <row r="3312" spans="3:5" x14ac:dyDescent="0.25">
      <c r="C3312" s="13"/>
      <c r="E3312" s="4"/>
    </row>
    <row r="3313" spans="3:5" x14ac:dyDescent="0.25">
      <c r="C3313" s="13"/>
      <c r="E3313" s="4"/>
    </row>
    <row r="3314" spans="3:5" x14ac:dyDescent="0.25">
      <c r="C3314" s="13"/>
      <c r="E3314" s="4"/>
    </row>
    <row r="3315" spans="3:5" x14ac:dyDescent="0.25">
      <c r="C3315" s="13"/>
      <c r="E3315" s="4"/>
    </row>
    <row r="3316" spans="3:5" x14ac:dyDescent="0.25">
      <c r="C3316" s="13"/>
      <c r="E3316" s="4"/>
    </row>
    <row r="3317" spans="3:5" x14ac:dyDescent="0.25">
      <c r="C3317" s="13"/>
      <c r="E3317" s="4"/>
    </row>
    <row r="3318" spans="3:5" x14ac:dyDescent="0.25">
      <c r="C3318" s="13"/>
      <c r="E3318" s="4"/>
    </row>
    <row r="3319" spans="3:5" x14ac:dyDescent="0.25">
      <c r="C3319" s="13"/>
      <c r="E3319" s="4"/>
    </row>
    <row r="3320" spans="3:5" x14ac:dyDescent="0.25">
      <c r="C3320" s="13"/>
      <c r="E3320" s="4"/>
    </row>
    <row r="3321" spans="3:5" x14ac:dyDescent="0.25">
      <c r="C3321" s="13"/>
      <c r="E3321" s="4"/>
    </row>
    <row r="3322" spans="3:5" x14ac:dyDescent="0.25">
      <c r="C3322" s="13"/>
      <c r="E3322" s="4"/>
    </row>
    <row r="3323" spans="3:5" x14ac:dyDescent="0.25">
      <c r="C3323" s="13"/>
      <c r="E3323" s="4"/>
    </row>
    <row r="3324" spans="3:5" x14ac:dyDescent="0.25">
      <c r="C3324" s="13"/>
      <c r="E3324" s="4"/>
    </row>
    <row r="3325" spans="3:5" x14ac:dyDescent="0.25">
      <c r="C3325" s="13"/>
      <c r="E3325" s="4"/>
    </row>
    <row r="3326" spans="3:5" x14ac:dyDescent="0.25">
      <c r="C3326" s="13"/>
      <c r="E3326" s="4"/>
    </row>
    <row r="3327" spans="3:5" x14ac:dyDescent="0.25">
      <c r="C3327" s="13"/>
      <c r="E3327" s="4"/>
    </row>
    <row r="3328" spans="3:5" x14ac:dyDescent="0.25">
      <c r="C3328" s="13"/>
      <c r="E3328" s="4"/>
    </row>
    <row r="3329" spans="3:5" x14ac:dyDescent="0.25">
      <c r="C3329" s="13"/>
      <c r="E3329" s="4"/>
    </row>
    <row r="3330" spans="3:5" x14ac:dyDescent="0.25">
      <c r="C3330" s="13"/>
      <c r="E3330" s="4"/>
    </row>
    <row r="3331" spans="3:5" x14ac:dyDescent="0.25">
      <c r="C3331" s="13"/>
      <c r="E3331" s="4"/>
    </row>
    <row r="3332" spans="3:5" x14ac:dyDescent="0.25">
      <c r="C3332" s="13"/>
      <c r="E3332" s="4"/>
    </row>
    <row r="3333" spans="3:5" x14ac:dyDescent="0.25">
      <c r="C3333" s="13"/>
      <c r="E3333" s="4"/>
    </row>
    <row r="3334" spans="3:5" x14ac:dyDescent="0.25">
      <c r="C3334" s="13"/>
      <c r="E3334" s="4"/>
    </row>
    <row r="3335" spans="3:5" x14ac:dyDescent="0.25">
      <c r="C3335" s="13"/>
      <c r="E3335" s="4"/>
    </row>
    <row r="3336" spans="3:5" x14ac:dyDescent="0.25">
      <c r="C3336" s="13"/>
      <c r="E3336" s="4"/>
    </row>
    <row r="3337" spans="3:5" x14ac:dyDescent="0.25">
      <c r="C3337" s="13"/>
      <c r="E3337" s="4"/>
    </row>
    <row r="3338" spans="3:5" x14ac:dyDescent="0.25">
      <c r="C3338" s="13"/>
      <c r="E3338" s="4"/>
    </row>
    <row r="3339" spans="3:5" x14ac:dyDescent="0.25">
      <c r="C3339" s="13"/>
      <c r="E3339" s="4"/>
    </row>
    <row r="3340" spans="3:5" x14ac:dyDescent="0.25">
      <c r="C3340" s="13"/>
      <c r="E3340" s="4"/>
    </row>
    <row r="3341" spans="3:5" x14ac:dyDescent="0.25">
      <c r="C3341" s="13"/>
      <c r="E3341" s="4"/>
    </row>
    <row r="3342" spans="3:5" x14ac:dyDescent="0.25">
      <c r="C3342" s="13"/>
      <c r="E3342" s="4"/>
    </row>
    <row r="3343" spans="3:5" x14ac:dyDescent="0.25">
      <c r="C3343" s="13"/>
      <c r="E3343" s="4"/>
    </row>
    <row r="3344" spans="3:5" x14ac:dyDescent="0.25">
      <c r="C3344" s="13"/>
      <c r="E3344" s="4"/>
    </row>
    <row r="3345" spans="3:5" x14ac:dyDescent="0.25">
      <c r="C3345" s="13"/>
      <c r="E3345" s="4"/>
    </row>
    <row r="3346" spans="3:5" x14ac:dyDescent="0.25">
      <c r="C3346" s="13"/>
      <c r="E3346" s="4"/>
    </row>
    <row r="3347" spans="3:5" x14ac:dyDescent="0.25">
      <c r="C3347" s="13"/>
      <c r="E3347" s="4"/>
    </row>
    <row r="3348" spans="3:5" x14ac:dyDescent="0.25">
      <c r="C3348" s="13"/>
      <c r="E3348" s="4"/>
    </row>
    <row r="3349" spans="3:5" x14ac:dyDescent="0.25">
      <c r="C3349" s="13"/>
      <c r="E3349" s="4"/>
    </row>
    <row r="3350" spans="3:5" x14ac:dyDescent="0.25">
      <c r="C3350" s="13"/>
      <c r="E3350" s="4"/>
    </row>
    <row r="3351" spans="3:5" x14ac:dyDescent="0.25">
      <c r="C3351" s="13"/>
      <c r="E3351" s="4"/>
    </row>
    <row r="3352" spans="3:5" x14ac:dyDescent="0.25">
      <c r="C3352" s="13"/>
      <c r="E3352" s="4"/>
    </row>
    <row r="3353" spans="3:5" x14ac:dyDescent="0.25">
      <c r="C3353" s="13"/>
      <c r="E3353" s="4"/>
    </row>
    <row r="3354" spans="3:5" x14ac:dyDescent="0.25">
      <c r="C3354" s="13"/>
      <c r="E3354" s="4"/>
    </row>
    <row r="3355" spans="3:5" x14ac:dyDescent="0.25">
      <c r="C3355" s="13"/>
      <c r="E3355" s="4"/>
    </row>
    <row r="3356" spans="3:5" x14ac:dyDescent="0.25">
      <c r="C3356" s="13"/>
      <c r="E3356" s="4"/>
    </row>
    <row r="3357" spans="3:5" x14ac:dyDescent="0.25">
      <c r="C3357" s="13"/>
      <c r="E3357" s="4"/>
    </row>
    <row r="3358" spans="3:5" x14ac:dyDescent="0.25">
      <c r="C3358" s="13"/>
      <c r="E3358" s="4"/>
    </row>
    <row r="3359" spans="3:5" x14ac:dyDescent="0.25">
      <c r="C3359" s="13"/>
      <c r="E3359" s="4"/>
    </row>
    <row r="3360" spans="3:5" x14ac:dyDescent="0.25">
      <c r="C3360" s="13"/>
      <c r="E3360" s="4"/>
    </row>
    <row r="3361" spans="3:5" x14ac:dyDescent="0.25">
      <c r="C3361" s="13"/>
      <c r="E3361" s="4"/>
    </row>
    <row r="3362" spans="3:5" x14ac:dyDescent="0.25">
      <c r="C3362" s="13"/>
      <c r="E3362" s="4"/>
    </row>
    <row r="3363" spans="3:5" x14ac:dyDescent="0.25">
      <c r="C3363" s="13"/>
      <c r="E3363" s="4"/>
    </row>
    <row r="3364" spans="3:5" x14ac:dyDescent="0.25">
      <c r="C3364" s="13"/>
      <c r="E3364" s="4"/>
    </row>
    <row r="3365" spans="3:5" x14ac:dyDescent="0.25">
      <c r="C3365" s="13"/>
      <c r="E3365" s="4"/>
    </row>
    <row r="3366" spans="3:5" x14ac:dyDescent="0.25">
      <c r="C3366" s="13"/>
      <c r="E3366" s="4"/>
    </row>
    <row r="3367" spans="3:5" x14ac:dyDescent="0.25">
      <c r="C3367" s="13"/>
      <c r="E3367" s="4"/>
    </row>
    <row r="3368" spans="3:5" x14ac:dyDescent="0.25">
      <c r="C3368" s="13"/>
      <c r="E3368" s="4"/>
    </row>
    <row r="3369" spans="3:5" x14ac:dyDescent="0.25">
      <c r="C3369" s="13"/>
      <c r="E3369" s="4"/>
    </row>
    <row r="3370" spans="3:5" x14ac:dyDescent="0.25">
      <c r="C3370" s="13"/>
      <c r="E3370" s="4"/>
    </row>
    <row r="3371" spans="3:5" x14ac:dyDescent="0.25">
      <c r="C3371" s="13"/>
      <c r="E3371" s="4"/>
    </row>
    <row r="3372" spans="3:5" x14ac:dyDescent="0.25">
      <c r="C3372" s="13"/>
      <c r="E3372" s="4"/>
    </row>
    <row r="3373" spans="3:5" x14ac:dyDescent="0.25">
      <c r="C3373" s="13"/>
      <c r="E3373" s="4"/>
    </row>
    <row r="3374" spans="3:5" x14ac:dyDescent="0.25">
      <c r="C3374" s="13"/>
      <c r="E3374" s="4"/>
    </row>
    <row r="3375" spans="3:5" x14ac:dyDescent="0.25">
      <c r="C3375" s="13"/>
      <c r="E3375" s="4"/>
    </row>
    <row r="3376" spans="3:5" x14ac:dyDescent="0.25">
      <c r="C3376" s="13"/>
      <c r="E3376" s="4"/>
    </row>
    <row r="3377" spans="3:5" x14ac:dyDescent="0.25">
      <c r="C3377" s="13"/>
      <c r="E3377" s="4"/>
    </row>
    <row r="3378" spans="3:5" x14ac:dyDescent="0.25">
      <c r="C3378" s="13"/>
      <c r="E3378" s="4"/>
    </row>
    <row r="3379" spans="3:5" x14ac:dyDescent="0.25">
      <c r="C3379" s="13"/>
      <c r="E3379" s="4"/>
    </row>
    <row r="3380" spans="3:5" x14ac:dyDescent="0.25">
      <c r="C3380" s="13"/>
      <c r="E3380" s="4"/>
    </row>
    <row r="3381" spans="3:5" x14ac:dyDescent="0.25">
      <c r="C3381" s="13"/>
      <c r="E3381" s="4"/>
    </row>
    <row r="3382" spans="3:5" x14ac:dyDescent="0.25">
      <c r="C3382" s="13"/>
      <c r="E3382" s="4"/>
    </row>
    <row r="3383" spans="3:5" x14ac:dyDescent="0.25">
      <c r="C3383" s="13"/>
      <c r="E3383" s="4"/>
    </row>
    <row r="3384" spans="3:5" x14ac:dyDescent="0.25">
      <c r="C3384" s="13"/>
      <c r="E3384" s="4"/>
    </row>
    <row r="3385" spans="3:5" x14ac:dyDescent="0.25">
      <c r="C3385" s="13"/>
      <c r="E3385" s="4"/>
    </row>
    <row r="3386" spans="3:5" x14ac:dyDescent="0.25">
      <c r="C3386" s="13"/>
      <c r="E3386" s="4"/>
    </row>
    <row r="3387" spans="3:5" x14ac:dyDescent="0.25">
      <c r="C3387" s="13"/>
      <c r="E3387" s="4"/>
    </row>
    <row r="3388" spans="3:5" x14ac:dyDescent="0.25">
      <c r="C3388" s="13"/>
      <c r="E3388" s="4"/>
    </row>
    <row r="3389" spans="3:5" x14ac:dyDescent="0.25">
      <c r="C3389" s="13"/>
      <c r="E3389" s="4"/>
    </row>
    <row r="3390" spans="3:5" x14ac:dyDescent="0.25">
      <c r="C3390" s="13"/>
      <c r="E3390" s="4"/>
    </row>
    <row r="3391" spans="3:5" x14ac:dyDescent="0.25">
      <c r="C3391" s="13"/>
      <c r="E3391" s="4"/>
    </row>
    <row r="3392" spans="3:5" x14ac:dyDescent="0.25">
      <c r="C3392" s="13"/>
      <c r="E3392" s="4"/>
    </row>
    <row r="3393" spans="3:5" x14ac:dyDescent="0.25">
      <c r="C3393" s="13"/>
      <c r="E3393" s="4"/>
    </row>
    <row r="3394" spans="3:5" x14ac:dyDescent="0.25">
      <c r="C3394" s="13"/>
      <c r="E3394" s="4"/>
    </row>
    <row r="3395" spans="3:5" x14ac:dyDescent="0.25">
      <c r="C3395" s="13"/>
      <c r="E3395" s="4"/>
    </row>
    <row r="3396" spans="3:5" x14ac:dyDescent="0.25">
      <c r="C3396" s="13"/>
      <c r="E3396" s="4"/>
    </row>
    <row r="3397" spans="3:5" x14ac:dyDescent="0.25">
      <c r="C3397" s="13"/>
      <c r="E3397" s="4"/>
    </row>
    <row r="3398" spans="3:5" x14ac:dyDescent="0.25">
      <c r="C3398" s="13"/>
      <c r="E3398" s="4"/>
    </row>
    <row r="3399" spans="3:5" x14ac:dyDescent="0.25">
      <c r="C3399" s="13"/>
      <c r="E3399" s="4"/>
    </row>
    <row r="3400" spans="3:5" x14ac:dyDescent="0.25">
      <c r="C3400" s="13"/>
      <c r="E3400" s="4"/>
    </row>
    <row r="3401" spans="3:5" x14ac:dyDescent="0.25">
      <c r="C3401" s="13"/>
      <c r="E3401" s="4"/>
    </row>
    <row r="3402" spans="3:5" x14ac:dyDescent="0.25">
      <c r="C3402" s="13"/>
      <c r="E3402" s="4"/>
    </row>
    <row r="3403" spans="3:5" x14ac:dyDescent="0.25">
      <c r="C3403" s="13"/>
      <c r="E3403" s="4"/>
    </row>
    <row r="3404" spans="3:5" x14ac:dyDescent="0.25">
      <c r="C3404" s="13"/>
      <c r="E3404" s="4"/>
    </row>
    <row r="3405" spans="3:5" x14ac:dyDescent="0.25">
      <c r="C3405" s="13"/>
      <c r="E3405" s="4"/>
    </row>
    <row r="3406" spans="3:5" x14ac:dyDescent="0.25">
      <c r="C3406" s="13"/>
      <c r="E3406" s="4"/>
    </row>
    <row r="3407" spans="3:5" x14ac:dyDescent="0.25">
      <c r="C3407" s="13"/>
      <c r="E3407" s="4"/>
    </row>
    <row r="3408" spans="3:5" x14ac:dyDescent="0.25">
      <c r="C3408" s="13"/>
      <c r="E3408" s="4"/>
    </row>
    <row r="3409" spans="3:5" x14ac:dyDescent="0.25">
      <c r="C3409" s="13"/>
      <c r="E3409" s="4"/>
    </row>
    <row r="3410" spans="3:5" x14ac:dyDescent="0.25">
      <c r="C3410" s="13"/>
      <c r="E3410" s="4"/>
    </row>
    <row r="3411" spans="3:5" x14ac:dyDescent="0.25">
      <c r="C3411" s="13"/>
      <c r="E3411" s="4"/>
    </row>
    <row r="3412" spans="3:5" x14ac:dyDescent="0.25">
      <c r="C3412" s="13"/>
      <c r="E3412" s="4"/>
    </row>
    <row r="3413" spans="3:5" x14ac:dyDescent="0.25">
      <c r="C3413" s="13"/>
      <c r="E3413" s="4"/>
    </row>
    <row r="3414" spans="3:5" x14ac:dyDescent="0.25">
      <c r="C3414" s="13"/>
      <c r="E3414" s="4"/>
    </row>
    <row r="3415" spans="3:5" x14ac:dyDescent="0.25">
      <c r="C3415" s="13"/>
      <c r="E3415" s="4"/>
    </row>
    <row r="3416" spans="3:5" x14ac:dyDescent="0.25">
      <c r="C3416" s="13"/>
      <c r="E3416" s="4"/>
    </row>
    <row r="3417" spans="3:5" x14ac:dyDescent="0.25">
      <c r="C3417" s="13"/>
      <c r="E3417" s="4"/>
    </row>
    <row r="3418" spans="3:5" x14ac:dyDescent="0.25">
      <c r="C3418" s="13"/>
      <c r="E3418" s="4"/>
    </row>
    <row r="3419" spans="3:5" x14ac:dyDescent="0.25">
      <c r="C3419" s="13"/>
      <c r="E3419" s="4"/>
    </row>
    <row r="3420" spans="3:5" x14ac:dyDescent="0.25">
      <c r="C3420" s="13"/>
      <c r="E3420" s="4"/>
    </row>
    <row r="3421" spans="3:5" x14ac:dyDescent="0.25">
      <c r="C3421" s="13"/>
      <c r="E3421" s="4"/>
    </row>
    <row r="3422" spans="3:5" x14ac:dyDescent="0.25">
      <c r="C3422" s="13"/>
      <c r="E3422" s="4"/>
    </row>
    <row r="3423" spans="3:5" x14ac:dyDescent="0.25">
      <c r="C3423" s="13"/>
      <c r="E3423" s="4"/>
    </row>
    <row r="3424" spans="3:5" x14ac:dyDescent="0.25">
      <c r="C3424" s="13"/>
      <c r="E3424" s="4"/>
    </row>
    <row r="3425" spans="3:5" x14ac:dyDescent="0.25">
      <c r="C3425" s="13"/>
      <c r="E3425" s="4"/>
    </row>
    <row r="3426" spans="3:5" x14ac:dyDescent="0.25">
      <c r="C3426" s="13"/>
      <c r="E3426" s="4"/>
    </row>
    <row r="3427" spans="3:5" x14ac:dyDescent="0.25">
      <c r="C3427" s="13"/>
      <c r="E3427" s="4"/>
    </row>
    <row r="3428" spans="3:5" x14ac:dyDescent="0.25">
      <c r="C3428" s="13"/>
      <c r="E3428" s="4"/>
    </row>
    <row r="3429" spans="3:5" x14ac:dyDescent="0.25">
      <c r="C3429" s="13"/>
      <c r="E3429" s="4"/>
    </row>
    <row r="3430" spans="3:5" x14ac:dyDescent="0.25">
      <c r="C3430" s="13"/>
      <c r="E3430" s="4"/>
    </row>
    <row r="3431" spans="3:5" x14ac:dyDescent="0.25">
      <c r="C3431" s="13"/>
      <c r="E3431" s="4"/>
    </row>
    <row r="3432" spans="3:5" x14ac:dyDescent="0.25">
      <c r="C3432" s="13"/>
      <c r="E3432" s="4"/>
    </row>
    <row r="3433" spans="3:5" x14ac:dyDescent="0.25">
      <c r="C3433" s="13"/>
      <c r="E3433" s="4"/>
    </row>
    <row r="3434" spans="3:5" x14ac:dyDescent="0.25">
      <c r="C3434" s="13"/>
      <c r="E3434" s="4"/>
    </row>
    <row r="3435" spans="3:5" x14ac:dyDescent="0.25">
      <c r="C3435" s="13"/>
      <c r="E3435" s="4"/>
    </row>
    <row r="3436" spans="3:5" x14ac:dyDescent="0.25">
      <c r="C3436" s="13"/>
      <c r="E3436" s="4"/>
    </row>
    <row r="3437" spans="3:5" x14ac:dyDescent="0.25">
      <c r="C3437" s="13"/>
      <c r="E3437" s="4"/>
    </row>
    <row r="3438" spans="3:5" x14ac:dyDescent="0.25">
      <c r="C3438" s="13"/>
      <c r="E3438" s="4"/>
    </row>
    <row r="3439" spans="3:5" x14ac:dyDescent="0.25">
      <c r="C3439" s="13"/>
      <c r="E3439" s="4"/>
    </row>
    <row r="3440" spans="3:5" x14ac:dyDescent="0.25">
      <c r="C3440" s="13"/>
      <c r="E3440" s="4"/>
    </row>
    <row r="3441" spans="3:5" x14ac:dyDescent="0.25">
      <c r="C3441" s="13"/>
      <c r="E3441" s="4"/>
    </row>
    <row r="3442" spans="3:5" x14ac:dyDescent="0.25">
      <c r="C3442" s="13"/>
      <c r="E3442" s="4"/>
    </row>
    <row r="3443" spans="3:5" x14ac:dyDescent="0.25">
      <c r="C3443" s="13"/>
      <c r="E3443" s="4"/>
    </row>
    <row r="3444" spans="3:5" x14ac:dyDescent="0.25">
      <c r="C3444" s="13"/>
      <c r="E3444" s="4"/>
    </row>
    <row r="3445" spans="3:5" x14ac:dyDescent="0.25">
      <c r="C3445" s="13"/>
      <c r="E3445" s="4"/>
    </row>
    <row r="3446" spans="3:5" x14ac:dyDescent="0.25">
      <c r="C3446" s="13"/>
      <c r="E3446" s="4"/>
    </row>
    <row r="3447" spans="3:5" x14ac:dyDescent="0.25">
      <c r="C3447" s="13"/>
      <c r="E3447" s="4"/>
    </row>
    <row r="3448" spans="3:5" x14ac:dyDescent="0.25">
      <c r="C3448" s="13"/>
      <c r="E3448" s="4"/>
    </row>
    <row r="3449" spans="3:5" x14ac:dyDescent="0.25">
      <c r="C3449" s="13"/>
      <c r="E3449" s="4"/>
    </row>
    <row r="3450" spans="3:5" x14ac:dyDescent="0.25">
      <c r="C3450" s="13"/>
      <c r="E3450" s="4"/>
    </row>
    <row r="3451" spans="3:5" x14ac:dyDescent="0.25">
      <c r="C3451" s="13"/>
      <c r="E3451" s="4"/>
    </row>
    <row r="3452" spans="3:5" x14ac:dyDescent="0.25">
      <c r="C3452" s="13"/>
      <c r="E3452" s="4"/>
    </row>
    <row r="3453" spans="3:5" x14ac:dyDescent="0.25">
      <c r="C3453" s="13"/>
      <c r="E3453" s="4"/>
    </row>
    <row r="3454" spans="3:5" x14ac:dyDescent="0.25">
      <c r="C3454" s="13"/>
      <c r="E3454" s="4"/>
    </row>
    <row r="3455" spans="3:5" x14ac:dyDescent="0.25">
      <c r="C3455" s="13"/>
      <c r="E3455" s="4"/>
    </row>
    <row r="3456" spans="3:5" x14ac:dyDescent="0.25">
      <c r="C3456" s="13"/>
      <c r="E3456" s="4"/>
    </row>
    <row r="3457" spans="3:5" x14ac:dyDescent="0.25">
      <c r="C3457" s="13"/>
      <c r="E3457" s="4"/>
    </row>
    <row r="3458" spans="3:5" x14ac:dyDescent="0.25">
      <c r="C3458" s="13"/>
      <c r="E3458" s="4"/>
    </row>
    <row r="3459" spans="3:5" x14ac:dyDescent="0.25">
      <c r="C3459" s="13"/>
      <c r="E3459" s="4"/>
    </row>
    <row r="3460" spans="3:5" x14ac:dyDescent="0.25">
      <c r="C3460" s="13"/>
      <c r="E3460" s="4"/>
    </row>
    <row r="3461" spans="3:5" x14ac:dyDescent="0.25">
      <c r="C3461" s="13"/>
      <c r="E3461" s="4"/>
    </row>
    <row r="3462" spans="3:5" x14ac:dyDescent="0.25">
      <c r="C3462" s="13"/>
      <c r="E3462" s="4"/>
    </row>
    <row r="3463" spans="3:5" x14ac:dyDescent="0.25">
      <c r="C3463" s="13"/>
      <c r="E3463" s="4"/>
    </row>
    <row r="3464" spans="3:5" x14ac:dyDescent="0.25">
      <c r="C3464" s="13"/>
      <c r="E3464" s="4"/>
    </row>
    <row r="3465" spans="3:5" x14ac:dyDescent="0.25">
      <c r="C3465" s="13"/>
      <c r="E3465" s="4"/>
    </row>
    <row r="3466" spans="3:5" x14ac:dyDescent="0.25">
      <c r="C3466" s="13"/>
      <c r="E3466" s="4"/>
    </row>
    <row r="3467" spans="3:5" x14ac:dyDescent="0.25">
      <c r="C3467" s="13"/>
      <c r="E3467" s="4"/>
    </row>
    <row r="3468" spans="3:5" x14ac:dyDescent="0.25">
      <c r="C3468" s="13"/>
      <c r="E3468" s="4"/>
    </row>
    <row r="3469" spans="3:5" x14ac:dyDescent="0.25">
      <c r="C3469" s="13"/>
      <c r="E3469" s="4"/>
    </row>
    <row r="3470" spans="3:5" x14ac:dyDescent="0.25">
      <c r="C3470" s="13"/>
      <c r="E3470" s="4"/>
    </row>
    <row r="3471" spans="3:5" x14ac:dyDescent="0.25">
      <c r="C3471" s="13"/>
      <c r="E3471" s="4"/>
    </row>
    <row r="3472" spans="3:5" x14ac:dyDescent="0.25">
      <c r="C3472" s="13"/>
      <c r="E3472" s="4"/>
    </row>
    <row r="3473" spans="3:5" x14ac:dyDescent="0.25">
      <c r="C3473" s="13"/>
      <c r="E3473" s="4"/>
    </row>
    <row r="3474" spans="3:5" x14ac:dyDescent="0.25">
      <c r="C3474" s="13"/>
      <c r="E3474" s="4"/>
    </row>
    <row r="3475" spans="3:5" x14ac:dyDescent="0.25">
      <c r="C3475" s="13"/>
      <c r="E3475" s="4"/>
    </row>
    <row r="3476" spans="3:5" x14ac:dyDescent="0.25">
      <c r="C3476" s="13"/>
      <c r="E3476" s="4"/>
    </row>
    <row r="3477" spans="3:5" x14ac:dyDescent="0.25">
      <c r="C3477" s="13"/>
      <c r="E3477" s="4"/>
    </row>
    <row r="3478" spans="3:5" x14ac:dyDescent="0.25">
      <c r="C3478" s="13"/>
      <c r="E3478" s="4"/>
    </row>
    <row r="3479" spans="3:5" x14ac:dyDescent="0.25">
      <c r="C3479" s="13"/>
      <c r="E3479" s="4"/>
    </row>
    <row r="3480" spans="3:5" x14ac:dyDescent="0.25">
      <c r="C3480" s="13"/>
      <c r="E3480" s="4"/>
    </row>
    <row r="3481" spans="3:5" x14ac:dyDescent="0.25">
      <c r="C3481" s="13"/>
      <c r="E3481" s="4"/>
    </row>
    <row r="3482" spans="3:5" x14ac:dyDescent="0.25">
      <c r="C3482" s="13"/>
      <c r="E3482" s="4"/>
    </row>
    <row r="3483" spans="3:5" x14ac:dyDescent="0.25">
      <c r="C3483" s="13"/>
      <c r="E3483" s="4"/>
    </row>
    <row r="3484" spans="3:5" x14ac:dyDescent="0.25">
      <c r="C3484" s="13"/>
      <c r="E3484" s="4"/>
    </row>
    <row r="3485" spans="3:5" x14ac:dyDescent="0.25">
      <c r="C3485" s="13"/>
      <c r="E3485" s="4"/>
    </row>
    <row r="3486" spans="3:5" x14ac:dyDescent="0.25">
      <c r="C3486" s="13"/>
      <c r="E3486" s="4"/>
    </row>
    <row r="3487" spans="3:5" x14ac:dyDescent="0.25">
      <c r="C3487" s="13"/>
      <c r="E3487" s="4"/>
    </row>
    <row r="3488" spans="3:5" x14ac:dyDescent="0.25">
      <c r="C3488" s="13"/>
      <c r="E3488" s="4"/>
    </row>
    <row r="3489" spans="3:5" x14ac:dyDescent="0.25">
      <c r="C3489" s="13"/>
      <c r="E3489" s="4"/>
    </row>
    <row r="3490" spans="3:5" x14ac:dyDescent="0.25">
      <c r="C3490" s="13"/>
      <c r="E3490" s="4"/>
    </row>
    <row r="3491" spans="3:5" x14ac:dyDescent="0.25">
      <c r="C3491" s="13"/>
      <c r="E3491" s="4"/>
    </row>
    <row r="3492" spans="3:5" x14ac:dyDescent="0.25">
      <c r="C3492" s="13"/>
      <c r="E3492" s="4"/>
    </row>
    <row r="3493" spans="3:5" x14ac:dyDescent="0.25">
      <c r="C3493" s="13"/>
      <c r="E3493" s="4"/>
    </row>
    <row r="3494" spans="3:5" x14ac:dyDescent="0.25">
      <c r="C3494" s="13"/>
      <c r="E3494" s="4"/>
    </row>
    <row r="3495" spans="3:5" x14ac:dyDescent="0.25">
      <c r="C3495" s="13"/>
      <c r="E3495" s="4"/>
    </row>
    <row r="3496" spans="3:5" x14ac:dyDescent="0.25">
      <c r="C3496" s="13"/>
      <c r="E3496" s="4"/>
    </row>
    <row r="3497" spans="3:5" x14ac:dyDescent="0.25">
      <c r="C3497" s="13"/>
      <c r="E3497" s="4"/>
    </row>
    <row r="3498" spans="3:5" x14ac:dyDescent="0.25">
      <c r="C3498" s="13"/>
      <c r="E3498" s="4"/>
    </row>
    <row r="3499" spans="3:5" x14ac:dyDescent="0.25">
      <c r="C3499" s="13"/>
      <c r="E3499" s="4"/>
    </row>
    <row r="3500" spans="3:5" x14ac:dyDescent="0.25">
      <c r="C3500" s="13"/>
      <c r="E3500" s="4"/>
    </row>
    <row r="3501" spans="3:5" x14ac:dyDescent="0.25">
      <c r="C3501" s="13"/>
      <c r="E3501" s="4"/>
    </row>
    <row r="3502" spans="3:5" x14ac:dyDescent="0.25">
      <c r="C3502" s="13"/>
      <c r="E3502" s="4"/>
    </row>
    <row r="3503" spans="3:5" x14ac:dyDescent="0.25">
      <c r="C3503" s="13"/>
      <c r="E3503" s="4"/>
    </row>
    <row r="3504" spans="3:5" x14ac:dyDescent="0.25">
      <c r="C3504" s="13"/>
      <c r="E3504" s="4"/>
    </row>
    <row r="3505" spans="3:5" x14ac:dyDescent="0.25">
      <c r="C3505" s="13"/>
      <c r="E3505" s="4"/>
    </row>
    <row r="3506" spans="3:5" x14ac:dyDescent="0.25">
      <c r="C3506" s="13"/>
      <c r="E3506" s="4"/>
    </row>
    <row r="3507" spans="3:5" x14ac:dyDescent="0.25">
      <c r="C3507" s="13"/>
      <c r="E3507" s="4"/>
    </row>
    <row r="3508" spans="3:5" x14ac:dyDescent="0.25">
      <c r="C3508" s="13"/>
      <c r="E3508" s="4"/>
    </row>
    <row r="3509" spans="3:5" x14ac:dyDescent="0.25">
      <c r="C3509" s="13"/>
      <c r="E3509" s="4"/>
    </row>
    <row r="3510" spans="3:5" x14ac:dyDescent="0.25">
      <c r="C3510" s="13"/>
      <c r="E3510" s="4"/>
    </row>
    <row r="3511" spans="3:5" x14ac:dyDescent="0.25">
      <c r="C3511" s="13"/>
      <c r="E3511" s="4"/>
    </row>
    <row r="3512" spans="3:5" x14ac:dyDescent="0.25">
      <c r="C3512" s="13"/>
      <c r="E3512" s="4"/>
    </row>
    <row r="3513" spans="3:5" x14ac:dyDescent="0.25">
      <c r="C3513" s="13"/>
      <c r="E3513" s="4"/>
    </row>
    <row r="3514" spans="3:5" x14ac:dyDescent="0.25">
      <c r="C3514" s="13"/>
      <c r="E3514" s="4"/>
    </row>
    <row r="3515" spans="3:5" x14ac:dyDescent="0.25">
      <c r="C3515" s="13"/>
      <c r="E3515" s="4"/>
    </row>
    <row r="3516" spans="3:5" x14ac:dyDescent="0.25">
      <c r="C3516" s="13"/>
      <c r="E3516" s="4"/>
    </row>
    <row r="3517" spans="3:5" x14ac:dyDescent="0.25">
      <c r="C3517" s="13"/>
      <c r="E3517" s="4"/>
    </row>
    <row r="3518" spans="3:5" x14ac:dyDescent="0.25">
      <c r="C3518" s="13"/>
      <c r="E3518" s="4"/>
    </row>
    <row r="3519" spans="3:5" x14ac:dyDescent="0.25">
      <c r="C3519" s="13"/>
      <c r="E3519" s="4"/>
    </row>
    <row r="3520" spans="3:5" x14ac:dyDescent="0.25">
      <c r="C3520" s="13"/>
      <c r="E3520" s="4"/>
    </row>
    <row r="3521" spans="3:5" x14ac:dyDescent="0.25">
      <c r="C3521" s="13"/>
      <c r="E3521" s="4"/>
    </row>
    <row r="3522" spans="3:5" x14ac:dyDescent="0.25">
      <c r="C3522" s="13"/>
      <c r="E3522" s="4"/>
    </row>
    <row r="3523" spans="3:5" x14ac:dyDescent="0.25">
      <c r="C3523" s="13"/>
      <c r="E3523" s="4"/>
    </row>
    <row r="3524" spans="3:5" x14ac:dyDescent="0.25">
      <c r="C3524" s="13"/>
      <c r="E3524" s="4"/>
    </row>
    <row r="3525" spans="3:5" x14ac:dyDescent="0.25">
      <c r="C3525" s="13"/>
      <c r="E3525" s="4"/>
    </row>
    <row r="3526" spans="3:5" x14ac:dyDescent="0.25">
      <c r="C3526" s="13"/>
      <c r="E3526" s="4"/>
    </row>
    <row r="3527" spans="3:5" x14ac:dyDescent="0.25">
      <c r="C3527" s="13"/>
      <c r="E3527" s="4"/>
    </row>
    <row r="3528" spans="3:5" x14ac:dyDescent="0.25">
      <c r="C3528" s="13"/>
      <c r="E3528" s="4"/>
    </row>
    <row r="3529" spans="3:5" x14ac:dyDescent="0.25">
      <c r="C3529" s="13"/>
      <c r="E3529" s="4"/>
    </row>
    <row r="3530" spans="3:5" x14ac:dyDescent="0.25">
      <c r="C3530" s="13"/>
      <c r="E3530" s="4"/>
    </row>
    <row r="3531" spans="3:5" x14ac:dyDescent="0.25">
      <c r="C3531" s="13"/>
      <c r="E3531" s="4"/>
    </row>
    <row r="3532" spans="3:5" x14ac:dyDescent="0.25">
      <c r="C3532" s="13"/>
      <c r="E3532" s="4"/>
    </row>
    <row r="3533" spans="3:5" x14ac:dyDescent="0.25">
      <c r="C3533" s="13"/>
      <c r="E3533" s="4"/>
    </row>
    <row r="3534" spans="3:5" x14ac:dyDescent="0.25">
      <c r="C3534" s="13"/>
      <c r="E3534" s="4"/>
    </row>
    <row r="3535" spans="3:5" x14ac:dyDescent="0.25">
      <c r="C3535" s="13"/>
      <c r="E3535" s="4"/>
    </row>
    <row r="3536" spans="3:5" x14ac:dyDescent="0.25">
      <c r="C3536" s="13"/>
      <c r="E3536" s="4"/>
    </row>
    <row r="3537" spans="3:5" x14ac:dyDescent="0.25">
      <c r="C3537" s="13"/>
      <c r="E3537" s="4"/>
    </row>
    <row r="3538" spans="3:5" x14ac:dyDescent="0.25">
      <c r="C3538" s="13"/>
      <c r="E3538" s="4"/>
    </row>
    <row r="3539" spans="3:5" x14ac:dyDescent="0.25">
      <c r="C3539" s="13"/>
      <c r="E3539" s="4"/>
    </row>
    <row r="3540" spans="3:5" x14ac:dyDescent="0.25">
      <c r="C3540" s="13"/>
      <c r="E3540" s="4"/>
    </row>
    <row r="3541" spans="3:5" x14ac:dyDescent="0.25">
      <c r="C3541" s="13"/>
      <c r="E3541" s="4"/>
    </row>
    <row r="3542" spans="3:5" x14ac:dyDescent="0.25">
      <c r="C3542" s="13"/>
      <c r="E3542" s="4"/>
    </row>
    <row r="3543" spans="3:5" x14ac:dyDescent="0.25">
      <c r="C3543" s="13"/>
      <c r="E3543" s="4"/>
    </row>
    <row r="3544" spans="3:5" x14ac:dyDescent="0.25">
      <c r="C3544" s="13"/>
      <c r="E3544" s="4"/>
    </row>
    <row r="3545" spans="3:5" x14ac:dyDescent="0.25">
      <c r="C3545" s="13"/>
      <c r="E3545" s="4"/>
    </row>
    <row r="3546" spans="3:5" x14ac:dyDescent="0.25">
      <c r="C3546" s="13"/>
      <c r="E3546" s="4"/>
    </row>
    <row r="3547" spans="3:5" x14ac:dyDescent="0.25">
      <c r="C3547" s="13"/>
      <c r="E3547" s="4"/>
    </row>
    <row r="3548" spans="3:5" x14ac:dyDescent="0.25">
      <c r="C3548" s="13"/>
      <c r="E3548" s="4"/>
    </row>
    <row r="3549" spans="3:5" x14ac:dyDescent="0.25">
      <c r="C3549" s="13"/>
      <c r="E3549" s="4"/>
    </row>
    <row r="3550" spans="3:5" x14ac:dyDescent="0.25">
      <c r="C3550" s="13"/>
      <c r="E3550" s="4"/>
    </row>
    <row r="3551" spans="3:5" x14ac:dyDescent="0.25">
      <c r="C3551" s="13"/>
      <c r="E3551" s="4"/>
    </row>
    <row r="3552" spans="3:5" x14ac:dyDescent="0.25">
      <c r="C3552" s="13"/>
      <c r="E3552" s="4"/>
    </row>
    <row r="3553" spans="3:5" x14ac:dyDescent="0.25">
      <c r="C3553" s="13"/>
      <c r="E3553" s="4"/>
    </row>
    <row r="3554" spans="3:5" x14ac:dyDescent="0.25">
      <c r="C3554" s="13"/>
      <c r="E3554" s="4"/>
    </row>
    <row r="3555" spans="3:5" x14ac:dyDescent="0.25">
      <c r="C3555" s="13"/>
      <c r="E3555" s="4"/>
    </row>
    <row r="3556" spans="3:5" x14ac:dyDescent="0.25">
      <c r="C3556" s="13"/>
      <c r="E3556" s="4"/>
    </row>
    <row r="3557" spans="3:5" x14ac:dyDescent="0.25">
      <c r="C3557" s="13"/>
      <c r="E3557" s="4"/>
    </row>
    <row r="3558" spans="3:5" x14ac:dyDescent="0.25">
      <c r="C3558" s="13"/>
      <c r="E3558" s="4"/>
    </row>
    <row r="3559" spans="3:5" x14ac:dyDescent="0.25">
      <c r="C3559" s="13"/>
      <c r="E3559" s="4"/>
    </row>
    <row r="3560" spans="3:5" x14ac:dyDescent="0.25">
      <c r="C3560" s="13"/>
      <c r="E3560" s="4"/>
    </row>
    <row r="3561" spans="3:5" x14ac:dyDescent="0.25">
      <c r="C3561" s="13"/>
      <c r="E3561" s="4"/>
    </row>
    <row r="3562" spans="3:5" x14ac:dyDescent="0.25">
      <c r="C3562" s="13"/>
      <c r="E3562" s="4"/>
    </row>
    <row r="3563" spans="3:5" x14ac:dyDescent="0.25">
      <c r="C3563" s="13"/>
      <c r="E3563" s="4"/>
    </row>
    <row r="3564" spans="3:5" x14ac:dyDescent="0.25">
      <c r="C3564" s="13"/>
      <c r="E3564" s="4"/>
    </row>
    <row r="3565" spans="3:5" x14ac:dyDescent="0.25">
      <c r="C3565" s="13"/>
      <c r="E3565" s="4"/>
    </row>
    <row r="3566" spans="3:5" x14ac:dyDescent="0.25">
      <c r="C3566" s="13"/>
      <c r="E3566" s="4"/>
    </row>
    <row r="3567" spans="3:5" x14ac:dyDescent="0.25">
      <c r="C3567" s="13"/>
      <c r="E3567" s="4"/>
    </row>
    <row r="3568" spans="3:5" x14ac:dyDescent="0.25">
      <c r="C3568" s="13"/>
      <c r="E3568" s="4"/>
    </row>
    <row r="3569" spans="3:5" x14ac:dyDescent="0.25">
      <c r="C3569" s="13"/>
      <c r="E3569" s="4"/>
    </row>
    <row r="3570" spans="3:5" x14ac:dyDescent="0.25">
      <c r="C3570" s="13"/>
      <c r="E3570" s="4"/>
    </row>
    <row r="3571" spans="3:5" x14ac:dyDescent="0.25">
      <c r="C3571" s="13"/>
      <c r="E3571" s="4"/>
    </row>
    <row r="3572" spans="3:5" x14ac:dyDescent="0.25">
      <c r="C3572" s="13"/>
      <c r="E3572" s="4"/>
    </row>
    <row r="3573" spans="3:5" x14ac:dyDescent="0.25">
      <c r="C3573" s="13"/>
      <c r="E3573" s="4"/>
    </row>
    <row r="3574" spans="3:5" x14ac:dyDescent="0.25">
      <c r="C3574" s="13"/>
      <c r="E3574" s="4"/>
    </row>
    <row r="3575" spans="3:5" x14ac:dyDescent="0.25">
      <c r="C3575" s="13"/>
      <c r="E3575" s="4"/>
    </row>
    <row r="3576" spans="3:5" x14ac:dyDescent="0.25">
      <c r="C3576" s="13"/>
      <c r="E3576" s="4"/>
    </row>
    <row r="3577" spans="3:5" x14ac:dyDescent="0.25">
      <c r="C3577" s="13"/>
      <c r="E3577" s="4"/>
    </row>
    <row r="3578" spans="3:5" x14ac:dyDescent="0.25">
      <c r="C3578" s="13"/>
      <c r="E3578" s="4"/>
    </row>
    <row r="3579" spans="3:5" x14ac:dyDescent="0.25">
      <c r="C3579" s="13"/>
      <c r="E3579" s="4"/>
    </row>
    <row r="3580" spans="3:5" x14ac:dyDescent="0.25">
      <c r="C3580" s="13"/>
      <c r="E3580" s="4"/>
    </row>
    <row r="3581" spans="3:5" x14ac:dyDescent="0.25">
      <c r="C3581" s="13"/>
      <c r="E3581" s="4"/>
    </row>
    <row r="3582" spans="3:5" x14ac:dyDescent="0.25">
      <c r="C3582" s="13"/>
      <c r="E3582" s="4"/>
    </row>
    <row r="3583" spans="3:5" x14ac:dyDescent="0.25">
      <c r="C3583" s="13"/>
      <c r="E3583" s="4"/>
    </row>
    <row r="3584" spans="3:5" x14ac:dyDescent="0.25">
      <c r="C3584" s="13"/>
      <c r="E3584" s="4"/>
    </row>
    <row r="3585" spans="3:5" x14ac:dyDescent="0.25">
      <c r="C3585" s="13"/>
      <c r="E3585" s="4"/>
    </row>
    <row r="3586" spans="3:5" x14ac:dyDescent="0.25">
      <c r="C3586" s="13"/>
      <c r="E3586" s="4"/>
    </row>
    <row r="3587" spans="3:5" x14ac:dyDescent="0.25">
      <c r="C3587" s="13"/>
      <c r="E3587" s="4"/>
    </row>
    <row r="3588" spans="3:5" x14ac:dyDescent="0.25">
      <c r="C3588" s="13"/>
      <c r="E3588" s="4"/>
    </row>
    <row r="3589" spans="3:5" x14ac:dyDescent="0.25">
      <c r="C3589" s="13"/>
      <c r="E3589" s="4"/>
    </row>
    <row r="3590" spans="3:5" x14ac:dyDescent="0.25">
      <c r="C3590" s="13"/>
      <c r="E3590" s="4"/>
    </row>
    <row r="3591" spans="3:5" x14ac:dyDescent="0.25">
      <c r="C3591" s="13"/>
      <c r="E3591" s="4"/>
    </row>
    <row r="3592" spans="3:5" x14ac:dyDescent="0.25">
      <c r="C3592" s="13"/>
      <c r="E3592" s="4"/>
    </row>
    <row r="3593" spans="3:5" x14ac:dyDescent="0.25">
      <c r="C3593" s="13"/>
      <c r="E3593" s="4"/>
    </row>
    <row r="3594" spans="3:5" x14ac:dyDescent="0.25">
      <c r="C3594" s="13"/>
      <c r="E3594" s="4"/>
    </row>
    <row r="3595" spans="3:5" x14ac:dyDescent="0.25">
      <c r="C3595" s="13"/>
      <c r="E3595" s="4"/>
    </row>
    <row r="3596" spans="3:5" x14ac:dyDescent="0.25">
      <c r="C3596" s="13"/>
      <c r="E3596" s="4"/>
    </row>
    <row r="3597" spans="3:5" x14ac:dyDescent="0.25">
      <c r="C3597" s="13"/>
      <c r="E3597" s="4"/>
    </row>
    <row r="3598" spans="3:5" x14ac:dyDescent="0.25">
      <c r="C3598" s="13"/>
      <c r="E3598" s="4"/>
    </row>
    <row r="3599" spans="3:5" x14ac:dyDescent="0.25">
      <c r="C3599" s="13"/>
      <c r="E3599" s="4"/>
    </row>
    <row r="3600" spans="3:5" x14ac:dyDescent="0.25">
      <c r="C3600" s="13"/>
      <c r="E3600" s="4"/>
    </row>
    <row r="3601" spans="3:5" x14ac:dyDescent="0.25">
      <c r="C3601" s="13"/>
      <c r="E3601" s="4"/>
    </row>
    <row r="3602" spans="3:5" x14ac:dyDescent="0.25">
      <c r="C3602" s="13"/>
      <c r="E3602" s="4"/>
    </row>
    <row r="3603" spans="3:5" x14ac:dyDescent="0.25">
      <c r="C3603" s="13"/>
      <c r="E3603" s="4"/>
    </row>
    <row r="3604" spans="3:5" x14ac:dyDescent="0.25">
      <c r="C3604" s="13"/>
      <c r="E3604" s="4"/>
    </row>
    <row r="3605" spans="3:5" x14ac:dyDescent="0.25">
      <c r="C3605" s="13"/>
      <c r="E3605" s="4"/>
    </row>
    <row r="3606" spans="3:5" x14ac:dyDescent="0.25">
      <c r="C3606" s="13"/>
      <c r="E3606" s="4"/>
    </row>
    <row r="3607" spans="3:5" x14ac:dyDescent="0.25">
      <c r="C3607" s="13"/>
      <c r="E3607" s="4"/>
    </row>
    <row r="3608" spans="3:5" x14ac:dyDescent="0.25">
      <c r="C3608" s="13"/>
      <c r="E3608" s="4"/>
    </row>
    <row r="3609" spans="3:5" x14ac:dyDescent="0.25">
      <c r="C3609" s="13"/>
      <c r="E3609" s="4"/>
    </row>
    <row r="3610" spans="3:5" x14ac:dyDescent="0.25">
      <c r="C3610" s="13"/>
      <c r="E3610" s="4"/>
    </row>
    <row r="3611" spans="3:5" x14ac:dyDescent="0.25">
      <c r="C3611" s="13"/>
      <c r="E3611" s="4"/>
    </row>
    <row r="3612" spans="3:5" x14ac:dyDescent="0.25">
      <c r="C3612" s="13"/>
      <c r="E3612" s="4"/>
    </row>
    <row r="3613" spans="3:5" x14ac:dyDescent="0.25">
      <c r="C3613" s="13"/>
      <c r="E3613" s="4"/>
    </row>
    <row r="3614" spans="3:5" x14ac:dyDescent="0.25">
      <c r="C3614" s="13"/>
      <c r="E3614" s="4"/>
    </row>
    <row r="3615" spans="3:5" x14ac:dyDescent="0.25">
      <c r="C3615" s="13"/>
      <c r="E3615" s="4"/>
    </row>
    <row r="3616" spans="3:5" x14ac:dyDescent="0.25">
      <c r="C3616" s="13"/>
      <c r="E3616" s="4"/>
    </row>
    <row r="3617" spans="3:5" x14ac:dyDescent="0.25">
      <c r="C3617" s="13"/>
      <c r="E3617" s="4"/>
    </row>
    <row r="3618" spans="3:5" x14ac:dyDescent="0.25">
      <c r="C3618" s="13"/>
      <c r="E3618" s="4"/>
    </row>
    <row r="3619" spans="3:5" x14ac:dyDescent="0.25">
      <c r="C3619" s="13"/>
      <c r="E3619" s="4"/>
    </row>
    <row r="3620" spans="3:5" x14ac:dyDescent="0.25">
      <c r="C3620" s="13"/>
      <c r="E3620" s="4"/>
    </row>
    <row r="3621" spans="3:5" x14ac:dyDescent="0.25">
      <c r="C3621" s="13"/>
      <c r="E3621" s="4"/>
    </row>
    <row r="3622" spans="3:5" x14ac:dyDescent="0.25">
      <c r="C3622" s="13"/>
      <c r="E3622" s="4"/>
    </row>
    <row r="3623" spans="3:5" x14ac:dyDescent="0.25">
      <c r="C3623" s="13"/>
      <c r="E3623" s="4"/>
    </row>
    <row r="3624" spans="3:5" x14ac:dyDescent="0.25">
      <c r="C3624" s="13"/>
      <c r="E3624" s="4"/>
    </row>
    <row r="3625" spans="3:5" x14ac:dyDescent="0.25">
      <c r="C3625" s="13"/>
      <c r="E3625" s="4"/>
    </row>
    <row r="3626" spans="3:5" x14ac:dyDescent="0.25">
      <c r="C3626" s="13"/>
      <c r="E3626" s="4"/>
    </row>
    <row r="3627" spans="3:5" x14ac:dyDescent="0.25">
      <c r="C3627" s="13"/>
      <c r="E3627" s="4"/>
    </row>
    <row r="3628" spans="3:5" x14ac:dyDescent="0.25">
      <c r="C3628" s="13"/>
      <c r="E3628" s="4"/>
    </row>
    <row r="3629" spans="3:5" x14ac:dyDescent="0.25">
      <c r="C3629" s="13"/>
      <c r="E3629" s="4"/>
    </row>
    <row r="3630" spans="3:5" x14ac:dyDescent="0.25">
      <c r="C3630" s="13"/>
      <c r="E3630" s="4"/>
    </row>
    <row r="3631" spans="3:5" x14ac:dyDescent="0.25">
      <c r="C3631" s="13"/>
      <c r="E3631" s="4"/>
    </row>
    <row r="3632" spans="3:5" x14ac:dyDescent="0.25">
      <c r="C3632" s="13"/>
      <c r="E3632" s="4"/>
    </row>
    <row r="3633" spans="3:5" x14ac:dyDescent="0.25">
      <c r="C3633" s="13"/>
      <c r="E3633" s="4"/>
    </row>
    <row r="3634" spans="3:5" x14ac:dyDescent="0.25">
      <c r="C3634" s="13"/>
      <c r="E3634" s="4"/>
    </row>
    <row r="3635" spans="3:5" x14ac:dyDescent="0.25">
      <c r="C3635" s="13"/>
      <c r="E3635" s="4"/>
    </row>
    <row r="3636" spans="3:5" x14ac:dyDescent="0.25">
      <c r="C3636" s="13"/>
      <c r="E3636" s="4"/>
    </row>
    <row r="3637" spans="3:5" x14ac:dyDescent="0.25">
      <c r="C3637" s="13"/>
      <c r="E3637" s="4"/>
    </row>
    <row r="3638" spans="3:5" x14ac:dyDescent="0.25">
      <c r="C3638" s="13"/>
      <c r="E3638" s="4"/>
    </row>
    <row r="3639" spans="3:5" x14ac:dyDescent="0.25">
      <c r="C3639" s="13"/>
      <c r="E3639" s="4"/>
    </row>
    <row r="3640" spans="3:5" x14ac:dyDescent="0.25">
      <c r="C3640" s="13"/>
      <c r="E3640" s="4"/>
    </row>
    <row r="3641" spans="3:5" x14ac:dyDescent="0.25">
      <c r="C3641" s="13"/>
      <c r="E3641" s="4"/>
    </row>
    <row r="3642" spans="3:5" x14ac:dyDescent="0.25">
      <c r="C3642" s="13"/>
      <c r="E3642" s="4"/>
    </row>
    <row r="3643" spans="3:5" x14ac:dyDescent="0.25">
      <c r="C3643" s="13"/>
      <c r="E3643" s="4"/>
    </row>
    <row r="3644" spans="3:5" x14ac:dyDescent="0.25">
      <c r="C3644" s="13"/>
      <c r="E3644" s="4"/>
    </row>
    <row r="3645" spans="3:5" x14ac:dyDescent="0.25">
      <c r="C3645" s="13"/>
      <c r="E3645" s="4"/>
    </row>
    <row r="3646" spans="3:5" x14ac:dyDescent="0.25">
      <c r="C3646" s="13"/>
      <c r="E3646" s="4"/>
    </row>
    <row r="3647" spans="3:5" x14ac:dyDescent="0.25">
      <c r="C3647" s="13"/>
      <c r="E3647" s="4"/>
    </row>
    <row r="3648" spans="3:5" x14ac:dyDescent="0.25">
      <c r="C3648" s="13"/>
      <c r="E3648" s="4"/>
    </row>
    <row r="3649" spans="3:5" x14ac:dyDescent="0.25">
      <c r="C3649" s="13"/>
      <c r="E3649" s="4"/>
    </row>
    <row r="3650" spans="3:5" x14ac:dyDescent="0.25">
      <c r="C3650" s="13"/>
      <c r="E3650" s="4"/>
    </row>
    <row r="3651" spans="3:5" x14ac:dyDescent="0.25">
      <c r="C3651" s="13"/>
      <c r="E3651" s="4"/>
    </row>
    <row r="3652" spans="3:5" x14ac:dyDescent="0.25">
      <c r="C3652" s="13"/>
      <c r="E3652" s="4"/>
    </row>
    <row r="3653" spans="3:5" x14ac:dyDescent="0.25">
      <c r="C3653" s="13"/>
      <c r="E3653" s="4"/>
    </row>
    <row r="3654" spans="3:5" x14ac:dyDescent="0.25">
      <c r="C3654" s="13"/>
      <c r="E3654" s="4"/>
    </row>
    <row r="3655" spans="3:5" x14ac:dyDescent="0.25">
      <c r="C3655" s="13"/>
      <c r="E3655" s="4"/>
    </row>
    <row r="3656" spans="3:5" x14ac:dyDescent="0.25">
      <c r="C3656" s="13"/>
      <c r="E3656" s="4"/>
    </row>
    <row r="3657" spans="3:5" x14ac:dyDescent="0.25">
      <c r="C3657" s="13"/>
      <c r="E3657" s="4"/>
    </row>
    <row r="3658" spans="3:5" x14ac:dyDescent="0.25">
      <c r="C3658" s="13"/>
      <c r="E3658" s="4"/>
    </row>
    <row r="3659" spans="3:5" x14ac:dyDescent="0.25">
      <c r="C3659" s="13"/>
      <c r="E3659" s="4"/>
    </row>
    <row r="3660" spans="3:5" x14ac:dyDescent="0.25">
      <c r="C3660" s="13"/>
      <c r="E3660" s="4"/>
    </row>
    <row r="3661" spans="3:5" x14ac:dyDescent="0.25">
      <c r="C3661" s="13"/>
      <c r="E3661" s="4"/>
    </row>
    <row r="3662" spans="3:5" x14ac:dyDescent="0.25">
      <c r="C3662" s="13"/>
      <c r="E3662" s="4"/>
    </row>
    <row r="3663" spans="3:5" x14ac:dyDescent="0.25">
      <c r="C3663" s="13"/>
      <c r="E3663" s="4"/>
    </row>
    <row r="3664" spans="3:5" x14ac:dyDescent="0.25">
      <c r="C3664" s="13"/>
      <c r="E3664" s="4"/>
    </row>
    <row r="3665" spans="3:5" x14ac:dyDescent="0.25">
      <c r="C3665" s="13"/>
      <c r="E3665" s="4"/>
    </row>
    <row r="3666" spans="3:5" x14ac:dyDescent="0.25">
      <c r="C3666" s="13"/>
      <c r="E3666" s="4"/>
    </row>
    <row r="3667" spans="3:5" x14ac:dyDescent="0.25">
      <c r="C3667" s="13"/>
      <c r="E3667" s="4"/>
    </row>
    <row r="3668" spans="3:5" x14ac:dyDescent="0.25">
      <c r="C3668" s="13"/>
      <c r="E3668" s="4"/>
    </row>
    <row r="3669" spans="3:5" x14ac:dyDescent="0.25">
      <c r="C3669" s="13"/>
      <c r="E3669" s="4"/>
    </row>
    <row r="3670" spans="3:5" x14ac:dyDescent="0.25">
      <c r="C3670" s="13"/>
      <c r="E3670" s="4"/>
    </row>
    <row r="3671" spans="3:5" x14ac:dyDescent="0.25">
      <c r="C3671" s="13"/>
      <c r="E3671" s="4"/>
    </row>
    <row r="3672" spans="3:5" x14ac:dyDescent="0.25">
      <c r="C3672" s="13"/>
      <c r="E3672" s="4"/>
    </row>
    <row r="3673" spans="3:5" x14ac:dyDescent="0.25">
      <c r="C3673" s="13"/>
      <c r="E3673" s="4"/>
    </row>
    <row r="3674" spans="3:5" x14ac:dyDescent="0.25">
      <c r="C3674" s="13"/>
      <c r="E3674" s="4"/>
    </row>
    <row r="3675" spans="3:5" x14ac:dyDescent="0.25">
      <c r="C3675" s="13"/>
      <c r="E3675" s="4"/>
    </row>
    <row r="3676" spans="3:5" x14ac:dyDescent="0.25">
      <c r="C3676" s="13"/>
      <c r="E3676" s="4"/>
    </row>
    <row r="3677" spans="3:5" x14ac:dyDescent="0.25">
      <c r="C3677" s="13"/>
      <c r="E3677" s="4"/>
    </row>
    <row r="3678" spans="3:5" x14ac:dyDescent="0.25">
      <c r="C3678" s="13"/>
      <c r="E3678" s="4"/>
    </row>
    <row r="3679" spans="3:5" x14ac:dyDescent="0.25">
      <c r="C3679" s="13"/>
      <c r="E3679" s="4"/>
    </row>
    <row r="3680" spans="3:5" x14ac:dyDescent="0.25">
      <c r="C3680" s="13"/>
      <c r="E3680" s="4"/>
    </row>
    <row r="3681" spans="3:5" x14ac:dyDescent="0.25">
      <c r="C3681" s="13"/>
      <c r="E3681" s="4"/>
    </row>
    <row r="3682" spans="3:5" x14ac:dyDescent="0.25">
      <c r="C3682" s="13"/>
      <c r="E3682" s="4"/>
    </row>
    <row r="3683" spans="3:5" x14ac:dyDescent="0.25">
      <c r="C3683" s="13"/>
      <c r="E3683" s="4"/>
    </row>
    <row r="3684" spans="3:5" x14ac:dyDescent="0.25">
      <c r="C3684" s="13"/>
      <c r="E3684" s="4"/>
    </row>
    <row r="3685" spans="3:5" x14ac:dyDescent="0.25">
      <c r="C3685" s="13"/>
      <c r="E3685" s="4"/>
    </row>
    <row r="3686" spans="3:5" x14ac:dyDescent="0.25">
      <c r="C3686" s="13"/>
      <c r="E3686" s="4"/>
    </row>
    <row r="3687" spans="3:5" x14ac:dyDescent="0.25">
      <c r="C3687" s="13"/>
      <c r="E3687" s="4"/>
    </row>
    <row r="3688" spans="3:5" x14ac:dyDescent="0.25">
      <c r="C3688" s="13"/>
      <c r="E3688" s="4"/>
    </row>
    <row r="3689" spans="3:5" x14ac:dyDescent="0.25">
      <c r="C3689" s="13"/>
      <c r="E3689" s="4"/>
    </row>
    <row r="3690" spans="3:5" x14ac:dyDescent="0.25">
      <c r="C3690" s="13"/>
      <c r="E3690" s="4"/>
    </row>
    <row r="3691" spans="3:5" x14ac:dyDescent="0.25">
      <c r="C3691" s="13"/>
      <c r="E3691" s="4"/>
    </row>
    <row r="3692" spans="3:5" x14ac:dyDescent="0.25">
      <c r="C3692" s="13"/>
      <c r="E3692" s="4"/>
    </row>
    <row r="3693" spans="3:5" x14ac:dyDescent="0.25">
      <c r="C3693" s="13"/>
      <c r="E3693" s="4"/>
    </row>
    <row r="3694" spans="3:5" x14ac:dyDescent="0.25">
      <c r="C3694" s="13"/>
      <c r="E3694" s="4"/>
    </row>
    <row r="3695" spans="3:5" x14ac:dyDescent="0.25">
      <c r="C3695" s="13"/>
      <c r="E3695" s="4"/>
    </row>
    <row r="3696" spans="3:5" x14ac:dyDescent="0.25">
      <c r="C3696" s="13"/>
      <c r="E3696" s="4"/>
    </row>
    <row r="3697" spans="3:5" x14ac:dyDescent="0.25">
      <c r="C3697" s="13"/>
      <c r="E3697" s="4"/>
    </row>
    <row r="3698" spans="3:5" x14ac:dyDescent="0.25">
      <c r="C3698" s="13"/>
      <c r="E3698" s="4"/>
    </row>
    <row r="3699" spans="3:5" x14ac:dyDescent="0.25">
      <c r="C3699" s="13"/>
      <c r="E3699" s="4"/>
    </row>
    <row r="3700" spans="3:5" x14ac:dyDescent="0.25">
      <c r="C3700" s="13"/>
      <c r="E3700" s="4"/>
    </row>
    <row r="3701" spans="3:5" x14ac:dyDescent="0.25">
      <c r="C3701" s="13"/>
      <c r="E3701" s="4"/>
    </row>
    <row r="3702" spans="3:5" x14ac:dyDescent="0.25">
      <c r="C3702" s="13"/>
      <c r="E3702" s="4"/>
    </row>
    <row r="3703" spans="3:5" x14ac:dyDescent="0.25">
      <c r="C3703" s="13"/>
      <c r="E3703" s="4"/>
    </row>
    <row r="3704" spans="3:5" x14ac:dyDescent="0.25">
      <c r="C3704" s="13"/>
      <c r="E3704" s="4"/>
    </row>
    <row r="3705" spans="3:5" x14ac:dyDescent="0.25">
      <c r="C3705" s="13"/>
      <c r="E3705" s="4"/>
    </row>
    <row r="3706" spans="3:5" x14ac:dyDescent="0.25">
      <c r="C3706" s="13"/>
      <c r="E3706" s="4"/>
    </row>
    <row r="3707" spans="3:5" x14ac:dyDescent="0.25">
      <c r="C3707" s="13"/>
      <c r="E3707" s="4"/>
    </row>
    <row r="3708" spans="3:5" x14ac:dyDescent="0.25">
      <c r="C3708" s="13"/>
      <c r="E3708" s="4"/>
    </row>
    <row r="3709" spans="3:5" x14ac:dyDescent="0.25">
      <c r="C3709" s="13"/>
      <c r="E3709" s="4"/>
    </row>
    <row r="3710" spans="3:5" x14ac:dyDescent="0.25">
      <c r="C3710" s="13"/>
      <c r="E3710" s="4"/>
    </row>
    <row r="3711" spans="3:5" x14ac:dyDescent="0.25">
      <c r="C3711" s="13"/>
      <c r="E3711" s="4"/>
    </row>
    <row r="3712" spans="3:5" x14ac:dyDescent="0.25">
      <c r="C3712" s="13"/>
      <c r="E3712" s="4"/>
    </row>
    <row r="3713" spans="3:5" x14ac:dyDescent="0.25">
      <c r="C3713" s="13"/>
      <c r="E3713" s="4"/>
    </row>
    <row r="3714" spans="3:5" x14ac:dyDescent="0.25">
      <c r="C3714" s="13"/>
      <c r="E3714" s="4"/>
    </row>
    <row r="3715" spans="3:5" x14ac:dyDescent="0.25">
      <c r="C3715" s="13"/>
      <c r="E3715" s="4"/>
    </row>
    <row r="3716" spans="3:5" x14ac:dyDescent="0.25">
      <c r="C3716" s="13"/>
      <c r="E3716" s="4"/>
    </row>
    <row r="3717" spans="3:5" x14ac:dyDescent="0.25">
      <c r="C3717" s="13"/>
      <c r="E3717" s="4"/>
    </row>
    <row r="3718" spans="3:5" x14ac:dyDescent="0.25">
      <c r="C3718" s="13"/>
      <c r="E3718" s="4"/>
    </row>
    <row r="3719" spans="3:5" x14ac:dyDescent="0.25">
      <c r="C3719" s="13"/>
      <c r="E3719" s="4"/>
    </row>
    <row r="3720" spans="3:5" x14ac:dyDescent="0.25">
      <c r="C3720" s="13"/>
      <c r="E3720" s="4"/>
    </row>
    <row r="3721" spans="3:5" x14ac:dyDescent="0.25">
      <c r="C3721" s="13"/>
      <c r="E3721" s="4"/>
    </row>
    <row r="3722" spans="3:5" x14ac:dyDescent="0.25">
      <c r="C3722" s="13"/>
      <c r="E3722" s="4"/>
    </row>
    <row r="3723" spans="3:5" x14ac:dyDescent="0.25">
      <c r="C3723" s="13"/>
      <c r="E3723" s="4"/>
    </row>
    <row r="3724" spans="3:5" x14ac:dyDescent="0.25">
      <c r="C3724" s="13"/>
      <c r="E3724" s="4"/>
    </row>
    <row r="3725" spans="3:5" x14ac:dyDescent="0.25">
      <c r="C3725" s="13"/>
      <c r="E3725" s="4"/>
    </row>
    <row r="3726" spans="3:5" x14ac:dyDescent="0.25">
      <c r="C3726" s="13"/>
      <c r="E3726" s="4"/>
    </row>
    <row r="3727" spans="3:5" x14ac:dyDescent="0.25">
      <c r="C3727" s="13"/>
      <c r="E3727" s="4"/>
    </row>
    <row r="3728" spans="3:5" x14ac:dyDescent="0.25">
      <c r="C3728" s="13"/>
      <c r="E3728" s="4"/>
    </row>
    <row r="3729" spans="3:5" x14ac:dyDescent="0.25">
      <c r="C3729" s="13"/>
      <c r="E3729" s="4"/>
    </row>
    <row r="3730" spans="3:5" x14ac:dyDescent="0.25">
      <c r="C3730" s="13"/>
      <c r="E3730" s="4"/>
    </row>
    <row r="3731" spans="3:5" x14ac:dyDescent="0.25">
      <c r="C3731" s="13"/>
      <c r="E3731" s="4"/>
    </row>
    <row r="3732" spans="3:5" x14ac:dyDescent="0.25">
      <c r="C3732" s="13"/>
      <c r="E3732" s="4"/>
    </row>
    <row r="3733" spans="3:5" x14ac:dyDescent="0.25">
      <c r="C3733" s="13"/>
      <c r="E3733" s="4"/>
    </row>
    <row r="3734" spans="3:5" x14ac:dyDescent="0.25">
      <c r="C3734" s="13"/>
      <c r="E3734" s="4"/>
    </row>
    <row r="3735" spans="3:5" x14ac:dyDescent="0.25">
      <c r="C3735" s="13"/>
      <c r="E3735" s="4"/>
    </row>
    <row r="3736" spans="3:5" x14ac:dyDescent="0.25">
      <c r="C3736" s="13"/>
      <c r="E3736" s="4"/>
    </row>
    <row r="3737" spans="3:5" x14ac:dyDescent="0.25">
      <c r="C3737" s="13"/>
      <c r="E3737" s="4"/>
    </row>
    <row r="3738" spans="3:5" x14ac:dyDescent="0.25">
      <c r="C3738" s="13"/>
      <c r="E3738" s="4"/>
    </row>
    <row r="3739" spans="3:5" x14ac:dyDescent="0.25">
      <c r="C3739" s="13"/>
      <c r="E3739" s="4"/>
    </row>
    <row r="3740" spans="3:5" x14ac:dyDescent="0.25">
      <c r="C3740" s="13"/>
      <c r="E3740" s="4"/>
    </row>
    <row r="3741" spans="3:5" x14ac:dyDescent="0.25">
      <c r="C3741" s="13"/>
      <c r="E3741" s="4"/>
    </row>
    <row r="3742" spans="3:5" x14ac:dyDescent="0.25">
      <c r="C3742" s="13"/>
      <c r="E3742" s="4"/>
    </row>
    <row r="3743" spans="3:5" x14ac:dyDescent="0.25">
      <c r="C3743" s="13"/>
      <c r="E3743" s="4"/>
    </row>
    <row r="3744" spans="3:5" x14ac:dyDescent="0.25">
      <c r="C3744" s="13"/>
      <c r="E3744" s="4"/>
    </row>
    <row r="3745" spans="3:5" x14ac:dyDescent="0.25">
      <c r="C3745" s="13"/>
      <c r="E3745" s="4"/>
    </row>
    <row r="3746" spans="3:5" x14ac:dyDescent="0.25">
      <c r="C3746" s="13"/>
      <c r="E3746" s="4"/>
    </row>
    <row r="3747" spans="3:5" x14ac:dyDescent="0.25">
      <c r="C3747" s="13"/>
      <c r="E3747" s="4"/>
    </row>
    <row r="3748" spans="3:5" x14ac:dyDescent="0.25">
      <c r="C3748" s="13"/>
      <c r="E3748" s="4"/>
    </row>
    <row r="3749" spans="3:5" x14ac:dyDescent="0.25">
      <c r="C3749" s="13"/>
      <c r="E3749" s="4"/>
    </row>
    <row r="3750" spans="3:5" x14ac:dyDescent="0.25">
      <c r="C3750" s="13"/>
      <c r="E3750" s="4"/>
    </row>
    <row r="3751" spans="3:5" x14ac:dyDescent="0.25">
      <c r="C3751" s="13"/>
      <c r="E3751" s="4"/>
    </row>
    <row r="3752" spans="3:5" x14ac:dyDescent="0.25">
      <c r="C3752" s="13"/>
      <c r="E3752" s="4"/>
    </row>
    <row r="3753" spans="3:5" x14ac:dyDescent="0.25">
      <c r="C3753" s="13"/>
      <c r="E3753" s="4"/>
    </row>
    <row r="3754" spans="3:5" x14ac:dyDescent="0.25">
      <c r="C3754" s="13"/>
      <c r="E3754" s="4"/>
    </row>
    <row r="3755" spans="3:5" x14ac:dyDescent="0.25">
      <c r="C3755" s="13"/>
      <c r="E3755" s="4"/>
    </row>
    <row r="3756" spans="3:5" x14ac:dyDescent="0.25">
      <c r="C3756" s="13"/>
      <c r="E3756" s="4"/>
    </row>
    <row r="3757" spans="3:5" x14ac:dyDescent="0.25">
      <c r="C3757" s="13"/>
      <c r="E3757" s="4"/>
    </row>
    <row r="3758" spans="3:5" x14ac:dyDescent="0.25">
      <c r="C3758" s="13"/>
      <c r="E3758" s="4"/>
    </row>
    <row r="3759" spans="3:5" x14ac:dyDescent="0.25">
      <c r="C3759" s="13"/>
      <c r="E3759" s="4"/>
    </row>
    <row r="3760" spans="3:5" x14ac:dyDescent="0.25">
      <c r="C3760" s="13"/>
      <c r="E3760" s="4"/>
    </row>
    <row r="3761" spans="3:5" x14ac:dyDescent="0.25">
      <c r="C3761" s="13"/>
      <c r="E3761" s="4"/>
    </row>
    <row r="3762" spans="3:5" x14ac:dyDescent="0.25">
      <c r="C3762" s="13"/>
      <c r="E3762" s="4"/>
    </row>
    <row r="3763" spans="3:5" x14ac:dyDescent="0.25">
      <c r="C3763" s="13"/>
      <c r="E3763" s="4"/>
    </row>
    <row r="3764" spans="3:5" x14ac:dyDescent="0.25">
      <c r="C3764" s="13"/>
      <c r="E3764" s="4"/>
    </row>
    <row r="3765" spans="3:5" x14ac:dyDescent="0.25">
      <c r="C3765" s="13"/>
      <c r="E3765" s="4"/>
    </row>
    <row r="3766" spans="3:5" x14ac:dyDescent="0.25">
      <c r="C3766" s="13"/>
      <c r="E3766" s="4"/>
    </row>
    <row r="3767" spans="3:5" x14ac:dyDescent="0.25">
      <c r="C3767" s="13"/>
      <c r="E3767" s="4"/>
    </row>
    <row r="3768" spans="3:5" x14ac:dyDescent="0.25">
      <c r="C3768" s="13"/>
      <c r="E3768" s="4"/>
    </row>
    <row r="3769" spans="3:5" x14ac:dyDescent="0.25">
      <c r="C3769" s="13"/>
      <c r="E3769" s="4"/>
    </row>
    <row r="3770" spans="3:5" x14ac:dyDescent="0.25">
      <c r="C3770" s="13"/>
      <c r="E3770" s="4"/>
    </row>
    <row r="3771" spans="3:5" x14ac:dyDescent="0.25">
      <c r="C3771" s="13"/>
      <c r="E3771" s="4"/>
    </row>
    <row r="3772" spans="3:5" x14ac:dyDescent="0.25">
      <c r="C3772" s="13"/>
      <c r="E3772" s="4"/>
    </row>
    <row r="3773" spans="3:5" x14ac:dyDescent="0.25">
      <c r="C3773" s="13"/>
      <c r="E3773" s="4"/>
    </row>
    <row r="3774" spans="3:5" x14ac:dyDescent="0.25">
      <c r="C3774" s="13"/>
      <c r="E3774" s="4"/>
    </row>
    <row r="3775" spans="3:5" x14ac:dyDescent="0.25">
      <c r="C3775" s="13"/>
      <c r="E3775" s="4"/>
    </row>
    <row r="3776" spans="3:5" x14ac:dyDescent="0.25">
      <c r="C3776" s="13"/>
      <c r="E3776" s="4"/>
    </row>
    <row r="3777" spans="3:5" x14ac:dyDescent="0.25">
      <c r="C3777" s="13"/>
      <c r="E3777" s="4"/>
    </row>
    <row r="3778" spans="3:5" x14ac:dyDescent="0.25">
      <c r="C3778" s="13"/>
      <c r="E3778" s="4"/>
    </row>
    <row r="3779" spans="3:5" x14ac:dyDescent="0.25">
      <c r="C3779" s="13"/>
      <c r="E3779" s="4"/>
    </row>
    <row r="3780" spans="3:5" x14ac:dyDescent="0.25">
      <c r="C3780" s="13"/>
      <c r="E3780" s="4"/>
    </row>
    <row r="3781" spans="3:5" x14ac:dyDescent="0.25">
      <c r="C3781" s="13"/>
      <c r="E3781" s="4"/>
    </row>
    <row r="3782" spans="3:5" x14ac:dyDescent="0.25">
      <c r="C3782" s="13"/>
      <c r="E3782" s="4"/>
    </row>
    <row r="3783" spans="3:5" x14ac:dyDescent="0.25">
      <c r="C3783" s="13"/>
      <c r="E3783" s="4"/>
    </row>
    <row r="3784" spans="3:5" x14ac:dyDescent="0.25">
      <c r="C3784" s="13"/>
      <c r="E3784" s="4"/>
    </row>
    <row r="3785" spans="3:5" x14ac:dyDescent="0.25">
      <c r="C3785" s="13"/>
      <c r="E3785" s="4"/>
    </row>
    <row r="3786" spans="3:5" x14ac:dyDescent="0.25">
      <c r="C3786" s="13"/>
      <c r="E3786" s="4"/>
    </row>
    <row r="3787" spans="3:5" x14ac:dyDescent="0.25">
      <c r="C3787" s="13"/>
      <c r="E3787" s="4"/>
    </row>
    <row r="3788" spans="3:5" x14ac:dyDescent="0.25">
      <c r="C3788" s="13"/>
      <c r="E3788" s="4"/>
    </row>
    <row r="3789" spans="3:5" x14ac:dyDescent="0.25">
      <c r="C3789" s="13"/>
      <c r="E3789" s="4"/>
    </row>
    <row r="3790" spans="3:5" x14ac:dyDescent="0.25">
      <c r="C3790" s="13"/>
      <c r="E3790" s="4"/>
    </row>
    <row r="3791" spans="3:5" x14ac:dyDescent="0.25">
      <c r="C3791" s="13"/>
      <c r="E3791" s="4"/>
    </row>
    <row r="3792" spans="3:5" x14ac:dyDescent="0.25">
      <c r="C3792" s="13"/>
      <c r="E3792" s="4"/>
    </row>
    <row r="3793" spans="3:5" x14ac:dyDescent="0.25">
      <c r="C3793" s="13"/>
      <c r="E3793" s="4"/>
    </row>
    <row r="3794" spans="3:5" x14ac:dyDescent="0.25">
      <c r="C3794" s="13"/>
      <c r="E3794" s="4"/>
    </row>
    <row r="3795" spans="3:5" x14ac:dyDescent="0.25">
      <c r="C3795" s="13"/>
      <c r="E3795" s="4"/>
    </row>
    <row r="3796" spans="3:5" x14ac:dyDescent="0.25">
      <c r="C3796" s="13"/>
      <c r="E3796" s="4"/>
    </row>
    <row r="3797" spans="3:5" x14ac:dyDescent="0.25">
      <c r="C3797" s="13"/>
      <c r="E3797" s="4"/>
    </row>
    <row r="3798" spans="3:5" x14ac:dyDescent="0.25">
      <c r="C3798" s="13"/>
      <c r="E3798" s="4"/>
    </row>
    <row r="3799" spans="3:5" x14ac:dyDescent="0.25">
      <c r="C3799" s="13"/>
      <c r="E3799" s="4"/>
    </row>
    <row r="3800" spans="3:5" x14ac:dyDescent="0.25">
      <c r="C3800" s="13"/>
      <c r="E3800" s="4"/>
    </row>
    <row r="3801" spans="3:5" x14ac:dyDescent="0.25">
      <c r="C3801" s="13"/>
      <c r="E3801" s="4"/>
    </row>
    <row r="3802" spans="3:5" x14ac:dyDescent="0.25">
      <c r="C3802" s="13"/>
      <c r="E3802" s="4"/>
    </row>
    <row r="3803" spans="3:5" x14ac:dyDescent="0.25">
      <c r="C3803" s="13"/>
      <c r="E3803" s="4"/>
    </row>
    <row r="3804" spans="3:5" x14ac:dyDescent="0.25">
      <c r="C3804" s="13"/>
      <c r="E3804" s="4"/>
    </row>
    <row r="3805" spans="3:5" x14ac:dyDescent="0.25">
      <c r="C3805" s="13"/>
      <c r="E3805" s="4"/>
    </row>
    <row r="3806" spans="3:5" x14ac:dyDescent="0.25">
      <c r="C3806" s="13"/>
      <c r="E3806" s="4"/>
    </row>
    <row r="3807" spans="3:5" x14ac:dyDescent="0.25">
      <c r="C3807" s="13"/>
      <c r="E3807" s="4"/>
    </row>
    <row r="3808" spans="3:5" x14ac:dyDescent="0.25">
      <c r="C3808" s="13"/>
      <c r="E3808" s="4"/>
    </row>
    <row r="3809" spans="3:5" x14ac:dyDescent="0.25">
      <c r="C3809" s="13"/>
      <c r="E3809" s="4"/>
    </row>
    <row r="3810" spans="3:5" x14ac:dyDescent="0.25">
      <c r="C3810" s="13"/>
      <c r="E3810" s="4"/>
    </row>
    <row r="3811" spans="3:5" x14ac:dyDescent="0.25">
      <c r="C3811" s="13"/>
      <c r="E3811" s="4"/>
    </row>
    <row r="3812" spans="3:5" x14ac:dyDescent="0.25">
      <c r="C3812" s="13"/>
      <c r="E3812" s="4"/>
    </row>
    <row r="3813" spans="3:5" x14ac:dyDescent="0.25">
      <c r="C3813" s="13"/>
      <c r="E3813" s="4"/>
    </row>
    <row r="3814" spans="3:5" x14ac:dyDescent="0.25">
      <c r="C3814" s="13"/>
      <c r="E3814" s="4"/>
    </row>
    <row r="3815" spans="3:5" x14ac:dyDescent="0.25">
      <c r="C3815" s="13"/>
      <c r="E3815" s="4"/>
    </row>
    <row r="3816" spans="3:5" x14ac:dyDescent="0.25">
      <c r="C3816" s="13"/>
      <c r="E3816" s="4"/>
    </row>
    <row r="3817" spans="3:5" x14ac:dyDescent="0.25">
      <c r="C3817" s="13"/>
      <c r="E3817" s="4"/>
    </row>
    <row r="3818" spans="3:5" x14ac:dyDescent="0.25">
      <c r="C3818" s="13"/>
      <c r="E3818" s="4"/>
    </row>
    <row r="3819" spans="3:5" x14ac:dyDescent="0.25">
      <c r="C3819" s="13"/>
      <c r="E3819" s="4"/>
    </row>
    <row r="3820" spans="3:5" x14ac:dyDescent="0.25">
      <c r="C3820" s="13"/>
      <c r="E3820" s="4"/>
    </row>
    <row r="3821" spans="3:5" x14ac:dyDescent="0.25">
      <c r="C3821" s="13"/>
      <c r="E3821" s="4"/>
    </row>
    <row r="3822" spans="3:5" x14ac:dyDescent="0.25">
      <c r="C3822" s="13"/>
      <c r="E3822" s="4"/>
    </row>
    <row r="3823" spans="3:5" x14ac:dyDescent="0.25">
      <c r="C3823" s="13"/>
      <c r="E3823" s="4"/>
    </row>
    <row r="3824" spans="3:5" x14ac:dyDescent="0.25">
      <c r="C3824" s="13"/>
      <c r="E3824" s="4"/>
    </row>
    <row r="3825" spans="3:5" x14ac:dyDescent="0.25">
      <c r="C3825" s="13"/>
      <c r="E3825" s="4"/>
    </row>
    <row r="3826" spans="3:5" x14ac:dyDescent="0.25">
      <c r="C3826" s="13"/>
      <c r="E3826" s="4"/>
    </row>
    <row r="3827" spans="3:5" x14ac:dyDescent="0.25">
      <c r="C3827" s="13"/>
      <c r="E3827" s="4"/>
    </row>
    <row r="3828" spans="3:5" x14ac:dyDescent="0.25">
      <c r="C3828" s="13"/>
      <c r="E3828" s="4"/>
    </row>
    <row r="3829" spans="3:5" x14ac:dyDescent="0.25">
      <c r="C3829" s="13"/>
      <c r="E3829" s="4"/>
    </row>
    <row r="3830" spans="3:5" x14ac:dyDescent="0.25">
      <c r="C3830" s="13"/>
      <c r="E3830" s="4"/>
    </row>
    <row r="3831" spans="3:5" x14ac:dyDescent="0.25">
      <c r="C3831" s="13"/>
      <c r="E3831" s="4"/>
    </row>
    <row r="3832" spans="3:5" x14ac:dyDescent="0.25">
      <c r="C3832" s="13"/>
      <c r="E3832" s="4"/>
    </row>
    <row r="3833" spans="3:5" x14ac:dyDescent="0.25">
      <c r="C3833" s="13"/>
      <c r="E3833" s="4"/>
    </row>
    <row r="3834" spans="3:5" x14ac:dyDescent="0.25">
      <c r="C3834" s="13"/>
      <c r="E3834" s="4"/>
    </row>
    <row r="3835" spans="3:5" x14ac:dyDescent="0.25">
      <c r="C3835" s="13"/>
      <c r="E3835" s="4"/>
    </row>
    <row r="3836" spans="3:5" x14ac:dyDescent="0.25">
      <c r="C3836" s="13"/>
      <c r="E3836" s="4"/>
    </row>
    <row r="3837" spans="3:5" x14ac:dyDescent="0.25">
      <c r="C3837" s="13"/>
      <c r="E3837" s="4"/>
    </row>
    <row r="3838" spans="3:5" x14ac:dyDescent="0.25">
      <c r="C3838" s="13"/>
      <c r="E3838" s="4"/>
    </row>
    <row r="3839" spans="3:5" x14ac:dyDescent="0.25">
      <c r="C3839" s="13"/>
      <c r="E3839" s="4"/>
    </row>
    <row r="3840" spans="3:5" x14ac:dyDescent="0.25">
      <c r="C3840" s="13"/>
      <c r="E3840" s="4"/>
    </row>
    <row r="3841" spans="3:5" x14ac:dyDescent="0.25">
      <c r="C3841" s="13"/>
      <c r="E3841" s="4"/>
    </row>
    <row r="3842" spans="3:5" x14ac:dyDescent="0.25">
      <c r="C3842" s="13"/>
      <c r="E3842" s="4"/>
    </row>
    <row r="3843" spans="3:5" x14ac:dyDescent="0.25">
      <c r="C3843" s="13"/>
      <c r="E3843" s="4"/>
    </row>
    <row r="3844" spans="3:5" x14ac:dyDescent="0.25">
      <c r="C3844" s="13"/>
      <c r="E3844" s="4"/>
    </row>
    <row r="3845" spans="3:5" x14ac:dyDescent="0.25">
      <c r="C3845" s="13"/>
      <c r="E3845" s="4"/>
    </row>
    <row r="3846" spans="3:5" x14ac:dyDescent="0.25">
      <c r="C3846" s="13"/>
      <c r="E3846" s="4"/>
    </row>
    <row r="3847" spans="3:5" x14ac:dyDescent="0.25">
      <c r="C3847" s="13"/>
      <c r="E3847" s="4"/>
    </row>
    <row r="3848" spans="3:5" x14ac:dyDescent="0.25">
      <c r="C3848" s="13"/>
      <c r="E3848" s="4"/>
    </row>
    <row r="3849" spans="3:5" x14ac:dyDescent="0.25">
      <c r="C3849" s="13"/>
      <c r="E3849" s="4"/>
    </row>
    <row r="3850" spans="3:5" x14ac:dyDescent="0.25">
      <c r="C3850" s="13"/>
      <c r="E3850" s="4"/>
    </row>
    <row r="3851" spans="3:5" x14ac:dyDescent="0.25">
      <c r="C3851" s="13"/>
      <c r="E3851" s="4"/>
    </row>
    <row r="3852" spans="3:5" x14ac:dyDescent="0.25">
      <c r="C3852" s="13"/>
      <c r="E3852" s="4"/>
    </row>
    <row r="3853" spans="3:5" x14ac:dyDescent="0.25">
      <c r="C3853" s="13"/>
      <c r="E3853" s="4"/>
    </row>
    <row r="3854" spans="3:5" x14ac:dyDescent="0.25">
      <c r="C3854" s="13"/>
      <c r="E3854" s="4"/>
    </row>
    <row r="3855" spans="3:5" x14ac:dyDescent="0.25">
      <c r="C3855" s="13"/>
      <c r="E3855" s="4"/>
    </row>
    <row r="3856" spans="3:5" x14ac:dyDescent="0.25">
      <c r="C3856" s="13"/>
      <c r="E3856" s="4"/>
    </row>
    <row r="3857" spans="3:5" x14ac:dyDescent="0.25">
      <c r="C3857" s="13"/>
      <c r="E3857" s="4"/>
    </row>
    <row r="3858" spans="3:5" x14ac:dyDescent="0.25">
      <c r="C3858" s="13"/>
      <c r="E3858" s="4"/>
    </row>
    <row r="3859" spans="3:5" x14ac:dyDescent="0.25">
      <c r="C3859" s="13"/>
      <c r="E3859" s="4"/>
    </row>
    <row r="3860" spans="3:5" x14ac:dyDescent="0.25">
      <c r="C3860" s="13"/>
      <c r="E3860" s="4"/>
    </row>
    <row r="3861" spans="3:5" x14ac:dyDescent="0.25">
      <c r="C3861" s="13"/>
      <c r="E3861" s="4"/>
    </row>
    <row r="3862" spans="3:5" x14ac:dyDescent="0.25">
      <c r="C3862" s="13"/>
      <c r="E3862" s="4"/>
    </row>
    <row r="3863" spans="3:5" x14ac:dyDescent="0.25">
      <c r="C3863" s="13"/>
      <c r="E3863" s="4"/>
    </row>
    <row r="3864" spans="3:5" x14ac:dyDescent="0.25">
      <c r="C3864" s="13"/>
      <c r="E3864" s="4"/>
    </row>
    <row r="3865" spans="3:5" x14ac:dyDescent="0.25">
      <c r="C3865" s="13"/>
      <c r="E3865" s="4"/>
    </row>
    <row r="3866" spans="3:5" x14ac:dyDescent="0.25">
      <c r="C3866" s="13"/>
      <c r="E3866" s="4"/>
    </row>
    <row r="3867" spans="3:5" x14ac:dyDescent="0.25">
      <c r="C3867" s="13"/>
      <c r="E3867" s="4"/>
    </row>
    <row r="3868" spans="3:5" x14ac:dyDescent="0.25">
      <c r="C3868" s="13"/>
      <c r="E3868" s="4"/>
    </row>
    <row r="3869" spans="3:5" x14ac:dyDescent="0.25">
      <c r="C3869" s="13"/>
      <c r="E3869" s="4"/>
    </row>
    <row r="3870" spans="3:5" x14ac:dyDescent="0.25">
      <c r="C3870" s="13"/>
      <c r="E3870" s="4"/>
    </row>
    <row r="3871" spans="3:5" x14ac:dyDescent="0.25">
      <c r="C3871" s="13"/>
      <c r="E3871" s="4"/>
    </row>
    <row r="3872" spans="3:5" x14ac:dyDescent="0.25">
      <c r="C3872" s="13"/>
      <c r="E3872" s="4"/>
    </row>
    <row r="3873" spans="3:5" x14ac:dyDescent="0.25">
      <c r="C3873" s="13"/>
      <c r="E3873" s="4"/>
    </row>
    <row r="3874" spans="3:5" x14ac:dyDescent="0.25">
      <c r="C3874" s="13"/>
      <c r="E3874" s="4"/>
    </row>
    <row r="3875" spans="3:5" x14ac:dyDescent="0.25">
      <c r="C3875" s="13"/>
      <c r="E3875" s="4"/>
    </row>
    <row r="3876" spans="3:5" x14ac:dyDescent="0.25">
      <c r="C3876" s="13"/>
      <c r="E3876" s="4"/>
    </row>
    <row r="3877" spans="3:5" x14ac:dyDescent="0.25">
      <c r="C3877" s="13"/>
      <c r="E3877" s="4"/>
    </row>
    <row r="3878" spans="3:5" x14ac:dyDescent="0.25">
      <c r="C3878" s="13"/>
      <c r="E3878" s="4"/>
    </row>
    <row r="3879" spans="3:5" x14ac:dyDescent="0.25">
      <c r="C3879" s="13"/>
      <c r="E3879" s="4"/>
    </row>
    <row r="3880" spans="3:5" x14ac:dyDescent="0.25">
      <c r="C3880" s="13"/>
      <c r="E3880" s="4"/>
    </row>
    <row r="3881" spans="3:5" x14ac:dyDescent="0.25">
      <c r="C3881" s="13"/>
      <c r="E3881" s="4"/>
    </row>
    <row r="3882" spans="3:5" x14ac:dyDescent="0.25">
      <c r="C3882" s="13"/>
      <c r="E3882" s="4"/>
    </row>
    <row r="3883" spans="3:5" x14ac:dyDescent="0.25">
      <c r="C3883" s="13"/>
      <c r="E3883" s="4"/>
    </row>
    <row r="3884" spans="3:5" x14ac:dyDescent="0.25">
      <c r="C3884" s="13"/>
      <c r="E3884" s="4"/>
    </row>
    <row r="3885" spans="3:5" x14ac:dyDescent="0.25">
      <c r="C3885" s="13"/>
      <c r="E3885" s="4"/>
    </row>
    <row r="3886" spans="3:5" x14ac:dyDescent="0.25">
      <c r="C3886" s="13"/>
      <c r="E3886" s="4"/>
    </row>
    <row r="3887" spans="3:5" x14ac:dyDescent="0.25">
      <c r="C3887" s="13"/>
      <c r="E3887" s="4"/>
    </row>
    <row r="3888" spans="3:5" x14ac:dyDescent="0.25">
      <c r="C3888" s="13"/>
      <c r="E3888" s="4"/>
    </row>
    <row r="3889" spans="3:5" x14ac:dyDescent="0.25">
      <c r="C3889" s="13"/>
      <c r="E3889" s="4"/>
    </row>
    <row r="3890" spans="3:5" x14ac:dyDescent="0.25">
      <c r="C3890" s="13"/>
      <c r="E3890" s="4"/>
    </row>
    <row r="3891" spans="3:5" x14ac:dyDescent="0.25">
      <c r="C3891" s="13"/>
      <c r="E3891" s="4"/>
    </row>
    <row r="3892" spans="3:5" x14ac:dyDescent="0.25">
      <c r="C3892" s="13"/>
      <c r="E3892" s="4"/>
    </row>
    <row r="3893" spans="3:5" x14ac:dyDescent="0.25">
      <c r="C3893" s="13"/>
      <c r="E3893" s="4"/>
    </row>
    <row r="3894" spans="3:5" x14ac:dyDescent="0.25">
      <c r="C3894" s="13"/>
      <c r="E3894" s="4"/>
    </row>
    <row r="3895" spans="3:5" x14ac:dyDescent="0.25">
      <c r="C3895" s="13"/>
      <c r="E3895" s="4"/>
    </row>
    <row r="3896" spans="3:5" x14ac:dyDescent="0.25">
      <c r="C3896" s="13"/>
      <c r="E3896" s="4"/>
    </row>
    <row r="3897" spans="3:5" x14ac:dyDescent="0.25">
      <c r="C3897" s="13"/>
      <c r="E3897" s="4"/>
    </row>
    <row r="3898" spans="3:5" x14ac:dyDescent="0.25">
      <c r="C3898" s="13"/>
      <c r="E3898" s="4"/>
    </row>
    <row r="3899" spans="3:5" x14ac:dyDescent="0.25">
      <c r="C3899" s="13"/>
      <c r="E3899" s="4"/>
    </row>
    <row r="3900" spans="3:5" x14ac:dyDescent="0.25">
      <c r="C3900" s="13"/>
      <c r="E3900" s="4"/>
    </row>
    <row r="3901" spans="3:5" x14ac:dyDescent="0.25">
      <c r="C3901" s="13"/>
      <c r="E3901" s="4"/>
    </row>
    <row r="3902" spans="3:5" x14ac:dyDescent="0.25">
      <c r="C3902" s="13"/>
      <c r="E3902" s="4"/>
    </row>
    <row r="3903" spans="3:5" x14ac:dyDescent="0.25">
      <c r="C3903" s="13"/>
      <c r="E3903" s="4"/>
    </row>
    <row r="3904" spans="3:5" x14ac:dyDescent="0.25">
      <c r="C3904" s="13"/>
      <c r="E3904" s="4"/>
    </row>
    <row r="3905" spans="3:5" x14ac:dyDescent="0.25">
      <c r="C3905" s="13"/>
      <c r="E3905" s="4"/>
    </row>
    <row r="3906" spans="3:5" x14ac:dyDescent="0.25">
      <c r="C3906" s="13"/>
      <c r="E3906" s="4"/>
    </row>
    <row r="3907" spans="3:5" x14ac:dyDescent="0.25">
      <c r="C3907" s="13"/>
      <c r="E3907" s="4"/>
    </row>
    <row r="3908" spans="3:5" x14ac:dyDescent="0.25">
      <c r="C3908" s="13"/>
      <c r="E3908" s="4"/>
    </row>
    <row r="3909" spans="3:5" x14ac:dyDescent="0.25">
      <c r="C3909" s="13"/>
      <c r="E3909" s="4"/>
    </row>
    <row r="3910" spans="3:5" x14ac:dyDescent="0.25">
      <c r="C3910" s="13"/>
      <c r="E3910" s="4"/>
    </row>
    <row r="3911" spans="3:5" x14ac:dyDescent="0.25">
      <c r="C3911" s="13"/>
      <c r="E3911" s="4"/>
    </row>
    <row r="3912" spans="3:5" x14ac:dyDescent="0.25">
      <c r="C3912" s="13"/>
      <c r="E3912" s="4"/>
    </row>
    <row r="3913" spans="3:5" x14ac:dyDescent="0.25">
      <c r="C3913" s="13"/>
      <c r="E3913" s="4"/>
    </row>
    <row r="3914" spans="3:5" x14ac:dyDescent="0.25">
      <c r="C3914" s="13"/>
      <c r="E3914" s="4"/>
    </row>
    <row r="3915" spans="3:5" x14ac:dyDescent="0.25">
      <c r="C3915" s="13"/>
      <c r="E3915" s="4"/>
    </row>
    <row r="3916" spans="3:5" x14ac:dyDescent="0.25">
      <c r="C3916" s="13"/>
      <c r="E3916" s="4"/>
    </row>
    <row r="3917" spans="3:5" x14ac:dyDescent="0.25">
      <c r="C3917" s="13"/>
      <c r="E3917" s="4"/>
    </row>
    <row r="3918" spans="3:5" x14ac:dyDescent="0.25">
      <c r="C3918" s="13"/>
      <c r="E3918" s="4"/>
    </row>
    <row r="3919" spans="3:5" x14ac:dyDescent="0.25">
      <c r="C3919" s="13"/>
      <c r="E3919" s="4"/>
    </row>
    <row r="3920" spans="3:5" x14ac:dyDescent="0.25">
      <c r="C3920" s="13"/>
      <c r="E3920" s="4"/>
    </row>
    <row r="3921" spans="3:5" x14ac:dyDescent="0.25">
      <c r="C3921" s="13"/>
      <c r="E3921" s="4"/>
    </row>
    <row r="3922" spans="3:5" x14ac:dyDescent="0.25">
      <c r="C3922" s="13"/>
      <c r="E3922" s="4"/>
    </row>
    <row r="3923" spans="3:5" x14ac:dyDescent="0.25">
      <c r="C3923" s="13"/>
      <c r="E3923" s="4"/>
    </row>
    <row r="3924" spans="3:5" x14ac:dyDescent="0.25">
      <c r="C3924" s="13"/>
      <c r="E3924" s="4"/>
    </row>
    <row r="3925" spans="3:5" x14ac:dyDescent="0.25">
      <c r="C3925" s="13"/>
      <c r="E3925" s="4"/>
    </row>
    <row r="3926" spans="3:5" x14ac:dyDescent="0.25">
      <c r="C3926" s="13"/>
      <c r="E3926" s="4"/>
    </row>
    <row r="3927" spans="3:5" x14ac:dyDescent="0.25">
      <c r="C3927" s="13"/>
      <c r="E3927" s="4"/>
    </row>
    <row r="3928" spans="3:5" x14ac:dyDescent="0.25">
      <c r="C3928" s="13"/>
      <c r="E3928" s="4"/>
    </row>
    <row r="3929" spans="3:5" x14ac:dyDescent="0.25">
      <c r="C3929" s="13"/>
      <c r="E3929" s="4"/>
    </row>
    <row r="3930" spans="3:5" x14ac:dyDescent="0.25">
      <c r="C3930" s="13"/>
      <c r="E3930" s="4"/>
    </row>
    <row r="3931" spans="3:5" x14ac:dyDescent="0.25">
      <c r="C3931" s="13"/>
      <c r="E3931" s="4"/>
    </row>
    <row r="3932" spans="3:5" x14ac:dyDescent="0.25">
      <c r="C3932" s="13"/>
      <c r="E3932" s="4"/>
    </row>
    <row r="3933" spans="3:5" x14ac:dyDescent="0.25">
      <c r="C3933" s="13"/>
      <c r="E3933" s="4"/>
    </row>
    <row r="3934" spans="3:5" x14ac:dyDescent="0.25">
      <c r="C3934" s="13"/>
      <c r="E3934" s="4"/>
    </row>
    <row r="3935" spans="3:5" x14ac:dyDescent="0.25">
      <c r="C3935" s="13"/>
      <c r="E3935" s="4"/>
    </row>
    <row r="3936" spans="3:5" x14ac:dyDescent="0.25">
      <c r="C3936" s="13"/>
      <c r="E3936" s="4"/>
    </row>
    <row r="3937" spans="3:5" x14ac:dyDescent="0.25">
      <c r="C3937" s="13"/>
      <c r="E3937" s="4"/>
    </row>
    <row r="3938" spans="3:5" x14ac:dyDescent="0.25">
      <c r="C3938" s="13"/>
      <c r="E3938" s="4"/>
    </row>
    <row r="3939" spans="3:5" x14ac:dyDescent="0.25">
      <c r="C3939" s="13"/>
      <c r="E3939" s="4"/>
    </row>
    <row r="3940" spans="3:5" x14ac:dyDescent="0.25">
      <c r="C3940" s="13"/>
      <c r="E3940" s="4"/>
    </row>
    <row r="3941" spans="3:5" x14ac:dyDescent="0.25">
      <c r="C3941" s="13"/>
      <c r="E3941" s="4"/>
    </row>
    <row r="3942" spans="3:5" x14ac:dyDescent="0.25">
      <c r="C3942" s="13"/>
      <c r="E3942" s="4"/>
    </row>
    <row r="3943" spans="3:5" x14ac:dyDescent="0.25">
      <c r="C3943" s="13"/>
      <c r="E3943" s="4"/>
    </row>
    <row r="3944" spans="3:5" x14ac:dyDescent="0.25">
      <c r="C3944" s="13"/>
      <c r="E3944" s="4"/>
    </row>
    <row r="3945" spans="3:5" x14ac:dyDescent="0.25">
      <c r="C3945" s="13"/>
      <c r="E3945" s="4"/>
    </row>
    <row r="3946" spans="3:5" x14ac:dyDescent="0.25">
      <c r="C3946" s="13"/>
      <c r="E3946" s="4"/>
    </row>
    <row r="3947" spans="3:5" x14ac:dyDescent="0.25">
      <c r="C3947" s="13"/>
      <c r="E3947" s="4"/>
    </row>
    <row r="3948" spans="3:5" x14ac:dyDescent="0.25">
      <c r="C3948" s="13"/>
      <c r="E3948" s="4"/>
    </row>
    <row r="3949" spans="3:5" x14ac:dyDescent="0.25">
      <c r="C3949" s="13"/>
      <c r="E3949" s="4"/>
    </row>
    <row r="3950" spans="3:5" x14ac:dyDescent="0.25">
      <c r="C3950" s="13"/>
      <c r="E3950" s="4"/>
    </row>
    <row r="3951" spans="3:5" x14ac:dyDescent="0.25">
      <c r="C3951" s="13"/>
      <c r="E3951" s="4"/>
    </row>
    <row r="3952" spans="3:5" x14ac:dyDescent="0.25">
      <c r="C3952" s="13"/>
      <c r="E3952" s="4"/>
    </row>
    <row r="3953" spans="3:5" x14ac:dyDescent="0.25">
      <c r="C3953" s="13"/>
      <c r="E3953" s="4"/>
    </row>
    <row r="3954" spans="3:5" x14ac:dyDescent="0.25">
      <c r="C3954" s="13"/>
      <c r="E3954" s="4"/>
    </row>
    <row r="3955" spans="3:5" x14ac:dyDescent="0.25">
      <c r="C3955" s="13"/>
      <c r="E3955" s="4"/>
    </row>
    <row r="3956" spans="3:5" x14ac:dyDescent="0.25">
      <c r="C3956" s="13"/>
      <c r="E3956" s="4"/>
    </row>
    <row r="3957" spans="3:5" x14ac:dyDescent="0.25">
      <c r="C3957" s="13"/>
      <c r="E3957" s="4"/>
    </row>
    <row r="3958" spans="3:5" x14ac:dyDescent="0.25">
      <c r="C3958" s="13"/>
      <c r="E3958" s="4"/>
    </row>
    <row r="3959" spans="3:5" x14ac:dyDescent="0.25">
      <c r="C3959" s="13"/>
      <c r="E3959" s="4"/>
    </row>
    <row r="3960" spans="3:5" x14ac:dyDescent="0.25">
      <c r="C3960" s="13"/>
      <c r="E3960" s="4"/>
    </row>
    <row r="3961" spans="3:5" x14ac:dyDescent="0.25">
      <c r="C3961" s="13"/>
      <c r="E3961" s="4"/>
    </row>
    <row r="3962" spans="3:5" x14ac:dyDescent="0.25">
      <c r="C3962" s="13"/>
      <c r="E3962" s="4"/>
    </row>
    <row r="3963" spans="3:5" x14ac:dyDescent="0.25">
      <c r="C3963" s="13"/>
      <c r="E3963" s="4"/>
    </row>
    <row r="3964" spans="3:5" x14ac:dyDescent="0.25">
      <c r="C3964" s="13"/>
      <c r="E3964" s="4"/>
    </row>
    <row r="3965" spans="3:5" x14ac:dyDescent="0.25">
      <c r="C3965" s="13"/>
      <c r="E3965" s="4"/>
    </row>
    <row r="3966" spans="3:5" x14ac:dyDescent="0.25">
      <c r="C3966" s="13"/>
      <c r="E3966" s="4"/>
    </row>
    <row r="3967" spans="3:5" x14ac:dyDescent="0.25">
      <c r="C3967" s="13"/>
      <c r="E3967" s="4"/>
    </row>
    <row r="3968" spans="3:5" x14ac:dyDescent="0.25">
      <c r="C3968" s="13"/>
      <c r="E3968" s="4"/>
    </row>
    <row r="3969" spans="3:5" x14ac:dyDescent="0.25">
      <c r="C3969" s="13"/>
      <c r="E3969" s="4"/>
    </row>
    <row r="3970" spans="3:5" x14ac:dyDescent="0.25">
      <c r="C3970" s="13"/>
      <c r="E3970" s="4"/>
    </row>
    <row r="3971" spans="3:5" x14ac:dyDescent="0.25">
      <c r="C3971" s="13"/>
      <c r="E3971" s="4"/>
    </row>
    <row r="3972" spans="3:5" x14ac:dyDescent="0.25">
      <c r="C3972" s="13"/>
      <c r="E3972" s="4"/>
    </row>
    <row r="3973" spans="3:5" x14ac:dyDescent="0.25">
      <c r="C3973" s="13"/>
      <c r="E3973" s="4"/>
    </row>
    <row r="3974" spans="3:5" x14ac:dyDescent="0.25">
      <c r="C3974" s="13"/>
      <c r="E3974" s="4"/>
    </row>
    <row r="3975" spans="3:5" x14ac:dyDescent="0.25">
      <c r="C3975" s="13"/>
      <c r="E3975" s="4"/>
    </row>
    <row r="3976" spans="3:5" x14ac:dyDescent="0.25">
      <c r="C3976" s="13"/>
      <c r="E3976" s="4"/>
    </row>
    <row r="3977" spans="3:5" x14ac:dyDescent="0.25">
      <c r="C3977" s="13"/>
      <c r="E3977" s="4"/>
    </row>
    <row r="3978" spans="3:5" x14ac:dyDescent="0.25">
      <c r="C3978" s="13"/>
      <c r="E3978" s="4"/>
    </row>
    <row r="3979" spans="3:5" x14ac:dyDescent="0.25">
      <c r="C3979" s="13"/>
      <c r="E3979" s="4"/>
    </row>
    <row r="3980" spans="3:5" x14ac:dyDescent="0.25">
      <c r="C3980" s="13"/>
      <c r="E3980" s="4"/>
    </row>
    <row r="3981" spans="3:5" x14ac:dyDescent="0.25">
      <c r="C3981" s="13"/>
      <c r="E3981" s="4"/>
    </row>
    <row r="3982" spans="3:5" x14ac:dyDescent="0.25">
      <c r="C3982" s="13"/>
      <c r="E3982" s="4"/>
    </row>
    <row r="3983" spans="3:5" x14ac:dyDescent="0.25">
      <c r="C3983" s="13"/>
      <c r="E3983" s="4"/>
    </row>
    <row r="3984" spans="3:5" x14ac:dyDescent="0.25">
      <c r="C3984" s="13"/>
      <c r="E3984" s="4"/>
    </row>
    <row r="3985" spans="3:5" x14ac:dyDescent="0.25">
      <c r="C3985" s="13"/>
      <c r="E3985" s="4"/>
    </row>
    <row r="3986" spans="3:5" x14ac:dyDescent="0.25">
      <c r="C3986" s="13"/>
      <c r="E3986" s="4"/>
    </row>
    <row r="3987" spans="3:5" x14ac:dyDescent="0.25">
      <c r="C3987" s="13"/>
      <c r="E3987" s="4"/>
    </row>
    <row r="3988" spans="3:5" x14ac:dyDescent="0.25">
      <c r="C3988" s="13"/>
      <c r="E3988" s="4"/>
    </row>
    <row r="3989" spans="3:5" x14ac:dyDescent="0.25">
      <c r="C3989" s="13"/>
      <c r="E3989" s="4"/>
    </row>
    <row r="3990" spans="3:5" x14ac:dyDescent="0.25">
      <c r="C3990" s="13"/>
      <c r="E3990" s="4"/>
    </row>
    <row r="3991" spans="3:5" x14ac:dyDescent="0.25">
      <c r="C3991" s="13"/>
      <c r="E3991" s="4"/>
    </row>
    <row r="3992" spans="3:5" x14ac:dyDescent="0.25">
      <c r="C3992" s="13"/>
      <c r="E3992" s="4"/>
    </row>
    <row r="3993" spans="3:5" x14ac:dyDescent="0.25">
      <c r="C3993" s="13"/>
      <c r="E3993" s="4"/>
    </row>
    <row r="3994" spans="3:5" x14ac:dyDescent="0.25">
      <c r="C3994" s="13"/>
      <c r="E3994" s="4"/>
    </row>
    <row r="3995" spans="3:5" x14ac:dyDescent="0.25">
      <c r="C3995" s="13"/>
      <c r="E3995" s="4"/>
    </row>
    <row r="3996" spans="3:5" x14ac:dyDescent="0.25">
      <c r="C3996" s="13"/>
      <c r="E3996" s="4"/>
    </row>
    <row r="3997" spans="3:5" x14ac:dyDescent="0.25">
      <c r="C3997" s="13"/>
      <c r="E3997" s="4"/>
    </row>
    <row r="3998" spans="3:5" x14ac:dyDescent="0.25">
      <c r="C3998" s="13"/>
      <c r="E3998" s="4"/>
    </row>
    <row r="3999" spans="3:5" x14ac:dyDescent="0.25">
      <c r="C3999" s="13"/>
      <c r="E3999" s="4"/>
    </row>
    <row r="4000" spans="3:5" x14ac:dyDescent="0.25">
      <c r="C4000" s="13"/>
      <c r="E4000" s="4"/>
    </row>
    <row r="4001" spans="3:5" x14ac:dyDescent="0.25">
      <c r="C4001" s="13"/>
      <c r="E4001" s="4"/>
    </row>
    <row r="4002" spans="3:5" x14ac:dyDescent="0.25">
      <c r="C4002" s="13"/>
      <c r="E4002" s="4"/>
    </row>
    <row r="4003" spans="3:5" x14ac:dyDescent="0.25">
      <c r="C4003" s="13"/>
      <c r="E4003" s="4"/>
    </row>
    <row r="4004" spans="3:5" x14ac:dyDescent="0.25">
      <c r="C4004" s="13"/>
      <c r="E4004" s="4"/>
    </row>
    <row r="4005" spans="3:5" x14ac:dyDescent="0.25">
      <c r="C4005" s="13"/>
      <c r="E4005" s="4"/>
    </row>
    <row r="4006" spans="3:5" x14ac:dyDescent="0.25">
      <c r="C4006" s="13"/>
      <c r="E4006" s="4"/>
    </row>
    <row r="4007" spans="3:5" x14ac:dyDescent="0.25">
      <c r="C4007" s="13"/>
      <c r="E4007" s="4"/>
    </row>
    <row r="4008" spans="3:5" x14ac:dyDescent="0.25">
      <c r="C4008" s="13"/>
      <c r="E4008" s="4"/>
    </row>
    <row r="4009" spans="3:5" x14ac:dyDescent="0.25">
      <c r="C4009" s="13"/>
      <c r="E4009" s="4"/>
    </row>
    <row r="4010" spans="3:5" x14ac:dyDescent="0.25">
      <c r="C4010" s="13"/>
      <c r="E4010" s="4"/>
    </row>
    <row r="4011" spans="3:5" x14ac:dyDescent="0.25">
      <c r="C4011" s="13"/>
      <c r="E4011" s="4"/>
    </row>
    <row r="4012" spans="3:5" x14ac:dyDescent="0.25">
      <c r="C4012" s="13"/>
      <c r="E4012" s="4"/>
    </row>
    <row r="4013" spans="3:5" x14ac:dyDescent="0.25">
      <c r="C4013" s="13"/>
      <c r="E4013" s="4"/>
    </row>
    <row r="4014" spans="3:5" x14ac:dyDescent="0.25">
      <c r="C4014" s="13"/>
      <c r="E4014" s="4"/>
    </row>
    <row r="4015" spans="3:5" x14ac:dyDescent="0.25">
      <c r="C4015" s="13"/>
      <c r="E4015" s="4"/>
    </row>
    <row r="4016" spans="3:5" x14ac:dyDescent="0.25">
      <c r="C4016" s="13"/>
      <c r="E4016" s="4"/>
    </row>
    <row r="4017" spans="3:5" x14ac:dyDescent="0.25">
      <c r="C4017" s="13"/>
      <c r="E4017" s="4"/>
    </row>
    <row r="4018" spans="3:5" x14ac:dyDescent="0.25">
      <c r="C4018" s="13"/>
      <c r="E4018" s="4"/>
    </row>
    <row r="4019" spans="3:5" x14ac:dyDescent="0.25">
      <c r="C4019" s="13"/>
      <c r="E4019" s="4"/>
    </row>
    <row r="4020" spans="3:5" x14ac:dyDescent="0.25">
      <c r="C4020" s="13"/>
      <c r="E4020" s="4"/>
    </row>
    <row r="4021" spans="3:5" x14ac:dyDescent="0.25">
      <c r="C4021" s="13"/>
      <c r="E4021" s="4"/>
    </row>
    <row r="4022" spans="3:5" x14ac:dyDescent="0.25">
      <c r="C4022" s="13"/>
      <c r="E4022" s="4"/>
    </row>
    <row r="4023" spans="3:5" x14ac:dyDescent="0.25">
      <c r="C4023" s="13"/>
      <c r="E4023" s="4"/>
    </row>
    <row r="4024" spans="3:5" x14ac:dyDescent="0.25">
      <c r="C4024" s="13"/>
      <c r="E4024" s="4"/>
    </row>
    <row r="4025" spans="3:5" x14ac:dyDescent="0.25">
      <c r="C4025" s="13"/>
      <c r="E4025" s="4"/>
    </row>
    <row r="4026" spans="3:5" x14ac:dyDescent="0.25">
      <c r="C4026" s="13"/>
      <c r="E4026" s="4"/>
    </row>
    <row r="4027" spans="3:5" x14ac:dyDescent="0.25">
      <c r="C4027" s="13"/>
      <c r="E4027" s="4"/>
    </row>
    <row r="4028" spans="3:5" x14ac:dyDescent="0.25">
      <c r="C4028" s="13"/>
      <c r="E4028" s="4"/>
    </row>
    <row r="4029" spans="3:5" x14ac:dyDescent="0.25">
      <c r="C4029" s="13"/>
      <c r="E4029" s="4"/>
    </row>
    <row r="4030" spans="3:5" x14ac:dyDescent="0.25">
      <c r="C4030" s="13"/>
      <c r="E4030" s="4"/>
    </row>
    <row r="4031" spans="3:5" x14ac:dyDescent="0.25">
      <c r="C4031" s="13"/>
      <c r="E4031" s="4"/>
    </row>
    <row r="4032" spans="3:5" x14ac:dyDescent="0.25">
      <c r="C4032" s="13"/>
      <c r="E4032" s="4"/>
    </row>
    <row r="4033" spans="3:5" x14ac:dyDescent="0.25">
      <c r="C4033" s="13"/>
      <c r="E4033" s="4"/>
    </row>
    <row r="4034" spans="3:5" x14ac:dyDescent="0.25">
      <c r="C4034" s="13"/>
      <c r="E4034" s="4"/>
    </row>
    <row r="4035" spans="3:5" x14ac:dyDescent="0.25">
      <c r="C4035" s="13"/>
      <c r="E4035" s="4"/>
    </row>
    <row r="4036" spans="3:5" x14ac:dyDescent="0.25">
      <c r="C4036" s="13"/>
      <c r="E4036" s="4"/>
    </row>
    <row r="4037" spans="3:5" x14ac:dyDescent="0.25">
      <c r="C4037" s="13"/>
      <c r="E4037" s="4"/>
    </row>
    <row r="4038" spans="3:5" x14ac:dyDescent="0.25">
      <c r="C4038" s="13"/>
      <c r="E4038" s="4"/>
    </row>
    <row r="4039" spans="3:5" x14ac:dyDescent="0.25">
      <c r="C4039" s="13"/>
      <c r="E4039" s="4"/>
    </row>
    <row r="4040" spans="3:5" x14ac:dyDescent="0.25">
      <c r="C4040" s="13"/>
      <c r="E4040" s="4"/>
    </row>
    <row r="4041" spans="3:5" x14ac:dyDescent="0.25">
      <c r="C4041" s="13"/>
      <c r="E4041" s="4"/>
    </row>
    <row r="4042" spans="3:5" x14ac:dyDescent="0.25">
      <c r="C4042" s="13"/>
      <c r="E4042" s="4"/>
    </row>
    <row r="4043" spans="3:5" x14ac:dyDescent="0.25">
      <c r="C4043" s="13"/>
      <c r="E4043" s="4"/>
    </row>
    <row r="4044" spans="3:5" x14ac:dyDescent="0.25">
      <c r="C4044" s="13"/>
      <c r="E4044" s="4"/>
    </row>
    <row r="4045" spans="3:5" x14ac:dyDescent="0.25">
      <c r="C4045" s="13"/>
      <c r="E4045" s="4"/>
    </row>
    <row r="4046" spans="3:5" x14ac:dyDescent="0.25">
      <c r="C4046" s="13"/>
      <c r="E4046" s="4"/>
    </row>
    <row r="4047" spans="3:5" x14ac:dyDescent="0.25">
      <c r="C4047" s="13"/>
      <c r="E4047" s="4"/>
    </row>
    <row r="4048" spans="3:5" x14ac:dyDescent="0.25">
      <c r="C4048" s="13"/>
      <c r="E4048" s="4"/>
    </row>
    <row r="4049" spans="3:5" x14ac:dyDescent="0.25">
      <c r="C4049" s="13"/>
      <c r="E4049" s="4"/>
    </row>
    <row r="4050" spans="3:5" x14ac:dyDescent="0.25">
      <c r="C4050" s="13"/>
      <c r="E4050" s="4"/>
    </row>
    <row r="4051" spans="3:5" x14ac:dyDescent="0.25">
      <c r="C4051" s="13"/>
      <c r="E4051" s="4"/>
    </row>
    <row r="4052" spans="3:5" x14ac:dyDescent="0.25">
      <c r="C4052" s="13"/>
      <c r="E4052" s="4"/>
    </row>
    <row r="4053" spans="3:5" x14ac:dyDescent="0.25">
      <c r="C4053" s="13"/>
      <c r="E4053" s="4"/>
    </row>
    <row r="4054" spans="3:5" x14ac:dyDescent="0.25">
      <c r="C4054" s="13"/>
      <c r="E4054" s="4"/>
    </row>
    <row r="4055" spans="3:5" x14ac:dyDescent="0.25">
      <c r="C4055" s="13"/>
      <c r="E4055" s="4"/>
    </row>
    <row r="4056" spans="3:5" x14ac:dyDescent="0.25">
      <c r="C4056" s="13"/>
      <c r="E4056" s="4"/>
    </row>
    <row r="4057" spans="3:5" x14ac:dyDescent="0.25">
      <c r="C4057" s="13"/>
      <c r="E4057" s="4"/>
    </row>
    <row r="4058" spans="3:5" x14ac:dyDescent="0.25">
      <c r="C4058" s="13"/>
      <c r="E4058" s="4"/>
    </row>
    <row r="4059" spans="3:5" x14ac:dyDescent="0.25">
      <c r="C4059" s="13"/>
      <c r="E4059" s="4"/>
    </row>
    <row r="4060" spans="3:5" x14ac:dyDescent="0.25">
      <c r="C4060" s="13"/>
      <c r="E4060" s="4"/>
    </row>
    <row r="4061" spans="3:5" x14ac:dyDescent="0.25">
      <c r="C4061" s="13"/>
      <c r="E4061" s="4"/>
    </row>
    <row r="4062" spans="3:5" x14ac:dyDescent="0.25">
      <c r="C4062" s="13"/>
      <c r="E4062" s="4"/>
    </row>
    <row r="4063" spans="3:5" x14ac:dyDescent="0.25">
      <c r="C4063" s="13"/>
      <c r="E4063" s="4"/>
    </row>
    <row r="4064" spans="3:5" x14ac:dyDescent="0.25">
      <c r="C4064" s="13"/>
      <c r="E4064" s="4"/>
    </row>
    <row r="4065" spans="3:5" x14ac:dyDescent="0.25">
      <c r="C4065" s="13"/>
      <c r="E4065" s="4"/>
    </row>
    <row r="4066" spans="3:5" x14ac:dyDescent="0.25">
      <c r="C4066" s="13"/>
      <c r="E4066" s="4"/>
    </row>
    <row r="4067" spans="3:5" x14ac:dyDescent="0.25">
      <c r="C4067" s="13"/>
      <c r="E4067" s="4"/>
    </row>
    <row r="4068" spans="3:5" x14ac:dyDescent="0.25">
      <c r="C4068" s="13"/>
      <c r="E4068" s="4"/>
    </row>
    <row r="4069" spans="3:5" x14ac:dyDescent="0.25">
      <c r="C4069" s="13"/>
      <c r="E4069" s="4"/>
    </row>
    <row r="4070" spans="3:5" x14ac:dyDescent="0.25">
      <c r="C4070" s="13"/>
      <c r="E4070" s="4"/>
    </row>
    <row r="4071" spans="3:5" x14ac:dyDescent="0.25">
      <c r="C4071" s="13"/>
      <c r="E4071" s="4"/>
    </row>
    <row r="4072" spans="3:5" x14ac:dyDescent="0.25">
      <c r="C4072" s="13"/>
      <c r="E4072" s="4"/>
    </row>
    <row r="4073" spans="3:5" x14ac:dyDescent="0.25">
      <c r="C4073" s="13"/>
      <c r="E4073" s="4"/>
    </row>
    <row r="4074" spans="3:5" x14ac:dyDescent="0.25">
      <c r="C4074" s="13"/>
      <c r="E4074" s="4"/>
    </row>
    <row r="4075" spans="3:5" x14ac:dyDescent="0.25">
      <c r="C4075" s="13"/>
      <c r="E4075" s="4"/>
    </row>
    <row r="4076" spans="3:5" x14ac:dyDescent="0.25">
      <c r="C4076" s="13"/>
      <c r="E4076" s="4"/>
    </row>
    <row r="4077" spans="3:5" x14ac:dyDescent="0.25">
      <c r="C4077" s="13"/>
      <c r="E4077" s="4"/>
    </row>
    <row r="4078" spans="3:5" x14ac:dyDescent="0.25">
      <c r="C4078" s="13"/>
      <c r="E4078" s="4"/>
    </row>
    <row r="4079" spans="3:5" x14ac:dyDescent="0.25">
      <c r="C4079" s="13"/>
      <c r="E4079" s="4"/>
    </row>
    <row r="4080" spans="3:5" x14ac:dyDescent="0.25">
      <c r="C4080" s="13"/>
      <c r="E4080" s="4"/>
    </row>
    <row r="4081" spans="3:5" x14ac:dyDescent="0.25">
      <c r="C4081" s="13"/>
      <c r="E4081" s="4"/>
    </row>
    <row r="4082" spans="3:5" x14ac:dyDescent="0.25">
      <c r="C4082" s="13"/>
    </row>
    <row r="4083" spans="3:5" x14ac:dyDescent="0.25">
      <c r="C4083" s="13"/>
    </row>
    <row r="4084" spans="3:5" x14ac:dyDescent="0.25">
      <c r="C4084" s="13"/>
    </row>
    <row r="4085" spans="3:5" x14ac:dyDescent="0.25">
      <c r="C4085" s="13"/>
    </row>
    <row r="4086" spans="3:5" x14ac:dyDescent="0.25">
      <c r="C4086" s="13"/>
    </row>
    <row r="4087" spans="3:5" x14ac:dyDescent="0.25">
      <c r="C4087" s="13"/>
    </row>
    <row r="4088" spans="3:5" x14ac:dyDescent="0.25">
      <c r="C4088" s="13"/>
    </row>
    <row r="4089" spans="3:5" x14ac:dyDescent="0.25">
      <c r="C4089" s="13"/>
    </row>
    <row r="4090" spans="3:5" x14ac:dyDescent="0.25">
      <c r="C4090" s="13"/>
    </row>
    <row r="4091" spans="3:5" x14ac:dyDescent="0.25">
      <c r="C4091" s="13"/>
    </row>
    <row r="4092" spans="3:5" x14ac:dyDescent="0.25">
      <c r="C4092" s="13"/>
    </row>
    <row r="4093" spans="3:5" x14ac:dyDescent="0.25">
      <c r="C4093" s="13"/>
    </row>
    <row r="4094" spans="3:5" x14ac:dyDescent="0.25">
      <c r="C4094" s="13"/>
    </row>
    <row r="4095" spans="3:5" x14ac:dyDescent="0.25">
      <c r="C4095" s="13"/>
    </row>
    <row r="4096" spans="3:5" x14ac:dyDescent="0.25">
      <c r="C4096" s="13"/>
    </row>
    <row r="4097" spans="3:3" x14ac:dyDescent="0.25">
      <c r="C4097" s="13"/>
    </row>
    <row r="4098" spans="3:3" x14ac:dyDescent="0.25">
      <c r="C4098" s="13"/>
    </row>
    <row r="4099" spans="3:3" x14ac:dyDescent="0.25">
      <c r="C4099" s="13"/>
    </row>
    <row r="4100" spans="3:3" x14ac:dyDescent="0.25">
      <c r="C4100" s="13"/>
    </row>
    <row r="4101" spans="3:3" x14ac:dyDescent="0.25">
      <c r="C4101" s="13"/>
    </row>
    <row r="4102" spans="3:3" x14ac:dyDescent="0.25">
      <c r="C4102" s="13"/>
    </row>
    <row r="4103" spans="3:3" x14ac:dyDescent="0.25">
      <c r="C4103" s="13"/>
    </row>
    <row r="4104" spans="3:3" x14ac:dyDescent="0.25">
      <c r="C4104" s="13"/>
    </row>
    <row r="4105" spans="3:3" x14ac:dyDescent="0.25">
      <c r="C4105" s="13"/>
    </row>
    <row r="4106" spans="3:3" x14ac:dyDescent="0.25">
      <c r="C4106" s="13"/>
    </row>
    <row r="4107" spans="3:3" x14ac:dyDescent="0.25">
      <c r="C4107" s="13"/>
    </row>
    <row r="4108" spans="3:3" x14ac:dyDescent="0.25">
      <c r="C4108" s="13"/>
    </row>
    <row r="4109" spans="3:3" x14ac:dyDescent="0.25">
      <c r="C4109" s="13"/>
    </row>
    <row r="4110" spans="3:3" x14ac:dyDescent="0.25">
      <c r="C4110" s="13"/>
    </row>
    <row r="4111" spans="3:3" x14ac:dyDescent="0.25">
      <c r="C4111" s="13"/>
    </row>
    <row r="4112" spans="3:3" x14ac:dyDescent="0.25">
      <c r="C4112" s="13"/>
    </row>
    <row r="4113" spans="3:3" x14ac:dyDescent="0.25">
      <c r="C4113" s="13"/>
    </row>
    <row r="4114" spans="3:3" x14ac:dyDescent="0.25">
      <c r="C4114" s="13"/>
    </row>
    <row r="4115" spans="3:3" x14ac:dyDescent="0.25">
      <c r="C4115" s="13"/>
    </row>
    <row r="4116" spans="3:3" x14ac:dyDescent="0.25">
      <c r="C4116" s="13"/>
    </row>
    <row r="4117" spans="3:3" x14ac:dyDescent="0.25">
      <c r="C4117" s="13"/>
    </row>
    <row r="4118" spans="3:3" x14ac:dyDescent="0.25">
      <c r="C4118" s="13"/>
    </row>
    <row r="4119" spans="3:3" x14ac:dyDescent="0.25">
      <c r="C4119" s="13"/>
    </row>
    <row r="4120" spans="3:3" x14ac:dyDescent="0.25">
      <c r="C4120" s="13"/>
    </row>
    <row r="4121" spans="3:3" x14ac:dyDescent="0.25">
      <c r="C4121" s="13"/>
    </row>
    <row r="4122" spans="3:3" x14ac:dyDescent="0.25">
      <c r="C4122" s="13"/>
    </row>
    <row r="4123" spans="3:3" x14ac:dyDescent="0.25">
      <c r="C4123" s="13"/>
    </row>
    <row r="4124" spans="3:3" x14ac:dyDescent="0.25">
      <c r="C4124" s="13"/>
    </row>
    <row r="4125" spans="3:3" x14ac:dyDescent="0.25">
      <c r="C4125" s="13"/>
    </row>
    <row r="4126" spans="3:3" x14ac:dyDescent="0.25">
      <c r="C4126" s="13"/>
    </row>
    <row r="4127" spans="3:3" x14ac:dyDescent="0.25">
      <c r="C4127" s="13"/>
    </row>
    <row r="4128" spans="3:3" x14ac:dyDescent="0.25">
      <c r="C4128" s="13"/>
    </row>
    <row r="4129" spans="3:3" x14ac:dyDescent="0.25">
      <c r="C4129" s="13"/>
    </row>
    <row r="4130" spans="3:3" x14ac:dyDescent="0.25">
      <c r="C4130" s="13"/>
    </row>
    <row r="4131" spans="3:3" x14ac:dyDescent="0.25">
      <c r="C4131" s="13"/>
    </row>
    <row r="4132" spans="3:3" x14ac:dyDescent="0.25">
      <c r="C4132" s="13"/>
    </row>
    <row r="4133" spans="3:3" x14ac:dyDescent="0.25">
      <c r="C4133" s="13"/>
    </row>
    <row r="4134" spans="3:3" x14ac:dyDescent="0.25">
      <c r="C4134" s="13"/>
    </row>
    <row r="4135" spans="3:3" x14ac:dyDescent="0.25">
      <c r="C4135" s="13"/>
    </row>
    <row r="4136" spans="3:3" x14ac:dyDescent="0.25">
      <c r="C4136" s="13"/>
    </row>
    <row r="4137" spans="3:3" x14ac:dyDescent="0.25">
      <c r="C4137" s="13"/>
    </row>
    <row r="4138" spans="3:3" x14ac:dyDescent="0.25">
      <c r="C4138" s="13"/>
    </row>
    <row r="4139" spans="3:3" x14ac:dyDescent="0.25">
      <c r="C4139" s="13"/>
    </row>
    <row r="4140" spans="3:3" x14ac:dyDescent="0.25">
      <c r="C4140" s="13"/>
    </row>
    <row r="4141" spans="3:3" x14ac:dyDescent="0.25">
      <c r="C4141" s="13"/>
    </row>
    <row r="4142" spans="3:3" x14ac:dyDescent="0.25">
      <c r="C4142" s="13"/>
    </row>
    <row r="4143" spans="3:3" x14ac:dyDescent="0.25">
      <c r="C4143" s="13"/>
    </row>
    <row r="4144" spans="3:3" x14ac:dyDescent="0.25">
      <c r="C4144" s="13"/>
    </row>
    <row r="4145" spans="3:3" x14ac:dyDescent="0.25">
      <c r="C4145" s="13"/>
    </row>
    <row r="4146" spans="3:3" x14ac:dyDescent="0.25">
      <c r="C4146" s="13"/>
    </row>
    <row r="4147" spans="3:3" x14ac:dyDescent="0.25">
      <c r="C4147" s="13"/>
    </row>
    <row r="4148" spans="3:3" x14ac:dyDescent="0.25">
      <c r="C4148" s="13"/>
    </row>
    <row r="4149" spans="3:3" x14ac:dyDescent="0.25">
      <c r="C4149" s="13"/>
    </row>
    <row r="4150" spans="3:3" x14ac:dyDescent="0.25">
      <c r="C4150" s="13"/>
    </row>
    <row r="4151" spans="3:3" x14ac:dyDescent="0.25">
      <c r="C4151" s="13"/>
    </row>
    <row r="4152" spans="3:3" x14ac:dyDescent="0.25">
      <c r="C4152" s="13"/>
    </row>
    <row r="4153" spans="3:3" x14ac:dyDescent="0.25">
      <c r="C4153" s="13"/>
    </row>
    <row r="4154" spans="3:3" x14ac:dyDescent="0.25">
      <c r="C4154" s="13"/>
    </row>
    <row r="4155" spans="3:3" x14ac:dyDescent="0.25">
      <c r="C4155" s="13"/>
    </row>
    <row r="4156" spans="3:3" x14ac:dyDescent="0.25">
      <c r="C4156" s="13"/>
    </row>
    <row r="4157" spans="3:3" x14ac:dyDescent="0.25">
      <c r="C4157" s="13"/>
    </row>
    <row r="4158" spans="3:3" x14ac:dyDescent="0.25">
      <c r="C4158" s="13"/>
    </row>
    <row r="4159" spans="3:3" x14ac:dyDescent="0.25">
      <c r="C4159" s="13"/>
    </row>
    <row r="4160" spans="3:3" x14ac:dyDescent="0.25">
      <c r="C4160" s="13"/>
    </row>
    <row r="4161" spans="3:3" x14ac:dyDescent="0.25">
      <c r="C4161" s="13"/>
    </row>
    <row r="4162" spans="3:3" x14ac:dyDescent="0.25">
      <c r="C4162" s="13"/>
    </row>
    <row r="4163" spans="3:3" x14ac:dyDescent="0.25">
      <c r="C4163" s="13"/>
    </row>
    <row r="4164" spans="3:3" x14ac:dyDescent="0.25">
      <c r="C4164" s="13"/>
    </row>
    <row r="4165" spans="3:3" x14ac:dyDescent="0.25">
      <c r="C4165" s="13"/>
    </row>
    <row r="4166" spans="3:3" x14ac:dyDescent="0.25">
      <c r="C4166" s="13"/>
    </row>
    <row r="4167" spans="3:3" x14ac:dyDescent="0.25">
      <c r="C4167" s="13"/>
    </row>
    <row r="4168" spans="3:3" x14ac:dyDescent="0.25">
      <c r="C4168" s="13"/>
    </row>
    <row r="4169" spans="3:3" x14ac:dyDescent="0.25">
      <c r="C4169" s="13"/>
    </row>
    <row r="4170" spans="3:3" x14ac:dyDescent="0.25">
      <c r="C4170" s="13"/>
    </row>
    <row r="4171" spans="3:3" x14ac:dyDescent="0.25">
      <c r="C4171" s="13"/>
    </row>
    <row r="4172" spans="3:3" x14ac:dyDescent="0.25">
      <c r="C4172" s="13"/>
    </row>
    <row r="4173" spans="3:3" x14ac:dyDescent="0.25">
      <c r="C4173" s="13"/>
    </row>
    <row r="4174" spans="3:3" x14ac:dyDescent="0.25">
      <c r="C4174" s="13"/>
    </row>
    <row r="4175" spans="3:3" x14ac:dyDescent="0.25">
      <c r="C4175" s="13"/>
    </row>
    <row r="4176" spans="3:3" x14ac:dyDescent="0.25">
      <c r="C4176" s="13"/>
    </row>
    <row r="4177" spans="3:3" x14ac:dyDescent="0.25">
      <c r="C4177" s="13"/>
    </row>
    <row r="4178" spans="3:3" x14ac:dyDescent="0.25">
      <c r="C4178" s="13"/>
    </row>
    <row r="4179" spans="3:3" x14ac:dyDescent="0.25">
      <c r="C4179" s="13"/>
    </row>
    <row r="4180" spans="3:3" x14ac:dyDescent="0.25">
      <c r="C4180" s="13"/>
    </row>
    <row r="4181" spans="3:3" x14ac:dyDescent="0.25">
      <c r="C4181" s="13"/>
    </row>
    <row r="4182" spans="3:3" x14ac:dyDescent="0.25">
      <c r="C4182" s="13"/>
    </row>
    <row r="4183" spans="3:3" x14ac:dyDescent="0.25">
      <c r="C4183" s="13"/>
    </row>
    <row r="4184" spans="3:3" x14ac:dyDescent="0.25">
      <c r="C4184" s="13"/>
    </row>
    <row r="4185" spans="3:3" x14ac:dyDescent="0.25">
      <c r="C4185" s="13"/>
    </row>
    <row r="4186" spans="3:3" x14ac:dyDescent="0.25">
      <c r="C4186" s="13"/>
    </row>
    <row r="4187" spans="3:3" x14ac:dyDescent="0.25">
      <c r="C4187" s="13"/>
    </row>
    <row r="4188" spans="3:3" x14ac:dyDescent="0.25">
      <c r="C4188" s="13"/>
    </row>
    <row r="4189" spans="3:3" x14ac:dyDescent="0.25">
      <c r="C4189" s="13"/>
    </row>
    <row r="4190" spans="3:3" x14ac:dyDescent="0.25">
      <c r="C4190" s="13"/>
    </row>
    <row r="4191" spans="3:3" x14ac:dyDescent="0.25">
      <c r="C4191" s="13"/>
    </row>
    <row r="4192" spans="3:3" x14ac:dyDescent="0.25">
      <c r="C4192" s="13"/>
    </row>
    <row r="4193" spans="3:3" x14ac:dyDescent="0.25">
      <c r="C4193" s="13"/>
    </row>
    <row r="4194" spans="3:3" x14ac:dyDescent="0.25">
      <c r="C4194" s="13"/>
    </row>
    <row r="4195" spans="3:3" x14ac:dyDescent="0.25">
      <c r="C4195" s="13"/>
    </row>
    <row r="4196" spans="3:3" x14ac:dyDescent="0.25">
      <c r="C4196" s="13"/>
    </row>
    <row r="4197" spans="3:3" x14ac:dyDescent="0.25">
      <c r="C4197" s="13"/>
    </row>
    <row r="4198" spans="3:3" x14ac:dyDescent="0.25">
      <c r="C4198" s="13"/>
    </row>
    <row r="4199" spans="3:3" x14ac:dyDescent="0.25">
      <c r="C4199" s="13"/>
    </row>
    <row r="4200" spans="3:3" x14ac:dyDescent="0.25">
      <c r="C4200" s="13"/>
    </row>
    <row r="4201" spans="3:3" x14ac:dyDescent="0.25">
      <c r="C4201" s="13"/>
    </row>
    <row r="4202" spans="3:3" x14ac:dyDescent="0.25">
      <c r="C4202" s="13"/>
    </row>
    <row r="4203" spans="3:3" x14ac:dyDescent="0.25">
      <c r="C4203" s="13"/>
    </row>
    <row r="4204" spans="3:3" x14ac:dyDescent="0.25">
      <c r="C4204" s="13"/>
    </row>
    <row r="4205" spans="3:3" x14ac:dyDescent="0.25">
      <c r="C4205" s="13"/>
    </row>
    <row r="4206" spans="3:3" x14ac:dyDescent="0.25">
      <c r="C4206" s="13"/>
    </row>
    <row r="4207" spans="3:3" x14ac:dyDescent="0.25">
      <c r="C4207" s="13"/>
    </row>
    <row r="4208" spans="3:3" x14ac:dyDescent="0.25">
      <c r="C4208" s="13"/>
    </row>
    <row r="4209" spans="3:3" x14ac:dyDescent="0.25">
      <c r="C4209" s="13"/>
    </row>
    <row r="4210" spans="3:3" x14ac:dyDescent="0.25">
      <c r="C4210" s="13"/>
    </row>
    <row r="4211" spans="3:3" x14ac:dyDescent="0.25">
      <c r="C4211" s="13"/>
    </row>
    <row r="4212" spans="3:3" x14ac:dyDescent="0.25">
      <c r="C4212" s="13"/>
    </row>
    <row r="4213" spans="3:3" x14ac:dyDescent="0.25">
      <c r="C4213" s="13"/>
    </row>
    <row r="4214" spans="3:3" x14ac:dyDescent="0.25">
      <c r="C4214" s="13"/>
    </row>
    <row r="4215" spans="3:3" x14ac:dyDescent="0.25">
      <c r="C4215" s="13"/>
    </row>
    <row r="4216" spans="3:3" x14ac:dyDescent="0.25">
      <c r="C4216" s="13"/>
    </row>
    <row r="4217" spans="3:3" x14ac:dyDescent="0.25">
      <c r="C4217" s="13"/>
    </row>
    <row r="4218" spans="3:3" x14ac:dyDescent="0.25">
      <c r="C4218" s="13"/>
    </row>
    <row r="4219" spans="3:3" x14ac:dyDescent="0.25">
      <c r="C4219" s="13"/>
    </row>
    <row r="4220" spans="3:3" x14ac:dyDescent="0.25">
      <c r="C4220" s="13"/>
    </row>
    <row r="4221" spans="3:3" x14ac:dyDescent="0.25">
      <c r="C4221" s="13"/>
    </row>
    <row r="4222" spans="3:3" x14ac:dyDescent="0.25">
      <c r="C4222" s="13"/>
    </row>
    <row r="4223" spans="3:3" x14ac:dyDescent="0.25">
      <c r="C4223" s="13"/>
    </row>
    <row r="4224" spans="3:3" x14ac:dyDescent="0.25">
      <c r="C4224" s="13"/>
    </row>
    <row r="4225" spans="3:3" x14ac:dyDescent="0.25">
      <c r="C4225" s="13"/>
    </row>
    <row r="4226" spans="3:3" x14ac:dyDescent="0.25">
      <c r="C4226" s="13"/>
    </row>
    <row r="4227" spans="3:3" x14ac:dyDescent="0.25">
      <c r="C4227" s="13"/>
    </row>
    <row r="4228" spans="3:3" x14ac:dyDescent="0.25">
      <c r="C4228" s="13"/>
    </row>
    <row r="4229" spans="3:3" x14ac:dyDescent="0.25">
      <c r="C4229" s="13"/>
    </row>
    <row r="4230" spans="3:3" x14ac:dyDescent="0.25">
      <c r="C4230" s="13"/>
    </row>
    <row r="4231" spans="3:3" x14ac:dyDescent="0.25">
      <c r="C4231" s="13"/>
    </row>
    <row r="4232" spans="3:3" x14ac:dyDescent="0.25">
      <c r="C4232" s="13"/>
    </row>
    <row r="4233" spans="3:3" x14ac:dyDescent="0.25">
      <c r="C4233" s="13"/>
    </row>
    <row r="4234" spans="3:3" x14ac:dyDescent="0.25">
      <c r="C4234" s="13"/>
    </row>
    <row r="4235" spans="3:3" x14ac:dyDescent="0.25">
      <c r="C4235" s="13"/>
    </row>
    <row r="4236" spans="3:3" x14ac:dyDescent="0.25">
      <c r="C4236" s="13"/>
    </row>
    <row r="4237" spans="3:3" x14ac:dyDescent="0.25">
      <c r="C4237" s="13"/>
    </row>
    <row r="4238" spans="3:3" x14ac:dyDescent="0.25">
      <c r="C4238" s="13"/>
    </row>
    <row r="4239" spans="3:3" x14ac:dyDescent="0.25">
      <c r="C4239" s="13"/>
    </row>
    <row r="4240" spans="3:3" x14ac:dyDescent="0.25">
      <c r="C4240" s="13"/>
    </row>
    <row r="4241" spans="3:3" x14ac:dyDescent="0.25">
      <c r="C4241" s="13"/>
    </row>
    <row r="4242" spans="3:3" x14ac:dyDescent="0.25">
      <c r="C4242" s="13"/>
    </row>
    <row r="4243" spans="3:3" x14ac:dyDescent="0.25">
      <c r="C4243" s="13"/>
    </row>
    <row r="4244" spans="3:3" x14ac:dyDescent="0.25">
      <c r="C4244" s="13"/>
    </row>
    <row r="4245" spans="3:3" x14ac:dyDescent="0.25">
      <c r="C4245" s="13"/>
    </row>
    <row r="4246" spans="3:3" x14ac:dyDescent="0.25">
      <c r="C4246" s="13"/>
    </row>
    <row r="4247" spans="3:3" x14ac:dyDescent="0.25">
      <c r="C4247" s="13"/>
    </row>
    <row r="4248" spans="3:3" x14ac:dyDescent="0.25">
      <c r="C4248" s="13"/>
    </row>
    <row r="4249" spans="3:3" x14ac:dyDescent="0.25">
      <c r="C4249" s="13"/>
    </row>
    <row r="4250" spans="3:3" x14ac:dyDescent="0.25">
      <c r="C4250" s="13"/>
    </row>
    <row r="4251" spans="3:3" x14ac:dyDescent="0.25">
      <c r="C4251" s="13"/>
    </row>
    <row r="4252" spans="3:3" x14ac:dyDescent="0.25">
      <c r="C4252" s="13"/>
    </row>
    <row r="4253" spans="3:3" x14ac:dyDescent="0.25">
      <c r="C4253" s="13"/>
    </row>
    <row r="4254" spans="3:3" x14ac:dyDescent="0.25">
      <c r="C4254" s="13"/>
    </row>
    <row r="4255" spans="3:3" x14ac:dyDescent="0.25">
      <c r="C4255" s="13"/>
    </row>
    <row r="4256" spans="3:3" x14ac:dyDescent="0.25">
      <c r="C4256" s="13"/>
    </row>
    <row r="4257" spans="3:3" x14ac:dyDescent="0.25">
      <c r="C4257" s="13"/>
    </row>
    <row r="4258" spans="3:3" x14ac:dyDescent="0.25">
      <c r="C4258" s="13"/>
    </row>
    <row r="4259" spans="3:3" x14ac:dyDescent="0.25">
      <c r="C4259" s="13"/>
    </row>
    <row r="4260" spans="3:3" x14ac:dyDescent="0.25">
      <c r="C4260" s="13"/>
    </row>
    <row r="4261" spans="3:3" x14ac:dyDescent="0.25">
      <c r="C4261" s="13"/>
    </row>
    <row r="4262" spans="3:3" x14ac:dyDescent="0.25">
      <c r="C4262" s="13"/>
    </row>
    <row r="4263" spans="3:3" x14ac:dyDescent="0.25">
      <c r="C4263" s="13"/>
    </row>
    <row r="4264" spans="3:3" x14ac:dyDescent="0.25">
      <c r="C4264" s="13"/>
    </row>
    <row r="4265" spans="3:3" x14ac:dyDescent="0.25">
      <c r="C4265" s="13"/>
    </row>
    <row r="4266" spans="3:3" x14ac:dyDescent="0.25">
      <c r="C4266" s="13"/>
    </row>
    <row r="4267" spans="3:3" x14ac:dyDescent="0.25">
      <c r="C4267" s="13"/>
    </row>
    <row r="4268" spans="3:3" x14ac:dyDescent="0.25">
      <c r="C4268" s="13"/>
    </row>
    <row r="4269" spans="3:3" x14ac:dyDescent="0.25">
      <c r="C4269" s="13"/>
    </row>
    <row r="4270" spans="3:3" x14ac:dyDescent="0.25">
      <c r="C4270" s="13"/>
    </row>
    <row r="4271" spans="3:3" x14ac:dyDescent="0.25">
      <c r="C4271" s="13"/>
    </row>
    <row r="4272" spans="3:3" x14ac:dyDescent="0.25">
      <c r="C4272" s="13"/>
    </row>
    <row r="4273" spans="3:3" x14ac:dyDescent="0.25">
      <c r="C4273" s="13"/>
    </row>
    <row r="4274" spans="3:3" x14ac:dyDescent="0.25">
      <c r="C4274" s="13"/>
    </row>
    <row r="4275" spans="3:3" x14ac:dyDescent="0.25">
      <c r="C4275" s="13"/>
    </row>
    <row r="4276" spans="3:3" x14ac:dyDescent="0.25">
      <c r="C4276" s="13"/>
    </row>
    <row r="4277" spans="3:3" x14ac:dyDescent="0.25">
      <c r="C4277" s="13"/>
    </row>
    <row r="4278" spans="3:3" x14ac:dyDescent="0.25">
      <c r="C4278" s="13"/>
    </row>
    <row r="4279" spans="3:3" x14ac:dyDescent="0.25">
      <c r="C4279" s="13"/>
    </row>
    <row r="4280" spans="3:3" x14ac:dyDescent="0.25">
      <c r="C4280" s="13"/>
    </row>
    <row r="4281" spans="3:3" x14ac:dyDescent="0.25">
      <c r="C4281" s="13"/>
    </row>
    <row r="4282" spans="3:3" x14ac:dyDescent="0.25">
      <c r="C4282" s="13"/>
    </row>
    <row r="4283" spans="3:3" x14ac:dyDescent="0.25">
      <c r="C4283" s="13"/>
    </row>
    <row r="4284" spans="3:3" x14ac:dyDescent="0.25">
      <c r="C4284" s="13"/>
    </row>
    <row r="4285" spans="3:3" x14ac:dyDescent="0.25">
      <c r="C4285" s="13"/>
    </row>
    <row r="4286" spans="3:3" x14ac:dyDescent="0.25">
      <c r="C4286" s="13"/>
    </row>
    <row r="4287" spans="3:3" x14ac:dyDescent="0.25">
      <c r="C4287" s="13"/>
    </row>
    <row r="4288" spans="3:3" x14ac:dyDescent="0.25">
      <c r="C4288" s="13"/>
    </row>
    <row r="4289" spans="3:3" x14ac:dyDescent="0.25">
      <c r="C4289" s="13"/>
    </row>
    <row r="4290" spans="3:3" x14ac:dyDescent="0.25">
      <c r="C4290" s="13"/>
    </row>
    <row r="4291" spans="3:3" x14ac:dyDescent="0.25">
      <c r="C4291" s="13"/>
    </row>
    <row r="4292" spans="3:3" x14ac:dyDescent="0.25">
      <c r="C4292" s="13"/>
    </row>
    <row r="4293" spans="3:3" x14ac:dyDescent="0.25">
      <c r="C4293" s="13"/>
    </row>
    <row r="4294" spans="3:3" x14ac:dyDescent="0.25">
      <c r="C4294" s="13"/>
    </row>
    <row r="4295" spans="3:3" x14ac:dyDescent="0.25">
      <c r="C4295" s="13"/>
    </row>
    <row r="4296" spans="3:3" x14ac:dyDescent="0.25">
      <c r="C4296" s="13"/>
    </row>
    <row r="4297" spans="3:3" x14ac:dyDescent="0.25">
      <c r="C4297" s="13"/>
    </row>
    <row r="4298" spans="3:3" x14ac:dyDescent="0.25">
      <c r="C4298" s="13"/>
    </row>
    <row r="4299" spans="3:3" x14ac:dyDescent="0.25">
      <c r="C4299" s="13"/>
    </row>
    <row r="4300" spans="3:3" x14ac:dyDescent="0.25">
      <c r="C4300" s="13"/>
    </row>
    <row r="4301" spans="3:3" x14ac:dyDescent="0.25">
      <c r="C4301" s="13"/>
    </row>
    <row r="4302" spans="3:3" x14ac:dyDescent="0.25">
      <c r="C4302" s="13"/>
    </row>
    <row r="4303" spans="3:3" x14ac:dyDescent="0.25">
      <c r="C4303" s="13"/>
    </row>
    <row r="4304" spans="3:3" x14ac:dyDescent="0.25">
      <c r="C4304" s="13"/>
    </row>
    <row r="4305" spans="3:3" x14ac:dyDescent="0.25">
      <c r="C4305" s="13"/>
    </row>
    <row r="4306" spans="3:3" x14ac:dyDescent="0.25">
      <c r="C4306" s="13"/>
    </row>
    <row r="4307" spans="3:3" x14ac:dyDescent="0.25">
      <c r="C4307" s="13"/>
    </row>
    <row r="4308" spans="3:3" x14ac:dyDescent="0.25">
      <c r="C4308" s="13"/>
    </row>
    <row r="4309" spans="3:3" x14ac:dyDescent="0.25">
      <c r="C4309" s="13"/>
    </row>
    <row r="4310" spans="3:3" x14ac:dyDescent="0.25">
      <c r="C4310" s="13"/>
    </row>
    <row r="4311" spans="3:3" x14ac:dyDescent="0.25">
      <c r="C4311" s="13"/>
    </row>
    <row r="4312" spans="3:3" x14ac:dyDescent="0.25">
      <c r="C4312" s="13"/>
    </row>
    <row r="4313" spans="3:3" x14ac:dyDescent="0.25">
      <c r="C4313" s="13"/>
    </row>
    <row r="4314" spans="3:3" x14ac:dyDescent="0.25">
      <c r="C4314" s="13"/>
    </row>
    <row r="4315" spans="3:3" x14ac:dyDescent="0.25">
      <c r="C4315" s="13"/>
    </row>
    <row r="4316" spans="3:3" x14ac:dyDescent="0.25">
      <c r="C4316" s="13"/>
    </row>
    <row r="4317" spans="3:3" x14ac:dyDescent="0.25">
      <c r="C4317" s="13"/>
    </row>
    <row r="4318" spans="3:3" x14ac:dyDescent="0.25">
      <c r="C4318" s="13"/>
    </row>
    <row r="4319" spans="3:3" x14ac:dyDescent="0.25">
      <c r="C4319" s="13"/>
    </row>
    <row r="4320" spans="3:3" x14ac:dyDescent="0.25">
      <c r="C4320" s="13"/>
    </row>
    <row r="4321" spans="3:3" x14ac:dyDescent="0.25">
      <c r="C4321" s="13"/>
    </row>
    <row r="4322" spans="3:3" x14ac:dyDescent="0.25">
      <c r="C4322" s="13"/>
    </row>
    <row r="4323" spans="3:3" x14ac:dyDescent="0.25">
      <c r="C4323" s="13"/>
    </row>
    <row r="4324" spans="3:3" x14ac:dyDescent="0.25">
      <c r="C4324" s="13"/>
    </row>
    <row r="4325" spans="3:3" x14ac:dyDescent="0.25">
      <c r="C4325" s="13"/>
    </row>
    <row r="4326" spans="3:3" x14ac:dyDescent="0.25">
      <c r="C4326" s="13"/>
    </row>
    <row r="4327" spans="3:3" x14ac:dyDescent="0.25">
      <c r="C4327" s="13"/>
    </row>
    <row r="4328" spans="3:3" x14ac:dyDescent="0.25">
      <c r="C4328" s="13"/>
    </row>
    <row r="4329" spans="3:3" x14ac:dyDescent="0.25">
      <c r="C4329" s="13"/>
    </row>
    <row r="4330" spans="3:3" x14ac:dyDescent="0.25">
      <c r="C4330" s="13"/>
    </row>
    <row r="4331" spans="3:3" x14ac:dyDescent="0.25">
      <c r="C4331" s="13"/>
    </row>
    <row r="4332" spans="3:3" x14ac:dyDescent="0.25">
      <c r="C4332" s="13"/>
    </row>
    <row r="4333" spans="3:3" x14ac:dyDescent="0.25">
      <c r="C4333" s="13"/>
    </row>
    <row r="4334" spans="3:3" x14ac:dyDescent="0.25">
      <c r="C4334" s="13"/>
    </row>
    <row r="4335" spans="3:3" x14ac:dyDescent="0.25">
      <c r="C4335" s="13"/>
    </row>
    <row r="4336" spans="3:3" x14ac:dyDescent="0.25">
      <c r="C4336" s="13"/>
    </row>
    <row r="4337" spans="3:3" x14ac:dyDescent="0.25">
      <c r="C4337" s="13"/>
    </row>
    <row r="4338" spans="3:3" x14ac:dyDescent="0.25">
      <c r="C4338" s="13"/>
    </row>
    <row r="4339" spans="3:3" x14ac:dyDescent="0.25">
      <c r="C4339" s="13"/>
    </row>
    <row r="4340" spans="3:3" x14ac:dyDescent="0.25">
      <c r="C4340" s="13"/>
    </row>
    <row r="4341" spans="3:3" x14ac:dyDescent="0.25">
      <c r="C4341" s="13"/>
    </row>
    <row r="4342" spans="3:3" x14ac:dyDescent="0.25">
      <c r="C4342" s="13"/>
    </row>
    <row r="4343" spans="3:3" x14ac:dyDescent="0.25">
      <c r="C4343" s="13"/>
    </row>
    <row r="4344" spans="3:3" x14ac:dyDescent="0.25">
      <c r="C4344" s="13"/>
    </row>
    <row r="4345" spans="3:3" x14ac:dyDescent="0.25">
      <c r="C4345" s="13"/>
    </row>
    <row r="4346" spans="3:3" x14ac:dyDescent="0.25">
      <c r="C4346" s="13"/>
    </row>
    <row r="4347" spans="3:3" x14ac:dyDescent="0.25">
      <c r="C4347" s="13"/>
    </row>
    <row r="4348" spans="3:3" x14ac:dyDescent="0.25">
      <c r="C4348" s="13"/>
    </row>
    <row r="4349" spans="3:3" x14ac:dyDescent="0.25">
      <c r="C4349" s="13"/>
    </row>
    <row r="4350" spans="3:3" x14ac:dyDescent="0.25">
      <c r="C4350" s="13"/>
    </row>
    <row r="4351" spans="3:3" x14ac:dyDescent="0.25">
      <c r="C4351" s="13"/>
    </row>
    <row r="4352" spans="3:3" x14ac:dyDescent="0.25">
      <c r="C4352" s="13"/>
    </row>
    <row r="4353" spans="3:3" x14ac:dyDescent="0.25">
      <c r="C4353" s="13"/>
    </row>
    <row r="4354" spans="3:3" x14ac:dyDescent="0.25">
      <c r="C4354" s="13"/>
    </row>
    <row r="4355" spans="3:3" x14ac:dyDescent="0.25">
      <c r="C4355" s="13"/>
    </row>
    <row r="4356" spans="3:3" x14ac:dyDescent="0.25">
      <c r="C4356" s="13"/>
    </row>
    <row r="4357" spans="3:3" x14ac:dyDescent="0.25">
      <c r="C4357" s="13"/>
    </row>
    <row r="4358" spans="3:3" x14ac:dyDescent="0.25">
      <c r="C4358" s="13"/>
    </row>
    <row r="4359" spans="3:3" x14ac:dyDescent="0.25">
      <c r="C4359" s="13"/>
    </row>
    <row r="4360" spans="3:3" x14ac:dyDescent="0.25">
      <c r="C4360" s="13"/>
    </row>
    <row r="4361" spans="3:3" x14ac:dyDescent="0.25">
      <c r="C4361" s="13"/>
    </row>
    <row r="4362" spans="3:3" x14ac:dyDescent="0.25">
      <c r="C4362" s="13"/>
    </row>
    <row r="4363" spans="3:3" x14ac:dyDescent="0.25">
      <c r="C4363" s="13"/>
    </row>
    <row r="4364" spans="3:3" x14ac:dyDescent="0.25">
      <c r="C4364" s="13"/>
    </row>
    <row r="4365" spans="3:3" x14ac:dyDescent="0.25">
      <c r="C4365" s="13"/>
    </row>
    <row r="4366" spans="3:3" x14ac:dyDescent="0.25">
      <c r="C4366" s="13"/>
    </row>
    <row r="4367" spans="3:3" x14ac:dyDescent="0.25">
      <c r="C4367" s="13"/>
    </row>
    <row r="4368" spans="3:3" x14ac:dyDescent="0.25">
      <c r="C4368" s="13"/>
    </row>
    <row r="4369" spans="3:3" x14ac:dyDescent="0.25">
      <c r="C4369" s="13"/>
    </row>
    <row r="4370" spans="3:3" x14ac:dyDescent="0.25">
      <c r="C4370" s="13"/>
    </row>
    <row r="4371" spans="3:3" x14ac:dyDescent="0.25">
      <c r="C4371" s="13"/>
    </row>
    <row r="4372" spans="3:3" x14ac:dyDescent="0.25">
      <c r="C4372" s="13"/>
    </row>
    <row r="4373" spans="3:3" x14ac:dyDescent="0.25">
      <c r="C4373" s="13"/>
    </row>
    <row r="4374" spans="3:3" x14ac:dyDescent="0.25">
      <c r="C4374" s="13"/>
    </row>
    <row r="4375" spans="3:3" x14ac:dyDescent="0.25">
      <c r="C4375" s="13"/>
    </row>
    <row r="4376" spans="3:3" x14ac:dyDescent="0.25">
      <c r="C4376" s="13"/>
    </row>
    <row r="4377" spans="3:3" x14ac:dyDescent="0.25">
      <c r="C4377" s="13"/>
    </row>
    <row r="4378" spans="3:3" x14ac:dyDescent="0.25">
      <c r="C4378" s="13"/>
    </row>
    <row r="4379" spans="3:3" x14ac:dyDescent="0.25">
      <c r="C4379" s="13"/>
    </row>
    <row r="4380" spans="3:3" x14ac:dyDescent="0.25">
      <c r="C4380" s="13"/>
    </row>
    <row r="4381" spans="3:3" x14ac:dyDescent="0.25">
      <c r="C4381" s="13"/>
    </row>
    <row r="4382" spans="3:3" x14ac:dyDescent="0.25">
      <c r="C4382" s="13"/>
    </row>
    <row r="4383" spans="3:3" x14ac:dyDescent="0.25">
      <c r="C4383" s="13"/>
    </row>
    <row r="4384" spans="3:3" x14ac:dyDescent="0.25">
      <c r="C4384" s="13"/>
    </row>
    <row r="4385" spans="3:3" x14ac:dyDescent="0.25">
      <c r="C4385" s="13"/>
    </row>
    <row r="4386" spans="3:3" x14ac:dyDescent="0.25">
      <c r="C4386" s="13"/>
    </row>
    <row r="4387" spans="3:3" x14ac:dyDescent="0.25">
      <c r="C4387" s="13"/>
    </row>
    <row r="4388" spans="3:3" x14ac:dyDescent="0.25">
      <c r="C4388" s="13"/>
    </row>
    <row r="4389" spans="3:3" x14ac:dyDescent="0.25">
      <c r="C4389" s="13"/>
    </row>
    <row r="4390" spans="3:3" x14ac:dyDescent="0.25">
      <c r="C4390" s="13"/>
    </row>
    <row r="4391" spans="3:3" x14ac:dyDescent="0.25">
      <c r="C4391" s="13"/>
    </row>
    <row r="4392" spans="3:3" x14ac:dyDescent="0.25">
      <c r="C4392" s="13"/>
    </row>
    <row r="4393" spans="3:3" x14ac:dyDescent="0.25">
      <c r="C4393" s="13"/>
    </row>
    <row r="4394" spans="3:3" x14ac:dyDescent="0.25">
      <c r="C4394" s="13"/>
    </row>
    <row r="4395" spans="3:3" x14ac:dyDescent="0.25">
      <c r="C4395" s="13"/>
    </row>
    <row r="4396" spans="3:3" x14ac:dyDescent="0.25">
      <c r="C4396" s="13"/>
    </row>
    <row r="4397" spans="3:3" x14ac:dyDescent="0.25">
      <c r="C4397" s="13"/>
    </row>
    <row r="4398" spans="3:3" x14ac:dyDescent="0.25">
      <c r="C4398" s="13"/>
    </row>
    <row r="4399" spans="3:3" x14ac:dyDescent="0.25">
      <c r="C4399" s="13"/>
    </row>
    <row r="4400" spans="3:3" x14ac:dyDescent="0.25">
      <c r="C4400" s="13"/>
    </row>
    <row r="4401" spans="3:3" x14ac:dyDescent="0.25">
      <c r="C4401" s="13"/>
    </row>
    <row r="4402" spans="3:3" x14ac:dyDescent="0.25">
      <c r="C4402" s="13"/>
    </row>
    <row r="4403" spans="3:3" x14ac:dyDescent="0.25">
      <c r="C4403" s="13"/>
    </row>
    <row r="4404" spans="3:3" x14ac:dyDescent="0.25">
      <c r="C4404" s="13"/>
    </row>
    <row r="4405" spans="3:3" x14ac:dyDescent="0.25">
      <c r="C4405" s="13"/>
    </row>
    <row r="4406" spans="3:3" x14ac:dyDescent="0.25">
      <c r="C4406" s="13"/>
    </row>
    <row r="4407" spans="3:3" x14ac:dyDescent="0.25">
      <c r="C4407" s="13"/>
    </row>
    <row r="4408" spans="3:3" x14ac:dyDescent="0.25">
      <c r="C4408" s="13"/>
    </row>
    <row r="4409" spans="3:3" x14ac:dyDescent="0.25">
      <c r="C4409" s="13"/>
    </row>
    <row r="4410" spans="3:3" x14ac:dyDescent="0.25">
      <c r="C4410" s="13"/>
    </row>
    <row r="4411" spans="3:3" x14ac:dyDescent="0.25">
      <c r="C4411" s="13"/>
    </row>
    <row r="4412" spans="3:3" x14ac:dyDescent="0.25">
      <c r="C4412" s="13"/>
    </row>
    <row r="4413" spans="3:3" x14ac:dyDescent="0.25">
      <c r="C4413" s="13"/>
    </row>
    <row r="4414" spans="3:3" x14ac:dyDescent="0.25">
      <c r="C4414" s="13"/>
    </row>
    <row r="4415" spans="3:3" x14ac:dyDescent="0.25">
      <c r="C4415" s="13"/>
    </row>
    <row r="4416" spans="3:3" x14ac:dyDescent="0.25">
      <c r="C4416" s="13"/>
    </row>
    <row r="4417" spans="3:3" x14ac:dyDescent="0.25">
      <c r="C4417" s="13"/>
    </row>
    <row r="4418" spans="3:3" x14ac:dyDescent="0.25">
      <c r="C4418" s="13"/>
    </row>
    <row r="4419" spans="3:3" x14ac:dyDescent="0.25">
      <c r="C4419" s="13"/>
    </row>
    <row r="4420" spans="3:3" x14ac:dyDescent="0.25">
      <c r="C4420" s="13"/>
    </row>
    <row r="4421" spans="3:3" x14ac:dyDescent="0.25">
      <c r="C4421" s="13"/>
    </row>
    <row r="4422" spans="3:3" x14ac:dyDescent="0.25">
      <c r="C4422" s="13"/>
    </row>
    <row r="4423" spans="3:3" x14ac:dyDescent="0.25">
      <c r="C4423" s="13"/>
    </row>
    <row r="4424" spans="3:3" x14ac:dyDescent="0.25">
      <c r="C4424" s="13"/>
    </row>
    <row r="4425" spans="3:3" x14ac:dyDescent="0.25">
      <c r="C4425" s="13"/>
    </row>
    <row r="4426" spans="3:3" x14ac:dyDescent="0.25">
      <c r="C4426" s="13"/>
    </row>
    <row r="4427" spans="3:3" x14ac:dyDescent="0.25">
      <c r="C4427" s="13"/>
    </row>
    <row r="4428" spans="3:3" x14ac:dyDescent="0.25">
      <c r="C4428" s="13"/>
    </row>
    <row r="4429" spans="3:3" x14ac:dyDescent="0.25">
      <c r="C4429" s="13"/>
    </row>
    <row r="4430" spans="3:3" x14ac:dyDescent="0.25">
      <c r="C4430" s="13"/>
    </row>
    <row r="4431" spans="3:3" x14ac:dyDescent="0.25">
      <c r="C4431" s="13"/>
    </row>
    <row r="4432" spans="3:3" x14ac:dyDescent="0.25">
      <c r="C4432" s="13"/>
    </row>
    <row r="4433" spans="3:3" x14ac:dyDescent="0.25">
      <c r="C4433" s="13"/>
    </row>
    <row r="4434" spans="3:3" x14ac:dyDescent="0.25">
      <c r="C4434" s="13"/>
    </row>
    <row r="4435" spans="3:3" x14ac:dyDescent="0.25">
      <c r="C4435" s="13"/>
    </row>
    <row r="4436" spans="3:3" x14ac:dyDescent="0.25">
      <c r="C4436" s="13"/>
    </row>
    <row r="4437" spans="3:3" x14ac:dyDescent="0.25">
      <c r="C4437" s="13"/>
    </row>
    <row r="4438" spans="3:3" x14ac:dyDescent="0.25">
      <c r="C4438" s="13"/>
    </row>
    <row r="4439" spans="3:3" x14ac:dyDescent="0.25">
      <c r="C4439" s="13"/>
    </row>
    <row r="4440" spans="3:3" x14ac:dyDescent="0.25">
      <c r="C4440" s="13"/>
    </row>
    <row r="4441" spans="3:3" x14ac:dyDescent="0.25">
      <c r="C4441" s="13"/>
    </row>
    <row r="4442" spans="3:3" x14ac:dyDescent="0.25">
      <c r="C4442" s="13"/>
    </row>
    <row r="4443" spans="3:3" x14ac:dyDescent="0.25">
      <c r="C4443" s="13"/>
    </row>
    <row r="4444" spans="3:3" x14ac:dyDescent="0.25">
      <c r="C4444" s="13"/>
    </row>
    <row r="4445" spans="3:3" x14ac:dyDescent="0.25">
      <c r="C4445" s="13"/>
    </row>
    <row r="4446" spans="3:3" x14ac:dyDescent="0.25">
      <c r="C4446" s="13"/>
    </row>
    <row r="4447" spans="3:3" x14ac:dyDescent="0.25">
      <c r="C4447" s="13"/>
    </row>
    <row r="4448" spans="3:3" x14ac:dyDescent="0.25">
      <c r="C4448" s="13"/>
    </row>
    <row r="4449" spans="3:3" x14ac:dyDescent="0.25">
      <c r="C4449" s="13"/>
    </row>
    <row r="4450" spans="3:3" x14ac:dyDescent="0.25">
      <c r="C4450" s="13"/>
    </row>
    <row r="4451" spans="3:3" x14ac:dyDescent="0.25">
      <c r="C4451" s="13"/>
    </row>
    <row r="4452" spans="3:3" x14ac:dyDescent="0.25">
      <c r="C4452" s="13"/>
    </row>
    <row r="4453" spans="3:3" x14ac:dyDescent="0.25">
      <c r="C4453" s="13"/>
    </row>
    <row r="4454" spans="3:3" x14ac:dyDescent="0.25">
      <c r="C4454" s="13"/>
    </row>
    <row r="4455" spans="3:3" x14ac:dyDescent="0.25">
      <c r="C4455" s="13"/>
    </row>
    <row r="4456" spans="3:3" x14ac:dyDescent="0.25">
      <c r="C4456" s="13"/>
    </row>
    <row r="4457" spans="3:3" x14ac:dyDescent="0.25">
      <c r="C4457" s="13"/>
    </row>
    <row r="4458" spans="3:3" x14ac:dyDescent="0.25">
      <c r="C4458" s="13"/>
    </row>
    <row r="4459" spans="3:3" x14ac:dyDescent="0.25">
      <c r="C4459" s="13"/>
    </row>
    <row r="4460" spans="3:3" x14ac:dyDescent="0.25">
      <c r="C4460" s="13"/>
    </row>
    <row r="4461" spans="3:3" x14ac:dyDescent="0.25">
      <c r="C4461" s="13"/>
    </row>
    <row r="4462" spans="3:3" x14ac:dyDescent="0.25">
      <c r="C4462" s="13"/>
    </row>
    <row r="4463" spans="3:3" x14ac:dyDescent="0.25">
      <c r="C4463" s="13"/>
    </row>
    <row r="4464" spans="3:3" x14ac:dyDescent="0.25">
      <c r="C4464" s="13"/>
    </row>
    <row r="4465" spans="3:3" x14ac:dyDescent="0.25">
      <c r="C4465" s="13"/>
    </row>
    <row r="4466" spans="3:3" x14ac:dyDescent="0.25">
      <c r="C4466" s="13"/>
    </row>
    <row r="4467" spans="3:3" x14ac:dyDescent="0.25">
      <c r="C4467" s="13"/>
    </row>
    <row r="4468" spans="3:3" x14ac:dyDescent="0.25">
      <c r="C4468" s="13"/>
    </row>
    <row r="4469" spans="3:3" x14ac:dyDescent="0.25">
      <c r="C4469" s="13"/>
    </row>
    <row r="4470" spans="3:3" x14ac:dyDescent="0.25">
      <c r="C4470" s="13"/>
    </row>
    <row r="4471" spans="3:3" x14ac:dyDescent="0.25">
      <c r="C4471" s="13"/>
    </row>
    <row r="4472" spans="3:3" x14ac:dyDescent="0.25">
      <c r="C4472" s="13"/>
    </row>
    <row r="4473" spans="3:3" x14ac:dyDescent="0.25">
      <c r="C4473" s="13"/>
    </row>
    <row r="4474" spans="3:3" x14ac:dyDescent="0.25">
      <c r="C4474" s="13"/>
    </row>
    <row r="4475" spans="3:3" x14ac:dyDescent="0.25">
      <c r="C4475" s="13"/>
    </row>
    <row r="4476" spans="3:3" x14ac:dyDescent="0.25">
      <c r="C4476" s="13"/>
    </row>
    <row r="4477" spans="3:3" x14ac:dyDescent="0.25">
      <c r="C4477" s="13"/>
    </row>
    <row r="4478" spans="3:3" x14ac:dyDescent="0.25">
      <c r="C4478" s="13"/>
    </row>
    <row r="4479" spans="3:3" x14ac:dyDescent="0.25">
      <c r="C4479" s="13"/>
    </row>
    <row r="4480" spans="3:3" x14ac:dyDescent="0.25">
      <c r="C4480" s="13"/>
    </row>
    <row r="4481" spans="3:3" x14ac:dyDescent="0.25">
      <c r="C4481" s="13"/>
    </row>
    <row r="4482" spans="3:3" x14ac:dyDescent="0.25">
      <c r="C4482" s="13"/>
    </row>
    <row r="4483" spans="3:3" x14ac:dyDescent="0.25">
      <c r="C4483" s="13"/>
    </row>
    <row r="4484" spans="3:3" x14ac:dyDescent="0.25">
      <c r="C4484" s="13"/>
    </row>
    <row r="4485" spans="3:3" x14ac:dyDescent="0.25">
      <c r="C4485" s="13"/>
    </row>
    <row r="4486" spans="3:3" x14ac:dyDescent="0.25">
      <c r="C4486" s="13"/>
    </row>
    <row r="4487" spans="3:3" x14ac:dyDescent="0.25">
      <c r="C4487" s="13"/>
    </row>
    <row r="4488" spans="3:3" x14ac:dyDescent="0.25">
      <c r="C4488" s="13"/>
    </row>
    <row r="4489" spans="3:3" x14ac:dyDescent="0.25">
      <c r="C4489" s="13"/>
    </row>
    <row r="4490" spans="3:3" x14ac:dyDescent="0.25">
      <c r="C4490" s="13"/>
    </row>
    <row r="4491" spans="3:3" x14ac:dyDescent="0.25">
      <c r="C4491" s="13"/>
    </row>
    <row r="4492" spans="3:3" x14ac:dyDescent="0.25">
      <c r="C4492" s="13"/>
    </row>
    <row r="4493" spans="3:3" x14ac:dyDescent="0.25">
      <c r="C4493" s="13"/>
    </row>
    <row r="4494" spans="3:3" x14ac:dyDescent="0.25">
      <c r="C4494" s="13"/>
    </row>
    <row r="4495" spans="3:3" x14ac:dyDescent="0.25">
      <c r="C4495" s="13"/>
    </row>
    <row r="4496" spans="3:3" x14ac:dyDescent="0.25">
      <c r="C4496" s="13"/>
    </row>
    <row r="4497" spans="3:3" x14ac:dyDescent="0.25">
      <c r="C4497" s="13"/>
    </row>
    <row r="4498" spans="3:3" x14ac:dyDescent="0.25">
      <c r="C4498" s="13"/>
    </row>
    <row r="4499" spans="3:3" x14ac:dyDescent="0.25">
      <c r="C4499" s="13"/>
    </row>
    <row r="4500" spans="3:3" x14ac:dyDescent="0.25">
      <c r="C4500" s="13"/>
    </row>
    <row r="4501" spans="3:3" x14ac:dyDescent="0.25">
      <c r="C4501" s="13"/>
    </row>
    <row r="4502" spans="3:3" x14ac:dyDescent="0.25">
      <c r="C4502" s="13"/>
    </row>
    <row r="4503" spans="3:3" x14ac:dyDescent="0.25">
      <c r="C4503" s="13"/>
    </row>
    <row r="4504" spans="3:3" x14ac:dyDescent="0.25">
      <c r="C4504" s="13"/>
    </row>
    <row r="4505" spans="3:3" x14ac:dyDescent="0.25">
      <c r="C4505" s="13"/>
    </row>
    <row r="4506" spans="3:3" x14ac:dyDescent="0.25">
      <c r="C4506" s="13"/>
    </row>
    <row r="4507" spans="3:3" x14ac:dyDescent="0.25">
      <c r="C4507" s="13"/>
    </row>
    <row r="4508" spans="3:3" x14ac:dyDescent="0.25">
      <c r="C4508" s="13"/>
    </row>
    <row r="4509" spans="3:3" x14ac:dyDescent="0.25">
      <c r="C4509" s="13"/>
    </row>
    <row r="4510" spans="3:3" x14ac:dyDescent="0.25">
      <c r="C4510" s="13"/>
    </row>
    <row r="4511" spans="3:3" x14ac:dyDescent="0.25">
      <c r="C4511" s="13"/>
    </row>
    <row r="4512" spans="3:3" x14ac:dyDescent="0.25">
      <c r="C4512" s="13"/>
    </row>
    <row r="4513" spans="3:3" x14ac:dyDescent="0.25">
      <c r="C4513" s="13"/>
    </row>
    <row r="4514" spans="3:3" x14ac:dyDescent="0.25">
      <c r="C4514" s="13"/>
    </row>
    <row r="4515" spans="3:3" x14ac:dyDescent="0.25">
      <c r="C4515" s="13"/>
    </row>
    <row r="4516" spans="3:3" x14ac:dyDescent="0.25">
      <c r="C4516" s="13"/>
    </row>
    <row r="4517" spans="3:3" x14ac:dyDescent="0.25">
      <c r="C4517" s="13"/>
    </row>
    <row r="4518" spans="3:3" x14ac:dyDescent="0.25">
      <c r="C4518" s="13"/>
    </row>
    <row r="4519" spans="3:3" x14ac:dyDescent="0.25">
      <c r="C4519" s="13"/>
    </row>
    <row r="4520" spans="3:3" x14ac:dyDescent="0.25">
      <c r="C4520" s="13"/>
    </row>
    <row r="4521" spans="3:3" x14ac:dyDescent="0.25">
      <c r="C4521" s="13"/>
    </row>
    <row r="4522" spans="3:3" x14ac:dyDescent="0.25">
      <c r="C4522" s="13"/>
    </row>
    <row r="4523" spans="3:3" x14ac:dyDescent="0.25">
      <c r="C4523" s="13"/>
    </row>
    <row r="4524" spans="3:3" x14ac:dyDescent="0.25">
      <c r="C4524" s="13"/>
    </row>
    <row r="4525" spans="3:3" x14ac:dyDescent="0.25">
      <c r="C4525" s="13"/>
    </row>
    <row r="4526" spans="3:3" x14ac:dyDescent="0.25">
      <c r="C4526" s="13"/>
    </row>
    <row r="4527" spans="3:3" x14ac:dyDescent="0.25">
      <c r="C4527" s="13"/>
    </row>
    <row r="4528" spans="3:3" x14ac:dyDescent="0.25">
      <c r="C4528" s="13"/>
    </row>
    <row r="4529" spans="3:3" x14ac:dyDescent="0.25">
      <c r="C4529" s="13"/>
    </row>
    <row r="4530" spans="3:3" x14ac:dyDescent="0.25">
      <c r="C4530" s="13"/>
    </row>
    <row r="4531" spans="3:3" x14ac:dyDescent="0.25">
      <c r="C4531" s="13"/>
    </row>
    <row r="4532" spans="3:3" x14ac:dyDescent="0.25">
      <c r="C4532" s="13"/>
    </row>
    <row r="4533" spans="3:3" x14ac:dyDescent="0.25">
      <c r="C4533" s="13"/>
    </row>
    <row r="4534" spans="3:3" x14ac:dyDescent="0.25">
      <c r="C4534" s="13"/>
    </row>
    <row r="4535" spans="3:3" x14ac:dyDescent="0.25">
      <c r="C4535" s="13"/>
    </row>
    <row r="4536" spans="3:3" x14ac:dyDescent="0.25">
      <c r="C4536" s="13"/>
    </row>
    <row r="4537" spans="3:3" x14ac:dyDescent="0.25">
      <c r="C4537" s="13"/>
    </row>
    <row r="4538" spans="3:3" x14ac:dyDescent="0.25">
      <c r="C4538" s="13"/>
    </row>
    <row r="4539" spans="3:3" x14ac:dyDescent="0.25">
      <c r="C4539" s="13"/>
    </row>
    <row r="4540" spans="3:3" x14ac:dyDescent="0.25">
      <c r="C4540" s="13"/>
    </row>
    <row r="4541" spans="3:3" x14ac:dyDescent="0.25">
      <c r="C4541" s="13"/>
    </row>
    <row r="4542" spans="3:3" x14ac:dyDescent="0.25">
      <c r="C4542" s="13"/>
    </row>
    <row r="4543" spans="3:3" x14ac:dyDescent="0.25">
      <c r="C4543" s="13"/>
    </row>
    <row r="4544" spans="3:3" x14ac:dyDescent="0.25">
      <c r="C4544" s="13"/>
    </row>
    <row r="4545" spans="3:3" x14ac:dyDescent="0.25">
      <c r="C4545" s="13"/>
    </row>
    <row r="4546" spans="3:3" x14ac:dyDescent="0.25">
      <c r="C4546" s="13"/>
    </row>
    <row r="4547" spans="3:3" x14ac:dyDescent="0.25">
      <c r="C4547" s="13"/>
    </row>
    <row r="4548" spans="3:3" x14ac:dyDescent="0.25">
      <c r="C4548" s="13"/>
    </row>
    <row r="4549" spans="3:3" x14ac:dyDescent="0.25">
      <c r="C4549" s="13"/>
    </row>
    <row r="4550" spans="3:3" x14ac:dyDescent="0.25">
      <c r="C4550" s="13"/>
    </row>
    <row r="4551" spans="3:3" x14ac:dyDescent="0.25">
      <c r="C4551" s="13"/>
    </row>
    <row r="4552" spans="3:3" x14ac:dyDescent="0.25">
      <c r="C4552" s="13"/>
    </row>
    <row r="4553" spans="3:3" x14ac:dyDescent="0.25">
      <c r="C4553" s="13"/>
    </row>
    <row r="4554" spans="3:3" x14ac:dyDescent="0.25">
      <c r="C4554" s="13"/>
    </row>
    <row r="4555" spans="3:3" x14ac:dyDescent="0.25">
      <c r="C4555" s="13"/>
    </row>
    <row r="4556" spans="3:3" x14ac:dyDescent="0.25">
      <c r="C4556" s="13"/>
    </row>
    <row r="4557" spans="3:3" x14ac:dyDescent="0.25">
      <c r="C4557" s="13"/>
    </row>
    <row r="4558" spans="3:3" x14ac:dyDescent="0.25">
      <c r="C4558" s="13"/>
    </row>
    <row r="4559" spans="3:3" x14ac:dyDescent="0.25">
      <c r="C4559" s="13"/>
    </row>
    <row r="4560" spans="3:3" x14ac:dyDescent="0.25">
      <c r="C4560" s="13"/>
    </row>
    <row r="4561" spans="3:3" x14ac:dyDescent="0.25">
      <c r="C4561" s="13"/>
    </row>
    <row r="4562" spans="3:3" x14ac:dyDescent="0.25">
      <c r="C4562" s="13"/>
    </row>
    <row r="4563" spans="3:3" x14ac:dyDescent="0.25">
      <c r="C4563" s="13"/>
    </row>
    <row r="4564" spans="3:3" x14ac:dyDescent="0.25">
      <c r="C4564" s="13"/>
    </row>
    <row r="4565" spans="3:3" x14ac:dyDescent="0.25">
      <c r="C4565" s="13"/>
    </row>
    <row r="4566" spans="3:3" x14ac:dyDescent="0.25">
      <c r="C4566" s="13"/>
    </row>
    <row r="4567" spans="3:3" x14ac:dyDescent="0.25">
      <c r="C4567" s="13"/>
    </row>
    <row r="4568" spans="3:3" x14ac:dyDescent="0.25">
      <c r="C4568" s="13"/>
    </row>
    <row r="4569" spans="3:3" x14ac:dyDescent="0.25">
      <c r="C4569" s="13"/>
    </row>
    <row r="4570" spans="3:3" x14ac:dyDescent="0.25">
      <c r="C4570" s="13"/>
    </row>
    <row r="4571" spans="3:3" x14ac:dyDescent="0.25">
      <c r="C4571" s="13"/>
    </row>
    <row r="4572" spans="3:3" x14ac:dyDescent="0.25">
      <c r="C4572" s="13"/>
    </row>
    <row r="4573" spans="3:3" x14ac:dyDescent="0.25">
      <c r="C4573" s="13"/>
    </row>
    <row r="4574" spans="3:3" x14ac:dyDescent="0.25">
      <c r="C4574" s="13"/>
    </row>
    <row r="4575" spans="3:3" x14ac:dyDescent="0.25">
      <c r="C4575" s="13"/>
    </row>
    <row r="4576" spans="3:3" x14ac:dyDescent="0.25">
      <c r="C4576" s="13"/>
    </row>
    <row r="4577" spans="3:3" x14ac:dyDescent="0.25">
      <c r="C4577" s="13"/>
    </row>
    <row r="4578" spans="3:3" x14ac:dyDescent="0.25">
      <c r="C4578" s="13"/>
    </row>
    <row r="4579" spans="3:3" x14ac:dyDescent="0.25">
      <c r="C4579" s="13"/>
    </row>
    <row r="4580" spans="3:3" x14ac:dyDescent="0.25">
      <c r="C4580" s="13"/>
    </row>
    <row r="4581" spans="3:3" x14ac:dyDescent="0.25">
      <c r="C4581" s="13"/>
    </row>
    <row r="4582" spans="3:3" x14ac:dyDescent="0.25">
      <c r="C4582" s="13"/>
    </row>
    <row r="4583" spans="3:3" x14ac:dyDescent="0.25">
      <c r="C4583" s="13"/>
    </row>
    <row r="4584" spans="3:3" x14ac:dyDescent="0.25">
      <c r="C4584" s="13"/>
    </row>
    <row r="4585" spans="3:3" x14ac:dyDescent="0.25">
      <c r="C4585" s="13"/>
    </row>
    <row r="4586" spans="3:3" x14ac:dyDescent="0.25">
      <c r="C4586" s="13"/>
    </row>
    <row r="4587" spans="3:3" x14ac:dyDescent="0.25">
      <c r="C4587" s="13"/>
    </row>
    <row r="4588" spans="3:3" x14ac:dyDescent="0.25">
      <c r="C4588" s="13"/>
    </row>
    <row r="4589" spans="3:3" x14ac:dyDescent="0.25">
      <c r="C4589" s="13"/>
    </row>
    <row r="4590" spans="3:3" x14ac:dyDescent="0.25">
      <c r="C4590" s="13"/>
    </row>
    <row r="4591" spans="3:3" x14ac:dyDescent="0.25">
      <c r="C4591" s="13"/>
    </row>
    <row r="4592" spans="3:3" x14ac:dyDescent="0.25">
      <c r="C4592" s="13"/>
    </row>
    <row r="4593" spans="3:3" x14ac:dyDescent="0.25">
      <c r="C4593" s="13"/>
    </row>
    <row r="4594" spans="3:3" x14ac:dyDescent="0.25">
      <c r="C4594" s="13"/>
    </row>
    <row r="4595" spans="3:3" x14ac:dyDescent="0.25">
      <c r="C4595" s="13"/>
    </row>
    <row r="4596" spans="3:3" x14ac:dyDescent="0.25">
      <c r="C4596" s="13"/>
    </row>
    <row r="4597" spans="3:3" x14ac:dyDescent="0.25">
      <c r="C4597" s="13"/>
    </row>
    <row r="4598" spans="3:3" x14ac:dyDescent="0.25">
      <c r="C4598" s="13"/>
    </row>
    <row r="4599" spans="3:3" x14ac:dyDescent="0.25">
      <c r="C4599" s="13"/>
    </row>
    <row r="4600" spans="3:3" x14ac:dyDescent="0.25">
      <c r="C4600" s="13"/>
    </row>
    <row r="4601" spans="3:3" x14ac:dyDescent="0.25">
      <c r="C4601" s="13"/>
    </row>
    <row r="4602" spans="3:3" x14ac:dyDescent="0.25">
      <c r="C4602" s="13"/>
    </row>
    <row r="4603" spans="3:3" x14ac:dyDescent="0.25">
      <c r="C4603" s="13"/>
    </row>
    <row r="4604" spans="3:3" x14ac:dyDescent="0.25">
      <c r="C4604" s="13"/>
    </row>
    <row r="4605" spans="3:3" x14ac:dyDescent="0.25">
      <c r="C4605" s="13"/>
    </row>
    <row r="4606" spans="3:3" x14ac:dyDescent="0.25">
      <c r="C4606" s="13"/>
    </row>
    <row r="4607" spans="3:3" x14ac:dyDescent="0.25">
      <c r="C4607" s="13"/>
    </row>
    <row r="4608" spans="3:3" x14ac:dyDescent="0.25">
      <c r="C4608" s="13"/>
    </row>
    <row r="4609" spans="3:3" x14ac:dyDescent="0.25">
      <c r="C4609" s="13"/>
    </row>
    <row r="4610" spans="3:3" x14ac:dyDescent="0.25">
      <c r="C4610" s="13"/>
    </row>
    <row r="4611" spans="3:3" x14ac:dyDescent="0.25">
      <c r="C4611" s="13"/>
    </row>
    <row r="4612" spans="3:3" x14ac:dyDescent="0.25">
      <c r="C4612" s="13"/>
    </row>
    <row r="4613" spans="3:3" x14ac:dyDescent="0.25">
      <c r="C4613" s="13"/>
    </row>
    <row r="4614" spans="3:3" x14ac:dyDescent="0.25">
      <c r="C4614" s="13"/>
    </row>
    <row r="4615" spans="3:3" x14ac:dyDescent="0.25">
      <c r="C4615" s="13"/>
    </row>
    <row r="4616" spans="3:3" x14ac:dyDescent="0.25">
      <c r="C4616" s="13"/>
    </row>
    <row r="4617" spans="3:3" x14ac:dyDescent="0.25">
      <c r="C4617" s="13"/>
    </row>
    <row r="4618" spans="3:3" x14ac:dyDescent="0.25">
      <c r="C4618" s="13"/>
    </row>
    <row r="4619" spans="3:3" x14ac:dyDescent="0.25">
      <c r="C4619" s="13"/>
    </row>
    <row r="4620" spans="3:3" x14ac:dyDescent="0.25">
      <c r="C4620" s="13"/>
    </row>
    <row r="4621" spans="3:3" x14ac:dyDescent="0.25">
      <c r="C4621" s="13"/>
    </row>
    <row r="4622" spans="3:3" x14ac:dyDescent="0.25">
      <c r="C4622" s="13"/>
    </row>
    <row r="4623" spans="3:3" x14ac:dyDescent="0.25">
      <c r="C4623" s="13"/>
    </row>
    <row r="4624" spans="3:3" x14ac:dyDescent="0.25">
      <c r="C4624" s="13"/>
    </row>
    <row r="4625" spans="3:3" x14ac:dyDescent="0.25">
      <c r="C4625" s="13"/>
    </row>
    <row r="4626" spans="3:3" x14ac:dyDescent="0.25">
      <c r="C4626" s="13"/>
    </row>
    <row r="4627" spans="3:3" x14ac:dyDescent="0.25">
      <c r="C4627" s="13"/>
    </row>
    <row r="4628" spans="3:3" x14ac:dyDescent="0.25">
      <c r="C4628" s="13"/>
    </row>
    <row r="4629" spans="3:3" x14ac:dyDescent="0.25">
      <c r="C4629" s="13"/>
    </row>
    <row r="4630" spans="3:3" x14ac:dyDescent="0.25">
      <c r="C4630" s="13"/>
    </row>
    <row r="4631" spans="3:3" x14ac:dyDescent="0.25">
      <c r="C4631" s="13"/>
    </row>
    <row r="4632" spans="3:3" x14ac:dyDescent="0.25">
      <c r="C4632" s="13"/>
    </row>
    <row r="4633" spans="3:3" x14ac:dyDescent="0.25">
      <c r="C4633" s="13"/>
    </row>
    <row r="4634" spans="3:3" x14ac:dyDescent="0.25">
      <c r="C4634" s="13"/>
    </row>
    <row r="4635" spans="3:3" x14ac:dyDescent="0.25">
      <c r="C4635" s="13"/>
    </row>
    <row r="4636" spans="3:3" x14ac:dyDescent="0.25">
      <c r="C4636" s="13"/>
    </row>
    <row r="4637" spans="3:3" x14ac:dyDescent="0.25">
      <c r="C4637" s="13"/>
    </row>
    <row r="4638" spans="3:3" x14ac:dyDescent="0.25">
      <c r="C4638" s="13"/>
    </row>
    <row r="4639" spans="3:3" x14ac:dyDescent="0.25">
      <c r="C4639" s="13"/>
    </row>
    <row r="4640" spans="3:3" x14ac:dyDescent="0.25">
      <c r="C4640" s="13"/>
    </row>
    <row r="4641" spans="3:3" x14ac:dyDescent="0.25">
      <c r="C4641" s="13"/>
    </row>
    <row r="4642" spans="3:3" x14ac:dyDescent="0.25">
      <c r="C4642" s="13"/>
    </row>
    <row r="4643" spans="3:3" x14ac:dyDescent="0.25">
      <c r="C4643" s="13"/>
    </row>
    <row r="4644" spans="3:3" x14ac:dyDescent="0.25">
      <c r="C4644" s="13"/>
    </row>
    <row r="4645" spans="3:3" x14ac:dyDescent="0.25">
      <c r="C4645" s="13"/>
    </row>
    <row r="4646" spans="3:3" x14ac:dyDescent="0.25">
      <c r="C4646" s="13"/>
    </row>
    <row r="4647" spans="3:3" x14ac:dyDescent="0.25">
      <c r="C4647" s="13"/>
    </row>
    <row r="4648" spans="3:3" x14ac:dyDescent="0.25">
      <c r="C4648" s="13"/>
    </row>
    <row r="4649" spans="3:3" x14ac:dyDescent="0.25">
      <c r="C4649" s="13"/>
    </row>
    <row r="4650" spans="3:3" x14ac:dyDescent="0.25">
      <c r="C4650" s="13"/>
    </row>
    <row r="4651" spans="3:3" x14ac:dyDescent="0.25">
      <c r="C4651" s="13"/>
    </row>
    <row r="4652" spans="3:3" x14ac:dyDescent="0.25">
      <c r="C4652" s="13"/>
    </row>
    <row r="4653" spans="3:3" x14ac:dyDescent="0.25">
      <c r="C4653" s="13"/>
    </row>
    <row r="4654" spans="3:3" x14ac:dyDescent="0.25">
      <c r="C4654" s="13"/>
    </row>
    <row r="4655" spans="3:3" x14ac:dyDescent="0.25">
      <c r="C4655" s="13"/>
    </row>
    <row r="4656" spans="3:3" x14ac:dyDescent="0.25">
      <c r="C4656" s="13"/>
    </row>
    <row r="4657" spans="3:3" x14ac:dyDescent="0.25">
      <c r="C4657" s="13"/>
    </row>
    <row r="4658" spans="3:3" x14ac:dyDescent="0.25">
      <c r="C4658" s="13"/>
    </row>
    <row r="4659" spans="3:3" x14ac:dyDescent="0.25">
      <c r="C4659" s="13"/>
    </row>
    <row r="4660" spans="3:3" x14ac:dyDescent="0.25">
      <c r="C4660" s="13"/>
    </row>
    <row r="4661" spans="3:3" x14ac:dyDescent="0.25">
      <c r="C4661" s="13"/>
    </row>
    <row r="4662" spans="3:3" x14ac:dyDescent="0.25">
      <c r="C4662" s="13"/>
    </row>
    <row r="4663" spans="3:3" x14ac:dyDescent="0.25">
      <c r="C4663" s="13"/>
    </row>
    <row r="4664" spans="3:3" x14ac:dyDescent="0.25">
      <c r="C4664" s="13"/>
    </row>
    <row r="4665" spans="3:3" x14ac:dyDescent="0.25">
      <c r="C4665" s="13"/>
    </row>
    <row r="4666" spans="3:3" x14ac:dyDescent="0.25">
      <c r="C4666" s="13"/>
    </row>
    <row r="4667" spans="3:3" x14ac:dyDescent="0.25">
      <c r="C4667" s="13"/>
    </row>
    <row r="4668" spans="3:3" x14ac:dyDescent="0.25">
      <c r="C4668" s="13"/>
    </row>
    <row r="4669" spans="3:3" x14ac:dyDescent="0.25">
      <c r="C4669" s="13"/>
    </row>
    <row r="4670" spans="3:3" x14ac:dyDescent="0.25">
      <c r="C4670" s="13"/>
    </row>
    <row r="4671" spans="3:3" x14ac:dyDescent="0.25">
      <c r="C4671" s="13"/>
    </row>
    <row r="4672" spans="3:3" x14ac:dyDescent="0.25">
      <c r="C4672" s="13"/>
    </row>
    <row r="4673" spans="3:3" x14ac:dyDescent="0.25">
      <c r="C4673" s="13"/>
    </row>
    <row r="4674" spans="3:3" x14ac:dyDescent="0.25">
      <c r="C4674" s="13"/>
    </row>
    <row r="4675" spans="3:3" x14ac:dyDescent="0.25">
      <c r="C4675" s="13"/>
    </row>
    <row r="4676" spans="3:3" x14ac:dyDescent="0.25">
      <c r="C4676" s="13"/>
    </row>
    <row r="4677" spans="3:3" x14ac:dyDescent="0.25">
      <c r="C4677" s="13"/>
    </row>
    <row r="4678" spans="3:3" x14ac:dyDescent="0.25">
      <c r="C4678" s="13"/>
    </row>
    <row r="4679" spans="3:3" x14ac:dyDescent="0.25">
      <c r="C4679" s="13"/>
    </row>
    <row r="4680" spans="3:3" x14ac:dyDescent="0.25">
      <c r="C4680" s="13"/>
    </row>
    <row r="4681" spans="3:3" x14ac:dyDescent="0.25">
      <c r="C4681" s="13"/>
    </row>
    <row r="4682" spans="3:3" x14ac:dyDescent="0.25">
      <c r="C4682" s="13"/>
    </row>
    <row r="4683" spans="3:3" x14ac:dyDescent="0.25">
      <c r="C4683" s="13"/>
    </row>
    <row r="4684" spans="3:3" x14ac:dyDescent="0.25">
      <c r="C4684" s="13"/>
    </row>
    <row r="4685" spans="3:3" x14ac:dyDescent="0.25">
      <c r="C4685" s="13"/>
    </row>
    <row r="4686" spans="3:3" x14ac:dyDescent="0.25">
      <c r="C4686" s="13"/>
    </row>
    <row r="4687" spans="3:3" x14ac:dyDescent="0.25">
      <c r="C4687" s="13"/>
    </row>
    <row r="4688" spans="3:3" x14ac:dyDescent="0.25">
      <c r="C4688" s="13"/>
    </row>
    <row r="4689" spans="3:3" x14ac:dyDescent="0.25">
      <c r="C4689" s="13"/>
    </row>
    <row r="4690" spans="3:3" x14ac:dyDescent="0.25">
      <c r="C4690" s="13"/>
    </row>
    <row r="4691" spans="3:3" x14ac:dyDescent="0.25">
      <c r="C4691" s="13"/>
    </row>
    <row r="4692" spans="3:3" x14ac:dyDescent="0.25">
      <c r="C4692" s="13"/>
    </row>
    <row r="4693" spans="3:3" x14ac:dyDescent="0.25">
      <c r="C4693" s="13"/>
    </row>
    <row r="4694" spans="3:3" x14ac:dyDescent="0.25">
      <c r="C4694" s="13"/>
    </row>
    <row r="4695" spans="3:3" x14ac:dyDescent="0.25">
      <c r="C4695" s="13"/>
    </row>
    <row r="4696" spans="3:3" x14ac:dyDescent="0.25">
      <c r="C4696" s="13"/>
    </row>
    <row r="4697" spans="3:3" x14ac:dyDescent="0.25">
      <c r="C4697" s="13"/>
    </row>
    <row r="4698" spans="3:3" x14ac:dyDescent="0.25">
      <c r="C4698" s="13"/>
    </row>
    <row r="4699" spans="3:3" x14ac:dyDescent="0.25">
      <c r="C4699" s="13"/>
    </row>
    <row r="4700" spans="3:3" x14ac:dyDescent="0.25">
      <c r="C4700" s="13"/>
    </row>
    <row r="4701" spans="3:3" x14ac:dyDescent="0.25">
      <c r="C4701" s="13"/>
    </row>
    <row r="4702" spans="3:3" x14ac:dyDescent="0.25">
      <c r="C4702" s="13"/>
    </row>
    <row r="4703" spans="3:3" x14ac:dyDescent="0.25">
      <c r="C4703" s="13"/>
    </row>
    <row r="4704" spans="3:3" x14ac:dyDescent="0.25">
      <c r="C4704" s="13"/>
    </row>
    <row r="4705" spans="3:3" x14ac:dyDescent="0.25">
      <c r="C4705" s="13"/>
    </row>
    <row r="4706" spans="3:3" x14ac:dyDescent="0.25">
      <c r="C4706" s="13"/>
    </row>
    <row r="4707" spans="3:3" x14ac:dyDescent="0.25">
      <c r="C4707" s="13"/>
    </row>
    <row r="4708" spans="3:3" x14ac:dyDescent="0.25">
      <c r="C4708" s="13"/>
    </row>
    <row r="4709" spans="3:3" x14ac:dyDescent="0.25">
      <c r="C4709" s="13"/>
    </row>
    <row r="4710" spans="3:3" x14ac:dyDescent="0.25">
      <c r="C4710" s="13"/>
    </row>
    <row r="4711" spans="3:3" x14ac:dyDescent="0.25">
      <c r="C4711" s="13"/>
    </row>
    <row r="4712" spans="3:3" x14ac:dyDescent="0.25">
      <c r="C4712" s="13"/>
    </row>
    <row r="4713" spans="3:3" x14ac:dyDescent="0.25">
      <c r="C4713" s="13"/>
    </row>
    <row r="4714" spans="3:3" x14ac:dyDescent="0.25">
      <c r="C4714" s="13"/>
    </row>
    <row r="4715" spans="3:3" x14ac:dyDescent="0.25">
      <c r="C4715" s="13"/>
    </row>
    <row r="4716" spans="3:3" x14ac:dyDescent="0.25">
      <c r="C4716" s="13"/>
    </row>
    <row r="4717" spans="3:3" x14ac:dyDescent="0.25">
      <c r="C4717" s="13"/>
    </row>
    <row r="4718" spans="3:3" x14ac:dyDescent="0.25">
      <c r="C4718" s="13"/>
    </row>
    <row r="4719" spans="3:3" x14ac:dyDescent="0.25">
      <c r="C4719" s="13"/>
    </row>
    <row r="4720" spans="3:3" x14ac:dyDescent="0.25">
      <c r="C4720" s="13"/>
    </row>
    <row r="4721" spans="3:3" x14ac:dyDescent="0.25">
      <c r="C4721" s="13"/>
    </row>
    <row r="4722" spans="3:3" x14ac:dyDescent="0.25">
      <c r="C4722" s="13"/>
    </row>
    <row r="4723" spans="3:3" x14ac:dyDescent="0.25">
      <c r="C4723" s="13"/>
    </row>
    <row r="4724" spans="3:3" x14ac:dyDescent="0.25">
      <c r="C4724" s="13"/>
    </row>
    <row r="4725" spans="3:3" x14ac:dyDescent="0.25">
      <c r="C4725" s="13"/>
    </row>
    <row r="4726" spans="3:3" x14ac:dyDescent="0.25">
      <c r="C4726" s="13"/>
    </row>
    <row r="4727" spans="3:3" x14ac:dyDescent="0.25">
      <c r="C4727" s="13"/>
    </row>
    <row r="4728" spans="3:3" x14ac:dyDescent="0.25">
      <c r="C4728" s="13"/>
    </row>
    <row r="4729" spans="3:3" x14ac:dyDescent="0.25">
      <c r="C4729" s="13"/>
    </row>
    <row r="4730" spans="3:3" x14ac:dyDescent="0.25">
      <c r="C4730" s="13"/>
    </row>
    <row r="4731" spans="3:3" x14ac:dyDescent="0.25">
      <c r="C4731" s="13"/>
    </row>
    <row r="4732" spans="3:3" x14ac:dyDescent="0.25">
      <c r="C4732" s="13"/>
    </row>
    <row r="4733" spans="3:3" x14ac:dyDescent="0.25">
      <c r="C4733" s="13"/>
    </row>
    <row r="4734" spans="3:3" x14ac:dyDescent="0.25">
      <c r="C4734" s="13"/>
    </row>
    <row r="4735" spans="3:3" x14ac:dyDescent="0.25">
      <c r="C4735" s="13"/>
    </row>
    <row r="4736" spans="3:3" x14ac:dyDescent="0.25">
      <c r="C4736" s="13"/>
    </row>
    <row r="4737" spans="3:3" x14ac:dyDescent="0.25">
      <c r="C4737" s="13"/>
    </row>
    <row r="4738" spans="3:3" x14ac:dyDescent="0.25">
      <c r="C4738" s="13"/>
    </row>
    <row r="4739" spans="3:3" x14ac:dyDescent="0.25">
      <c r="C4739" s="13"/>
    </row>
    <row r="4740" spans="3:3" x14ac:dyDescent="0.25">
      <c r="C4740" s="13"/>
    </row>
    <row r="4741" spans="3:3" x14ac:dyDescent="0.25">
      <c r="C4741" s="13"/>
    </row>
    <row r="4742" spans="3:3" x14ac:dyDescent="0.25">
      <c r="C4742" s="13"/>
    </row>
    <row r="4743" spans="3:3" x14ac:dyDescent="0.25">
      <c r="C4743" s="13"/>
    </row>
    <row r="4744" spans="3:3" x14ac:dyDescent="0.25">
      <c r="C4744" s="13"/>
    </row>
    <row r="4745" spans="3:3" x14ac:dyDescent="0.25">
      <c r="C4745" s="13"/>
    </row>
    <row r="4746" spans="3:3" x14ac:dyDescent="0.25">
      <c r="C4746" s="13"/>
    </row>
    <row r="4747" spans="3:3" x14ac:dyDescent="0.25">
      <c r="C4747" s="13"/>
    </row>
    <row r="4748" spans="3:3" x14ac:dyDescent="0.25">
      <c r="C4748" s="13"/>
    </row>
    <row r="4749" spans="3:3" x14ac:dyDescent="0.25">
      <c r="C4749" s="13"/>
    </row>
    <row r="4750" spans="3:3" x14ac:dyDescent="0.25">
      <c r="C4750" s="13"/>
    </row>
    <row r="4751" spans="3:3" x14ac:dyDescent="0.25">
      <c r="C4751" s="13"/>
    </row>
    <row r="4752" spans="3:3" x14ac:dyDescent="0.25">
      <c r="C4752" s="13"/>
    </row>
    <row r="4753" spans="3:3" x14ac:dyDescent="0.25">
      <c r="C4753" s="13"/>
    </row>
    <row r="4754" spans="3:3" x14ac:dyDescent="0.25">
      <c r="C4754" s="13"/>
    </row>
    <row r="4755" spans="3:3" x14ac:dyDescent="0.25">
      <c r="C4755" s="13"/>
    </row>
    <row r="4756" spans="3:3" x14ac:dyDescent="0.25">
      <c r="C4756" s="13"/>
    </row>
    <row r="4757" spans="3:3" x14ac:dyDescent="0.25">
      <c r="C4757" s="13"/>
    </row>
    <row r="4758" spans="3:3" x14ac:dyDescent="0.25">
      <c r="C4758" s="13"/>
    </row>
    <row r="4759" spans="3:3" x14ac:dyDescent="0.25">
      <c r="C4759" s="13"/>
    </row>
    <row r="4760" spans="3:3" x14ac:dyDescent="0.25">
      <c r="C4760" s="13"/>
    </row>
    <row r="4761" spans="3:3" x14ac:dyDescent="0.25">
      <c r="C4761" s="13"/>
    </row>
    <row r="4762" spans="3:3" x14ac:dyDescent="0.25">
      <c r="C4762" s="13"/>
    </row>
    <row r="4763" spans="3:3" x14ac:dyDescent="0.25">
      <c r="C4763" s="13"/>
    </row>
    <row r="4764" spans="3:3" x14ac:dyDescent="0.25">
      <c r="C4764" s="13"/>
    </row>
    <row r="4765" spans="3:3" x14ac:dyDescent="0.25">
      <c r="C4765" s="13"/>
    </row>
    <row r="4766" spans="3:3" x14ac:dyDescent="0.25">
      <c r="C4766" s="13"/>
    </row>
    <row r="4767" spans="3:3" x14ac:dyDescent="0.25">
      <c r="C4767" s="13"/>
    </row>
    <row r="4768" spans="3:3" x14ac:dyDescent="0.25">
      <c r="C4768" s="13"/>
    </row>
    <row r="4769" spans="3:3" x14ac:dyDescent="0.25">
      <c r="C4769" s="13"/>
    </row>
    <row r="4770" spans="3:3" x14ac:dyDescent="0.25">
      <c r="C4770" s="13"/>
    </row>
    <row r="4771" spans="3:3" x14ac:dyDescent="0.25">
      <c r="C4771" s="13"/>
    </row>
    <row r="4772" spans="3:3" x14ac:dyDescent="0.25">
      <c r="C4772" s="13"/>
    </row>
    <row r="4773" spans="3:3" x14ac:dyDescent="0.25">
      <c r="C4773" s="13"/>
    </row>
    <row r="4774" spans="3:3" x14ac:dyDescent="0.25">
      <c r="C4774" s="13"/>
    </row>
    <row r="4775" spans="3:3" x14ac:dyDescent="0.25">
      <c r="C4775" s="13"/>
    </row>
    <row r="4776" spans="3:3" x14ac:dyDescent="0.25">
      <c r="C4776" s="13"/>
    </row>
    <row r="4777" spans="3:3" x14ac:dyDescent="0.25">
      <c r="C4777" s="13"/>
    </row>
    <row r="4778" spans="3:3" x14ac:dyDescent="0.25">
      <c r="C4778" s="13"/>
    </row>
    <row r="4779" spans="3:3" x14ac:dyDescent="0.25">
      <c r="C4779" s="13"/>
    </row>
    <row r="4780" spans="3:3" x14ac:dyDescent="0.25">
      <c r="C4780" s="13"/>
    </row>
    <row r="4781" spans="3:3" x14ac:dyDescent="0.25">
      <c r="C4781" s="13"/>
    </row>
    <row r="4782" spans="3:3" x14ac:dyDescent="0.25">
      <c r="C4782" s="13"/>
    </row>
    <row r="4783" spans="3:3" x14ac:dyDescent="0.25">
      <c r="C4783" s="13"/>
    </row>
    <row r="4784" spans="3:3" x14ac:dyDescent="0.25">
      <c r="C4784" s="13"/>
    </row>
    <row r="4785" spans="3:3" x14ac:dyDescent="0.25">
      <c r="C4785" s="13"/>
    </row>
    <row r="4786" spans="3:3" x14ac:dyDescent="0.25">
      <c r="C4786" s="13"/>
    </row>
    <row r="4787" spans="3:3" x14ac:dyDescent="0.25">
      <c r="C4787" s="13"/>
    </row>
    <row r="4788" spans="3:3" x14ac:dyDescent="0.25">
      <c r="C4788" s="13"/>
    </row>
    <row r="4789" spans="3:3" x14ac:dyDescent="0.25">
      <c r="C4789" s="13"/>
    </row>
    <row r="4790" spans="3:3" x14ac:dyDescent="0.25">
      <c r="C4790" s="13"/>
    </row>
    <row r="4791" spans="3:3" x14ac:dyDescent="0.25">
      <c r="C4791" s="13"/>
    </row>
    <row r="4792" spans="3:3" x14ac:dyDescent="0.25">
      <c r="C4792" s="13"/>
    </row>
    <row r="4793" spans="3:3" x14ac:dyDescent="0.25">
      <c r="C4793" s="13"/>
    </row>
    <row r="4794" spans="3:3" x14ac:dyDescent="0.25">
      <c r="C4794" s="13"/>
    </row>
    <row r="4795" spans="3:3" x14ac:dyDescent="0.25">
      <c r="C4795" s="13"/>
    </row>
    <row r="4796" spans="3:3" x14ac:dyDescent="0.25">
      <c r="C4796" s="13"/>
    </row>
    <row r="4797" spans="3:3" x14ac:dyDescent="0.25">
      <c r="C4797" s="13"/>
    </row>
    <row r="4798" spans="3:3" x14ac:dyDescent="0.25">
      <c r="C4798" s="13"/>
    </row>
    <row r="4799" spans="3:3" x14ac:dyDescent="0.25">
      <c r="C4799" s="13"/>
    </row>
    <row r="4800" spans="3:3" x14ac:dyDescent="0.25">
      <c r="C4800" s="13"/>
    </row>
    <row r="4801" spans="3:3" x14ac:dyDescent="0.25">
      <c r="C4801" s="13"/>
    </row>
    <row r="4802" spans="3:3" x14ac:dyDescent="0.25">
      <c r="C4802" s="13"/>
    </row>
    <row r="4803" spans="3:3" x14ac:dyDescent="0.25">
      <c r="C4803" s="13"/>
    </row>
    <row r="4804" spans="3:3" x14ac:dyDescent="0.25">
      <c r="C4804" s="13"/>
    </row>
    <row r="4805" spans="3:3" x14ac:dyDescent="0.25">
      <c r="C4805" s="13"/>
    </row>
    <row r="4806" spans="3:3" x14ac:dyDescent="0.25">
      <c r="C4806" s="13"/>
    </row>
    <row r="4807" spans="3:3" x14ac:dyDescent="0.25">
      <c r="C4807" s="13"/>
    </row>
    <row r="4808" spans="3:3" x14ac:dyDescent="0.25">
      <c r="C4808" s="13"/>
    </row>
    <row r="4809" spans="3:3" x14ac:dyDescent="0.25">
      <c r="C4809" s="13"/>
    </row>
    <row r="4810" spans="3:3" x14ac:dyDescent="0.25">
      <c r="C4810" s="13"/>
    </row>
    <row r="4811" spans="3:3" x14ac:dyDescent="0.25">
      <c r="C4811" s="13"/>
    </row>
    <row r="4812" spans="3:3" x14ac:dyDescent="0.25">
      <c r="C4812" s="13"/>
    </row>
    <row r="4813" spans="3:3" x14ac:dyDescent="0.25">
      <c r="C4813" s="13"/>
    </row>
    <row r="4814" spans="3:3" x14ac:dyDescent="0.25">
      <c r="C4814" s="13"/>
    </row>
    <row r="4815" spans="3:3" x14ac:dyDescent="0.25">
      <c r="C4815" s="13"/>
    </row>
    <row r="4816" spans="3:3" x14ac:dyDescent="0.25">
      <c r="C4816" s="13"/>
    </row>
    <row r="4817" spans="3:3" x14ac:dyDescent="0.25">
      <c r="C4817" s="13"/>
    </row>
    <row r="4818" spans="3:3" x14ac:dyDescent="0.25">
      <c r="C4818" s="13"/>
    </row>
    <row r="4819" spans="3:3" x14ac:dyDescent="0.25">
      <c r="C4819" s="13"/>
    </row>
    <row r="4820" spans="3:3" x14ac:dyDescent="0.25">
      <c r="C4820" s="13"/>
    </row>
    <row r="4821" spans="3:3" x14ac:dyDescent="0.25">
      <c r="C4821" s="13"/>
    </row>
    <row r="4822" spans="3:3" x14ac:dyDescent="0.25">
      <c r="C4822" s="13"/>
    </row>
    <row r="4823" spans="3:3" x14ac:dyDescent="0.25">
      <c r="C4823" s="13"/>
    </row>
    <row r="4824" spans="3:3" x14ac:dyDescent="0.25">
      <c r="C4824" s="13"/>
    </row>
    <row r="4825" spans="3:3" x14ac:dyDescent="0.25">
      <c r="C4825" s="13"/>
    </row>
    <row r="4826" spans="3:3" x14ac:dyDescent="0.25">
      <c r="C4826" s="13"/>
    </row>
    <row r="4827" spans="3:3" x14ac:dyDescent="0.25">
      <c r="C4827" s="13"/>
    </row>
    <row r="4828" spans="3:3" x14ac:dyDescent="0.25">
      <c r="C4828" s="13"/>
    </row>
    <row r="4829" spans="3:3" x14ac:dyDescent="0.25">
      <c r="C4829" s="13"/>
    </row>
    <row r="4830" spans="3:3" x14ac:dyDescent="0.25">
      <c r="C4830" s="13"/>
    </row>
    <row r="4831" spans="3:3" x14ac:dyDescent="0.25">
      <c r="C4831" s="13"/>
    </row>
    <row r="4832" spans="3:3" x14ac:dyDescent="0.25">
      <c r="C4832" s="13"/>
    </row>
    <row r="4833" spans="3:3" x14ac:dyDescent="0.25">
      <c r="C4833" s="13"/>
    </row>
    <row r="4834" spans="3:3" x14ac:dyDescent="0.25">
      <c r="C4834" s="13"/>
    </row>
    <row r="4835" spans="3:3" x14ac:dyDescent="0.25">
      <c r="C4835" s="13"/>
    </row>
    <row r="4836" spans="3:3" x14ac:dyDescent="0.25">
      <c r="C4836" s="13"/>
    </row>
    <row r="4837" spans="3:3" x14ac:dyDescent="0.25">
      <c r="C4837" s="13"/>
    </row>
    <row r="4838" spans="3:3" x14ac:dyDescent="0.25">
      <c r="C4838" s="13"/>
    </row>
    <row r="4839" spans="3:3" x14ac:dyDescent="0.25">
      <c r="C4839" s="13"/>
    </row>
    <row r="4840" spans="3:3" x14ac:dyDescent="0.25">
      <c r="C4840" s="13"/>
    </row>
    <row r="4841" spans="3:3" x14ac:dyDescent="0.25">
      <c r="C4841" s="13"/>
    </row>
    <row r="4842" spans="3:3" x14ac:dyDescent="0.25">
      <c r="C4842" s="13"/>
    </row>
    <row r="4843" spans="3:3" x14ac:dyDescent="0.25">
      <c r="C4843" s="13"/>
    </row>
    <row r="4844" spans="3:3" x14ac:dyDescent="0.25">
      <c r="C4844" s="13"/>
    </row>
    <row r="4845" spans="3:3" x14ac:dyDescent="0.25">
      <c r="C4845" s="13"/>
    </row>
    <row r="4846" spans="3:3" x14ac:dyDescent="0.25">
      <c r="C4846" s="13"/>
    </row>
    <row r="4847" spans="3:3" x14ac:dyDescent="0.25">
      <c r="C4847" s="13"/>
    </row>
    <row r="4848" spans="3:3" x14ac:dyDescent="0.25">
      <c r="C4848" s="13"/>
    </row>
    <row r="4849" spans="3:3" x14ac:dyDescent="0.25">
      <c r="C4849" s="13"/>
    </row>
    <row r="4850" spans="3:3" x14ac:dyDescent="0.25">
      <c r="C4850" s="13"/>
    </row>
    <row r="4851" spans="3:3" x14ac:dyDescent="0.25">
      <c r="C4851" s="13"/>
    </row>
    <row r="4852" spans="3:3" x14ac:dyDescent="0.25">
      <c r="C4852" s="13"/>
    </row>
    <row r="4853" spans="3:3" x14ac:dyDescent="0.25">
      <c r="C4853" s="13"/>
    </row>
    <row r="4854" spans="3:3" x14ac:dyDescent="0.25">
      <c r="C4854" s="13"/>
    </row>
    <row r="4855" spans="3:3" x14ac:dyDescent="0.25">
      <c r="C4855" s="13"/>
    </row>
    <row r="4856" spans="3:3" x14ac:dyDescent="0.25">
      <c r="C4856" s="13"/>
    </row>
    <row r="4857" spans="3:3" x14ac:dyDescent="0.25">
      <c r="C4857" s="13"/>
    </row>
    <row r="4858" spans="3:3" x14ac:dyDescent="0.25">
      <c r="C4858" s="13"/>
    </row>
    <row r="4859" spans="3:3" x14ac:dyDescent="0.25">
      <c r="C4859" s="13"/>
    </row>
    <row r="4860" spans="3:3" x14ac:dyDescent="0.25">
      <c r="C4860" s="13"/>
    </row>
    <row r="4861" spans="3:3" x14ac:dyDescent="0.25">
      <c r="C4861" s="13"/>
    </row>
    <row r="4862" spans="3:3" x14ac:dyDescent="0.25">
      <c r="C4862" s="13"/>
    </row>
    <row r="4863" spans="3:3" x14ac:dyDescent="0.25">
      <c r="C4863" s="13"/>
    </row>
    <row r="4864" spans="3:3" x14ac:dyDescent="0.25">
      <c r="C4864" s="13"/>
    </row>
    <row r="4865" spans="3:3" x14ac:dyDescent="0.25">
      <c r="C4865" s="13"/>
    </row>
    <row r="4866" spans="3:3" x14ac:dyDescent="0.25">
      <c r="C4866" s="13"/>
    </row>
    <row r="4867" spans="3:3" x14ac:dyDescent="0.25">
      <c r="C4867" s="13"/>
    </row>
    <row r="4868" spans="3:3" x14ac:dyDescent="0.25">
      <c r="C4868" s="13"/>
    </row>
    <row r="4869" spans="3:3" x14ac:dyDescent="0.25">
      <c r="C4869" s="13"/>
    </row>
    <row r="4870" spans="3:3" x14ac:dyDescent="0.25">
      <c r="C4870" s="13"/>
    </row>
    <row r="4871" spans="3:3" x14ac:dyDescent="0.25">
      <c r="C4871" s="13"/>
    </row>
    <row r="4872" spans="3:3" x14ac:dyDescent="0.25">
      <c r="C4872" s="13"/>
    </row>
    <row r="4873" spans="3:3" x14ac:dyDescent="0.25">
      <c r="C4873" s="13"/>
    </row>
    <row r="4874" spans="3:3" x14ac:dyDescent="0.25">
      <c r="C4874" s="13"/>
    </row>
    <row r="4875" spans="3:3" x14ac:dyDescent="0.25">
      <c r="C4875" s="13"/>
    </row>
    <row r="4876" spans="3:3" x14ac:dyDescent="0.25">
      <c r="C4876" s="13"/>
    </row>
    <row r="4877" spans="3:3" x14ac:dyDescent="0.25">
      <c r="C4877" s="13"/>
    </row>
    <row r="4878" spans="3:3" x14ac:dyDescent="0.25">
      <c r="C4878" s="13"/>
    </row>
    <row r="4879" spans="3:3" x14ac:dyDescent="0.25">
      <c r="C4879" s="13"/>
    </row>
    <row r="4880" spans="3:3" x14ac:dyDescent="0.25">
      <c r="C4880" s="13"/>
    </row>
    <row r="4881" spans="3:3" x14ac:dyDescent="0.25">
      <c r="C4881" s="13"/>
    </row>
    <row r="4882" spans="3:3" x14ac:dyDescent="0.25">
      <c r="C4882" s="13"/>
    </row>
    <row r="4883" spans="3:3" x14ac:dyDescent="0.25">
      <c r="C4883" s="13"/>
    </row>
    <row r="4884" spans="3:3" x14ac:dyDescent="0.25">
      <c r="C4884" s="13"/>
    </row>
    <row r="4885" spans="3:3" x14ac:dyDescent="0.25">
      <c r="C4885" s="13"/>
    </row>
    <row r="4886" spans="3:3" x14ac:dyDescent="0.25">
      <c r="C4886" s="13"/>
    </row>
    <row r="4887" spans="3:3" x14ac:dyDescent="0.25">
      <c r="C4887" s="13"/>
    </row>
    <row r="4888" spans="3:3" x14ac:dyDescent="0.25">
      <c r="C4888" s="13"/>
    </row>
    <row r="4889" spans="3:3" x14ac:dyDescent="0.25">
      <c r="C4889" s="13"/>
    </row>
    <row r="4890" spans="3:3" x14ac:dyDescent="0.25">
      <c r="C4890" s="13"/>
    </row>
    <row r="4891" spans="3:3" x14ac:dyDescent="0.25">
      <c r="C4891" s="13"/>
    </row>
    <row r="4892" spans="3:3" x14ac:dyDescent="0.25">
      <c r="C4892" s="13"/>
    </row>
    <row r="4893" spans="3:3" x14ac:dyDescent="0.25">
      <c r="C4893" s="13"/>
    </row>
    <row r="4894" spans="3:3" x14ac:dyDescent="0.25">
      <c r="C4894" s="13"/>
    </row>
    <row r="4895" spans="3:3" x14ac:dyDescent="0.25">
      <c r="C4895" s="13"/>
    </row>
    <row r="4896" spans="3:3" x14ac:dyDescent="0.25">
      <c r="C4896" s="13"/>
    </row>
    <row r="4897" spans="3:3" x14ac:dyDescent="0.25">
      <c r="C4897" s="13"/>
    </row>
    <row r="4898" spans="3:3" x14ac:dyDescent="0.25">
      <c r="C4898" s="13"/>
    </row>
    <row r="4899" spans="3:3" x14ac:dyDescent="0.25">
      <c r="C4899" s="13"/>
    </row>
    <row r="4900" spans="3:3" x14ac:dyDescent="0.25">
      <c r="C4900" s="13"/>
    </row>
    <row r="4901" spans="3:3" x14ac:dyDescent="0.25">
      <c r="C4901" s="13"/>
    </row>
    <row r="4902" spans="3:3" x14ac:dyDescent="0.25">
      <c r="C4902" s="13"/>
    </row>
    <row r="4903" spans="3:3" x14ac:dyDescent="0.25">
      <c r="C4903" s="13"/>
    </row>
    <row r="4904" spans="3:3" x14ac:dyDescent="0.25">
      <c r="C4904" s="13"/>
    </row>
    <row r="4905" spans="3:3" x14ac:dyDescent="0.25">
      <c r="C4905" s="13"/>
    </row>
    <row r="4906" spans="3:3" x14ac:dyDescent="0.25">
      <c r="C4906" s="13"/>
    </row>
    <row r="4907" spans="3:3" x14ac:dyDescent="0.25">
      <c r="C4907" s="13"/>
    </row>
    <row r="4908" spans="3:3" x14ac:dyDescent="0.25">
      <c r="C4908" s="13"/>
    </row>
    <row r="4909" spans="3:3" x14ac:dyDescent="0.25">
      <c r="C4909" s="13"/>
    </row>
    <row r="4910" spans="3:3" x14ac:dyDescent="0.25">
      <c r="C4910" s="13"/>
    </row>
    <row r="4911" spans="3:3" x14ac:dyDescent="0.25">
      <c r="C4911" s="13"/>
    </row>
    <row r="4912" spans="3:3" x14ac:dyDescent="0.25">
      <c r="C4912" s="13"/>
    </row>
    <row r="4913" spans="3:3" x14ac:dyDescent="0.25">
      <c r="C4913" s="13"/>
    </row>
    <row r="4914" spans="3:3" x14ac:dyDescent="0.25">
      <c r="C4914" s="13"/>
    </row>
    <row r="4915" spans="3:3" x14ac:dyDescent="0.25">
      <c r="C4915" s="13"/>
    </row>
    <row r="4916" spans="3:3" x14ac:dyDescent="0.25">
      <c r="C4916" s="13"/>
    </row>
    <row r="4917" spans="3:3" x14ac:dyDescent="0.25">
      <c r="C4917" s="13"/>
    </row>
    <row r="4918" spans="3:3" x14ac:dyDescent="0.25">
      <c r="C4918" s="13"/>
    </row>
    <row r="4919" spans="3:3" x14ac:dyDescent="0.25">
      <c r="C4919" s="13"/>
    </row>
    <row r="4920" spans="3:3" x14ac:dyDescent="0.25">
      <c r="C4920" s="13"/>
    </row>
    <row r="4921" spans="3:3" x14ac:dyDescent="0.25">
      <c r="C4921" s="13"/>
    </row>
    <row r="4922" spans="3:3" x14ac:dyDescent="0.25">
      <c r="C4922" s="13"/>
    </row>
    <row r="4923" spans="3:3" x14ac:dyDescent="0.25">
      <c r="C4923" s="13"/>
    </row>
    <row r="4924" spans="3:3" x14ac:dyDescent="0.25">
      <c r="C4924" s="13"/>
    </row>
    <row r="4925" spans="3:3" x14ac:dyDescent="0.25">
      <c r="C4925" s="13"/>
    </row>
    <row r="4926" spans="3:3" x14ac:dyDescent="0.25">
      <c r="C4926" s="13"/>
    </row>
    <row r="4927" spans="3:3" x14ac:dyDescent="0.25">
      <c r="C4927" s="13"/>
    </row>
    <row r="4928" spans="3:3" x14ac:dyDescent="0.25">
      <c r="C4928" s="13"/>
    </row>
    <row r="4929" spans="3:3" x14ac:dyDescent="0.25">
      <c r="C4929" s="13"/>
    </row>
    <row r="4930" spans="3:3" x14ac:dyDescent="0.25">
      <c r="C4930" s="13"/>
    </row>
    <row r="4931" spans="3:3" x14ac:dyDescent="0.25">
      <c r="C4931" s="13"/>
    </row>
    <row r="4932" spans="3:3" x14ac:dyDescent="0.25">
      <c r="C4932" s="13"/>
    </row>
    <row r="4933" spans="3:3" x14ac:dyDescent="0.25">
      <c r="C4933" s="13"/>
    </row>
    <row r="4934" spans="3:3" x14ac:dyDescent="0.25">
      <c r="C4934" s="13"/>
    </row>
    <row r="4935" spans="3:3" x14ac:dyDescent="0.25">
      <c r="C4935" s="13"/>
    </row>
    <row r="4936" spans="3:3" x14ac:dyDescent="0.25">
      <c r="C4936" s="13"/>
    </row>
    <row r="4937" spans="3:3" x14ac:dyDescent="0.25">
      <c r="C4937" s="13"/>
    </row>
    <row r="4938" spans="3:3" x14ac:dyDescent="0.25">
      <c r="C4938" s="13"/>
    </row>
    <row r="4939" spans="3:3" x14ac:dyDescent="0.25">
      <c r="C4939" s="13"/>
    </row>
    <row r="4940" spans="3:3" x14ac:dyDescent="0.25">
      <c r="C4940" s="13"/>
    </row>
    <row r="4941" spans="3:3" x14ac:dyDescent="0.25">
      <c r="C4941" s="13"/>
    </row>
    <row r="4942" spans="3:3" x14ac:dyDescent="0.25">
      <c r="C4942" s="13"/>
    </row>
    <row r="4943" spans="3:3" x14ac:dyDescent="0.25">
      <c r="C4943" s="13"/>
    </row>
    <row r="4944" spans="3:3" x14ac:dyDescent="0.25">
      <c r="C4944" s="13"/>
    </row>
    <row r="4945" spans="3:3" x14ac:dyDescent="0.25">
      <c r="C4945" s="13"/>
    </row>
    <row r="4946" spans="3:3" x14ac:dyDescent="0.25">
      <c r="C4946" s="13"/>
    </row>
    <row r="4947" spans="3:3" x14ac:dyDescent="0.25">
      <c r="C4947" s="13"/>
    </row>
    <row r="4948" spans="3:3" x14ac:dyDescent="0.25">
      <c r="C4948" s="13"/>
    </row>
    <row r="4949" spans="3:3" x14ac:dyDescent="0.25">
      <c r="C4949" s="13"/>
    </row>
    <row r="4950" spans="3:3" x14ac:dyDescent="0.25">
      <c r="C4950" s="13"/>
    </row>
    <row r="4951" spans="3:3" x14ac:dyDescent="0.25">
      <c r="C4951" s="13"/>
    </row>
    <row r="4952" spans="3:3" x14ac:dyDescent="0.25">
      <c r="C4952" s="13"/>
    </row>
    <row r="4953" spans="3:3" x14ac:dyDescent="0.25">
      <c r="C4953" s="13"/>
    </row>
    <row r="4954" spans="3:3" x14ac:dyDescent="0.25">
      <c r="C4954" s="13"/>
    </row>
    <row r="4955" spans="3:3" x14ac:dyDescent="0.25">
      <c r="C4955" s="13"/>
    </row>
    <row r="4956" spans="3:3" x14ac:dyDescent="0.25">
      <c r="C4956" s="13"/>
    </row>
    <row r="4957" spans="3:3" x14ac:dyDescent="0.25">
      <c r="C4957" s="13"/>
    </row>
    <row r="4958" spans="3:3" x14ac:dyDescent="0.25">
      <c r="C4958" s="13"/>
    </row>
    <row r="4959" spans="3:3" x14ac:dyDescent="0.25">
      <c r="C4959" s="13"/>
    </row>
    <row r="4960" spans="3:3" x14ac:dyDescent="0.25">
      <c r="C4960" s="13"/>
    </row>
    <row r="4961" spans="3:3" x14ac:dyDescent="0.25">
      <c r="C4961" s="13"/>
    </row>
    <row r="4962" spans="3:3" x14ac:dyDescent="0.25">
      <c r="C4962" s="13"/>
    </row>
    <row r="4963" spans="3:3" x14ac:dyDescent="0.25">
      <c r="C4963" s="13"/>
    </row>
    <row r="4964" spans="3:3" x14ac:dyDescent="0.25">
      <c r="C4964" s="13"/>
    </row>
    <row r="4965" spans="3:3" x14ac:dyDescent="0.25">
      <c r="C4965" s="13"/>
    </row>
    <row r="4966" spans="3:3" x14ac:dyDescent="0.25">
      <c r="C4966" s="13"/>
    </row>
    <row r="4967" spans="3:3" x14ac:dyDescent="0.25">
      <c r="C4967" s="13"/>
    </row>
    <row r="4968" spans="3:3" x14ac:dyDescent="0.25">
      <c r="C4968" s="13"/>
    </row>
    <row r="4969" spans="3:3" x14ac:dyDescent="0.25">
      <c r="C4969" s="13"/>
    </row>
    <row r="4970" spans="3:3" x14ac:dyDescent="0.25">
      <c r="C4970" s="13"/>
    </row>
    <row r="4971" spans="3:3" x14ac:dyDescent="0.25">
      <c r="C4971" s="13"/>
    </row>
    <row r="4972" spans="3:3" x14ac:dyDescent="0.25">
      <c r="C4972" s="13"/>
    </row>
    <row r="4973" spans="3:3" x14ac:dyDescent="0.25">
      <c r="C4973" s="13"/>
    </row>
    <row r="4974" spans="3:3" x14ac:dyDescent="0.25">
      <c r="C4974" s="13"/>
    </row>
    <row r="4975" spans="3:3" x14ac:dyDescent="0.25">
      <c r="C4975" s="13"/>
    </row>
    <row r="4976" spans="3:3" x14ac:dyDescent="0.25">
      <c r="C4976" s="13"/>
    </row>
    <row r="4977" spans="3:3" x14ac:dyDescent="0.25">
      <c r="C4977" s="13"/>
    </row>
    <row r="4978" spans="3:3" x14ac:dyDescent="0.25">
      <c r="C4978" s="13"/>
    </row>
    <row r="4979" spans="3:3" x14ac:dyDescent="0.25">
      <c r="C4979" s="13"/>
    </row>
    <row r="4980" spans="3:3" x14ac:dyDescent="0.25">
      <c r="C4980" s="13"/>
    </row>
    <row r="4981" spans="3:3" x14ac:dyDescent="0.25">
      <c r="C4981" s="13"/>
    </row>
    <row r="4982" spans="3:3" x14ac:dyDescent="0.25">
      <c r="C4982" s="13"/>
    </row>
    <row r="4983" spans="3:3" x14ac:dyDescent="0.25">
      <c r="C4983" s="13"/>
    </row>
    <row r="4984" spans="3:3" x14ac:dyDescent="0.25">
      <c r="C4984" s="13"/>
    </row>
    <row r="4985" spans="3:3" x14ac:dyDescent="0.25">
      <c r="C4985" s="13"/>
    </row>
    <row r="4986" spans="3:3" x14ac:dyDescent="0.25">
      <c r="C4986" s="13"/>
    </row>
    <row r="4987" spans="3:3" x14ac:dyDescent="0.25">
      <c r="C4987" s="13"/>
    </row>
    <row r="4988" spans="3:3" x14ac:dyDescent="0.25">
      <c r="C4988" s="13"/>
    </row>
    <row r="4989" spans="3:3" x14ac:dyDescent="0.25">
      <c r="C4989" s="13"/>
    </row>
    <row r="4990" spans="3:3" x14ac:dyDescent="0.25">
      <c r="C4990" s="13"/>
    </row>
    <row r="4991" spans="3:3" x14ac:dyDescent="0.25">
      <c r="C4991" s="13"/>
    </row>
    <row r="4992" spans="3:3" x14ac:dyDescent="0.25">
      <c r="C4992" s="13"/>
    </row>
    <row r="4993" spans="3:3" x14ac:dyDescent="0.25">
      <c r="C4993" s="13"/>
    </row>
    <row r="4994" spans="3:3" x14ac:dyDescent="0.25">
      <c r="C4994" s="13"/>
    </row>
    <row r="4995" spans="3:3" x14ac:dyDescent="0.25">
      <c r="C4995" s="13"/>
    </row>
    <row r="4996" spans="3:3" x14ac:dyDescent="0.25">
      <c r="C4996" s="13"/>
    </row>
    <row r="4997" spans="3:3" x14ac:dyDescent="0.25">
      <c r="C4997" s="13"/>
    </row>
    <row r="4998" spans="3:3" x14ac:dyDescent="0.25">
      <c r="C4998" s="13"/>
    </row>
    <row r="4999" spans="3:3" x14ac:dyDescent="0.25">
      <c r="C4999" s="13"/>
    </row>
    <row r="5000" spans="3:3" x14ac:dyDescent="0.25">
      <c r="C5000" s="13"/>
    </row>
    <row r="5001" spans="3:3" x14ac:dyDescent="0.25">
      <c r="C5001" s="13"/>
    </row>
    <row r="5002" spans="3:3" x14ac:dyDescent="0.25">
      <c r="C5002" s="13"/>
    </row>
    <row r="5003" spans="3:3" x14ac:dyDescent="0.25">
      <c r="C5003" s="13"/>
    </row>
    <row r="5004" spans="3:3" x14ac:dyDescent="0.25">
      <c r="C5004" s="13"/>
    </row>
    <row r="5005" spans="3:3" x14ac:dyDescent="0.25">
      <c r="C5005" s="13"/>
    </row>
    <row r="5006" spans="3:3" x14ac:dyDescent="0.25">
      <c r="C5006" s="13"/>
    </row>
    <row r="5007" spans="3:3" x14ac:dyDescent="0.25">
      <c r="C5007" s="13"/>
    </row>
    <row r="5008" spans="3:3" x14ac:dyDescent="0.25">
      <c r="C5008" s="13"/>
    </row>
    <row r="5009" spans="3:3" x14ac:dyDescent="0.25">
      <c r="C5009" s="13"/>
    </row>
    <row r="5010" spans="3:3" x14ac:dyDescent="0.25">
      <c r="C5010" s="13"/>
    </row>
    <row r="5011" spans="3:3" x14ac:dyDescent="0.25">
      <c r="C5011" s="13"/>
    </row>
    <row r="5012" spans="3:3" x14ac:dyDescent="0.25">
      <c r="C5012" s="13"/>
    </row>
    <row r="5013" spans="3:3" x14ac:dyDescent="0.25">
      <c r="C5013" s="13"/>
    </row>
    <row r="5014" spans="3:3" x14ac:dyDescent="0.25">
      <c r="C5014" s="13"/>
    </row>
    <row r="5015" spans="3:3" x14ac:dyDescent="0.25">
      <c r="C5015" s="13"/>
    </row>
    <row r="5016" spans="3:3" x14ac:dyDescent="0.25">
      <c r="C5016" s="13"/>
    </row>
    <row r="5017" spans="3:3" x14ac:dyDescent="0.25">
      <c r="C5017" s="13"/>
    </row>
    <row r="5018" spans="3:3" x14ac:dyDescent="0.25">
      <c r="C5018" s="13"/>
    </row>
    <row r="5019" spans="3:3" x14ac:dyDescent="0.25">
      <c r="C5019" s="13"/>
    </row>
    <row r="5020" spans="3:3" x14ac:dyDescent="0.25">
      <c r="C5020" s="13"/>
    </row>
    <row r="5021" spans="3:3" x14ac:dyDescent="0.25">
      <c r="C5021" s="13"/>
    </row>
    <row r="5022" spans="3:3" x14ac:dyDescent="0.25">
      <c r="C5022" s="13"/>
    </row>
    <row r="5023" spans="3:3" x14ac:dyDescent="0.25">
      <c r="C5023" s="13"/>
    </row>
    <row r="5024" spans="3:3" x14ac:dyDescent="0.25">
      <c r="C5024" s="13"/>
    </row>
    <row r="5025" spans="3:3" x14ac:dyDescent="0.25">
      <c r="C5025" s="13"/>
    </row>
    <row r="5026" spans="3:3" x14ac:dyDescent="0.25">
      <c r="C5026" s="13"/>
    </row>
    <row r="5027" spans="3:3" x14ac:dyDescent="0.25">
      <c r="C5027" s="13"/>
    </row>
    <row r="5028" spans="3:3" x14ac:dyDescent="0.25">
      <c r="C5028" s="13"/>
    </row>
    <row r="5029" spans="3:3" x14ac:dyDescent="0.25">
      <c r="C5029" s="13"/>
    </row>
    <row r="5030" spans="3:3" x14ac:dyDescent="0.25">
      <c r="C5030" s="13"/>
    </row>
    <row r="5031" spans="3:3" x14ac:dyDescent="0.25">
      <c r="C5031" s="13"/>
    </row>
    <row r="5032" spans="3:3" x14ac:dyDescent="0.25">
      <c r="C5032" s="13"/>
    </row>
    <row r="5033" spans="3:3" x14ac:dyDescent="0.25">
      <c r="C5033" s="13"/>
    </row>
    <row r="5034" spans="3:3" x14ac:dyDescent="0.25">
      <c r="C5034" s="13"/>
    </row>
    <row r="5035" spans="3:3" x14ac:dyDescent="0.25">
      <c r="C5035" s="13"/>
    </row>
    <row r="5036" spans="3:3" x14ac:dyDescent="0.25">
      <c r="C5036" s="13"/>
    </row>
    <row r="5037" spans="3:3" x14ac:dyDescent="0.25">
      <c r="C5037" s="13"/>
    </row>
    <row r="5038" spans="3:3" x14ac:dyDescent="0.25">
      <c r="C5038" s="13"/>
    </row>
    <row r="5039" spans="3:3" x14ac:dyDescent="0.25">
      <c r="C5039" s="13"/>
    </row>
    <row r="5040" spans="3:3" x14ac:dyDescent="0.25">
      <c r="C5040" s="13"/>
    </row>
    <row r="5041" spans="3:3" x14ac:dyDescent="0.25">
      <c r="C5041" s="13"/>
    </row>
    <row r="5042" spans="3:3" x14ac:dyDescent="0.25">
      <c r="C5042" s="13"/>
    </row>
    <row r="5043" spans="3:3" x14ac:dyDescent="0.25">
      <c r="C5043" s="13"/>
    </row>
    <row r="5044" spans="3:3" x14ac:dyDescent="0.25">
      <c r="C5044" s="13"/>
    </row>
    <row r="5045" spans="3:3" x14ac:dyDescent="0.25">
      <c r="C5045" s="13"/>
    </row>
    <row r="5046" spans="3:3" x14ac:dyDescent="0.25">
      <c r="C5046" s="13"/>
    </row>
    <row r="5047" spans="3:3" x14ac:dyDescent="0.25">
      <c r="C5047" s="13"/>
    </row>
    <row r="5048" spans="3:3" x14ac:dyDescent="0.25">
      <c r="C5048" s="13"/>
    </row>
    <row r="5049" spans="3:3" x14ac:dyDescent="0.25">
      <c r="C5049" s="13"/>
    </row>
    <row r="5050" spans="3:3" x14ac:dyDescent="0.25">
      <c r="C5050" s="13"/>
    </row>
    <row r="5051" spans="3:3" x14ac:dyDescent="0.25">
      <c r="C5051" s="13"/>
    </row>
    <row r="5052" spans="3:3" x14ac:dyDescent="0.25">
      <c r="C5052" s="13"/>
    </row>
    <row r="5053" spans="3:3" x14ac:dyDescent="0.25">
      <c r="C5053" s="13"/>
    </row>
    <row r="5054" spans="3:3" x14ac:dyDescent="0.25">
      <c r="C5054" s="13"/>
    </row>
    <row r="5055" spans="3:3" x14ac:dyDescent="0.25">
      <c r="C5055" s="13"/>
    </row>
    <row r="5056" spans="3:3" x14ac:dyDescent="0.25">
      <c r="C5056" s="13"/>
    </row>
    <row r="5057" spans="3:3" x14ac:dyDescent="0.25">
      <c r="C5057" s="13"/>
    </row>
    <row r="5058" spans="3:3" x14ac:dyDescent="0.25">
      <c r="C5058" s="13"/>
    </row>
    <row r="5059" spans="3:3" x14ac:dyDescent="0.25">
      <c r="C5059" s="13"/>
    </row>
    <row r="5060" spans="3:3" x14ac:dyDescent="0.25">
      <c r="C5060" s="13"/>
    </row>
    <row r="5061" spans="3:3" x14ac:dyDescent="0.25">
      <c r="C5061" s="13"/>
    </row>
    <row r="5062" spans="3:3" x14ac:dyDescent="0.25">
      <c r="C5062" s="13"/>
    </row>
    <row r="5063" spans="3:3" x14ac:dyDescent="0.25">
      <c r="C5063" s="13"/>
    </row>
    <row r="5064" spans="3:3" x14ac:dyDescent="0.25">
      <c r="C5064" s="13"/>
    </row>
    <row r="5065" spans="3:3" x14ac:dyDescent="0.25">
      <c r="C5065" s="13"/>
    </row>
    <row r="5066" spans="3:3" x14ac:dyDescent="0.25">
      <c r="C5066" s="13"/>
    </row>
    <row r="5067" spans="3:3" x14ac:dyDescent="0.25">
      <c r="C5067" s="13"/>
    </row>
    <row r="5068" spans="3:3" x14ac:dyDescent="0.25">
      <c r="C5068" s="13"/>
    </row>
    <row r="5069" spans="3:3" x14ac:dyDescent="0.25">
      <c r="C5069" s="13"/>
    </row>
    <row r="5070" spans="3:3" x14ac:dyDescent="0.25">
      <c r="C5070" s="13"/>
    </row>
    <row r="5071" spans="3:3" x14ac:dyDescent="0.25">
      <c r="C5071" s="13"/>
    </row>
    <row r="5072" spans="3:3" x14ac:dyDescent="0.25">
      <c r="C5072" s="13"/>
    </row>
    <row r="5073" spans="3:3" x14ac:dyDescent="0.25">
      <c r="C5073" s="13"/>
    </row>
    <row r="5074" spans="3:3" x14ac:dyDescent="0.25">
      <c r="C5074" s="13"/>
    </row>
    <row r="5075" spans="3:3" x14ac:dyDescent="0.25">
      <c r="C5075" s="13"/>
    </row>
    <row r="5076" spans="3:3" x14ac:dyDescent="0.25">
      <c r="C5076" s="13"/>
    </row>
    <row r="5077" spans="3:3" x14ac:dyDescent="0.25">
      <c r="C5077" s="13"/>
    </row>
    <row r="5078" spans="3:3" x14ac:dyDescent="0.25">
      <c r="C5078" s="13"/>
    </row>
    <row r="5079" spans="3:3" x14ac:dyDescent="0.25">
      <c r="C5079" s="13"/>
    </row>
    <row r="5080" spans="3:3" x14ac:dyDescent="0.25">
      <c r="C5080" s="13"/>
    </row>
    <row r="5081" spans="3:3" x14ac:dyDescent="0.25">
      <c r="C5081" s="13"/>
    </row>
    <row r="5082" spans="3:3" x14ac:dyDescent="0.25">
      <c r="C5082" s="13"/>
    </row>
    <row r="5083" spans="3:3" x14ac:dyDescent="0.25">
      <c r="C5083" s="13"/>
    </row>
    <row r="5084" spans="3:3" x14ac:dyDescent="0.25">
      <c r="C5084" s="13"/>
    </row>
    <row r="5085" spans="3:3" x14ac:dyDescent="0.25">
      <c r="C5085" s="13"/>
    </row>
    <row r="5086" spans="3:3" x14ac:dyDescent="0.25">
      <c r="C5086" s="13"/>
    </row>
    <row r="5087" spans="3:3" x14ac:dyDescent="0.25">
      <c r="C5087" s="13"/>
    </row>
    <row r="5088" spans="3:3" x14ac:dyDescent="0.25">
      <c r="C5088" s="13"/>
    </row>
    <row r="5089" spans="3:3" x14ac:dyDescent="0.25">
      <c r="C5089" s="13"/>
    </row>
    <row r="5090" spans="3:3" x14ac:dyDescent="0.25">
      <c r="C5090" s="13"/>
    </row>
    <row r="5091" spans="3:3" x14ac:dyDescent="0.25">
      <c r="C5091" s="13"/>
    </row>
    <row r="5092" spans="3:3" x14ac:dyDescent="0.25">
      <c r="C5092" s="13"/>
    </row>
    <row r="5093" spans="3:3" x14ac:dyDescent="0.25">
      <c r="C5093" s="13"/>
    </row>
    <row r="5094" spans="3:3" x14ac:dyDescent="0.25">
      <c r="C5094" s="13"/>
    </row>
    <row r="5095" spans="3:3" x14ac:dyDescent="0.25">
      <c r="C5095" s="13"/>
    </row>
    <row r="5096" spans="3:3" x14ac:dyDescent="0.25">
      <c r="C5096" s="13"/>
    </row>
    <row r="5097" spans="3:3" x14ac:dyDescent="0.25">
      <c r="C5097" s="13"/>
    </row>
    <row r="5098" spans="3:3" x14ac:dyDescent="0.25">
      <c r="C5098" s="13"/>
    </row>
    <row r="5099" spans="3:3" x14ac:dyDescent="0.25">
      <c r="C5099" s="13"/>
    </row>
    <row r="5100" spans="3:3" x14ac:dyDescent="0.25">
      <c r="C5100" s="13"/>
    </row>
    <row r="5101" spans="3:3" x14ac:dyDescent="0.25">
      <c r="C5101" s="13"/>
    </row>
    <row r="5102" spans="3:3" x14ac:dyDescent="0.25">
      <c r="C5102" s="13"/>
    </row>
    <row r="5103" spans="3:3" x14ac:dyDescent="0.25">
      <c r="C5103" s="13"/>
    </row>
    <row r="5104" spans="3:3" x14ac:dyDescent="0.25">
      <c r="C5104" s="13"/>
    </row>
    <row r="5105" spans="3:3" x14ac:dyDescent="0.25">
      <c r="C5105" s="13"/>
    </row>
    <row r="5106" spans="3:3" x14ac:dyDescent="0.25">
      <c r="C5106" s="13"/>
    </row>
    <row r="5107" spans="3:3" x14ac:dyDescent="0.25">
      <c r="C5107" s="13"/>
    </row>
    <row r="5108" spans="3:3" x14ac:dyDescent="0.25">
      <c r="C5108" s="13"/>
    </row>
    <row r="5109" spans="3:3" x14ac:dyDescent="0.25">
      <c r="C5109" s="13"/>
    </row>
    <row r="5110" spans="3:3" x14ac:dyDescent="0.25">
      <c r="C5110" s="13"/>
    </row>
    <row r="5111" spans="3:3" x14ac:dyDescent="0.25">
      <c r="C5111" s="13"/>
    </row>
    <row r="5112" spans="3:3" x14ac:dyDescent="0.25">
      <c r="C5112" s="13"/>
    </row>
    <row r="5113" spans="3:3" x14ac:dyDescent="0.25">
      <c r="C5113" s="13"/>
    </row>
    <row r="5114" spans="3:3" x14ac:dyDescent="0.25">
      <c r="C5114" s="13"/>
    </row>
    <row r="5115" spans="3:3" x14ac:dyDescent="0.25">
      <c r="C5115" s="13"/>
    </row>
    <row r="5116" spans="3:3" x14ac:dyDescent="0.25">
      <c r="C5116" s="13"/>
    </row>
    <row r="5117" spans="3:3" x14ac:dyDescent="0.25">
      <c r="C5117" s="13"/>
    </row>
    <row r="5118" spans="3:3" x14ac:dyDescent="0.25">
      <c r="C5118" s="13"/>
    </row>
    <row r="5119" spans="3:3" x14ac:dyDescent="0.25">
      <c r="C5119" s="13"/>
    </row>
    <row r="5120" spans="3:3" x14ac:dyDescent="0.25">
      <c r="C5120" s="13"/>
    </row>
    <row r="5121" spans="3:3" x14ac:dyDescent="0.25">
      <c r="C5121" s="13"/>
    </row>
    <row r="5122" spans="3:3" x14ac:dyDescent="0.25">
      <c r="C5122" s="13"/>
    </row>
    <row r="5123" spans="3:3" x14ac:dyDescent="0.25">
      <c r="C5123" s="13"/>
    </row>
    <row r="5124" spans="3:3" x14ac:dyDescent="0.25">
      <c r="C5124" s="13"/>
    </row>
    <row r="5125" spans="3:3" x14ac:dyDescent="0.25">
      <c r="C5125" s="13"/>
    </row>
    <row r="5126" spans="3:3" x14ac:dyDescent="0.25">
      <c r="C5126" s="13"/>
    </row>
    <row r="5127" spans="3:3" x14ac:dyDescent="0.25">
      <c r="C5127" s="13"/>
    </row>
    <row r="5128" spans="3:3" x14ac:dyDescent="0.25">
      <c r="C5128" s="13"/>
    </row>
    <row r="5129" spans="3:3" x14ac:dyDescent="0.25">
      <c r="C5129" s="13"/>
    </row>
    <row r="5130" spans="3:3" x14ac:dyDescent="0.25">
      <c r="C5130" s="13"/>
    </row>
    <row r="5131" spans="3:3" x14ac:dyDescent="0.25">
      <c r="C5131" s="13"/>
    </row>
    <row r="5132" spans="3:3" x14ac:dyDescent="0.25">
      <c r="C5132" s="13"/>
    </row>
    <row r="5133" spans="3:3" x14ac:dyDescent="0.25">
      <c r="C5133" s="13"/>
    </row>
    <row r="5134" spans="3:3" x14ac:dyDescent="0.25">
      <c r="C5134" s="13"/>
    </row>
    <row r="5135" spans="3:3" x14ac:dyDescent="0.25">
      <c r="C5135" s="13"/>
    </row>
    <row r="5136" spans="3:3" x14ac:dyDescent="0.25">
      <c r="C5136" s="13"/>
    </row>
    <row r="5137" spans="3:3" x14ac:dyDescent="0.25">
      <c r="C5137" s="13"/>
    </row>
    <row r="5138" spans="3:3" x14ac:dyDescent="0.25">
      <c r="C5138" s="13"/>
    </row>
    <row r="5139" spans="3:3" x14ac:dyDescent="0.25">
      <c r="C5139" s="13"/>
    </row>
    <row r="5140" spans="3:3" x14ac:dyDescent="0.25">
      <c r="C5140" s="13"/>
    </row>
    <row r="5141" spans="3:3" x14ac:dyDescent="0.25">
      <c r="C5141" s="13"/>
    </row>
    <row r="5142" spans="3:3" x14ac:dyDescent="0.25">
      <c r="C5142" s="13"/>
    </row>
    <row r="5143" spans="3:3" x14ac:dyDescent="0.25">
      <c r="C5143" s="13"/>
    </row>
    <row r="5144" spans="3:3" x14ac:dyDescent="0.25">
      <c r="C5144" s="13"/>
    </row>
    <row r="5145" spans="3:3" x14ac:dyDescent="0.25">
      <c r="C5145" s="13"/>
    </row>
    <row r="5146" spans="3:3" x14ac:dyDescent="0.25">
      <c r="C5146" s="13"/>
    </row>
    <row r="5147" spans="3:3" x14ac:dyDescent="0.25">
      <c r="C5147" s="13"/>
    </row>
    <row r="5148" spans="3:3" x14ac:dyDescent="0.25">
      <c r="C5148" s="13"/>
    </row>
    <row r="5149" spans="3:3" x14ac:dyDescent="0.25">
      <c r="C5149" s="13"/>
    </row>
    <row r="5150" spans="3:3" x14ac:dyDescent="0.25">
      <c r="C5150" s="13"/>
    </row>
    <row r="5151" spans="3:3" x14ac:dyDescent="0.25">
      <c r="C5151" s="13"/>
    </row>
    <row r="5152" spans="3:3" x14ac:dyDescent="0.25">
      <c r="C5152" s="13"/>
    </row>
    <row r="5153" spans="3:3" x14ac:dyDescent="0.25">
      <c r="C5153" s="13"/>
    </row>
    <row r="5154" spans="3:3" x14ac:dyDescent="0.25">
      <c r="C5154" s="13"/>
    </row>
    <row r="5155" spans="3:3" x14ac:dyDescent="0.25">
      <c r="C5155" s="13"/>
    </row>
    <row r="5156" spans="3:3" x14ac:dyDescent="0.25">
      <c r="C5156" s="13"/>
    </row>
    <row r="5157" spans="3:3" x14ac:dyDescent="0.25">
      <c r="C5157" s="13"/>
    </row>
    <row r="5158" spans="3:3" x14ac:dyDescent="0.25">
      <c r="C5158" s="13"/>
    </row>
    <row r="5159" spans="3:3" x14ac:dyDescent="0.25">
      <c r="C5159" s="13"/>
    </row>
    <row r="5160" spans="3:3" x14ac:dyDescent="0.25">
      <c r="C5160" s="13"/>
    </row>
    <row r="5161" spans="3:3" x14ac:dyDescent="0.25">
      <c r="C5161" s="13"/>
    </row>
    <row r="5162" spans="3:3" x14ac:dyDescent="0.25">
      <c r="C5162" s="13"/>
    </row>
    <row r="5163" spans="3:3" x14ac:dyDescent="0.25">
      <c r="C5163" s="13"/>
    </row>
    <row r="5164" spans="3:3" x14ac:dyDescent="0.25">
      <c r="C5164" s="13"/>
    </row>
    <row r="5165" spans="3:3" x14ac:dyDescent="0.25">
      <c r="C5165" s="13"/>
    </row>
    <row r="5166" spans="3:3" x14ac:dyDescent="0.25">
      <c r="C5166" s="13"/>
    </row>
    <row r="5167" spans="3:3" x14ac:dyDescent="0.25">
      <c r="C5167" s="13"/>
    </row>
    <row r="5168" spans="3:3" x14ac:dyDescent="0.25">
      <c r="C5168" s="13"/>
    </row>
    <row r="5169" spans="3:3" x14ac:dyDescent="0.25">
      <c r="C5169" s="13"/>
    </row>
    <row r="5170" spans="3:3" x14ac:dyDescent="0.25">
      <c r="C5170" s="13"/>
    </row>
    <row r="5171" spans="3:3" x14ac:dyDescent="0.25">
      <c r="C5171" s="13"/>
    </row>
    <row r="5172" spans="3:3" x14ac:dyDescent="0.25">
      <c r="C5172" s="13"/>
    </row>
    <row r="5173" spans="3:3" x14ac:dyDescent="0.25">
      <c r="C5173" s="13"/>
    </row>
    <row r="5174" spans="3:3" x14ac:dyDescent="0.25">
      <c r="C5174" s="13"/>
    </row>
    <row r="5175" spans="3:3" x14ac:dyDescent="0.25">
      <c r="C5175" s="13"/>
    </row>
    <row r="5176" spans="3:3" x14ac:dyDescent="0.25">
      <c r="C5176" s="13"/>
    </row>
    <row r="5177" spans="3:3" x14ac:dyDescent="0.25">
      <c r="C5177" s="13"/>
    </row>
    <row r="5178" spans="3:3" x14ac:dyDescent="0.25">
      <c r="C5178" s="13"/>
    </row>
    <row r="5179" spans="3:3" x14ac:dyDescent="0.25">
      <c r="C5179" s="13"/>
    </row>
    <row r="5180" spans="3:3" x14ac:dyDescent="0.25">
      <c r="C5180" s="13"/>
    </row>
    <row r="5181" spans="3:3" x14ac:dyDescent="0.25">
      <c r="C5181" s="13"/>
    </row>
    <row r="5182" spans="3:3" x14ac:dyDescent="0.25">
      <c r="C5182" s="13"/>
    </row>
    <row r="5183" spans="3:3" x14ac:dyDescent="0.25">
      <c r="C5183" s="13"/>
    </row>
    <row r="5184" spans="3:3" x14ac:dyDescent="0.25">
      <c r="C5184" s="13"/>
    </row>
    <row r="5185" spans="3:3" x14ac:dyDescent="0.25">
      <c r="C5185" s="13"/>
    </row>
    <row r="5186" spans="3:3" x14ac:dyDescent="0.25">
      <c r="C5186" s="13"/>
    </row>
    <row r="5187" spans="3:3" x14ac:dyDescent="0.25">
      <c r="C5187" s="13"/>
    </row>
    <row r="5188" spans="3:3" x14ac:dyDescent="0.25">
      <c r="C5188" s="13"/>
    </row>
    <row r="5189" spans="3:3" x14ac:dyDescent="0.25">
      <c r="C5189" s="13"/>
    </row>
    <row r="5190" spans="3:3" x14ac:dyDescent="0.25">
      <c r="C5190" s="13"/>
    </row>
    <row r="5191" spans="3:3" x14ac:dyDescent="0.25">
      <c r="C5191" s="13"/>
    </row>
    <row r="5192" spans="3:3" x14ac:dyDescent="0.25">
      <c r="C5192" s="13"/>
    </row>
    <row r="5193" spans="3:3" x14ac:dyDescent="0.25">
      <c r="C5193" s="13"/>
    </row>
    <row r="5194" spans="3:3" x14ac:dyDescent="0.25">
      <c r="C5194" s="13"/>
    </row>
    <row r="5195" spans="3:3" x14ac:dyDescent="0.25">
      <c r="C5195" s="13"/>
    </row>
    <row r="5196" spans="3:3" x14ac:dyDescent="0.25">
      <c r="C5196" s="13"/>
    </row>
    <row r="5197" spans="3:3" x14ac:dyDescent="0.25">
      <c r="C5197" s="13"/>
    </row>
    <row r="5198" spans="3:3" x14ac:dyDescent="0.25">
      <c r="C5198" s="13"/>
    </row>
    <row r="5199" spans="3:3" x14ac:dyDescent="0.25">
      <c r="C5199" s="13"/>
    </row>
    <row r="5200" spans="3:3" x14ac:dyDescent="0.25">
      <c r="C5200" s="13"/>
    </row>
    <row r="5201" spans="3:3" x14ac:dyDescent="0.25">
      <c r="C5201" s="13"/>
    </row>
    <row r="5202" spans="3:3" x14ac:dyDescent="0.25">
      <c r="C5202" s="13"/>
    </row>
    <row r="5203" spans="3:3" x14ac:dyDescent="0.25">
      <c r="C5203" s="13"/>
    </row>
    <row r="5204" spans="3:3" x14ac:dyDescent="0.25">
      <c r="C5204" s="13"/>
    </row>
    <row r="5205" spans="3:3" x14ac:dyDescent="0.25">
      <c r="C5205" s="13"/>
    </row>
    <row r="5206" spans="3:3" x14ac:dyDescent="0.25">
      <c r="C5206" s="13"/>
    </row>
    <row r="5207" spans="3:3" x14ac:dyDescent="0.25">
      <c r="C5207" s="13"/>
    </row>
    <row r="5208" spans="3:3" x14ac:dyDescent="0.25">
      <c r="C5208" s="13"/>
    </row>
    <row r="5209" spans="3:3" x14ac:dyDescent="0.25">
      <c r="C5209" s="13"/>
    </row>
    <row r="5210" spans="3:3" x14ac:dyDescent="0.25">
      <c r="C5210" s="13"/>
    </row>
    <row r="5211" spans="3:3" x14ac:dyDescent="0.25">
      <c r="C5211" s="13"/>
    </row>
    <row r="5212" spans="3:3" x14ac:dyDescent="0.25">
      <c r="C5212" s="13"/>
    </row>
    <row r="5213" spans="3:3" x14ac:dyDescent="0.25">
      <c r="C5213" s="13"/>
    </row>
    <row r="5214" spans="3:3" x14ac:dyDescent="0.25">
      <c r="C5214" s="13"/>
    </row>
    <row r="5215" spans="3:3" x14ac:dyDescent="0.25">
      <c r="C5215" s="13"/>
    </row>
    <row r="5216" spans="3:3" x14ac:dyDescent="0.25">
      <c r="C5216" s="13"/>
    </row>
    <row r="5217" spans="3:3" x14ac:dyDescent="0.25">
      <c r="C5217" s="13"/>
    </row>
    <row r="5218" spans="3:3" x14ac:dyDescent="0.25">
      <c r="C5218" s="13"/>
    </row>
    <row r="5219" spans="3:3" x14ac:dyDescent="0.25">
      <c r="C5219" s="13"/>
    </row>
    <row r="5220" spans="3:3" x14ac:dyDescent="0.25">
      <c r="C5220" s="13"/>
    </row>
    <row r="5221" spans="3:3" x14ac:dyDescent="0.25">
      <c r="C5221" s="13"/>
    </row>
    <row r="5222" spans="3:3" x14ac:dyDescent="0.25">
      <c r="C5222" s="13"/>
    </row>
    <row r="5223" spans="3:3" x14ac:dyDescent="0.25">
      <c r="C5223" s="13"/>
    </row>
    <row r="5224" spans="3:3" x14ac:dyDescent="0.25">
      <c r="C5224" s="13"/>
    </row>
    <row r="5225" spans="3:3" x14ac:dyDescent="0.25">
      <c r="C5225" s="13"/>
    </row>
    <row r="5226" spans="3:3" x14ac:dyDescent="0.25">
      <c r="C5226" s="13"/>
    </row>
    <row r="5227" spans="3:3" x14ac:dyDescent="0.25">
      <c r="C5227" s="13"/>
    </row>
    <row r="5228" spans="3:3" x14ac:dyDescent="0.25">
      <c r="C5228" s="13"/>
    </row>
    <row r="5229" spans="3:3" x14ac:dyDescent="0.25">
      <c r="C5229" s="13"/>
    </row>
    <row r="5230" spans="3:3" x14ac:dyDescent="0.25">
      <c r="C5230" s="13"/>
    </row>
    <row r="5231" spans="3:3" x14ac:dyDescent="0.25">
      <c r="C5231" s="13"/>
    </row>
    <row r="5232" spans="3:3" x14ac:dyDescent="0.25">
      <c r="C5232" s="13"/>
    </row>
    <row r="5233" spans="3:3" x14ac:dyDescent="0.25">
      <c r="C5233" s="13"/>
    </row>
    <row r="5234" spans="3:3" x14ac:dyDescent="0.25">
      <c r="C5234" s="13"/>
    </row>
    <row r="5235" spans="3:3" x14ac:dyDescent="0.25">
      <c r="C5235" s="13"/>
    </row>
    <row r="5236" spans="3:3" x14ac:dyDescent="0.25">
      <c r="C5236" s="13"/>
    </row>
    <row r="5237" spans="3:3" x14ac:dyDescent="0.25">
      <c r="C5237" s="13"/>
    </row>
    <row r="5238" spans="3:3" x14ac:dyDescent="0.25">
      <c r="C5238" s="13"/>
    </row>
    <row r="5239" spans="3:3" x14ac:dyDescent="0.25">
      <c r="C5239" s="13"/>
    </row>
    <row r="5240" spans="3:3" x14ac:dyDescent="0.25">
      <c r="C5240" s="13"/>
    </row>
    <row r="5241" spans="3:3" x14ac:dyDescent="0.25">
      <c r="C5241" s="13"/>
    </row>
    <row r="5242" spans="3:3" x14ac:dyDescent="0.25">
      <c r="C5242" s="13"/>
    </row>
    <row r="5243" spans="3:3" x14ac:dyDescent="0.25">
      <c r="C5243" s="13"/>
    </row>
    <row r="5244" spans="3:3" x14ac:dyDescent="0.25">
      <c r="C5244" s="13"/>
    </row>
    <row r="5245" spans="3:3" x14ac:dyDescent="0.25">
      <c r="C5245" s="13"/>
    </row>
    <row r="5246" spans="3:3" x14ac:dyDescent="0.25">
      <c r="C5246" s="13"/>
    </row>
    <row r="5247" spans="3:3" x14ac:dyDescent="0.25">
      <c r="C5247" s="13"/>
    </row>
    <row r="5248" spans="3:3" x14ac:dyDescent="0.25">
      <c r="C5248" s="13"/>
    </row>
    <row r="5249" spans="3:3" x14ac:dyDescent="0.25">
      <c r="C5249" s="13"/>
    </row>
    <row r="5250" spans="3:3" x14ac:dyDescent="0.25">
      <c r="C5250" s="13"/>
    </row>
    <row r="5251" spans="3:3" x14ac:dyDescent="0.25">
      <c r="C5251" s="13"/>
    </row>
    <row r="5252" spans="3:3" x14ac:dyDescent="0.25">
      <c r="C5252" s="13"/>
    </row>
    <row r="5253" spans="3:3" x14ac:dyDescent="0.25">
      <c r="C5253" s="13"/>
    </row>
    <row r="5254" spans="3:3" x14ac:dyDescent="0.25">
      <c r="C5254" s="13"/>
    </row>
    <row r="5255" spans="3:3" x14ac:dyDescent="0.25">
      <c r="C5255" s="13"/>
    </row>
    <row r="5256" spans="3:3" x14ac:dyDescent="0.25">
      <c r="C5256" s="13"/>
    </row>
    <row r="5257" spans="3:3" x14ac:dyDescent="0.25">
      <c r="C5257" s="13"/>
    </row>
    <row r="5258" spans="3:3" x14ac:dyDescent="0.25">
      <c r="C5258" s="13"/>
    </row>
    <row r="5259" spans="3:3" x14ac:dyDescent="0.25">
      <c r="C5259" s="13"/>
    </row>
    <row r="5260" spans="3:3" x14ac:dyDescent="0.25">
      <c r="C5260" s="13"/>
    </row>
    <row r="5261" spans="3:3" x14ac:dyDescent="0.25">
      <c r="C5261" s="13"/>
    </row>
    <row r="5262" spans="3:3" x14ac:dyDescent="0.25">
      <c r="C5262" s="13"/>
    </row>
    <row r="5263" spans="3:3" x14ac:dyDescent="0.25">
      <c r="C5263" s="13"/>
    </row>
    <row r="5264" spans="3:3" x14ac:dyDescent="0.25">
      <c r="C5264" s="13"/>
    </row>
    <row r="5265" spans="3:3" x14ac:dyDescent="0.25">
      <c r="C5265" s="13"/>
    </row>
    <row r="5266" spans="3:3" x14ac:dyDescent="0.25">
      <c r="C5266" s="13"/>
    </row>
    <row r="5267" spans="3:3" x14ac:dyDescent="0.25">
      <c r="C5267" s="13"/>
    </row>
    <row r="5268" spans="3:3" x14ac:dyDescent="0.25">
      <c r="C5268" s="13"/>
    </row>
    <row r="5269" spans="3:3" x14ac:dyDescent="0.25">
      <c r="C5269" s="13"/>
    </row>
    <row r="5270" spans="3:3" x14ac:dyDescent="0.25">
      <c r="C5270" s="13"/>
    </row>
    <row r="5271" spans="3:3" x14ac:dyDescent="0.25">
      <c r="C5271" s="13"/>
    </row>
    <row r="5272" spans="3:3" x14ac:dyDescent="0.25">
      <c r="C5272" s="13"/>
    </row>
    <row r="5273" spans="3:3" x14ac:dyDescent="0.25">
      <c r="C5273" s="13"/>
    </row>
    <row r="5274" spans="3:3" x14ac:dyDescent="0.25">
      <c r="C5274" s="13"/>
    </row>
    <row r="5275" spans="3:3" x14ac:dyDescent="0.25">
      <c r="C5275" s="13"/>
    </row>
    <row r="5276" spans="3:3" x14ac:dyDescent="0.25">
      <c r="C5276" s="13"/>
    </row>
    <row r="5277" spans="3:3" x14ac:dyDescent="0.25">
      <c r="C5277" s="13"/>
    </row>
    <row r="5278" spans="3:3" x14ac:dyDescent="0.25">
      <c r="C5278" s="13"/>
    </row>
    <row r="5279" spans="3:3" x14ac:dyDescent="0.25">
      <c r="C5279" s="13"/>
    </row>
    <row r="5280" spans="3:3" x14ac:dyDescent="0.25">
      <c r="C5280" s="13"/>
    </row>
    <row r="5281" spans="3:3" x14ac:dyDescent="0.25">
      <c r="C5281" s="13"/>
    </row>
    <row r="5282" spans="3:3" x14ac:dyDescent="0.25">
      <c r="C5282" s="13"/>
    </row>
    <row r="5283" spans="3:3" x14ac:dyDescent="0.25">
      <c r="C5283" s="13"/>
    </row>
    <row r="5284" spans="3:3" x14ac:dyDescent="0.25">
      <c r="C5284" s="13"/>
    </row>
    <row r="5285" spans="3:3" x14ac:dyDescent="0.25">
      <c r="C5285" s="13"/>
    </row>
    <row r="5286" spans="3:3" x14ac:dyDescent="0.25">
      <c r="C5286" s="13"/>
    </row>
    <row r="5287" spans="3:3" x14ac:dyDescent="0.25">
      <c r="C5287" s="13"/>
    </row>
    <row r="5288" spans="3:3" x14ac:dyDescent="0.25">
      <c r="C5288" s="13"/>
    </row>
    <row r="5289" spans="3:3" x14ac:dyDescent="0.25">
      <c r="C5289" s="13"/>
    </row>
    <row r="5290" spans="3:3" x14ac:dyDescent="0.25">
      <c r="C5290" s="13"/>
    </row>
    <row r="5291" spans="3:3" x14ac:dyDescent="0.25">
      <c r="C5291" s="13"/>
    </row>
    <row r="5292" spans="3:3" x14ac:dyDescent="0.25">
      <c r="C5292" s="13"/>
    </row>
    <row r="5293" spans="3:3" x14ac:dyDescent="0.25">
      <c r="C5293" s="13"/>
    </row>
    <row r="5294" spans="3:3" x14ac:dyDescent="0.25">
      <c r="C5294" s="13"/>
    </row>
    <row r="5295" spans="3:3" x14ac:dyDescent="0.25">
      <c r="C5295" s="13"/>
    </row>
    <row r="5296" spans="3:3" x14ac:dyDescent="0.25">
      <c r="C5296" s="13"/>
    </row>
    <row r="5297" spans="3:3" x14ac:dyDescent="0.25">
      <c r="C5297" s="13"/>
    </row>
    <row r="5298" spans="3:3" x14ac:dyDescent="0.25">
      <c r="C5298" s="13"/>
    </row>
    <row r="5299" spans="3:3" x14ac:dyDescent="0.25">
      <c r="C5299" s="13"/>
    </row>
    <row r="5300" spans="3:3" x14ac:dyDescent="0.25">
      <c r="C5300" s="13"/>
    </row>
    <row r="5301" spans="3:3" x14ac:dyDescent="0.25">
      <c r="C5301" s="13"/>
    </row>
    <row r="5302" spans="3:3" x14ac:dyDescent="0.25">
      <c r="C5302" s="13"/>
    </row>
    <row r="5303" spans="3:3" x14ac:dyDescent="0.25">
      <c r="C5303" s="13"/>
    </row>
    <row r="5304" spans="3:3" x14ac:dyDescent="0.25">
      <c r="C5304" s="13"/>
    </row>
    <row r="5305" spans="3:3" x14ac:dyDescent="0.25">
      <c r="C5305" s="13"/>
    </row>
    <row r="5306" spans="3:3" x14ac:dyDescent="0.25">
      <c r="C5306" s="13"/>
    </row>
    <row r="5307" spans="3:3" x14ac:dyDescent="0.25">
      <c r="C5307" s="13"/>
    </row>
    <row r="5308" spans="3:3" x14ac:dyDescent="0.25">
      <c r="C5308" s="13"/>
    </row>
    <row r="5309" spans="3:3" x14ac:dyDescent="0.25">
      <c r="C5309" s="13"/>
    </row>
    <row r="5310" spans="3:3" x14ac:dyDescent="0.25">
      <c r="C5310" s="13"/>
    </row>
    <row r="5311" spans="3:3" x14ac:dyDescent="0.25">
      <c r="C5311" s="13"/>
    </row>
    <row r="5312" spans="3:3" x14ac:dyDescent="0.25">
      <c r="C5312" s="13"/>
    </row>
    <row r="5313" spans="3:3" x14ac:dyDescent="0.25">
      <c r="C5313" s="13"/>
    </row>
    <row r="5314" spans="3:3" x14ac:dyDescent="0.25">
      <c r="C5314" s="13"/>
    </row>
    <row r="5315" spans="3:3" x14ac:dyDescent="0.25">
      <c r="C5315" s="13"/>
    </row>
    <row r="5316" spans="3:3" x14ac:dyDescent="0.25">
      <c r="C5316" s="13"/>
    </row>
    <row r="5317" spans="3:3" x14ac:dyDescent="0.25">
      <c r="C5317" s="13"/>
    </row>
    <row r="5318" spans="3:3" x14ac:dyDescent="0.25">
      <c r="C5318" s="13"/>
    </row>
    <row r="5319" spans="3:3" x14ac:dyDescent="0.25">
      <c r="C5319" s="13"/>
    </row>
    <row r="5320" spans="3:3" x14ac:dyDescent="0.25">
      <c r="C5320" s="13"/>
    </row>
    <row r="5321" spans="3:3" x14ac:dyDescent="0.25">
      <c r="C5321" s="13"/>
    </row>
    <row r="5322" spans="3:3" x14ac:dyDescent="0.25">
      <c r="C5322" s="13"/>
    </row>
    <row r="5323" spans="3:3" x14ac:dyDescent="0.25">
      <c r="C5323" s="13"/>
    </row>
    <row r="5324" spans="3:3" x14ac:dyDescent="0.25">
      <c r="C5324" s="13"/>
    </row>
    <row r="5325" spans="3:3" x14ac:dyDescent="0.25">
      <c r="C5325" s="13"/>
    </row>
    <row r="5326" spans="3:3" x14ac:dyDescent="0.25">
      <c r="C5326" s="13"/>
    </row>
    <row r="5327" spans="3:3" x14ac:dyDescent="0.25">
      <c r="C5327" s="13"/>
    </row>
    <row r="5328" spans="3:3" x14ac:dyDescent="0.25">
      <c r="C5328" s="13"/>
    </row>
    <row r="5329" spans="3:3" x14ac:dyDescent="0.25">
      <c r="C5329" s="13"/>
    </row>
    <row r="5330" spans="3:3" x14ac:dyDescent="0.25">
      <c r="C5330" s="13"/>
    </row>
    <row r="5331" spans="3:3" x14ac:dyDescent="0.25">
      <c r="C5331" s="13"/>
    </row>
    <row r="5332" spans="3:3" x14ac:dyDescent="0.25">
      <c r="C5332" s="13"/>
    </row>
    <row r="5333" spans="3:3" x14ac:dyDescent="0.25">
      <c r="C5333" s="13"/>
    </row>
    <row r="5334" spans="3:3" x14ac:dyDescent="0.25">
      <c r="C5334" s="13"/>
    </row>
    <row r="5335" spans="3:3" x14ac:dyDescent="0.25">
      <c r="C5335" s="13"/>
    </row>
    <row r="5336" spans="3:3" x14ac:dyDescent="0.25">
      <c r="C5336" s="13"/>
    </row>
    <row r="5337" spans="3:3" x14ac:dyDescent="0.25">
      <c r="C5337" s="13"/>
    </row>
    <row r="5338" spans="3:3" x14ac:dyDescent="0.25">
      <c r="C5338" s="13"/>
    </row>
    <row r="5339" spans="3:3" x14ac:dyDescent="0.25">
      <c r="C5339" s="13"/>
    </row>
    <row r="5340" spans="3:3" x14ac:dyDescent="0.25">
      <c r="C5340" s="13"/>
    </row>
    <row r="5341" spans="3:3" x14ac:dyDescent="0.25">
      <c r="C5341" s="13"/>
    </row>
    <row r="5342" spans="3:3" x14ac:dyDescent="0.25">
      <c r="C5342" s="13"/>
    </row>
    <row r="5343" spans="3:3" x14ac:dyDescent="0.25">
      <c r="C5343" s="13"/>
    </row>
    <row r="5344" spans="3:3" x14ac:dyDescent="0.25">
      <c r="C5344" s="13"/>
    </row>
    <row r="5345" spans="3:3" x14ac:dyDescent="0.25">
      <c r="C5345" s="13"/>
    </row>
    <row r="5346" spans="3:3" x14ac:dyDescent="0.25">
      <c r="C5346" s="13"/>
    </row>
    <row r="5347" spans="3:3" x14ac:dyDescent="0.25">
      <c r="C5347" s="13"/>
    </row>
    <row r="5348" spans="3:3" x14ac:dyDescent="0.25">
      <c r="C5348" s="13"/>
    </row>
    <row r="5349" spans="3:3" x14ac:dyDescent="0.25">
      <c r="C5349" s="13"/>
    </row>
    <row r="5350" spans="3:3" x14ac:dyDescent="0.25">
      <c r="C5350" s="13"/>
    </row>
    <row r="5351" spans="3:3" x14ac:dyDescent="0.25">
      <c r="C5351" s="13"/>
    </row>
    <row r="5352" spans="3:3" x14ac:dyDescent="0.25">
      <c r="C5352" s="13"/>
    </row>
    <row r="5353" spans="3:3" x14ac:dyDescent="0.25">
      <c r="C5353" s="13"/>
    </row>
    <row r="5354" spans="3:3" x14ac:dyDescent="0.25">
      <c r="C5354" s="13"/>
    </row>
    <row r="5355" spans="3:3" x14ac:dyDescent="0.25">
      <c r="C5355" s="13"/>
    </row>
    <row r="5356" spans="3:3" x14ac:dyDescent="0.25">
      <c r="C5356" s="13"/>
    </row>
    <row r="5357" spans="3:3" x14ac:dyDescent="0.25">
      <c r="C5357" s="13"/>
    </row>
    <row r="5358" spans="3:3" x14ac:dyDescent="0.25">
      <c r="C5358" s="13"/>
    </row>
    <row r="5359" spans="3:3" x14ac:dyDescent="0.25">
      <c r="C5359" s="13"/>
    </row>
    <row r="5360" spans="3:3" x14ac:dyDescent="0.25">
      <c r="C5360" s="13"/>
    </row>
    <row r="5361" spans="3:3" x14ac:dyDescent="0.25">
      <c r="C5361" s="13"/>
    </row>
    <row r="5362" spans="3:3" x14ac:dyDescent="0.25">
      <c r="C5362" s="13"/>
    </row>
    <row r="5363" spans="3:3" x14ac:dyDescent="0.25">
      <c r="C5363" s="13"/>
    </row>
    <row r="5364" spans="3:3" x14ac:dyDescent="0.25">
      <c r="C5364" s="13"/>
    </row>
    <row r="5365" spans="3:3" x14ac:dyDescent="0.25">
      <c r="C5365" s="13"/>
    </row>
    <row r="5366" spans="3:3" x14ac:dyDescent="0.25">
      <c r="C5366" s="13"/>
    </row>
    <row r="5367" spans="3:3" x14ac:dyDescent="0.25">
      <c r="C5367" s="13"/>
    </row>
    <row r="5368" spans="3:3" x14ac:dyDescent="0.25">
      <c r="C5368" s="13"/>
    </row>
    <row r="5369" spans="3:3" x14ac:dyDescent="0.25">
      <c r="C5369" s="13"/>
    </row>
    <row r="5370" spans="3:3" x14ac:dyDescent="0.25">
      <c r="C5370" s="13"/>
    </row>
    <row r="5371" spans="3:3" x14ac:dyDescent="0.25">
      <c r="C5371" s="13"/>
    </row>
    <row r="5372" spans="3:3" x14ac:dyDescent="0.25">
      <c r="C5372" s="13"/>
    </row>
    <row r="5373" spans="3:3" x14ac:dyDescent="0.25">
      <c r="C5373" s="13"/>
    </row>
    <row r="5374" spans="3:3" x14ac:dyDescent="0.25">
      <c r="C5374" s="13"/>
    </row>
    <row r="5375" spans="3:3" x14ac:dyDescent="0.25">
      <c r="C5375" s="13"/>
    </row>
    <row r="5376" spans="3:3" x14ac:dyDescent="0.25">
      <c r="C5376" s="13"/>
    </row>
    <row r="5377" spans="3:3" x14ac:dyDescent="0.25">
      <c r="C5377" s="13"/>
    </row>
    <row r="5378" spans="3:3" x14ac:dyDescent="0.25">
      <c r="C5378" s="13"/>
    </row>
    <row r="5379" spans="3:3" x14ac:dyDescent="0.25">
      <c r="C5379" s="13"/>
    </row>
    <row r="5380" spans="3:3" x14ac:dyDescent="0.25">
      <c r="C5380" s="13"/>
    </row>
    <row r="5381" spans="3:3" x14ac:dyDescent="0.25">
      <c r="C5381" s="13"/>
    </row>
    <row r="5382" spans="3:3" x14ac:dyDescent="0.25">
      <c r="C5382" s="13"/>
    </row>
    <row r="5383" spans="3:3" x14ac:dyDescent="0.25">
      <c r="C5383" s="13"/>
    </row>
    <row r="5384" spans="3:3" x14ac:dyDescent="0.25">
      <c r="C5384" s="13"/>
    </row>
    <row r="5385" spans="3:3" x14ac:dyDescent="0.25">
      <c r="C5385" s="13"/>
    </row>
    <row r="5386" spans="3:3" x14ac:dyDescent="0.25">
      <c r="C5386" s="13"/>
    </row>
    <row r="5387" spans="3:3" x14ac:dyDescent="0.25">
      <c r="C5387" s="13"/>
    </row>
    <row r="5388" spans="3:3" x14ac:dyDescent="0.25">
      <c r="C5388" s="13"/>
    </row>
    <row r="5389" spans="3:3" x14ac:dyDescent="0.25">
      <c r="C5389" s="13"/>
    </row>
    <row r="5390" spans="3:3" x14ac:dyDescent="0.25">
      <c r="C5390" s="13"/>
    </row>
    <row r="5391" spans="3:3" x14ac:dyDescent="0.25">
      <c r="C5391" s="13"/>
    </row>
    <row r="5392" spans="3:3" x14ac:dyDescent="0.25">
      <c r="C5392" s="13"/>
    </row>
    <row r="5393" spans="3:3" x14ac:dyDescent="0.25">
      <c r="C5393" s="13"/>
    </row>
    <row r="5394" spans="3:3" x14ac:dyDescent="0.25">
      <c r="C5394" s="13"/>
    </row>
    <row r="5395" spans="3:3" x14ac:dyDescent="0.25">
      <c r="C5395" s="13"/>
    </row>
    <row r="5396" spans="3:3" x14ac:dyDescent="0.25">
      <c r="C5396" s="13"/>
    </row>
    <row r="5397" spans="3:3" x14ac:dyDescent="0.25">
      <c r="C5397" s="13"/>
    </row>
    <row r="5398" spans="3:3" x14ac:dyDescent="0.25">
      <c r="C5398" s="13"/>
    </row>
    <row r="5399" spans="3:3" x14ac:dyDescent="0.25">
      <c r="C5399" s="13"/>
    </row>
    <row r="5400" spans="3:3" x14ac:dyDescent="0.25">
      <c r="C5400" s="13"/>
    </row>
    <row r="5401" spans="3:3" x14ac:dyDescent="0.25">
      <c r="C5401" s="13"/>
    </row>
    <row r="5402" spans="3:3" x14ac:dyDescent="0.25">
      <c r="C5402" s="13"/>
    </row>
    <row r="5403" spans="3:3" x14ac:dyDescent="0.25">
      <c r="C5403" s="13"/>
    </row>
    <row r="5404" spans="3:3" x14ac:dyDescent="0.25">
      <c r="C5404" s="13"/>
    </row>
    <row r="5405" spans="3:3" x14ac:dyDescent="0.25">
      <c r="C5405" s="13"/>
    </row>
    <row r="5406" spans="3:3" x14ac:dyDescent="0.25">
      <c r="C5406" s="13"/>
    </row>
    <row r="5407" spans="3:3" x14ac:dyDescent="0.25">
      <c r="C5407" s="13"/>
    </row>
    <row r="5408" spans="3:3" x14ac:dyDescent="0.25">
      <c r="C5408" s="13"/>
    </row>
    <row r="5409" spans="3:3" x14ac:dyDescent="0.25">
      <c r="C5409" s="13"/>
    </row>
    <row r="5410" spans="3:3" x14ac:dyDescent="0.25">
      <c r="C5410" s="13"/>
    </row>
    <row r="5411" spans="3:3" x14ac:dyDescent="0.25">
      <c r="C5411" s="13"/>
    </row>
    <row r="5412" spans="3:3" x14ac:dyDescent="0.25">
      <c r="C5412" s="13"/>
    </row>
    <row r="5413" spans="3:3" x14ac:dyDescent="0.25">
      <c r="C5413" s="13"/>
    </row>
    <row r="5414" spans="3:3" x14ac:dyDescent="0.25">
      <c r="C5414" s="13"/>
    </row>
    <row r="5415" spans="3:3" x14ac:dyDescent="0.25">
      <c r="C5415" s="13"/>
    </row>
    <row r="5416" spans="3:3" x14ac:dyDescent="0.25">
      <c r="C5416" s="13"/>
    </row>
    <row r="5417" spans="3:3" x14ac:dyDescent="0.25">
      <c r="C5417" s="13"/>
    </row>
    <row r="5418" spans="3:3" x14ac:dyDescent="0.25">
      <c r="C5418" s="13"/>
    </row>
    <row r="5419" spans="3:3" x14ac:dyDescent="0.25">
      <c r="C5419" s="13"/>
    </row>
    <row r="5420" spans="3:3" x14ac:dyDescent="0.25">
      <c r="C5420" s="13"/>
    </row>
    <row r="5421" spans="3:3" x14ac:dyDescent="0.25">
      <c r="C5421" s="13"/>
    </row>
    <row r="5422" spans="3:3" x14ac:dyDescent="0.25">
      <c r="C5422" s="13"/>
    </row>
    <row r="5423" spans="3:3" x14ac:dyDescent="0.25">
      <c r="C5423" s="13"/>
    </row>
    <row r="5424" spans="3:3" x14ac:dyDescent="0.25">
      <c r="C5424" s="13"/>
    </row>
    <row r="5425" spans="3:3" x14ac:dyDescent="0.25">
      <c r="C5425" s="13"/>
    </row>
    <row r="5426" spans="3:3" x14ac:dyDescent="0.25">
      <c r="C5426" s="13"/>
    </row>
    <row r="5427" spans="3:3" x14ac:dyDescent="0.25">
      <c r="C5427" s="13"/>
    </row>
    <row r="5428" spans="3:3" x14ac:dyDescent="0.25">
      <c r="C5428" s="13"/>
    </row>
    <row r="5429" spans="3:3" x14ac:dyDescent="0.25">
      <c r="C5429" s="13"/>
    </row>
    <row r="5430" spans="3:3" x14ac:dyDescent="0.25">
      <c r="C5430" s="13"/>
    </row>
    <row r="5431" spans="3:3" x14ac:dyDescent="0.25">
      <c r="C5431" s="13"/>
    </row>
    <row r="5432" spans="3:3" x14ac:dyDescent="0.25">
      <c r="C5432" s="13"/>
    </row>
    <row r="5433" spans="3:3" x14ac:dyDescent="0.25">
      <c r="C5433" s="13"/>
    </row>
    <row r="5434" spans="3:3" x14ac:dyDescent="0.25">
      <c r="C5434" s="13"/>
    </row>
    <row r="5435" spans="3:3" x14ac:dyDescent="0.25">
      <c r="C5435" s="13"/>
    </row>
    <row r="5436" spans="3:3" x14ac:dyDescent="0.25">
      <c r="C5436" s="13"/>
    </row>
    <row r="5437" spans="3:3" x14ac:dyDescent="0.25">
      <c r="C5437" s="13"/>
    </row>
    <row r="5438" spans="3:3" x14ac:dyDescent="0.25">
      <c r="C5438" s="13"/>
    </row>
    <row r="5439" spans="3:3" x14ac:dyDescent="0.25">
      <c r="C5439" s="13"/>
    </row>
    <row r="5440" spans="3:3" x14ac:dyDescent="0.25">
      <c r="C5440" s="13"/>
    </row>
    <row r="5441" spans="3:3" x14ac:dyDescent="0.25">
      <c r="C5441" s="13"/>
    </row>
    <row r="5442" spans="3:3" x14ac:dyDescent="0.25">
      <c r="C5442" s="13"/>
    </row>
    <row r="5443" spans="3:3" x14ac:dyDescent="0.25">
      <c r="C5443" s="13"/>
    </row>
    <row r="5444" spans="3:3" x14ac:dyDescent="0.25">
      <c r="C5444" s="13"/>
    </row>
    <row r="5445" spans="3:3" x14ac:dyDescent="0.25">
      <c r="C5445" s="13"/>
    </row>
    <row r="5446" spans="3:3" x14ac:dyDescent="0.25">
      <c r="C5446" s="13"/>
    </row>
    <row r="5447" spans="3:3" x14ac:dyDescent="0.25">
      <c r="C5447" s="13"/>
    </row>
    <row r="5448" spans="3:3" x14ac:dyDescent="0.25">
      <c r="C5448" s="13"/>
    </row>
    <row r="5449" spans="3:3" x14ac:dyDescent="0.25">
      <c r="C5449" s="13"/>
    </row>
    <row r="5450" spans="3:3" x14ac:dyDescent="0.25">
      <c r="C5450" s="13"/>
    </row>
    <row r="5451" spans="3:3" x14ac:dyDescent="0.25">
      <c r="C5451" s="13"/>
    </row>
    <row r="5452" spans="3:3" x14ac:dyDescent="0.25">
      <c r="C5452" s="13"/>
    </row>
    <row r="5453" spans="3:3" x14ac:dyDescent="0.25">
      <c r="C5453" s="13"/>
    </row>
    <row r="5454" spans="3:3" x14ac:dyDescent="0.25">
      <c r="C5454" s="13"/>
    </row>
    <row r="5455" spans="3:3" x14ac:dyDescent="0.25">
      <c r="C5455" s="13"/>
    </row>
    <row r="5456" spans="3:3" x14ac:dyDescent="0.25">
      <c r="C5456" s="13"/>
    </row>
    <row r="5457" spans="3:3" x14ac:dyDescent="0.25">
      <c r="C5457" s="13"/>
    </row>
    <row r="5458" spans="3:3" x14ac:dyDescent="0.25">
      <c r="C5458" s="13"/>
    </row>
    <row r="5459" spans="3:3" x14ac:dyDescent="0.25">
      <c r="C5459" s="13"/>
    </row>
    <row r="5460" spans="3:3" x14ac:dyDescent="0.25">
      <c r="C5460" s="13"/>
    </row>
    <row r="5461" spans="3:3" x14ac:dyDescent="0.25">
      <c r="C5461" s="13"/>
    </row>
    <row r="5462" spans="3:3" x14ac:dyDescent="0.25">
      <c r="C5462" s="13"/>
    </row>
    <row r="5463" spans="3:3" x14ac:dyDescent="0.25">
      <c r="C5463" s="13"/>
    </row>
    <row r="5464" spans="3:3" x14ac:dyDescent="0.25">
      <c r="C5464" s="13"/>
    </row>
    <row r="5465" spans="3:3" x14ac:dyDescent="0.25">
      <c r="C5465" s="13"/>
    </row>
    <row r="5466" spans="3:3" x14ac:dyDescent="0.25">
      <c r="C5466" s="13"/>
    </row>
    <row r="5467" spans="3:3" x14ac:dyDescent="0.25">
      <c r="C5467" s="13"/>
    </row>
    <row r="5468" spans="3:3" x14ac:dyDescent="0.25">
      <c r="C5468" s="13"/>
    </row>
    <row r="5469" spans="3:3" x14ac:dyDescent="0.25">
      <c r="C5469" s="13"/>
    </row>
    <row r="5470" spans="3:3" x14ac:dyDescent="0.25">
      <c r="C5470" s="13"/>
    </row>
    <row r="5471" spans="3:3" x14ac:dyDescent="0.25">
      <c r="C5471" s="13"/>
    </row>
    <row r="5472" spans="3:3" x14ac:dyDescent="0.25">
      <c r="C5472" s="13"/>
    </row>
    <row r="5473" spans="3:3" x14ac:dyDescent="0.25">
      <c r="C5473" s="13"/>
    </row>
    <row r="5474" spans="3:3" x14ac:dyDescent="0.25">
      <c r="C5474" s="13"/>
    </row>
    <row r="5475" spans="3:3" x14ac:dyDescent="0.25">
      <c r="C5475" s="13"/>
    </row>
    <row r="5476" spans="3:3" x14ac:dyDescent="0.25">
      <c r="C5476" s="13"/>
    </row>
    <row r="5477" spans="3:3" x14ac:dyDescent="0.25">
      <c r="C5477" s="13"/>
    </row>
    <row r="5478" spans="3:3" x14ac:dyDescent="0.25">
      <c r="C5478" s="13"/>
    </row>
    <row r="5479" spans="3:3" x14ac:dyDescent="0.25">
      <c r="C5479" s="13"/>
    </row>
    <row r="5480" spans="3:3" x14ac:dyDescent="0.25">
      <c r="C5480" s="13"/>
    </row>
    <row r="5481" spans="3:3" x14ac:dyDescent="0.25">
      <c r="C5481" s="13"/>
    </row>
    <row r="5482" spans="3:3" x14ac:dyDescent="0.25">
      <c r="C5482" s="13"/>
    </row>
    <row r="5483" spans="3:3" x14ac:dyDescent="0.25">
      <c r="C5483" s="13"/>
    </row>
    <row r="5484" spans="3:3" x14ac:dyDescent="0.25">
      <c r="C5484" s="13"/>
    </row>
    <row r="5485" spans="3:3" x14ac:dyDescent="0.25">
      <c r="C5485" s="13"/>
    </row>
    <row r="5486" spans="3:3" x14ac:dyDescent="0.25">
      <c r="C5486" s="13"/>
    </row>
    <row r="5487" spans="3:3" x14ac:dyDescent="0.25">
      <c r="C5487" s="13"/>
    </row>
    <row r="5488" spans="3:3" x14ac:dyDescent="0.25">
      <c r="C5488" s="13"/>
    </row>
    <row r="5489" spans="3:3" x14ac:dyDescent="0.25">
      <c r="C5489" s="13"/>
    </row>
    <row r="5490" spans="3:3" x14ac:dyDescent="0.25">
      <c r="C5490" s="13"/>
    </row>
    <row r="5491" spans="3:3" x14ac:dyDescent="0.25">
      <c r="C5491" s="13"/>
    </row>
    <row r="5492" spans="3:3" x14ac:dyDescent="0.25">
      <c r="C5492" s="13"/>
    </row>
    <row r="5493" spans="3:3" x14ac:dyDescent="0.25">
      <c r="C5493" s="13"/>
    </row>
    <row r="5494" spans="3:3" x14ac:dyDescent="0.25">
      <c r="C5494" s="13"/>
    </row>
    <row r="5495" spans="3:3" x14ac:dyDescent="0.25">
      <c r="C5495" s="13"/>
    </row>
    <row r="5496" spans="3:3" x14ac:dyDescent="0.25">
      <c r="C5496" s="13"/>
    </row>
    <row r="5497" spans="3:3" x14ac:dyDescent="0.25">
      <c r="C5497" s="13"/>
    </row>
    <row r="5498" spans="3:3" x14ac:dyDescent="0.25">
      <c r="C5498" s="13"/>
    </row>
    <row r="5499" spans="3:3" x14ac:dyDescent="0.25">
      <c r="C5499" s="13"/>
    </row>
    <row r="5500" spans="3:3" x14ac:dyDescent="0.25">
      <c r="C5500" s="13"/>
    </row>
    <row r="5501" spans="3:3" x14ac:dyDescent="0.25">
      <c r="C5501" s="13"/>
    </row>
    <row r="5502" spans="3:3" x14ac:dyDescent="0.25">
      <c r="C5502" s="13"/>
    </row>
    <row r="5503" spans="3:3" x14ac:dyDescent="0.25">
      <c r="C5503" s="13"/>
    </row>
    <row r="5504" spans="3:3" x14ac:dyDescent="0.25">
      <c r="C5504" s="13"/>
    </row>
    <row r="5505" spans="3:3" x14ac:dyDescent="0.25">
      <c r="C5505" s="13"/>
    </row>
    <row r="5506" spans="3:3" x14ac:dyDescent="0.25">
      <c r="C5506" s="13"/>
    </row>
    <row r="5507" spans="3:3" x14ac:dyDescent="0.25">
      <c r="C5507" s="13"/>
    </row>
    <row r="5508" spans="3:3" x14ac:dyDescent="0.25">
      <c r="C5508" s="13"/>
    </row>
    <row r="5509" spans="3:3" x14ac:dyDescent="0.25">
      <c r="C5509" s="13"/>
    </row>
    <row r="5510" spans="3:3" x14ac:dyDescent="0.25">
      <c r="C5510" s="13"/>
    </row>
    <row r="5511" spans="3:3" x14ac:dyDescent="0.25">
      <c r="C5511" s="13"/>
    </row>
    <row r="5512" spans="3:3" x14ac:dyDescent="0.25">
      <c r="C5512" s="13"/>
    </row>
    <row r="5513" spans="3:3" x14ac:dyDescent="0.25">
      <c r="C5513" s="13"/>
    </row>
    <row r="5514" spans="3:3" x14ac:dyDescent="0.25">
      <c r="C5514" s="13"/>
    </row>
    <row r="5515" spans="3:3" x14ac:dyDescent="0.25">
      <c r="C5515" s="13"/>
    </row>
    <row r="5516" spans="3:3" x14ac:dyDescent="0.25">
      <c r="C5516" s="13"/>
    </row>
    <row r="5517" spans="3:3" x14ac:dyDescent="0.25">
      <c r="C5517" s="13"/>
    </row>
    <row r="5518" spans="3:3" x14ac:dyDescent="0.25">
      <c r="C5518" s="13"/>
    </row>
    <row r="5519" spans="3:3" x14ac:dyDescent="0.25">
      <c r="C5519" s="13"/>
    </row>
    <row r="5520" spans="3:3" x14ac:dyDescent="0.25">
      <c r="C5520" s="13"/>
    </row>
    <row r="5521" spans="3:3" x14ac:dyDescent="0.25">
      <c r="C5521" s="1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084B-857C-4A0B-A473-80619974D00D}">
  <dimension ref="A1:H8"/>
  <sheetViews>
    <sheetView workbookViewId="0">
      <selection activeCell="C7" sqref="C7"/>
    </sheetView>
  </sheetViews>
  <sheetFormatPr defaultRowHeight="13.2" x14ac:dyDescent="0.25"/>
  <cols>
    <col min="1" max="1" width="24" style="4" customWidth="1"/>
    <col min="2" max="2" width="13.88671875" style="4" customWidth="1"/>
    <col min="3" max="3" width="107.44140625" style="4" customWidth="1"/>
    <col min="4" max="4" width="11.6640625" style="4" customWidth="1"/>
    <col min="5" max="5" width="11.44140625" style="4" customWidth="1"/>
    <col min="6" max="6" width="12.33203125" style="4" customWidth="1"/>
    <col min="7" max="7" width="11.33203125" style="4" customWidth="1"/>
    <col min="8" max="8" width="11.88671875" style="4" customWidth="1"/>
    <col min="9" max="16384" width="8.88671875" style="4"/>
  </cols>
  <sheetData>
    <row r="1" spans="1:8" ht="55.2" x14ac:dyDescent="0.25">
      <c r="A1" s="34" t="s">
        <v>75</v>
      </c>
      <c r="B1" s="34" t="s">
        <v>76</v>
      </c>
      <c r="C1" s="34" t="s">
        <v>77</v>
      </c>
      <c r="D1" s="34" t="s">
        <v>78</v>
      </c>
      <c r="E1" s="34" t="s">
        <v>79</v>
      </c>
      <c r="F1" s="34" t="s">
        <v>80</v>
      </c>
      <c r="G1" s="34" t="s">
        <v>81</v>
      </c>
      <c r="H1" s="34" t="s">
        <v>82</v>
      </c>
    </row>
    <row r="2" spans="1:8" x14ac:dyDescent="0.25">
      <c r="A2" s="3" t="s">
        <v>160</v>
      </c>
      <c r="B2" s="32" t="s">
        <v>4</v>
      </c>
      <c r="C2" s="35" t="s">
        <v>171</v>
      </c>
      <c r="D2" s="35" t="s">
        <v>162</v>
      </c>
      <c r="E2" s="32">
        <v>4</v>
      </c>
      <c r="F2" s="32"/>
      <c r="G2" s="32" t="s">
        <v>85</v>
      </c>
      <c r="H2" s="32" t="s">
        <v>86</v>
      </c>
    </row>
    <row r="3" spans="1:8" ht="30" x14ac:dyDescent="0.25">
      <c r="A3" s="3" t="s">
        <v>160</v>
      </c>
      <c r="B3" s="32" t="s">
        <v>163</v>
      </c>
      <c r="C3" s="36" t="s">
        <v>164</v>
      </c>
      <c r="D3" s="3" t="s">
        <v>165</v>
      </c>
      <c r="E3" s="3">
        <v>2</v>
      </c>
      <c r="F3" s="3"/>
      <c r="G3" s="3" t="s">
        <v>85</v>
      </c>
      <c r="H3" s="3" t="s">
        <v>86</v>
      </c>
    </row>
    <row r="4" spans="1:8" ht="207" x14ac:dyDescent="0.25">
      <c r="A4" s="3" t="s">
        <v>160</v>
      </c>
      <c r="B4" s="32" t="s">
        <v>166</v>
      </c>
      <c r="C4" s="37" t="s">
        <v>175</v>
      </c>
      <c r="D4" s="3" t="s">
        <v>87</v>
      </c>
      <c r="E4" s="3"/>
      <c r="F4" s="3"/>
      <c r="G4" s="3" t="s">
        <v>85</v>
      </c>
      <c r="H4" s="3" t="s">
        <v>86</v>
      </c>
    </row>
    <row r="5" spans="1:8" x14ac:dyDescent="0.25">
      <c r="A5" s="3" t="s">
        <v>160</v>
      </c>
      <c r="B5" s="35" t="s">
        <v>167</v>
      </c>
      <c r="C5" s="38" t="s">
        <v>168</v>
      </c>
      <c r="D5" s="3" t="s">
        <v>87</v>
      </c>
      <c r="E5" s="3"/>
      <c r="F5" s="3"/>
      <c r="G5" s="3" t="s">
        <v>85</v>
      </c>
      <c r="H5" s="3" t="s">
        <v>86</v>
      </c>
    </row>
    <row r="6" spans="1:8" ht="66" x14ac:dyDescent="0.25">
      <c r="A6" s="3" t="s">
        <v>160</v>
      </c>
      <c r="B6" s="35" t="s">
        <v>169</v>
      </c>
      <c r="C6" s="38" t="s">
        <v>176</v>
      </c>
      <c r="D6" s="3" t="s">
        <v>165</v>
      </c>
      <c r="E6" s="3" t="s">
        <v>170</v>
      </c>
      <c r="F6" s="3"/>
      <c r="G6" s="3" t="s">
        <v>85</v>
      </c>
      <c r="H6" s="3" t="s">
        <v>86</v>
      </c>
    </row>
    <row r="7" spans="1:8" ht="15" x14ac:dyDescent="0.25">
      <c r="A7" s="3" t="s">
        <v>160</v>
      </c>
      <c r="B7" s="4" t="s">
        <v>179</v>
      </c>
      <c r="C7" s="41" t="s">
        <v>181</v>
      </c>
      <c r="D7" s="42" t="s">
        <v>92</v>
      </c>
      <c r="E7" s="43"/>
      <c r="F7" s="43"/>
      <c r="G7" s="42" t="s">
        <v>85</v>
      </c>
      <c r="H7" s="42" t="s">
        <v>86</v>
      </c>
    </row>
    <row r="8" spans="1:8" ht="15" x14ac:dyDescent="0.25">
      <c r="A8" s="3" t="s">
        <v>160</v>
      </c>
      <c r="B8" s="4" t="s">
        <v>180</v>
      </c>
      <c r="C8" s="41" t="s">
        <v>182</v>
      </c>
      <c r="D8" s="42" t="s">
        <v>92</v>
      </c>
      <c r="E8" s="43"/>
      <c r="F8" s="43"/>
      <c r="G8" s="42" t="s">
        <v>85</v>
      </c>
      <c r="H8" s="42" t="s">
        <v>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F2D4-0770-492C-B63E-46C9B0364747}">
  <dimension ref="A1:G33"/>
  <sheetViews>
    <sheetView workbookViewId="0"/>
  </sheetViews>
  <sheetFormatPr defaultRowHeight="13.2" x14ac:dyDescent="0.25"/>
  <cols>
    <col min="1" max="1" width="7.33203125" customWidth="1"/>
    <col min="2" max="2" width="8.88671875" customWidth="1"/>
    <col min="6" max="6" width="13.44140625" customWidth="1"/>
    <col min="7" max="7" width="14" customWidth="1"/>
  </cols>
  <sheetData>
    <row r="1" spans="1:7" ht="26.4" x14ac:dyDescent="0.25">
      <c r="A1" s="33" t="s">
        <v>4</v>
      </c>
      <c r="B1" s="33" t="s">
        <v>163</v>
      </c>
      <c r="C1" s="33" t="s">
        <v>166</v>
      </c>
      <c r="D1" s="39" t="s">
        <v>167</v>
      </c>
      <c r="E1" s="39" t="s">
        <v>169</v>
      </c>
      <c r="F1" t="s">
        <v>177</v>
      </c>
      <c r="G1" t="s">
        <v>178</v>
      </c>
    </row>
    <row r="2" spans="1:7" x14ac:dyDescent="0.25">
      <c r="A2" s="40">
        <v>1994</v>
      </c>
      <c r="B2" s="40" t="s">
        <v>57</v>
      </c>
      <c r="C2" s="40">
        <v>8</v>
      </c>
      <c r="D2" s="40">
        <v>1</v>
      </c>
      <c r="E2" s="40" t="s">
        <v>53</v>
      </c>
      <c r="F2">
        <v>35.186248090108002</v>
      </c>
      <c r="G2">
        <v>-102.0954099454278</v>
      </c>
    </row>
    <row r="3" spans="1:7" x14ac:dyDescent="0.25">
      <c r="A3" s="40">
        <v>1994</v>
      </c>
      <c r="B3" s="40" t="s">
        <v>57</v>
      </c>
      <c r="C3" s="40">
        <v>8</v>
      </c>
      <c r="D3" s="40">
        <v>2</v>
      </c>
      <c r="E3" s="40" t="s">
        <v>61</v>
      </c>
      <c r="F3">
        <v>35.186248090108002</v>
      </c>
      <c r="G3">
        <v>-102.09569902002941</v>
      </c>
    </row>
    <row r="4" spans="1:7" x14ac:dyDescent="0.25">
      <c r="A4" s="40">
        <v>1994</v>
      </c>
      <c r="B4" s="40" t="s">
        <v>57</v>
      </c>
      <c r="C4" s="40">
        <v>8</v>
      </c>
      <c r="D4" s="40">
        <v>3</v>
      </c>
      <c r="E4" s="40" t="s">
        <v>59</v>
      </c>
      <c r="F4">
        <v>35.186032089892002</v>
      </c>
      <c r="G4">
        <v>-102.09569681755626</v>
      </c>
    </row>
    <row r="5" spans="1:7" x14ac:dyDescent="0.25">
      <c r="A5" s="40">
        <v>1994</v>
      </c>
      <c r="B5" s="40" t="s">
        <v>57</v>
      </c>
      <c r="C5" s="40">
        <v>8</v>
      </c>
      <c r="D5" s="40">
        <v>4</v>
      </c>
      <c r="E5" s="40" t="s">
        <v>57</v>
      </c>
      <c r="F5">
        <v>35.186032089892002</v>
      </c>
      <c r="G5">
        <v>-102.09541016567512</v>
      </c>
    </row>
    <row r="6" spans="1:7" x14ac:dyDescent="0.25">
      <c r="A6" s="40">
        <v>1994</v>
      </c>
      <c r="B6" s="40" t="s">
        <v>57</v>
      </c>
      <c r="C6" s="40">
        <v>8</v>
      </c>
      <c r="D6" s="40">
        <v>5</v>
      </c>
      <c r="E6" s="40" t="s">
        <v>172</v>
      </c>
      <c r="F6">
        <v>35.186143510003419</v>
      </c>
      <c r="G6">
        <v>-102.09553934072567</v>
      </c>
    </row>
    <row r="7" spans="1:7" x14ac:dyDescent="0.25">
      <c r="A7" s="40">
        <v>1994</v>
      </c>
      <c r="B7" s="40" t="s">
        <v>57</v>
      </c>
      <c r="C7" s="40">
        <v>8</v>
      </c>
      <c r="D7" s="40">
        <v>6</v>
      </c>
      <c r="E7" s="40" t="s">
        <v>173</v>
      </c>
      <c r="F7">
        <v>35.186136669996586</v>
      </c>
      <c r="G7">
        <v>-102.09555585927434</v>
      </c>
    </row>
    <row r="8" spans="1:7" x14ac:dyDescent="0.25">
      <c r="A8" s="40">
        <v>1994</v>
      </c>
      <c r="B8" s="40" t="s">
        <v>53</v>
      </c>
      <c r="C8" s="40">
        <v>3</v>
      </c>
      <c r="D8" s="40">
        <v>7</v>
      </c>
      <c r="E8" s="40" t="s">
        <v>53</v>
      </c>
      <c r="F8" s="2">
        <v>35.188277850108001</v>
      </c>
      <c r="G8">
        <v>-102.0954008454278</v>
      </c>
    </row>
    <row r="9" spans="1:7" x14ac:dyDescent="0.25">
      <c r="A9" s="40">
        <v>1994</v>
      </c>
      <c r="B9" s="40" t="s">
        <v>53</v>
      </c>
      <c r="C9" s="40">
        <v>3</v>
      </c>
      <c r="D9" s="40">
        <v>8</v>
      </c>
      <c r="E9" s="40" t="s">
        <v>61</v>
      </c>
      <c r="F9">
        <v>35.188277850108001</v>
      </c>
      <c r="G9">
        <v>-102.09568992002941</v>
      </c>
    </row>
    <row r="10" spans="1:7" x14ac:dyDescent="0.25">
      <c r="A10" s="40">
        <v>1994</v>
      </c>
      <c r="B10" s="40" t="s">
        <v>53</v>
      </c>
      <c r="C10" s="40">
        <v>3</v>
      </c>
      <c r="D10" s="40">
        <v>9</v>
      </c>
      <c r="E10" s="40" t="s">
        <v>59</v>
      </c>
      <c r="F10">
        <v>35.188061849892001</v>
      </c>
      <c r="G10">
        <v>-102.09568771755626</v>
      </c>
    </row>
    <row r="11" spans="1:7" x14ac:dyDescent="0.25">
      <c r="A11" s="40">
        <v>1994</v>
      </c>
      <c r="B11" s="40" t="s">
        <v>53</v>
      </c>
      <c r="C11" s="40">
        <v>3</v>
      </c>
      <c r="D11" s="40">
        <v>10</v>
      </c>
      <c r="E11" s="40" t="s">
        <v>57</v>
      </c>
      <c r="F11">
        <v>35.188061849892001</v>
      </c>
      <c r="G11">
        <v>-102.09540106567512</v>
      </c>
    </row>
    <row r="12" spans="1:7" x14ac:dyDescent="0.25">
      <c r="A12" s="40">
        <v>1994</v>
      </c>
      <c r="B12" s="40" t="s">
        <v>53</v>
      </c>
      <c r="C12" s="40">
        <v>3</v>
      </c>
      <c r="D12" s="40">
        <v>11</v>
      </c>
      <c r="E12" s="40" t="s">
        <v>174</v>
      </c>
      <c r="F12">
        <v>35.188173270003418</v>
      </c>
      <c r="G12">
        <v>-102.09553024072567</v>
      </c>
    </row>
    <row r="13" spans="1:7" x14ac:dyDescent="0.25">
      <c r="A13" s="40">
        <v>1994</v>
      </c>
      <c r="B13" s="40" t="s">
        <v>53</v>
      </c>
      <c r="C13" s="40">
        <v>3</v>
      </c>
      <c r="D13" s="40">
        <v>12</v>
      </c>
      <c r="E13" s="40" t="s">
        <v>173</v>
      </c>
      <c r="F13">
        <v>35.188166429996585</v>
      </c>
      <c r="G13">
        <v>-102.09554675927434</v>
      </c>
    </row>
    <row r="14" spans="1:7" x14ac:dyDescent="0.25">
      <c r="B14" s="1"/>
    </row>
    <row r="15" spans="1:7" x14ac:dyDescent="0.25">
      <c r="B15" s="1"/>
    </row>
    <row r="16" spans="1:7" x14ac:dyDescent="0.25">
      <c r="A16" s="1"/>
    </row>
    <row r="17" spans="1:2" x14ac:dyDescent="0.25">
      <c r="B17" s="1"/>
    </row>
    <row r="18" spans="1:2" x14ac:dyDescent="0.25">
      <c r="B18" s="1"/>
    </row>
    <row r="19" spans="1:2" x14ac:dyDescent="0.25">
      <c r="A19" s="1"/>
    </row>
    <row r="20" spans="1:2" x14ac:dyDescent="0.25">
      <c r="B20" s="1"/>
    </row>
    <row r="21" spans="1:2" x14ac:dyDescent="0.25">
      <c r="B21" s="1"/>
    </row>
    <row r="22" spans="1:2" x14ac:dyDescent="0.25">
      <c r="A22" s="1"/>
    </row>
    <row r="23" spans="1:2" x14ac:dyDescent="0.25">
      <c r="B23" s="1"/>
    </row>
    <row r="24" spans="1:2" x14ac:dyDescent="0.25">
      <c r="B24" s="1"/>
    </row>
    <row r="25" spans="1:2" x14ac:dyDescent="0.25">
      <c r="A25" s="1"/>
    </row>
    <row r="26" spans="1:2" x14ac:dyDescent="0.25">
      <c r="B26" s="1"/>
    </row>
    <row r="27" spans="1:2" x14ac:dyDescent="0.25">
      <c r="B27" s="1"/>
    </row>
    <row r="28" spans="1:2" x14ac:dyDescent="0.25">
      <c r="A28" s="1"/>
    </row>
    <row r="29" spans="1:2" x14ac:dyDescent="0.25">
      <c r="B29" s="1"/>
    </row>
    <row r="30" spans="1:2" x14ac:dyDescent="0.25">
      <c r="B30" s="1"/>
    </row>
    <row r="31" spans="1:2" x14ac:dyDescent="0.25">
      <c r="A31" s="1"/>
    </row>
    <row r="32" spans="1:2" x14ac:dyDescent="0.25">
      <c r="B32" s="1"/>
    </row>
    <row r="33" spans="1:6" x14ac:dyDescent="0.25">
      <c r="A33" s="1"/>
      <c r="F33" s="2"/>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9172-6E11-4044-9FB4-20E1468BD722}">
  <dimension ref="Y1:BA303"/>
  <sheetViews>
    <sheetView zoomScale="80" zoomScaleNormal="80" workbookViewId="0">
      <selection activeCell="L1" sqref="L1"/>
    </sheetView>
  </sheetViews>
  <sheetFormatPr defaultRowHeight="13.2" x14ac:dyDescent="0.25"/>
  <cols>
    <col min="1" max="24" width="8.88671875" style="4"/>
    <col min="25" max="25" width="10.21875" style="4" bestFit="1" customWidth="1"/>
    <col min="26" max="26" width="10.77734375" style="4" bestFit="1" customWidth="1"/>
    <col min="27" max="27" width="10.6640625" style="4" bestFit="1" customWidth="1"/>
    <col min="28" max="28" width="10.77734375" style="4" bestFit="1" customWidth="1"/>
    <col min="29" max="29" width="10.6640625" style="4" bestFit="1" customWidth="1"/>
    <col min="30" max="41" width="8.88671875" style="4"/>
    <col min="42" max="44" width="14.21875" style="4" customWidth="1"/>
    <col min="45" max="16384" width="8.88671875" style="4"/>
  </cols>
  <sheetData>
    <row r="1" spans="25:53" ht="105.6" x14ac:dyDescent="0.25">
      <c r="Y1" s="4" t="s">
        <v>116</v>
      </c>
      <c r="Z1" s="4">
        <v>230</v>
      </c>
      <c r="AA1" s="4">
        <v>210</v>
      </c>
      <c r="AB1" s="4">
        <v>190</v>
      </c>
      <c r="AC1" s="4">
        <v>170</v>
      </c>
      <c r="AD1" s="4">
        <v>150</v>
      </c>
      <c r="AE1" s="4">
        <v>130</v>
      </c>
      <c r="AF1" s="4">
        <v>110</v>
      </c>
      <c r="AG1" s="4">
        <v>90</v>
      </c>
      <c r="AH1" s="4">
        <v>70</v>
      </c>
      <c r="AI1" s="4">
        <v>50</v>
      </c>
      <c r="AJ1" s="4">
        <v>30</v>
      </c>
      <c r="AK1" s="4">
        <v>10</v>
      </c>
      <c r="AO1" s="4" t="s">
        <v>5</v>
      </c>
      <c r="AP1" s="4" t="s">
        <v>6</v>
      </c>
      <c r="AQ1" s="8" t="s">
        <v>105</v>
      </c>
      <c r="AR1" s="8" t="s">
        <v>106</v>
      </c>
      <c r="AS1" s="8" t="s">
        <v>103</v>
      </c>
      <c r="AT1" s="8" t="s">
        <v>104</v>
      </c>
      <c r="AU1" s="4" t="s">
        <v>5</v>
      </c>
      <c r="AV1" s="8" t="s">
        <v>132</v>
      </c>
      <c r="AW1" s="8" t="s">
        <v>133</v>
      </c>
      <c r="AX1" s="8" t="s">
        <v>134</v>
      </c>
      <c r="AY1" s="8" t="s">
        <v>135</v>
      </c>
      <c r="AZ1" s="8" t="s">
        <v>136</v>
      </c>
      <c r="BA1" s="8" t="s">
        <v>137</v>
      </c>
    </row>
    <row r="2" spans="25:53" x14ac:dyDescent="0.25">
      <c r="Y2" s="9" t="s">
        <v>117</v>
      </c>
      <c r="AA2" s="21">
        <v>0.46977987421383649</v>
      </c>
      <c r="AB2" s="21">
        <v>0.46911949685534593</v>
      </c>
      <c r="AC2" s="21">
        <v>0.45975262054507327</v>
      </c>
      <c r="AD2" s="21">
        <v>0.46509433962264146</v>
      </c>
      <c r="AE2" s="21">
        <v>0.42485115303983223</v>
      </c>
      <c r="AF2" s="21">
        <v>0.41714734950584009</v>
      </c>
      <c r="AG2" s="21">
        <v>0.44435759209344106</v>
      </c>
      <c r="AH2" s="21">
        <v>0.45478559176672384</v>
      </c>
      <c r="AI2" s="21">
        <v>0.43505765199161417</v>
      </c>
      <c r="AJ2" s="21">
        <v>0.45794811320754714</v>
      </c>
      <c r="AK2" s="21">
        <v>0.48951841868822998</v>
      </c>
    </row>
    <row r="3" spans="25:53" x14ac:dyDescent="0.25">
      <c r="AC3" s="18" t="s">
        <v>9</v>
      </c>
      <c r="AD3" s="18" t="s">
        <v>9</v>
      </c>
      <c r="AE3" s="18" t="s">
        <v>9</v>
      </c>
      <c r="AF3" s="18" t="s">
        <v>9</v>
      </c>
      <c r="AG3" s="18" t="s">
        <v>9</v>
      </c>
      <c r="AH3" s="18" t="s">
        <v>9</v>
      </c>
      <c r="AI3" s="18" t="s">
        <v>9</v>
      </c>
      <c r="AJ3" s="18" t="s">
        <v>9</v>
      </c>
      <c r="AK3" s="18" t="s">
        <v>9</v>
      </c>
      <c r="AL3" s="18" t="s">
        <v>9</v>
      </c>
      <c r="AM3" s="18" t="s">
        <v>9</v>
      </c>
      <c r="AN3" s="18" t="s">
        <v>9</v>
      </c>
    </row>
    <row r="4" spans="25:53" x14ac:dyDescent="0.25">
      <c r="AC4" s="18" t="s">
        <v>118</v>
      </c>
      <c r="AD4" s="18" t="s">
        <v>118</v>
      </c>
      <c r="AE4" s="18" t="s">
        <v>118</v>
      </c>
      <c r="AF4" s="18" t="s">
        <v>118</v>
      </c>
      <c r="AG4" s="18" t="s">
        <v>118</v>
      </c>
      <c r="AH4" s="18" t="s">
        <v>118</v>
      </c>
      <c r="AI4" s="18" t="s">
        <v>118</v>
      </c>
      <c r="AJ4" s="18" t="s">
        <v>118</v>
      </c>
      <c r="AK4" s="18" t="s">
        <v>118</v>
      </c>
      <c r="AL4" s="18" t="s">
        <v>118</v>
      </c>
      <c r="AM4" s="18" t="s">
        <v>118</v>
      </c>
      <c r="AN4" s="18" t="s">
        <v>118</v>
      </c>
    </row>
    <row r="5" spans="25:53" x14ac:dyDescent="0.25">
      <c r="Y5" s="4" t="s">
        <v>4</v>
      </c>
      <c r="Z5" s="4" t="s">
        <v>5</v>
      </c>
      <c r="AA5" s="4" t="s">
        <v>6</v>
      </c>
      <c r="AB5" s="4" t="s">
        <v>41</v>
      </c>
      <c r="AC5" s="4">
        <v>1</v>
      </c>
      <c r="AD5" s="4">
        <v>2</v>
      </c>
      <c r="AE5" s="4">
        <v>3</v>
      </c>
      <c r="AF5" s="4">
        <v>4</v>
      </c>
      <c r="AG5" s="4">
        <v>5</v>
      </c>
      <c r="AH5" s="4">
        <v>6</v>
      </c>
      <c r="AI5" s="4">
        <v>7</v>
      </c>
      <c r="AJ5" s="4">
        <v>8</v>
      </c>
      <c r="AK5" s="4">
        <v>9</v>
      </c>
      <c r="AL5" s="4">
        <v>10</v>
      </c>
      <c r="AM5" s="4">
        <v>11</v>
      </c>
      <c r="AN5" s="4">
        <v>12</v>
      </c>
    </row>
    <row r="6" spans="25:53" x14ac:dyDescent="0.25">
      <c r="Y6" s="4">
        <v>1994</v>
      </c>
      <c r="Z6" s="4">
        <v>126</v>
      </c>
      <c r="AA6" s="19">
        <f>DATE(Y6,1,Z6)</f>
        <v>34460</v>
      </c>
      <c r="AB6" s="4">
        <v>10</v>
      </c>
      <c r="AC6" s="4" cm="1">
        <f t="array" ref="AC6">_xlfn.XLOOKUP(1,('1994 E Maize Soil VWC'!$C$2:$C$4000=$AA6)*('1994 E Maize Soil VWC'!$D$2:$D$4000=$AB6)*('1994 E Maize Soil VWC'!$E$2:$E$4000=AC$5),'1994 E Maize Soil VWC'!$F$2:$F$4000)</f>
        <v>0.24731392703362781</v>
      </c>
      <c r="AD6" s="4" cm="1">
        <f t="array" ref="AD6">_xlfn.XLOOKUP(1,('1994 E Maize Soil VWC'!$C$2:$C$4000=$AA6)*('1994 E Maize Soil VWC'!$D$2:$D$4000=$AB6)*('1994 E Maize Soil VWC'!$E$2:$E$4000=AD$5),'1994 E Maize Soil VWC'!$F$2:$F$4000)</f>
        <v>0.23666221197164278</v>
      </c>
      <c r="AE6" s="4" cm="1">
        <f t="array" ref="AE6">_xlfn.XLOOKUP(1,('1994 E Maize Soil VWC'!$C$2:$C$4000=$AA6)*('1994 E Maize Soil VWC'!$D$2:$D$4000=$AB6)*('1994 E Maize Soil VWC'!$E$2:$E$4000=AE$5),'1994 E Maize Soil VWC'!$F$2:$F$4000)</f>
        <v>0.25368241275851827</v>
      </c>
      <c r="AF6" s="4" cm="1">
        <f t="array" ref="AF6">_xlfn.XLOOKUP(1,('1994 E Maize Soil VWC'!$C$2:$C$4000=$AA6)*('1994 E Maize Soil VWC'!$D$2:$D$4000=$AB6)*('1994 E Maize Soil VWC'!$E$2:$E$4000=AF$5),'1994 E Maize Soil VWC'!$F$2:$F$4000)</f>
        <v>0.25058270731719989</v>
      </c>
      <c r="AG6" s="4" cm="1">
        <f t="array" ref="AG6">_xlfn.XLOOKUP(1,('1994 E Maize Soil VWC'!$C$2:$C$4000=$AA6)*('1994 E Maize Soil VWC'!$D$2:$D$4000=$AB6)*('1994 E Maize Soil VWC'!$E$2:$E$4000=AG$5),'1994 E Maize Soil VWC'!$F$2:$F$4000)</f>
        <v>0.23660585369089154</v>
      </c>
      <c r="AH6" s="4" cm="1">
        <f t="array" ref="AH6">_xlfn.XLOOKUP(1,('1994 E Maize Soil VWC'!$C$2:$C$4000=$AA6)*('1994 E Maize Soil VWC'!$D$2:$D$4000=$AB6)*('1994 E Maize Soil VWC'!$E$2:$E$4000=AH$5),'1994 E Maize Soil VWC'!$F$2:$F$4000)</f>
        <v>0.22130458046692897</v>
      </c>
      <c r="AI6" s="4" t="e" cm="1">
        <f t="array" ref="AI6">_xlfn.XLOOKUP(1,('1994 E Maize Soil VWC'!$C$2:$C$4000=$AA6)*('1994 E Maize Soil VWC'!$D$2:$D$4000=$AB6)*('1994 E Maize Soil VWC'!$E$2:$E$4000=AI$5),'1994 E Maize Soil VWC'!$F$2:$F$4000)</f>
        <v>#N/A</v>
      </c>
      <c r="AJ6" s="4" cm="1">
        <f t="array" ref="AJ6">_xlfn.XLOOKUP(1,('1994 E Maize Soil VWC'!$C$2:$C$4000=$AA6)*('1994 E Maize Soil VWC'!$D$2:$D$4000=$AB6)*('1994 E Maize Soil VWC'!$E$2:$E$4000=AJ$5),'1994 E Maize Soil VWC'!$F$2:$F$4000)</f>
        <v>0.27264697423131168</v>
      </c>
      <c r="AK6" s="4" cm="1">
        <f t="array" ref="AK6">_xlfn.XLOOKUP(1,('1994 E Maize Soil VWC'!$C$2:$C$4000=$AA6)*('1994 E Maize Soil VWC'!$D$2:$D$4000=$AB6)*('1994 E Maize Soil VWC'!$E$2:$E$4000=AK$5),'1994 E Maize Soil VWC'!$F$2:$F$4000)</f>
        <v>0.25345697963551334</v>
      </c>
      <c r="AL6" s="4" cm="1">
        <f t="array" ref="AL6">_xlfn.XLOOKUP(1,('1994 E Maize Soil VWC'!$C$2:$C$4000=$AA6)*('1994 E Maize Soil VWC'!$D$2:$D$4000=$AB6)*('1994 E Maize Soil VWC'!$E$2:$E$4000=AL$5),'1994 E Maize Soil VWC'!$F$2:$F$4000)</f>
        <v>0.27247789938905798</v>
      </c>
      <c r="AM6" s="4" cm="1">
        <f t="array" ref="AM6">_xlfn.XLOOKUP(1,('1994 E Maize Soil VWC'!$C$2:$C$4000=$AA6)*('1994 E Maize Soil VWC'!$D$2:$D$4000=$AB6)*('1994 E Maize Soil VWC'!$E$2:$E$4000=AM$5),'1994 E Maize Soil VWC'!$F$2:$F$4000)</f>
        <v>0.26943455222849083</v>
      </c>
      <c r="AN6" s="4" cm="1">
        <f t="array" ref="AN6">_xlfn.XLOOKUP(1,('1994 E Maize Soil VWC'!$C$2:$C$4000=$AA6)*('1994 E Maize Soil VWC'!$D$2:$D$4000=$AB6)*('1994 E Maize Soil VWC'!$E$2:$E$4000=AN$5),'1994 E Maize Soil VWC'!$F$2:$F$4000)</f>
        <v>0.25551405688293366</v>
      </c>
      <c r="AO6" s="30">
        <f>Z6</f>
        <v>126</v>
      </c>
      <c r="AP6" s="13">
        <f>AA6</f>
        <v>34460</v>
      </c>
      <c r="AQ6" s="4">
        <f>AVERAGE(AG6:AH12)*1400+AVERAGE(AG13:AH13)*100</f>
        <v>341.21069748773908</v>
      </c>
      <c r="AR6" s="4">
        <f>AVERAGE(AC6:AF12)*1400+AVERAGE(AC13:AF13)*100</f>
        <v>341.56259329676089</v>
      </c>
      <c r="AS6" s="4">
        <f>AVERAGE(AM6:AN12)*1400+AVERAGE(AM13:AN13)*100</f>
        <v>414.41939980827954</v>
      </c>
      <c r="AT6" s="31">
        <f>AVERAGE(AJ6:AL12)*1400+AVERAGE(AJ13:AL13)*100</f>
        <v>398.97117639386664</v>
      </c>
      <c r="AU6" s="4">
        <f>Z6</f>
        <v>126</v>
      </c>
      <c r="AV6" s="4">
        <f>AVERAGE(AC6:AD17)*2400</f>
        <v>530.28689142496228</v>
      </c>
      <c r="AW6" s="4">
        <f>AVERAGE(AE6:AF17)*2400</f>
        <v>595.47947296864857</v>
      </c>
      <c r="AX6" s="4">
        <f>AVERAGE(AG6:AH15)*2000</f>
        <v>467.91933647408018</v>
      </c>
      <c r="AY6" s="31">
        <f>AVERAGE(AJ6:AJ17)*2400</f>
        <v>634.84649165916915</v>
      </c>
      <c r="AZ6" s="4">
        <f>AVERAGE(AK6:AL17)*2400</f>
        <v>629.65778197738348</v>
      </c>
      <c r="BA6" s="4">
        <f>AVERAGE(AM6:AN15)*2000</f>
        <v>555.97520915168388</v>
      </c>
    </row>
    <row r="7" spans="25:53" x14ac:dyDescent="0.25">
      <c r="AA7" s="19">
        <f t="shared" ref="AA7:AA17" si="0">AA6</f>
        <v>34460</v>
      </c>
      <c r="AB7" s="4">
        <f t="shared" ref="AB7:AB17" si="1">AB6+20</f>
        <v>30</v>
      </c>
      <c r="AC7" s="4" cm="1">
        <f t="array" ref="AC7">_xlfn.XLOOKUP(1,('1994 E Maize Soil VWC'!$C$2:$C$4000=$AA7)*('1994 E Maize Soil VWC'!$D$2:$D$4000=$AB7)*('1994 E Maize Soil VWC'!$E$2:$E$4000=AC$5),'1994 E Maize Soil VWC'!$F$2:$F$4000)</f>
        <v>0.20874103500977409</v>
      </c>
      <c r="AD7" s="4" cm="1">
        <f t="array" ref="AD7">_xlfn.XLOOKUP(1,('1994 E Maize Soil VWC'!$C$2:$C$4000=$AA7)*('1994 E Maize Soil VWC'!$D$2:$D$4000=$AB7)*('1994 E Maize Soil VWC'!$E$2:$E$4000=AD$5),'1994 E Maize Soil VWC'!$F$2:$F$4000)</f>
        <v>0.17707222680820528</v>
      </c>
      <c r="AE7" s="4" cm="1">
        <f t="array" ref="AE7">_xlfn.XLOOKUP(1,('1994 E Maize Soil VWC'!$C$2:$C$4000=$AA7)*('1994 E Maize Soil VWC'!$D$2:$D$4000=$AB7)*('1994 E Maize Soil VWC'!$E$2:$E$4000=AE$5),'1994 E Maize Soil VWC'!$F$2:$F$4000)</f>
        <v>0.24959154243560239</v>
      </c>
      <c r="AF7" s="4" cm="1">
        <f t="array" ref="AF7">_xlfn.XLOOKUP(1,('1994 E Maize Soil VWC'!$C$2:$C$4000=$AA7)*('1994 E Maize Soil VWC'!$D$2:$D$4000=$AB7)*('1994 E Maize Soil VWC'!$E$2:$E$4000=AF$5),'1994 E Maize Soil VWC'!$F$2:$F$4000)</f>
        <v>0.25419850029198526</v>
      </c>
      <c r="AG7" s="4" cm="1">
        <f t="array" ref="AG7">_xlfn.XLOOKUP(1,('1994 E Maize Soil VWC'!$C$2:$C$4000=$AA7)*('1994 E Maize Soil VWC'!$D$2:$D$4000=$AB7)*('1994 E Maize Soil VWC'!$E$2:$E$4000=AG$5),'1994 E Maize Soil VWC'!$F$2:$F$4000)</f>
        <v>0.30416627396506069</v>
      </c>
      <c r="AH7" s="4" cm="1">
        <f t="array" ref="AH7">_xlfn.XLOOKUP(1,('1994 E Maize Soil VWC'!$C$2:$C$4000=$AA7)*('1994 E Maize Soil VWC'!$D$2:$D$4000=$AB7)*('1994 E Maize Soil VWC'!$E$2:$E$4000=AH$5),'1994 E Maize Soil VWC'!$F$2:$F$4000)</f>
        <v>0.22095108415361392</v>
      </c>
      <c r="AI7" s="4" t="e" cm="1">
        <f t="array" ref="AI7">_xlfn.XLOOKUP(1,('1994 E Maize Soil VWC'!$C$2:$C$4000=$AA7)*('1994 E Maize Soil VWC'!$D$2:$D$4000=$AB7)*('1994 E Maize Soil VWC'!$E$2:$E$4000=AI$5),'1994 E Maize Soil VWC'!$F$2:$F$4000)</f>
        <v>#N/A</v>
      </c>
      <c r="AJ7" s="4" cm="1">
        <f t="array" ref="AJ7">_xlfn.XLOOKUP(1,('1994 E Maize Soil VWC'!$C$2:$C$4000=$AA7)*('1994 E Maize Soil VWC'!$D$2:$D$4000=$AB7)*('1994 E Maize Soil VWC'!$E$2:$E$4000=AJ$5),'1994 E Maize Soil VWC'!$F$2:$F$4000)</f>
        <v>0.25903097356791133</v>
      </c>
      <c r="AK7" s="4" cm="1">
        <f t="array" ref="AK7">_xlfn.XLOOKUP(1,('1994 E Maize Soil VWC'!$C$2:$C$4000=$AA7)*('1994 E Maize Soil VWC'!$D$2:$D$4000=$AB7)*('1994 E Maize Soil VWC'!$E$2:$E$4000=AK$5),'1994 E Maize Soil VWC'!$F$2:$F$4000)</f>
        <v>0.26199489051047925</v>
      </c>
      <c r="AL7" s="4" cm="1">
        <f t="array" ref="AL7">_xlfn.XLOOKUP(1,('1994 E Maize Soil VWC'!$C$2:$C$4000=$AA7)*('1994 E Maize Soil VWC'!$D$2:$D$4000=$AB7)*('1994 E Maize Soil VWC'!$E$2:$E$4000=AL$5),'1994 E Maize Soil VWC'!$F$2:$F$4000)</f>
        <v>0.26908251798183747</v>
      </c>
      <c r="AM7" s="4" cm="1">
        <f t="array" ref="AM7">_xlfn.XLOOKUP(1,('1994 E Maize Soil VWC'!$C$2:$C$4000=$AA7)*('1994 E Maize Soil VWC'!$D$2:$D$4000=$AB7)*('1994 E Maize Soil VWC'!$E$2:$E$4000=AM$5),'1994 E Maize Soil VWC'!$F$2:$F$4000)</f>
        <v>0.29936601717764083</v>
      </c>
      <c r="AN7" s="4" cm="1">
        <f t="array" ref="AN7">_xlfn.XLOOKUP(1,('1994 E Maize Soil VWC'!$C$2:$C$4000=$AA7)*('1994 E Maize Soil VWC'!$D$2:$D$4000=$AB7)*('1994 E Maize Soil VWC'!$E$2:$E$4000=AN$5),'1994 E Maize Soil VWC'!$F$2:$F$4000)</f>
        <v>0.29231060619478877</v>
      </c>
      <c r="AO7" s="30">
        <f>Z19</f>
        <v>140</v>
      </c>
      <c r="AP7" s="13">
        <f>AA19</f>
        <v>34474</v>
      </c>
      <c r="AQ7" s="4">
        <f>AVERAGE(AG19:AH25)*1400+AVERAGE(AG26:AH26)*100</f>
        <v>338.79681369564247</v>
      </c>
      <c r="AR7" s="4">
        <f>AVERAGE(AC19:AF25)*1400+AVERAGE(AC26:AF26)*100</f>
        <v>341.50573107860083</v>
      </c>
      <c r="AS7" s="4">
        <f>AVERAGE(AM19:AN25)*1400+AVERAGE(AM26:AN26)*100</f>
        <v>413.33760644673742</v>
      </c>
      <c r="AT7" s="4">
        <f>AVERAGE(AJ19:AL25)*1400+AVERAGE(AJ26:AL26)*100</f>
        <v>400.34713900185585</v>
      </c>
      <c r="AU7" s="4">
        <f>Z19</f>
        <v>140</v>
      </c>
      <c r="AV7" s="4">
        <f>AVERAGE(AC19:AD30)*2400</f>
        <v>527.85281880427078</v>
      </c>
      <c r="AW7" s="4">
        <f>AVERAGE(AE19:AF30)*2400</f>
        <v>594.34656138091691</v>
      </c>
      <c r="AX7" s="4">
        <f>AVERAGE(AG19:AH28)*2000</f>
        <v>466.14518949996284</v>
      </c>
      <c r="AY7" s="31">
        <f>AVERAGE(AJ19:AJ30)*2400</f>
        <v>633.58344907114042</v>
      </c>
      <c r="AZ7" s="4">
        <f>AVERAGE(AK19:AL30)*2400</f>
        <v>631.791334019548</v>
      </c>
      <c r="BA7" s="4">
        <f>AVERAGE(AM19:AN28)*2000</f>
        <v>555.75739025566031</v>
      </c>
    </row>
    <row r="8" spans="25:53" x14ac:dyDescent="0.25">
      <c r="AA8" s="19">
        <f t="shared" si="0"/>
        <v>34460</v>
      </c>
      <c r="AB8" s="4">
        <f t="shared" si="1"/>
        <v>50</v>
      </c>
      <c r="AC8" s="4" cm="1">
        <f t="array" ref="AC8">_xlfn.XLOOKUP(1,('1994 E Maize Soil VWC'!$C$2:$C$4000=$AA8)*('1994 E Maize Soil VWC'!$D$2:$D$4000=$AB8)*('1994 E Maize Soil VWC'!$E$2:$E$4000=AC$5),'1994 E Maize Soil VWC'!$F$2:$F$4000)</f>
        <v>0.21183381790636668</v>
      </c>
      <c r="AD8" s="4" cm="1">
        <f t="array" ref="AD8">_xlfn.XLOOKUP(1,('1994 E Maize Soil VWC'!$C$2:$C$4000=$AA8)*('1994 E Maize Soil VWC'!$D$2:$D$4000=$AB8)*('1994 E Maize Soil VWC'!$E$2:$E$4000=AD$5),'1994 E Maize Soil VWC'!$F$2:$F$4000)</f>
        <v>0.21821268263058913</v>
      </c>
      <c r="AE8" s="4" cm="1">
        <f t="array" ref="AE8">_xlfn.XLOOKUP(1,('1994 E Maize Soil VWC'!$C$2:$C$4000=$AA8)*('1994 E Maize Soil VWC'!$D$2:$D$4000=$AB8)*('1994 E Maize Soil VWC'!$E$2:$E$4000=AE$5),'1994 E Maize Soil VWC'!$F$2:$F$4000)</f>
        <v>0.24218175007918241</v>
      </c>
      <c r="AF8" s="4" cm="1">
        <f t="array" ref="AF8">_xlfn.XLOOKUP(1,('1994 E Maize Soil VWC'!$C$2:$C$4000=$AA8)*('1994 E Maize Soil VWC'!$D$2:$D$4000=$AB8)*('1994 E Maize Soil VWC'!$E$2:$E$4000=AF$5),'1994 E Maize Soil VWC'!$F$2:$F$4000)</f>
        <v>0.24211731710217005</v>
      </c>
      <c r="AG8" s="4" cm="1">
        <f t="array" ref="AG8">_xlfn.XLOOKUP(1,('1994 E Maize Soil VWC'!$C$2:$C$4000=$AA8)*('1994 E Maize Soil VWC'!$D$2:$D$4000=$AB8)*('1994 E Maize Soil VWC'!$E$2:$E$4000=AG$5),'1994 E Maize Soil VWC'!$F$2:$F$4000)</f>
        <v>0.25461731464256548</v>
      </c>
      <c r="AH8" s="4" cm="1">
        <f t="array" ref="AH8">_xlfn.XLOOKUP(1,('1994 E Maize Soil VWC'!$C$2:$C$4000=$AA8)*('1994 E Maize Soil VWC'!$D$2:$D$4000=$AB8)*('1994 E Maize Soil VWC'!$E$2:$E$4000=AH$5),'1994 E Maize Soil VWC'!$F$2:$F$4000)</f>
        <v>0.21260701363051487</v>
      </c>
      <c r="AI8" s="4" t="e" cm="1">
        <f t="array" ref="AI8">_xlfn.XLOOKUP(1,('1994 E Maize Soil VWC'!$C$2:$C$4000=$AA8)*('1994 E Maize Soil VWC'!$D$2:$D$4000=$AB8)*('1994 E Maize Soil VWC'!$E$2:$E$4000=AI$5),'1994 E Maize Soil VWC'!$F$2:$F$4000)</f>
        <v>#N/A</v>
      </c>
      <c r="AJ8" s="4" cm="1">
        <f t="array" ref="AJ8">_xlfn.XLOOKUP(1,('1994 E Maize Soil VWC'!$C$2:$C$4000=$AA8)*('1994 E Maize Soil VWC'!$D$2:$D$4000=$AB8)*('1994 E Maize Soil VWC'!$E$2:$E$4000=AJ$5),'1994 E Maize Soil VWC'!$F$2:$F$4000)</f>
        <v>0.26795494088412142</v>
      </c>
      <c r="AK8" s="4" cm="1">
        <f t="array" ref="AK8">_xlfn.XLOOKUP(1,('1994 E Maize Soil VWC'!$C$2:$C$4000=$AA8)*('1994 E Maize Soil VWC'!$D$2:$D$4000=$AB8)*('1994 E Maize Soil VWC'!$E$2:$E$4000=AK$5),'1994 E Maize Soil VWC'!$F$2:$F$4000)</f>
        <v>0.25793561295870138</v>
      </c>
      <c r="AL8" s="4" cm="1">
        <f t="array" ref="AL8">_xlfn.XLOOKUP(1,('1994 E Maize Soil VWC'!$C$2:$C$4000=$AA8)*('1994 E Maize Soil VWC'!$D$2:$D$4000=$AB8)*('1994 E Maize Soil VWC'!$E$2:$E$4000=AL$5),'1994 E Maize Soil VWC'!$F$2:$F$4000)</f>
        <v>0.28886344192462821</v>
      </c>
      <c r="AM8" s="4" cm="1">
        <f t="array" ref="AM8">_xlfn.XLOOKUP(1,('1994 E Maize Soil VWC'!$C$2:$C$4000=$AA8)*('1994 E Maize Soil VWC'!$D$2:$D$4000=$AB8)*('1994 E Maize Soil VWC'!$E$2:$E$4000=AM$5),'1994 E Maize Soil VWC'!$F$2:$F$4000)</f>
        <v>0.27249746576349193</v>
      </c>
      <c r="AN8" s="4" cm="1">
        <f t="array" ref="AN8">_xlfn.XLOOKUP(1,('1994 E Maize Soil VWC'!$C$2:$C$4000=$AA8)*('1994 E Maize Soil VWC'!$D$2:$D$4000=$AB8)*('1994 E Maize Soil VWC'!$E$2:$E$4000=AN$5),'1994 E Maize Soil VWC'!$F$2:$F$4000)</f>
        <v>0.26402452928636821</v>
      </c>
      <c r="AO8" s="30">
        <f>Z32</f>
        <v>153</v>
      </c>
      <c r="AP8" s="13">
        <f>AA32</f>
        <v>34487</v>
      </c>
      <c r="AQ8" s="4">
        <f>AVERAGE(AG32:AH38)*1400+AVERAGE(AG39:AH39)*100</f>
        <v>337.77678467626754</v>
      </c>
      <c r="AR8" s="4">
        <f>AVERAGE(AC32:AF38)*1400+AVERAGE(AC39:AF39)*100</f>
        <v>342.13011093786645</v>
      </c>
      <c r="AS8" s="4">
        <f>AVERAGE(AM32:AN38)*1400+AVERAGE(AM39:AN39)*100</f>
        <v>412.73585594788807</v>
      </c>
      <c r="AT8" s="4">
        <f>AVERAGE(AI32:AL38)*1400+AVERAGE(AI39:AL39)*100</f>
        <v>393.95604335416812</v>
      </c>
      <c r="AU8" s="4">
        <f>Z32</f>
        <v>153</v>
      </c>
      <c r="AV8" s="4">
        <f>AVERAGE(AC32:AD43)*2400</f>
        <v>529.46835380389962</v>
      </c>
      <c r="AW8" s="4">
        <f>AVERAGE(AE32:AF43)*2400</f>
        <v>595.5428544076658</v>
      </c>
      <c r="AX8" s="4">
        <f>AVERAGE(AG32:AH41)*2000</f>
        <v>465.23332216940105</v>
      </c>
      <c r="AY8" s="4">
        <f>AVERAGE(AI32:AJ43)*2400</f>
        <v>627.17523979862915</v>
      </c>
      <c r="AZ8" s="4">
        <f>AVERAGE(AK32:AL43)*2400</f>
        <v>627.01399180540909</v>
      </c>
      <c r="BA8" s="4">
        <f>AVERAGE(AM32:AN41)*2000</f>
        <v>554.75596912619699</v>
      </c>
    </row>
    <row r="9" spans="25:53" x14ac:dyDescent="0.25">
      <c r="AA9" s="19">
        <f t="shared" si="0"/>
        <v>34460</v>
      </c>
      <c r="AB9" s="4">
        <f t="shared" si="1"/>
        <v>70</v>
      </c>
      <c r="AC9" s="4" cm="1">
        <f t="array" ref="AC9">_xlfn.XLOOKUP(1,('1994 E Maize Soil VWC'!$C$2:$C$4000=$AA9)*('1994 E Maize Soil VWC'!$D$2:$D$4000=$AB9)*('1994 E Maize Soil VWC'!$E$2:$E$4000=AC$5),'1994 E Maize Soil VWC'!$F$2:$F$4000)</f>
        <v>0.20835443714770002</v>
      </c>
      <c r="AD9" s="4" cm="1">
        <f t="array" ref="AD9">_xlfn.XLOOKUP(1,('1994 E Maize Soil VWC'!$C$2:$C$4000=$AA9)*('1994 E Maize Soil VWC'!$D$2:$D$4000=$AB9)*('1994 E Maize Soil VWC'!$E$2:$E$4000=AD$5),'1994 E Maize Soil VWC'!$F$2:$F$4000)</f>
        <v>0.20510057180857638</v>
      </c>
      <c r="AE9" s="4" cm="1">
        <f t="array" ref="AE9">_xlfn.XLOOKUP(1,('1994 E Maize Soil VWC'!$C$2:$C$4000=$AA9)*('1994 E Maize Soil VWC'!$D$2:$D$4000=$AB9)*('1994 E Maize Soil VWC'!$E$2:$E$4000=AE$5),'1994 E Maize Soil VWC'!$F$2:$F$4000)</f>
        <v>0.22272299102145349</v>
      </c>
      <c r="AF9" s="4" cm="1">
        <f t="array" ref="AF9">_xlfn.XLOOKUP(1,('1994 E Maize Soil VWC'!$C$2:$C$4000=$AA9)*('1994 E Maize Soil VWC'!$D$2:$D$4000=$AB9)*('1994 E Maize Soil VWC'!$E$2:$E$4000=AF$5),'1994 E Maize Soil VWC'!$F$2:$F$4000)</f>
        <v>0.19601552204983547</v>
      </c>
      <c r="AG9" s="4" cm="1">
        <f t="array" ref="AG9">_xlfn.XLOOKUP(1,('1994 E Maize Soil VWC'!$C$2:$C$4000=$AA9)*('1994 E Maize Soil VWC'!$D$2:$D$4000=$AB9)*('1994 E Maize Soil VWC'!$E$2:$E$4000=AG$5),'1994 E Maize Soil VWC'!$F$2:$F$4000)</f>
        <v>0.20406964417637885</v>
      </c>
      <c r="AH9" s="4" cm="1">
        <f t="array" ref="AH9">_xlfn.XLOOKUP(1,('1994 E Maize Soil VWC'!$C$2:$C$4000=$AA9)*('1994 E Maize Soil VWC'!$D$2:$D$4000=$AB9)*('1994 E Maize Soil VWC'!$E$2:$E$4000=AH$5),'1994 E Maize Soil VWC'!$F$2:$F$4000)</f>
        <v>0.20432737608442825</v>
      </c>
      <c r="AI9" s="4" t="e" cm="1">
        <f t="array" ref="AI9">_xlfn.XLOOKUP(1,('1994 E Maize Soil VWC'!$C$2:$C$4000=$AA9)*('1994 E Maize Soil VWC'!$D$2:$D$4000=$AB9)*('1994 E Maize Soil VWC'!$E$2:$E$4000=AI$5),'1994 E Maize Soil VWC'!$F$2:$F$4000)</f>
        <v>#N/A</v>
      </c>
      <c r="AJ9" s="4" cm="1">
        <f t="array" ref="AJ9">_xlfn.XLOOKUP(1,('1994 E Maize Soil VWC'!$C$2:$C$4000=$AA9)*('1994 E Maize Soil VWC'!$D$2:$D$4000=$AB9)*('1994 E Maize Soil VWC'!$E$2:$E$4000=AJ$5),'1994 E Maize Soil VWC'!$F$2:$F$4000)</f>
        <v>0.2703389610335783</v>
      </c>
      <c r="AK9" s="4" cm="1">
        <f t="array" ref="AK9">_xlfn.XLOOKUP(1,('1994 E Maize Soil VWC'!$C$2:$C$4000=$AA9)*('1994 E Maize Soil VWC'!$D$2:$D$4000=$AB9)*('1994 E Maize Soil VWC'!$E$2:$E$4000=AK$5),'1994 E Maize Soil VWC'!$F$2:$F$4000)</f>
        <v>0.25944978791849155</v>
      </c>
      <c r="AL9" s="4" cm="1">
        <f t="array" ref="AL9">_xlfn.XLOOKUP(1,('1994 E Maize Soil VWC'!$C$2:$C$4000=$AA9)*('1994 E Maize Soil VWC'!$D$2:$D$4000=$AB9)*('1994 E Maize Soil VWC'!$E$2:$E$4000=AL$5),'1994 E Maize Soil VWC'!$F$2:$F$4000)</f>
        <v>0.26511988989557811</v>
      </c>
      <c r="AM9" s="4" cm="1">
        <f t="array" ref="AM9">_xlfn.XLOOKUP(1,('1994 E Maize Soil VWC'!$C$2:$C$4000=$AA9)*('1994 E Maize Soil VWC'!$D$2:$D$4000=$AB9)*('1994 E Maize Soil VWC'!$E$2:$E$4000=AM$5),'1994 E Maize Soil VWC'!$F$2:$F$4000)</f>
        <v>0.27600906301066486</v>
      </c>
      <c r="AN9" s="4" cm="1">
        <f t="array" ref="AN9">_xlfn.XLOOKUP(1,('1994 E Maize Soil VWC'!$C$2:$C$4000=$AA9)*('1994 E Maize Soil VWC'!$D$2:$D$4000=$AB9)*('1994 E Maize Soil VWC'!$E$2:$E$4000=AN$5),'1994 E Maize Soil VWC'!$F$2:$F$4000)</f>
        <v>0.26988793019449181</v>
      </c>
      <c r="AO9" s="30">
        <f>Z45</f>
        <v>166</v>
      </c>
      <c r="AP9" s="13">
        <f>AA45</f>
        <v>34500</v>
      </c>
      <c r="AQ9" s="4">
        <f>AVERAGE(AG45:AH51)*1400+AVERAGE(AG52:AH52)*100</f>
        <v>384.99540380761141</v>
      </c>
      <c r="AR9" s="4">
        <f>AVERAGE(AC45:AF51)*1400+AVERAGE(AC52:AF52)*100</f>
        <v>367.67210197070239</v>
      </c>
      <c r="AS9" s="4">
        <f>AVERAGE(AM45:AN51)*1400+AVERAGE(AM52:AN52)*100</f>
        <v>421.4770740752233</v>
      </c>
      <c r="AT9" s="4">
        <f>AVERAGE(AI45:AL51)*1400+AVERAGE(AI52:AL52)*100</f>
        <v>403.48042127439186</v>
      </c>
      <c r="AU9" s="4">
        <f>Z45</f>
        <v>166</v>
      </c>
      <c r="AV9" s="4">
        <f>AVERAGE(AC45:AD56)*2400</f>
        <v>558.11803316982162</v>
      </c>
      <c r="AW9" s="4">
        <f>AVERAGE(AE45:AF56)*2400</f>
        <v>617.34533455934979</v>
      </c>
      <c r="AX9" s="4">
        <f>AVERAGE(AG45:AH54)*2000</f>
        <v>513.34097762098827</v>
      </c>
      <c r="AY9" s="4">
        <f>AVERAGE(AI45:AJ56)*2400</f>
        <v>641.29262351055343</v>
      </c>
      <c r="AZ9" s="4">
        <f>AVERAGE(AK45:AL56)*2400</f>
        <v>632.21708720095</v>
      </c>
      <c r="BA9" s="4">
        <f>AVERAGE(AM45:AN54)*2000</f>
        <v>562.99463111404759</v>
      </c>
    </row>
    <row r="10" spans="25:53" x14ac:dyDescent="0.25">
      <c r="AA10" s="19">
        <f t="shared" si="0"/>
        <v>34460</v>
      </c>
      <c r="AB10" s="4">
        <f t="shared" si="1"/>
        <v>90</v>
      </c>
      <c r="AC10" s="4" cm="1">
        <f t="array" ref="AC10">_xlfn.XLOOKUP(1,('1994 E Maize Soil VWC'!$C$2:$C$4000=$AA10)*('1994 E Maize Soil VWC'!$D$2:$D$4000=$AB10)*('1994 E Maize Soil VWC'!$E$2:$E$4000=AC$5),'1994 E Maize Soil VWC'!$F$2:$F$4000)</f>
        <v>0.21338020935466306</v>
      </c>
      <c r="AD10" s="4" cm="1">
        <f t="array" ref="AD10">_xlfn.XLOOKUP(1,('1994 E Maize Soil VWC'!$C$2:$C$4000=$AA10)*('1994 E Maize Soil VWC'!$D$2:$D$4000=$AB10)*('1994 E Maize Soil VWC'!$E$2:$E$4000=AD$5),'1994 E Maize Soil VWC'!$F$2:$F$4000)</f>
        <v>0.19978485120505773</v>
      </c>
      <c r="AE10" s="4" cm="1">
        <f t="array" ref="AE10">_xlfn.XLOOKUP(1,('1994 E Maize Soil VWC'!$C$2:$C$4000=$AA10)*('1994 E Maize Soil VWC'!$D$2:$D$4000=$AB10)*('1994 E Maize Soil VWC'!$E$2:$E$4000=AE$5),'1994 E Maize Soil VWC'!$F$2:$F$4000)</f>
        <v>0.2177616517915027</v>
      </c>
      <c r="AF10" s="4" cm="1">
        <f t="array" ref="AF10">_xlfn.XLOOKUP(1,('1994 E Maize Soil VWC'!$C$2:$C$4000=$AA10)*('1994 E Maize Soil VWC'!$D$2:$D$4000=$AB10)*('1994 E Maize Soil VWC'!$E$2:$E$4000=AF$5),'1994 E Maize Soil VWC'!$F$2:$F$4000)</f>
        <v>0.20532608722811962</v>
      </c>
      <c r="AG10" s="4" cm="1">
        <f t="array" ref="AG10">_xlfn.XLOOKUP(1,('1994 E Maize Soil VWC'!$C$2:$C$4000=$AA10)*('1994 E Maize Soil VWC'!$D$2:$D$4000=$AB10)*('1994 E Maize Soil VWC'!$E$2:$E$4000=AG$5),'1994 E Maize Soil VWC'!$F$2:$F$4000)</f>
        <v>0.19614438800386014</v>
      </c>
      <c r="AH10" s="4" cm="1">
        <f t="array" ref="AH10">_xlfn.XLOOKUP(1,('1994 E Maize Soil VWC'!$C$2:$C$4000=$AA10)*('1994 E Maize Soil VWC'!$D$2:$D$4000=$AB10)*('1994 E Maize Soil VWC'!$E$2:$E$4000=AH$5),'1994 E Maize Soil VWC'!$F$2:$F$4000)</f>
        <v>0.20348974738326775</v>
      </c>
      <c r="AI10" s="4" t="e" cm="1">
        <f t="array" ref="AI10">_xlfn.XLOOKUP(1,('1994 E Maize Soil VWC'!$C$2:$C$4000=$AA10)*('1994 E Maize Soil VWC'!$D$2:$D$4000=$AB10)*('1994 E Maize Soil VWC'!$E$2:$E$4000=AI$5),'1994 E Maize Soil VWC'!$F$2:$F$4000)</f>
        <v>#N/A</v>
      </c>
      <c r="AJ10" s="4" cm="1">
        <f t="array" ref="AJ10">_xlfn.XLOOKUP(1,('1994 E Maize Soil VWC'!$C$2:$C$4000=$AA10)*('1994 E Maize Soil VWC'!$D$2:$D$4000=$AB10)*('1994 E Maize Soil VWC'!$E$2:$E$4000=AJ$5),'1994 E Maize Soil VWC'!$F$2:$F$4000)</f>
        <v>0.27043561049909676</v>
      </c>
      <c r="AK10" s="4" cm="1">
        <f t="array" ref="AK10">_xlfn.XLOOKUP(1,('1994 E Maize Soil VWC'!$C$2:$C$4000=$AA10)*('1994 E Maize Soil VWC'!$D$2:$D$4000=$AB10)*('1994 E Maize Soil VWC'!$E$2:$E$4000=AK$5),'1994 E Maize Soil VWC'!$F$2:$F$4000)</f>
        <v>0.26724617813698559</v>
      </c>
      <c r="AL10" s="4" cm="1">
        <f t="array" ref="AL10">_xlfn.XLOOKUP(1,('1994 E Maize Soil VWC'!$C$2:$C$4000=$AA10)*('1994 E Maize Soil VWC'!$D$2:$D$4000=$AB10)*('1994 E Maize Soil VWC'!$E$2:$E$4000=AL$5),'1994 E Maize Soil VWC'!$F$2:$F$4000)</f>
        <v>0.24743303770568875</v>
      </c>
      <c r="AM10" s="4" cm="1">
        <f t="array" ref="AM10">_xlfn.XLOOKUP(1,('1994 E Maize Soil VWC'!$C$2:$C$4000=$AA10)*('1994 E Maize Soil VWC'!$D$2:$D$4000=$AB10)*('1994 E Maize Soil VWC'!$E$2:$E$4000=AM$5),'1994 E Maize Soil VWC'!$F$2:$F$4000)</f>
        <v>0.27307736255660309</v>
      </c>
      <c r="AN10" s="4" cm="1">
        <f t="array" ref="AN10">_xlfn.XLOOKUP(1,('1994 E Maize Soil VWC'!$C$2:$C$4000=$AA10)*('1994 E Maize Soil VWC'!$D$2:$D$4000=$AB10)*('1994 E Maize Soil VWC'!$E$2:$E$4000=AN$5),'1994 E Maize Soil VWC'!$F$2:$F$4000)</f>
        <v>0.27819978422908465</v>
      </c>
      <c r="AO10" s="30">
        <f>Z58</f>
        <v>180</v>
      </c>
      <c r="AP10" s="13">
        <f>AA58</f>
        <v>34514</v>
      </c>
      <c r="AQ10" s="4">
        <f>AVERAGE(AG58:AH64)*1400+AVERAGE(AG65:AH65)*100</f>
        <v>381.67800693964813</v>
      </c>
      <c r="AR10" s="4">
        <f>AVERAGE(AC58:AF64)*1400+AVERAGE(AC65:AF65)*100</f>
        <v>355.8102033379605</v>
      </c>
      <c r="AS10" s="4">
        <f>AVERAGE(AM58:AN64)*1400+AVERAGE(AM65:AN65)*100</f>
        <v>430.5012089940613</v>
      </c>
      <c r="AT10" s="4">
        <f>AVERAGE(AJ58:AL64)*1400+AVERAGE(AJ65:AL65)*100</f>
        <v>409.6726607028761</v>
      </c>
      <c r="AU10" s="4">
        <f>Z58</f>
        <v>180</v>
      </c>
      <c r="AV10" s="4">
        <f>AVERAGE(AC58:AD69)*2400</f>
        <v>554.89742622205722</v>
      </c>
      <c r="AW10" s="4">
        <f>AVERAGE(AE58:AF69)*2400</f>
        <v>597.752285281642</v>
      </c>
      <c r="AX10" s="4">
        <f>AVERAGE(AG58:AH67)*2000</f>
        <v>509.04484937376594</v>
      </c>
      <c r="AY10" s="4">
        <f>AVERAGE(AI58:AJ69)*2400</f>
        <v>638.94438657652245</v>
      </c>
      <c r="AZ10" s="4">
        <f>AVERAGE(AK58:AL69)*2400</f>
        <v>637.00533051696232</v>
      </c>
      <c r="BA10" s="4">
        <f>AVERAGE(AM58:AN67)*2000</f>
        <v>573.92874317192479</v>
      </c>
    </row>
    <row r="11" spans="25:53" x14ac:dyDescent="0.25">
      <c r="AA11" s="19">
        <f t="shared" si="0"/>
        <v>34460</v>
      </c>
      <c r="AB11" s="4">
        <f t="shared" si="1"/>
        <v>110</v>
      </c>
      <c r="AC11" s="4" cm="1">
        <f t="array" ref="AC11">_xlfn.XLOOKUP(1,('1994 E Maize Soil VWC'!$C$2:$C$4000=$AA11)*('1994 E Maize Soil VWC'!$D$2:$D$4000=$AB11)*('1994 E Maize Soil VWC'!$E$2:$E$4000=AC$5),'1994 E Maize Soil VWC'!$F$2:$F$4000)</f>
        <v>0.22974618551579939</v>
      </c>
      <c r="AD11" s="4" cm="1">
        <f t="array" ref="AD11">_xlfn.XLOOKUP(1,('1994 E Maize Soil VWC'!$C$2:$C$4000=$AA11)*('1994 E Maize Soil VWC'!$D$2:$D$4000=$AB11)*('1994 E Maize Soil VWC'!$E$2:$E$4000=AD$5),'1994 E Maize Soil VWC'!$F$2:$F$4000)</f>
        <v>0.21044850890060129</v>
      </c>
      <c r="AE11" s="4" cm="1">
        <f t="array" ref="AE11">_xlfn.XLOOKUP(1,('1994 E Maize Soil VWC'!$C$2:$C$4000=$AA11)*('1994 E Maize Soil VWC'!$D$2:$D$4000=$AB11)*('1994 E Maize Soil VWC'!$E$2:$E$4000=AE$5),'1994 E Maize Soil VWC'!$F$2:$F$4000)</f>
        <v>0.23213020566525622</v>
      </c>
      <c r="AF11" s="4" cm="1">
        <f t="array" ref="AF11">_xlfn.XLOOKUP(1,('1994 E Maize Soil VWC'!$C$2:$C$4000=$AA11)*('1994 E Maize Soil VWC'!$D$2:$D$4000=$AB11)*('1994 E Maize Soil VWC'!$E$2:$E$4000=AF$5),'1994 E Maize Soil VWC'!$F$2:$F$4000)</f>
        <v>0.24359927557345407</v>
      </c>
      <c r="AG11" s="4" cm="1">
        <f t="array" ref="AG11">_xlfn.XLOOKUP(1,('1994 E Maize Soil VWC'!$C$2:$C$4000=$AA11)*('1994 E Maize Soil VWC'!$D$2:$D$4000=$AB11)*('1994 E Maize Soil VWC'!$E$2:$E$4000=AG$5),'1994 E Maize Soil VWC'!$F$2:$F$4000)</f>
        <v>0.22294850644099667</v>
      </c>
      <c r="AH11" s="4" cm="1">
        <f t="array" ref="AH11">_xlfn.XLOOKUP(1,('1994 E Maize Soil VWC'!$C$2:$C$4000=$AA11)*('1994 E Maize Soil VWC'!$D$2:$D$4000=$AB11)*('1994 E Maize Soil VWC'!$E$2:$E$4000=AH$5),'1994 E Maize Soil VWC'!$F$2:$F$4000)</f>
        <v>0.22165984690074975</v>
      </c>
      <c r="AI11" s="4" t="e" cm="1">
        <f t="array" ref="AI11">_xlfn.XLOOKUP(1,('1994 E Maize Soil VWC'!$C$2:$C$4000=$AA11)*('1994 E Maize Soil VWC'!$D$2:$D$4000=$AB11)*('1994 E Maize Soil VWC'!$E$2:$E$4000=AI$5),'1994 E Maize Soil VWC'!$F$2:$F$4000)</f>
        <v>#N/A</v>
      </c>
      <c r="AJ11" s="4" cm="1">
        <f t="array" ref="AJ11">_xlfn.XLOOKUP(1,('1994 E Maize Soil VWC'!$C$2:$C$4000=$AA11)*('1994 E Maize Soil VWC'!$D$2:$D$4000=$AB11)*('1994 E Maize Soil VWC'!$E$2:$E$4000=AJ$5),'1994 E Maize Soil VWC'!$F$2:$F$4000)</f>
        <v>0.27565468163709694</v>
      </c>
      <c r="AK11" s="4" cm="1">
        <f t="array" ref="AK11">_xlfn.XLOOKUP(1,('1994 E Maize Soil VWC'!$C$2:$C$4000=$AA11)*('1994 E Maize Soil VWC'!$D$2:$D$4000=$AB11)*('1994 E Maize Soil VWC'!$E$2:$E$4000=AK$5),'1994 E Maize Soil VWC'!$F$2:$F$4000)</f>
        <v>0.27343174393017095</v>
      </c>
      <c r="AL11" s="4" cm="1">
        <f t="array" ref="AL11">_xlfn.XLOOKUP(1,('1994 E Maize Soil VWC'!$C$2:$C$4000=$AA11)*('1994 E Maize Soil VWC'!$D$2:$D$4000=$AB11)*('1994 E Maize Soil VWC'!$E$2:$E$4000=AL$5),'1994 E Maize Soil VWC'!$F$2:$F$4000)</f>
        <v>0.25097685144136783</v>
      </c>
      <c r="AM11" s="4" cm="1">
        <f t="array" ref="AM11">_xlfn.XLOOKUP(1,('1994 E Maize Soil VWC'!$C$2:$C$4000=$AA11)*('1994 E Maize Soil VWC'!$D$2:$D$4000=$AB11)*('1994 E Maize Soil VWC'!$E$2:$E$4000=AM$5),'1994 E Maize Soil VWC'!$F$2:$F$4000)</f>
        <v>0.27114437324623264</v>
      </c>
      <c r="AN11" s="4" cm="1">
        <f t="array" ref="AN11">_xlfn.XLOOKUP(1,('1994 E Maize Soil VWC'!$C$2:$C$4000=$AA11)*('1994 E Maize Soil VWC'!$D$2:$D$4000=$AB11)*('1994 E Maize Soil VWC'!$E$2:$E$4000=AN$5),'1994 E Maize Soil VWC'!$F$2:$F$4000)</f>
        <v>0.282162412315344</v>
      </c>
      <c r="AO11" s="30">
        <f>Z71</f>
        <v>193</v>
      </c>
      <c r="AP11" s="13">
        <f>AA71</f>
        <v>34527</v>
      </c>
      <c r="AQ11" s="4">
        <f>AVERAGE(AG71:AH77)*1400+AVERAGE(AG78:AH78)*100</f>
        <v>386.27451681444086</v>
      </c>
      <c r="AR11" s="4">
        <f>AVERAGE(AC71:AF77)*1400+AVERAGE(AC78:AF78)*100</f>
        <v>416.16785898236947</v>
      </c>
      <c r="AS11" s="4">
        <f>AVERAGE(AM71:AN77)*1400+AVERAGE(AM78:AN78)*100</f>
        <v>459.66357867906373</v>
      </c>
      <c r="AT11" s="4">
        <f>AVERAGE(AJ71:AL77)*1400+AVERAGE(AJ78:AL78)*100</f>
        <v>446.69757089142928</v>
      </c>
      <c r="AU11" s="4">
        <f>Z71</f>
        <v>193</v>
      </c>
      <c r="AV11" s="4">
        <f>AVERAGE(AC71:AD82)*2400</f>
        <v>599.82739935013501</v>
      </c>
      <c r="AW11" s="4">
        <f>AVERAGE(AE71:AF82)*2400</f>
        <v>672.54833970323898</v>
      </c>
      <c r="AX11" s="4">
        <f>AVERAGE(AG71:AH80)*2000</f>
        <v>514.57656214329552</v>
      </c>
      <c r="AY11" s="4">
        <f>AVERAGE(AI71:AJ82)*2400</f>
        <v>677.48939056311099</v>
      </c>
      <c r="AZ11" s="4">
        <f>AVERAGE(AK71:AL82)*2400</f>
        <v>673.06443097461226</v>
      </c>
      <c r="BA11" s="4">
        <f>AVERAGE(AM71:AN80)*2000</f>
        <v>606.5667963937841</v>
      </c>
    </row>
    <row r="12" spans="25:53" x14ac:dyDescent="0.25">
      <c r="AA12" s="19">
        <f t="shared" si="0"/>
        <v>34460</v>
      </c>
      <c r="AB12" s="4">
        <f t="shared" si="1"/>
        <v>130</v>
      </c>
      <c r="AC12" s="4" cm="1">
        <f t="array" ref="AC12">_xlfn.XLOOKUP(1,('1994 E Maize Soil VWC'!$C$2:$C$4000=$AA12)*('1994 E Maize Soil VWC'!$D$2:$D$4000=$AB12)*('1994 E Maize Soil VWC'!$E$2:$E$4000=AC$5),'1994 E Maize Soil VWC'!$F$2:$F$4000)</f>
        <v>0.24450844814044986</v>
      </c>
      <c r="AD12" s="4" cm="1">
        <f t="array" ref="AD12">_xlfn.XLOOKUP(1,('1994 E Maize Soil VWC'!$C$2:$C$4000=$AA12)*('1994 E Maize Soil VWC'!$D$2:$D$4000=$AB12)*('1994 E Maize Soil VWC'!$E$2:$E$4000=AD$5),'1994 E Maize Soil VWC'!$F$2:$F$4000)</f>
        <v>0.21047708751391878</v>
      </c>
      <c r="AE12" s="4" cm="1">
        <f t="array" ref="AE12">_xlfn.XLOOKUP(1,('1994 E Maize Soil VWC'!$C$2:$C$4000=$AA12)*('1994 E Maize Soil VWC'!$D$2:$D$4000=$AB12)*('1994 E Maize Soil VWC'!$E$2:$E$4000=AE$5),'1994 E Maize Soil VWC'!$F$2:$F$4000)</f>
        <v>0.25281843154925393</v>
      </c>
      <c r="AF12" s="4" cm="1">
        <f t="array" ref="AF12">_xlfn.XLOOKUP(1,('1994 E Maize Soil VWC'!$C$2:$C$4000=$AA12)*('1994 E Maize Soil VWC'!$D$2:$D$4000=$AB12)*('1994 E Maize Soil VWC'!$E$2:$E$4000=AF$5),'1994 E Maize Soil VWC'!$F$2:$F$4000)</f>
        <v>0.24537901783089594</v>
      </c>
      <c r="AG12" s="4" cm="1">
        <f t="array" ref="AG12">_xlfn.XLOOKUP(1,('1994 E Maize Soil VWC'!$C$2:$C$4000=$AA12)*('1994 E Maize Soil VWC'!$D$2:$D$4000=$AB12)*('1994 E Maize Soil VWC'!$E$2:$E$4000=AG$5),'1994 E Maize Soil VWC'!$F$2:$F$4000)</f>
        <v>0.218523261925618</v>
      </c>
      <c r="AH12" s="4" cm="1">
        <f t="array" ref="AH12">_xlfn.XLOOKUP(1,('1994 E Maize Soil VWC'!$C$2:$C$4000=$AA12)*('1994 E Maize Soil VWC'!$D$2:$D$4000=$AB12)*('1994 E Maize Soil VWC'!$E$2:$E$4000=AH$5),'1994 E Maize Soil VWC'!$F$2:$F$4000)</f>
        <v>0.22762467232573674</v>
      </c>
      <c r="AI12" s="4" t="e" cm="1">
        <f t="array" ref="AI12">_xlfn.XLOOKUP(1,('1994 E Maize Soil VWC'!$C$2:$C$4000=$AA12)*('1994 E Maize Soil VWC'!$D$2:$D$4000=$AB12)*('1994 E Maize Soil VWC'!$E$2:$E$4000=AI$5),'1994 E Maize Soil VWC'!$F$2:$F$4000)</f>
        <v>#N/A</v>
      </c>
      <c r="AJ12" s="4" cm="1">
        <f t="array" ref="AJ12">_xlfn.XLOOKUP(1,('1994 E Maize Soil VWC'!$C$2:$C$4000=$AA12)*('1994 E Maize Soil VWC'!$D$2:$D$4000=$AB12)*('1994 E Maize Soil VWC'!$E$2:$E$4000=AJ$5),'1994 E Maize Soil VWC'!$F$2:$F$4000)</f>
        <v>0.26141860485487339</v>
      </c>
      <c r="AK12" s="4" cm="1">
        <f t="array" ref="AK12">_xlfn.XLOOKUP(1,('1994 E Maize Soil VWC'!$C$2:$C$4000=$AA12)*('1994 E Maize Soil VWC'!$D$2:$D$4000=$AB12)*('1994 E Maize Soil VWC'!$E$2:$E$4000=AK$5),'1994 E Maize Soil VWC'!$F$2:$F$4000)</f>
        <v>0.27777476267537671</v>
      </c>
      <c r="AL12" s="4" cm="1">
        <f t="array" ref="AL12">_xlfn.XLOOKUP(1,('1994 E Maize Soil VWC'!$C$2:$C$4000=$AA12)*('1994 E Maize Soil VWC'!$D$2:$D$4000=$AB12)*('1994 E Maize Soil VWC'!$E$2:$E$4000=AL$5),'1994 E Maize Soil VWC'!$F$2:$F$4000)</f>
        <v>0.24324216495434636</v>
      </c>
      <c r="AM12" s="4" cm="1">
        <f t="array" ref="AM12">_xlfn.XLOOKUP(1,('1994 E Maize Soil VWC'!$C$2:$C$4000=$AA12)*('1994 E Maize Soil VWC'!$D$2:$D$4000=$AB12)*('1994 E Maize Soil VWC'!$E$2:$E$4000=AM$5),'1994 E Maize Soil VWC'!$F$2:$F$4000)</f>
        <v>0.26608802410362997</v>
      </c>
      <c r="AN12" s="4" cm="1">
        <f t="array" ref="AN12">_xlfn.XLOOKUP(1,('1994 E Maize Soil VWC'!$C$2:$C$4000=$AA12)*('1994 E Maize Soil VWC'!$D$2:$D$4000=$AB12)*('1994 E Maize Soil VWC'!$E$2:$E$4000=AN$5),'1994 E Maize Soil VWC'!$F$2:$F$4000)</f>
        <v>0.27336915242372506</v>
      </c>
      <c r="AO12" s="30">
        <f>Z84</f>
        <v>210</v>
      </c>
      <c r="AP12" s="13">
        <f>AA84</f>
        <v>34544</v>
      </c>
      <c r="AQ12" s="4">
        <f>AVERAGE(AG84:AH90)*1400+AVERAGE(AG91:AH91)*100</f>
        <v>392.32736574708622</v>
      </c>
      <c r="AR12" s="4">
        <f>AVERAGE(AC84:AF90)*1400+AVERAGE(AC91:AF91)*100</f>
        <v>417.72885021501742</v>
      </c>
      <c r="AS12" s="4">
        <f>AVERAGE(AM84:AN90)*1400+AVERAGE(AM91:AN91)*100</f>
        <v>458.86965417209808</v>
      </c>
      <c r="AT12" s="4">
        <f>AVERAGE(AJ84:AL90)*1400+AVERAGE(AJ91:AL91)*100</f>
        <v>454.81239266099192</v>
      </c>
      <c r="AU12" s="4">
        <f>Z84</f>
        <v>210</v>
      </c>
      <c r="AV12" s="4">
        <f>AVERAGE(AC84:AD95)*2400</f>
        <v>605.01060338893421</v>
      </c>
      <c r="AW12" s="4">
        <f>AVERAGE(AE84:AF95)*2400</f>
        <v>672.928670397941</v>
      </c>
      <c r="AX12" s="4">
        <f>AVERAGE(AG84:AH93)*2000</f>
        <v>520.64655866075259</v>
      </c>
      <c r="AY12" s="4">
        <f>AVERAGE(AI84:AJ95)*2400</f>
        <v>698.89519464583157</v>
      </c>
      <c r="AZ12" s="4">
        <f>AVERAGE(AK84:AL95)*2400</f>
        <v>687.86447296704011</v>
      </c>
      <c r="BA12" s="4">
        <f>AVERAGE(AM84:AN93)*2000</f>
        <v>607.90049144846955</v>
      </c>
    </row>
    <row r="13" spans="25:53" x14ac:dyDescent="0.25">
      <c r="AA13" s="19">
        <f t="shared" si="0"/>
        <v>34460</v>
      </c>
      <c r="AB13" s="4">
        <f t="shared" si="1"/>
        <v>150</v>
      </c>
      <c r="AC13" s="4" cm="1">
        <f t="array" ref="AC13">_xlfn.XLOOKUP(1,('1994 E Maize Soil VWC'!$C$2:$C$4000=$AA13)*('1994 E Maize Soil VWC'!$D$2:$D$4000=$AB13)*('1994 E Maize Soil VWC'!$E$2:$E$4000=AC$5),'1994 E Maize Soil VWC'!$F$2:$F$4000)</f>
        <v>0.26716964099176005</v>
      </c>
      <c r="AD13" s="4" cm="1">
        <f t="array" ref="AD13">_xlfn.XLOOKUP(1,('1994 E Maize Soil VWC'!$C$2:$C$4000=$AA13)*('1994 E Maize Soil VWC'!$D$2:$D$4000=$AB13)*('1994 E Maize Soil VWC'!$E$2:$E$4000=AD$5),'1994 E Maize Soil VWC'!$F$2:$F$4000)</f>
        <v>0.17974333935119888</v>
      </c>
      <c r="AE13" s="4" cm="1">
        <f t="array" ref="AE13">_xlfn.XLOOKUP(1,('1994 E Maize Soil VWC'!$C$2:$C$4000=$AA13)*('1994 E Maize Soil VWC'!$D$2:$D$4000=$AB13)*('1994 E Maize Soil VWC'!$E$2:$E$4000=AE$5),'1994 E Maize Soil VWC'!$F$2:$F$4000)</f>
        <v>0.28384236960878922</v>
      </c>
      <c r="AF13" s="4" cm="1">
        <f t="array" ref="AF13">_xlfn.XLOOKUP(1,('1994 E Maize Soil VWC'!$C$2:$C$4000=$AA13)*('1994 E Maize Soil VWC'!$D$2:$D$4000=$AB13)*('1994 E Maize Soil VWC'!$E$2:$E$4000=AF$5),'1994 E Maize Soil VWC'!$F$2:$F$4000)</f>
        <v>0.27226115463588452</v>
      </c>
      <c r="AG13" s="4" cm="1">
        <f t="array" ref="AG13">_xlfn.XLOOKUP(1,('1994 E Maize Soil VWC'!$C$2:$C$4000=$AA13)*('1994 E Maize Soil VWC'!$D$2:$D$4000=$AB13)*('1994 E Maize Soil VWC'!$E$2:$E$4000=AG$5),'1994 E Maize Soil VWC'!$F$2:$F$4000)</f>
        <v>0.25706575640264268</v>
      </c>
      <c r="AH13" s="4" cm="1">
        <f t="array" ref="AH13">_xlfn.XLOOKUP(1,('1994 E Maize Soil VWC'!$C$2:$C$4000=$AA13)*('1994 E Maize Soil VWC'!$D$2:$D$4000=$AB13)*('1994 E Maize Soil VWC'!$E$2:$E$4000=AH$5),'1994 E Maize Soil VWC'!$F$2:$F$4000)</f>
        <v>0.26906906577091527</v>
      </c>
      <c r="AI13" s="4" t="e" cm="1">
        <f t="array" ref="AI13">_xlfn.XLOOKUP(1,('1994 E Maize Soil VWC'!$C$2:$C$4000=$AA13)*('1994 E Maize Soil VWC'!$D$2:$D$4000=$AB13)*('1994 E Maize Soil VWC'!$E$2:$E$4000=AI$5),'1994 E Maize Soil VWC'!$F$2:$F$4000)</f>
        <v>#N/A</v>
      </c>
      <c r="AJ13" s="4" cm="1">
        <f t="array" ref="AJ13">_xlfn.XLOOKUP(1,('1994 E Maize Soil VWC'!$C$2:$C$4000=$AA13)*('1994 E Maize Soil VWC'!$D$2:$D$4000=$AB13)*('1994 E Maize Soil VWC'!$E$2:$E$4000=AJ$5),'1994 E Maize Soil VWC'!$F$2:$F$4000)</f>
        <v>0.28075580434266201</v>
      </c>
      <c r="AK13" s="4" cm="1">
        <f t="array" ref="AK13">_xlfn.XLOOKUP(1,('1994 E Maize Soil VWC'!$C$2:$C$4000=$AA13)*('1994 E Maize Soil VWC'!$D$2:$D$4000=$AB13)*('1994 E Maize Soil VWC'!$E$2:$E$4000=AK$5),'1994 E Maize Soil VWC'!$F$2:$F$4000)</f>
        <v>0.27914656946032212</v>
      </c>
      <c r="AL13" s="4" cm="1">
        <f t="array" ref="AL13">_xlfn.XLOOKUP(1,('1994 E Maize Soil VWC'!$C$2:$C$4000=$AA13)*('1994 E Maize Soil VWC'!$D$2:$D$4000=$AB13)*('1994 E Maize Soil VWC'!$E$2:$E$4000=AL$5),'1994 E Maize Soil VWC'!$F$2:$F$4000)</f>
        <v>0.27729990648058789</v>
      </c>
      <c r="AM13" s="4" cm="1">
        <f t="array" ref="AM13">_xlfn.XLOOKUP(1,('1994 E Maize Soil VWC'!$C$2:$C$4000=$AA13)*('1994 E Maize Soil VWC'!$D$2:$D$4000=$AB13)*('1994 E Maize Soil VWC'!$E$2:$E$4000=AM$5),'1994 E Maize Soil VWC'!$F$2:$F$4000)</f>
        <v>0.29431558679385345</v>
      </c>
      <c r="AN13" s="4" cm="1">
        <f t="array" ref="AN13">_xlfn.XLOOKUP(1,('1994 E Maize Soil VWC'!$C$2:$C$4000=$AA13)*('1994 E Maize Soil VWC'!$D$2:$D$4000=$AB13)*('1994 E Maize Soil VWC'!$E$2:$E$4000=AN$5),'1994 E Maize Soil VWC'!$F$2:$F$4000)</f>
        <v>0.3079017501447554</v>
      </c>
      <c r="AO13" s="30">
        <f>Z97</f>
        <v>223</v>
      </c>
      <c r="AP13" s="13">
        <f>AA97</f>
        <v>34557</v>
      </c>
      <c r="AQ13" s="4">
        <f>AVERAGE(AG97:AH103)*1400+AVERAGE(AG104:AH104)*100</f>
        <v>378.82656299190859</v>
      </c>
      <c r="AR13" s="4">
        <f>AVERAGE(AC97:AF103)*1400+AVERAGE(AC104:AF104)*100</f>
        <v>408.34518507972689</v>
      </c>
      <c r="AS13" s="4">
        <f>AVERAGE(AM97:AN103)*1400+AVERAGE(AM104:AN104)*100</f>
        <v>418.13081584260004</v>
      </c>
      <c r="AT13" s="4" t="e">
        <f>AVERAGE(AJ97:AL103)*1400+AVERAGE(AJ104:AL104)*100</f>
        <v>#N/A</v>
      </c>
      <c r="AU13" s="4">
        <f>Z97</f>
        <v>223</v>
      </c>
      <c r="AV13" s="4">
        <f>AVERAGE(AC97:AD108)*2400</f>
        <v>597.96282374649252</v>
      </c>
      <c r="AW13" s="4">
        <f>AVERAGE(AE97:AF108)*2400</f>
        <v>662.5426742501669</v>
      </c>
      <c r="AX13" s="4">
        <f>AVERAGE(AG97:AH106)*2000</f>
        <v>507.44122198233242</v>
      </c>
      <c r="AY13" s="31">
        <f>AVERAGE(AI97:AI108)*2400</f>
        <v>674.71755624358491</v>
      </c>
      <c r="AZ13" s="4">
        <f>AVERAGE(AK97:AL108)*2400</f>
        <v>658.24465750431807</v>
      </c>
      <c r="BA13" s="4">
        <f>AVERAGE(AM97:AN106)*2000</f>
        <v>570.07674253698053</v>
      </c>
    </row>
    <row r="14" spans="25:53" x14ac:dyDescent="0.25">
      <c r="AA14" s="19">
        <f t="shared" si="0"/>
        <v>34460</v>
      </c>
      <c r="AB14" s="4">
        <f t="shared" si="1"/>
        <v>170</v>
      </c>
      <c r="AC14" s="4" cm="1">
        <f t="array" ref="AC14">_xlfn.XLOOKUP(1,('1994 E Maize Soil VWC'!$C$2:$C$4000=$AA14)*('1994 E Maize Soil VWC'!$D$2:$D$4000=$AB14)*('1994 E Maize Soil VWC'!$E$2:$E$4000=AC$5),'1994 E Maize Soil VWC'!$F$2:$F$4000)</f>
        <v>0.24522073243263304</v>
      </c>
      <c r="AD14" s="4" cm="1">
        <f t="array" ref="AD14">_xlfn.XLOOKUP(1,('1994 E Maize Soil VWC'!$C$2:$C$4000=$AA14)*('1994 E Maize Soil VWC'!$D$2:$D$4000=$AB14)*('1994 E Maize Soil VWC'!$E$2:$E$4000=AD$5),'1994 E Maize Soil VWC'!$F$2:$F$4000)</f>
        <v>0.26017870256848041</v>
      </c>
      <c r="AE14" s="4" cm="1">
        <f t="array" ref="AE14">_xlfn.XLOOKUP(1,('1994 E Maize Soil VWC'!$C$2:$C$4000=$AA14)*('1994 E Maize Soil VWC'!$D$2:$D$4000=$AB14)*('1994 E Maize Soil VWC'!$E$2:$E$4000=AE$5),'1994 E Maize Soil VWC'!$F$2:$F$4000)</f>
        <v>0.27732628738029841</v>
      </c>
      <c r="AF14" s="4" cm="1">
        <f t="array" ref="AF14">_xlfn.XLOOKUP(1,('1994 E Maize Soil VWC'!$C$2:$C$4000=$AA14)*('1994 E Maize Soil VWC'!$D$2:$D$4000=$AB14)*('1994 E Maize Soil VWC'!$E$2:$E$4000=AF$5),'1994 E Maize Soil VWC'!$F$2:$F$4000)</f>
        <v>0.27220839283646353</v>
      </c>
      <c r="AG14" s="4" cm="1">
        <f t="array" ref="AG14">_xlfn.XLOOKUP(1,('1994 E Maize Soil VWC'!$C$2:$C$4000=$AA14)*('1994 E Maize Soil VWC'!$D$2:$D$4000=$AB14)*('1994 E Maize Soil VWC'!$E$2:$E$4000=AG$5),'1994 E Maize Soil VWC'!$F$2:$F$4000)</f>
        <v>0.25057605507386232</v>
      </c>
      <c r="AH14" s="4" cm="1">
        <f t="array" ref="AH14">_xlfn.XLOOKUP(1,('1994 E Maize Soil VWC'!$C$2:$C$4000=$AA14)*('1994 E Maize Soil VWC'!$D$2:$D$4000=$AB14)*('1994 E Maize Soil VWC'!$E$2:$E$4000=AH$5),'1994 E Maize Soil VWC'!$F$2:$F$4000)</f>
        <v>0.26484812181723699</v>
      </c>
      <c r="AI14" s="4" t="e" cm="1">
        <f t="array" ref="AI14">_xlfn.XLOOKUP(1,('1994 E Maize Soil VWC'!$C$2:$C$4000=$AA14)*('1994 E Maize Soil VWC'!$D$2:$D$4000=$AB14)*('1994 E Maize Soil VWC'!$E$2:$E$4000=AI$5),'1994 E Maize Soil VWC'!$F$2:$F$4000)</f>
        <v>#N/A</v>
      </c>
      <c r="AJ14" s="4" cm="1">
        <f t="array" ref="AJ14">_xlfn.XLOOKUP(1,('1994 E Maize Soil VWC'!$C$2:$C$4000=$AA14)*('1994 E Maize Soil VWC'!$D$2:$D$4000=$AB14)*('1994 E Maize Soil VWC'!$E$2:$E$4000=AJ$5),'1994 E Maize Soil VWC'!$F$2:$F$4000)</f>
        <v>0.26418859932447475</v>
      </c>
      <c r="AK14" s="4" cm="1">
        <f t="array" ref="AK14">_xlfn.XLOOKUP(1,('1994 E Maize Soil VWC'!$C$2:$C$4000=$AA14)*('1994 E Maize Soil VWC'!$D$2:$D$4000=$AB14)*('1994 E Maize Soil VWC'!$E$2:$E$4000=AK$5),'1994 E Maize Soil VWC'!$F$2:$F$4000)</f>
        <v>0.25788356429366782</v>
      </c>
      <c r="AL14" s="4" cm="1">
        <f t="array" ref="AL14">_xlfn.XLOOKUP(1,('1994 E Maize Soil VWC'!$C$2:$C$4000=$AA14)*('1994 E Maize Soil VWC'!$D$2:$D$4000=$AB14)*('1994 E Maize Soil VWC'!$E$2:$E$4000=AL$5),'1994 E Maize Soil VWC'!$F$2:$F$4000)</f>
        <v>0.26215727004676714</v>
      </c>
      <c r="AM14" s="4" cm="1">
        <f t="array" ref="AM14">_xlfn.XLOOKUP(1,('1994 E Maize Soil VWC'!$C$2:$C$4000=$AA14)*('1994 E Maize Soil VWC'!$D$2:$D$4000=$AB14)*('1994 E Maize Soil VWC'!$E$2:$E$4000=AM$5),'1994 E Maize Soil VWC'!$F$2:$F$4000)</f>
        <v>0.26730154549031249</v>
      </c>
      <c r="AN14" s="4" cm="1">
        <f t="array" ref="AN14">_xlfn.XLOOKUP(1,('1994 E Maize Soil VWC'!$C$2:$C$4000=$AA14)*('1994 E Maize Soil VWC'!$D$2:$D$4000=$AB14)*('1994 E Maize Soil VWC'!$E$2:$E$4000=AN$5),'1994 E Maize Soil VWC'!$F$2:$F$4000)</f>
        <v>0.27693057388464104</v>
      </c>
      <c r="AO14" s="30">
        <f>Z110</f>
        <v>237</v>
      </c>
      <c r="AP14" s="13">
        <f>AA110</f>
        <v>34571</v>
      </c>
      <c r="AQ14" s="4">
        <f>AVERAGE(AG110:AH116)*1400+AVERAGE(AG117:AH117)*100</f>
        <v>370.79866623591414</v>
      </c>
      <c r="AR14" s="4">
        <f>AVERAGE(AC110:AF116)*1400+AVERAGE(AC117:AF117)*100</f>
        <v>404.39236083870287</v>
      </c>
      <c r="AS14" s="4">
        <f>AVERAGE(AM110:AN116)*1400+AVERAGE(AM117:AN117)*100</f>
        <v>394.4497064744512</v>
      </c>
      <c r="AT14" s="4">
        <f>AVERAGE(AI110:AL116)*1400+AVERAGE(AI117:AL117)*100</f>
        <v>395.01811198227051</v>
      </c>
      <c r="AU14" s="4">
        <f>Z110</f>
        <v>237</v>
      </c>
      <c r="AV14" s="4">
        <f>AVERAGE(AC110:AD121)*2400</f>
        <v>588.96202011659614</v>
      </c>
      <c r="AW14" s="4">
        <f>AVERAGE(AE110:AF121)*2400</f>
        <v>664.4358516142579</v>
      </c>
      <c r="AX14" s="4">
        <f>AVERAGE(AG110:AH119)*2000</f>
        <v>498.91604526679527</v>
      </c>
      <c r="AY14" s="4">
        <f>AVERAGE(AI110:AJ121)*2400</f>
        <v>647.13129654336478</v>
      </c>
      <c r="AZ14" s="4">
        <f>AVERAGE(AK110:AL121)*2400</f>
        <v>625.39841136891584</v>
      </c>
      <c r="BA14" s="4">
        <f>AVERAGE(AM110:AN119)*2000</f>
        <v>545.1161595328731</v>
      </c>
    </row>
    <row r="15" spans="25:53" x14ac:dyDescent="0.25">
      <c r="AA15" s="19">
        <f t="shared" si="0"/>
        <v>34460</v>
      </c>
      <c r="AB15" s="4">
        <f t="shared" si="1"/>
        <v>190</v>
      </c>
      <c r="AC15" s="4" cm="1">
        <f t="array" ref="AC15">_xlfn.XLOOKUP(1,('1994 E Maize Soil VWC'!$C$2:$C$4000=$AA15)*('1994 E Maize Soil VWC'!$D$2:$D$4000=$AB15)*('1994 E Maize Soil VWC'!$E$2:$E$4000=AC$5),'1994 E Maize Soil VWC'!$F$2:$F$4000)</f>
        <v>0.21512012586296489</v>
      </c>
      <c r="AD15" s="4" cm="1">
        <f t="array" ref="AD15">_xlfn.XLOOKUP(1,('1994 E Maize Soil VWC'!$C$2:$C$4000=$AA15)*('1994 E Maize Soil VWC'!$D$2:$D$4000=$AB15)*('1994 E Maize Soil VWC'!$E$2:$E$4000=AD$5),'1994 E Maize Soil VWC'!$F$2:$F$4000)</f>
        <v>0.26347631503229157</v>
      </c>
      <c r="AE15" s="4" cm="1">
        <f t="array" ref="AE15">_xlfn.XLOOKUP(1,('1994 E Maize Soil VWC'!$C$2:$C$4000=$AA15)*('1994 E Maize Soil VWC'!$D$2:$D$4000=$AB15)*('1994 E Maize Soil VWC'!$E$2:$E$4000=AE$5),'1994 E Maize Soil VWC'!$F$2:$F$4000)</f>
        <v>0.26479536001781601</v>
      </c>
      <c r="AF15" s="4" cm="1">
        <f t="array" ref="AF15">_xlfn.XLOOKUP(1,('1994 E Maize Soil VWC'!$C$2:$C$4000=$AA15)*('1994 E Maize Soil VWC'!$D$2:$D$4000=$AB15)*('1994 E Maize Soil VWC'!$E$2:$E$4000=AF$5),'1994 E Maize Soil VWC'!$F$2:$F$4000)</f>
        <v>0.27009792085962436</v>
      </c>
      <c r="AG15" s="4" cm="1">
        <f t="array" ref="AG15">_xlfn.XLOOKUP(1,('1994 E Maize Soil VWC'!$C$2:$C$4000=$AA15)*('1994 E Maize Soil VWC'!$D$2:$D$4000=$AB15)*('1994 E Maize Soil VWC'!$E$2:$E$4000=AG$5),'1994 E Maize Soil VWC'!$F$2:$F$4000)</f>
        <v>0.23261066237101918</v>
      </c>
      <c r="AH15" s="4" cm="1">
        <f t="array" ref="AH15">_xlfn.XLOOKUP(1,('1994 E Maize Soil VWC'!$C$2:$C$4000=$AA15)*('1994 E Maize Soil VWC'!$D$2:$D$4000=$AB15)*('1994 E Maize Soil VWC'!$E$2:$E$4000=AH$5),'1994 E Maize Soil VWC'!$F$2:$F$4000)</f>
        <v>0.2559841395145126</v>
      </c>
      <c r="AI15" s="4" t="e" cm="1">
        <f t="array" ref="AI15">_xlfn.XLOOKUP(1,('1994 E Maize Soil VWC'!$C$2:$C$4000=$AA15)*('1994 E Maize Soil VWC'!$D$2:$D$4000=$AB15)*('1994 E Maize Soil VWC'!$E$2:$E$4000=AI$5),'1994 E Maize Soil VWC'!$F$2:$F$4000)</f>
        <v>#N/A</v>
      </c>
      <c r="AJ15" s="4" cm="1">
        <f t="array" ref="AJ15">_xlfn.XLOOKUP(1,('1994 E Maize Soil VWC'!$C$2:$C$4000=$AA15)*('1994 E Maize Soil VWC'!$D$2:$D$4000=$AB15)*('1994 E Maize Soil VWC'!$E$2:$E$4000=AJ$5),'1994 E Maize Soil VWC'!$F$2:$F$4000)</f>
        <v>0.25569394961769726</v>
      </c>
      <c r="AK15" s="4" cm="1">
        <f t="array" ref="AK15">_xlfn.XLOOKUP(1,('1994 E Maize Soil VWC'!$C$2:$C$4000=$AA15)*('1994 E Maize Soil VWC'!$D$2:$D$4000=$AB15)*('1994 E Maize Soil VWC'!$E$2:$E$4000=AK$5),'1994 E Maize Soil VWC'!$F$2:$F$4000)</f>
        <v>0.249045962890654</v>
      </c>
      <c r="AL15" s="4" cm="1">
        <f t="array" ref="AL15">_xlfn.XLOOKUP(1,('1994 E Maize Soil VWC'!$C$2:$C$4000=$AA15)*('1994 E Maize Soil VWC'!$D$2:$D$4000=$AB15)*('1994 E Maize Soil VWC'!$E$2:$E$4000=AL$5),'1994 E Maize Soil VWC'!$F$2:$F$4000)</f>
        <v>0.26418859932447475</v>
      </c>
      <c r="AM15" s="4" cm="1">
        <f t="array" ref="AM15">_xlfn.XLOOKUP(1,('1994 E Maize Soil VWC'!$C$2:$C$4000=$AA15)*('1994 E Maize Soil VWC'!$D$2:$D$4000=$AB15)*('1994 E Maize Soil VWC'!$E$2:$E$4000=AM$5),'1994 E Maize Soil VWC'!$F$2:$F$4000)</f>
        <v>0.2849239864969193</v>
      </c>
      <c r="AN15" s="4" cm="1">
        <f t="array" ref="AN15">_xlfn.XLOOKUP(1,('1994 E Maize Soil VWC'!$C$2:$C$4000=$AA15)*('1994 E Maize Soil VWC'!$D$2:$D$4000=$AB15)*('1994 E Maize Soil VWC'!$E$2:$E$4000=AN$5),'1994 E Maize Soil VWC'!$F$2:$F$4000)</f>
        <v>0.28529331909286615</v>
      </c>
      <c r="AO15" s="30">
        <f>Z123</f>
        <v>257</v>
      </c>
      <c r="AP15" s="13">
        <f>AA123</f>
        <v>34591</v>
      </c>
      <c r="AQ15" s="4">
        <f>AVERAGE(AG123:AH129)*1400+AVERAGE(AG130:AH130)*100</f>
        <v>384.83854062101301</v>
      </c>
      <c r="AR15" s="4">
        <f>AVERAGE(AC123:AF129)*1400+AVERAGE(AC130:AF130)*100</f>
        <v>384.80803900779455</v>
      </c>
      <c r="AS15" s="4">
        <f>AVERAGE(AM123:AN129)*1400+AVERAGE(AM130:AN130)*100</f>
        <v>413.27717635518269</v>
      </c>
      <c r="AT15" s="4">
        <f>AVERAGE(AI123:AL129)*1400+AVERAGE(AI130:AL130)*100</f>
        <v>406.73807078834784</v>
      </c>
      <c r="AU15" s="4">
        <f>Z123</f>
        <v>257</v>
      </c>
      <c r="AV15" s="4">
        <f>AVERAGE(AC123:AD134)*2400</f>
        <v>577.52861959683753</v>
      </c>
      <c r="AW15" s="4">
        <f>AVERAGE(AE123:AF134)*2400</f>
        <v>635.62558680899713</v>
      </c>
      <c r="AX15" s="4">
        <f>AVERAGE(AG123:AH132)*2000</f>
        <v>513.49145191601713</v>
      </c>
      <c r="AY15" s="4">
        <f>AVERAGE(AI123:AJ134)*2400</f>
        <v>656.08091622601626</v>
      </c>
      <c r="AZ15" s="4">
        <f>AVERAGE(AK123:AL134)*2400</f>
        <v>635.96191237651249</v>
      </c>
      <c r="BA15" s="4">
        <f>AVERAGE(AM123:AN132)*2000</f>
        <v>563.52021597325108</v>
      </c>
    </row>
    <row r="16" spans="25:53" x14ac:dyDescent="0.25">
      <c r="AA16" s="19">
        <f t="shared" si="0"/>
        <v>34460</v>
      </c>
      <c r="AB16" s="4">
        <f t="shared" si="1"/>
        <v>210</v>
      </c>
      <c r="AC16" s="4" cm="1">
        <f t="array" ref="AC16">_xlfn.XLOOKUP(1,('1994 E Maize Soil VWC'!$C$2:$C$4000=$AA16)*('1994 E Maize Soil VWC'!$D$2:$D$4000=$AB16)*('1994 E Maize Soil VWC'!$E$2:$E$4000=AC$5),'1994 E Maize Soil VWC'!$F$2:$F$4000)</f>
        <v>0.18610113618142676</v>
      </c>
      <c r="AD16" s="4" cm="1">
        <f t="array" ref="AD16">_xlfn.XLOOKUP(1,('1994 E Maize Soil VWC'!$C$2:$C$4000=$AA16)*('1994 E Maize Soil VWC'!$D$2:$D$4000=$AB16)*('1994 E Maize Soil VWC'!$E$2:$E$4000=AD$5),'1994 E Maize Soil VWC'!$F$2:$F$4000)</f>
        <v>0.25255462255214906</v>
      </c>
      <c r="AE16" s="4" cm="1">
        <f t="array" ref="AE16">_xlfn.XLOOKUP(1,('1994 E Maize Soil VWC'!$C$2:$C$4000=$AA16)*('1994 E Maize Soil VWC'!$D$2:$D$4000=$AB16)*('1994 E Maize Soil VWC'!$E$2:$E$4000=AE$5),'1994 E Maize Soil VWC'!$F$2:$F$4000)</f>
        <v>0.2436642593497142</v>
      </c>
      <c r="AF16" s="4" cm="1">
        <f t="array" ref="AF16">_xlfn.XLOOKUP(1,('1994 E Maize Soil VWC'!$C$2:$C$4000=$AA16)*('1994 E Maize Soil VWC'!$D$2:$D$4000=$AB16)*('1994 E Maize Soil VWC'!$E$2:$E$4000=AF$5),'1994 E Maize Soil VWC'!$F$2:$F$4000)</f>
        <v>0.26661564209783978</v>
      </c>
      <c r="AG16" s="4" t="e" cm="1">
        <f t="array" ref="AG16">_xlfn.XLOOKUP(1,('1994 E Maize Soil VWC'!$C$2:$C$4000=$AA16)*('1994 E Maize Soil VWC'!$D$2:$D$4000=$AB16)*('1994 E Maize Soil VWC'!$E$2:$E$4000=AG$5),'1994 E Maize Soil VWC'!$F$2:$F$4000)</f>
        <v>#N/A</v>
      </c>
      <c r="AH16" s="4" t="e" cm="1">
        <f t="array" ref="AH16">_xlfn.XLOOKUP(1,('1994 E Maize Soil VWC'!$C$2:$C$4000=$AA16)*('1994 E Maize Soil VWC'!$D$2:$D$4000=$AB16)*('1994 E Maize Soil VWC'!$E$2:$E$4000=AH$5),'1994 E Maize Soil VWC'!$F$2:$F$4000)</f>
        <v>#N/A</v>
      </c>
      <c r="AI16" s="4" t="e" cm="1">
        <f t="array" ref="AI16">_xlfn.XLOOKUP(1,('1994 E Maize Soil VWC'!$C$2:$C$4000=$AA16)*('1994 E Maize Soil VWC'!$D$2:$D$4000=$AB16)*('1994 E Maize Soil VWC'!$E$2:$E$4000=AI$5),'1994 E Maize Soil VWC'!$F$2:$F$4000)</f>
        <v>#N/A</v>
      </c>
      <c r="AJ16" s="4" cm="1">
        <f t="array" ref="AJ16">_xlfn.XLOOKUP(1,('1994 E Maize Soil VWC'!$C$2:$C$4000=$AA16)*('1994 E Maize Soil VWC'!$D$2:$D$4000=$AB16)*('1994 E Maize Soil VWC'!$E$2:$E$4000=AJ$5),'1994 E Maize Soil VWC'!$F$2:$F$4000)</f>
        <v>0.24400721104595052</v>
      </c>
      <c r="AK16" s="4" cm="1">
        <f t="array" ref="AK16">_xlfn.XLOOKUP(1,('1994 E Maize Soil VWC'!$C$2:$C$4000=$AA16)*('1994 E Maize Soil VWC'!$D$2:$D$4000=$AB16)*('1994 E Maize Soil VWC'!$E$2:$E$4000=AK$5),'1994 E Maize Soil VWC'!$F$2:$F$4000)</f>
        <v>0.24688272911439385</v>
      </c>
      <c r="AL16" s="4" cm="1">
        <f t="array" ref="AL16">_xlfn.XLOOKUP(1,('1994 E Maize Soil VWC'!$C$2:$C$4000=$AA16)*('1994 E Maize Soil VWC'!$D$2:$D$4000=$AB16)*('1994 E Maize Soil VWC'!$E$2:$E$4000=AL$5),'1994 E Maize Soil VWC'!$F$2:$F$4000)</f>
        <v>0.26811935338133769</v>
      </c>
      <c r="AM16" s="4" t="e" cm="1">
        <f t="array" ref="AM16">_xlfn.XLOOKUP(1,('1994 E Maize Soil VWC'!$C$2:$C$4000=$AA16)*('1994 E Maize Soil VWC'!$D$2:$D$4000=$AB16)*('1994 E Maize Soil VWC'!$E$2:$E$4000=AM$5),'1994 E Maize Soil VWC'!$F$2:$F$4000)</f>
        <v>#N/A</v>
      </c>
      <c r="AN16" s="4" t="e" cm="1">
        <f t="array" ref="AN16">_xlfn.XLOOKUP(1,('1994 E Maize Soil VWC'!$C$2:$C$4000=$AA16)*('1994 E Maize Soil VWC'!$D$2:$D$4000=$AB16)*('1994 E Maize Soil VWC'!$E$2:$E$4000=AN$5),'1994 E Maize Soil VWC'!$F$2:$F$4000)</f>
        <v>#N/A</v>
      </c>
      <c r="AO16" s="30">
        <f>Z136</f>
        <v>0</v>
      </c>
      <c r="AP16" s="13">
        <f>AA136</f>
        <v>34334</v>
      </c>
      <c r="AQ16" s="4" t="e">
        <f>AVERAGE(AG136:AH142)*1400+AVERAGE(AG143:AH143)*100</f>
        <v>#N/A</v>
      </c>
      <c r="AR16" s="4" t="e">
        <f>AVERAGE(AC136:AF142)*1400+AVERAGE(AC143:AF143)*100</f>
        <v>#N/A</v>
      </c>
      <c r="AS16" s="4" t="e">
        <f>AVERAGE(AM136:AN142)*1400+AVERAGE(AM143:AN143)*100</f>
        <v>#N/A</v>
      </c>
      <c r="AT16" s="4" t="e">
        <f>AVERAGE(AI136:AL142)*1400+AVERAGE(AI143:AL143)*100</f>
        <v>#N/A</v>
      </c>
      <c r="AU16" s="4">
        <f>Z136</f>
        <v>0</v>
      </c>
      <c r="AV16" s="4" t="e">
        <f>AVERAGE(AC136:AD147)*2400</f>
        <v>#N/A</v>
      </c>
      <c r="AW16" s="4" t="e">
        <f>AVERAGE(AE136:AF147)*2400</f>
        <v>#N/A</v>
      </c>
      <c r="AX16" s="4" t="e">
        <f>AVERAGE(AG136:AH145)*2000</f>
        <v>#N/A</v>
      </c>
      <c r="AY16" s="4" t="e">
        <f>AVERAGE(AI136:AJ147)*2400</f>
        <v>#N/A</v>
      </c>
      <c r="AZ16" s="4" t="e">
        <f>AVERAGE(AK136:AL147)*2400</f>
        <v>#N/A</v>
      </c>
      <c r="BA16" s="4" t="e">
        <f>AVERAGE(AM136:AN145)*2000</f>
        <v>#N/A</v>
      </c>
    </row>
    <row r="17" spans="25:53" x14ac:dyDescent="0.25">
      <c r="AA17" s="19">
        <f t="shared" si="0"/>
        <v>34460</v>
      </c>
      <c r="AB17" s="4">
        <f t="shared" si="1"/>
        <v>230</v>
      </c>
      <c r="AC17" s="4" cm="1">
        <f t="array" ref="AC17">_xlfn.XLOOKUP(1,('1994 E Maize Soil VWC'!$C$2:$C$4000=$AA17)*('1994 E Maize Soil VWC'!$D$2:$D$4000=$AB17)*('1994 E Maize Soil VWC'!$E$2:$E$4000=AC$5),'1994 E Maize Soil VWC'!$F$2:$F$4000)</f>
        <v>0.17615553699057232</v>
      </c>
      <c r="AD17" s="4" cm="1">
        <f t="array" ref="AD17">_xlfn.XLOOKUP(1,('1994 E Maize Soil VWC'!$C$2:$C$4000=$AA17)*('1994 E Maize Soil VWC'!$D$2:$D$4000=$AB17)*('1994 E Maize Soil VWC'!$E$2:$E$4000=AD$5),'1994 E Maize Soil VWC'!$F$2:$F$4000)</f>
        <v>0.23551256133917303</v>
      </c>
      <c r="AE17" s="4" cm="1">
        <f t="array" ref="AE17">_xlfn.XLOOKUP(1,('1994 E Maize Soil VWC'!$C$2:$C$4000=$AA17)*('1994 E Maize Soil VWC'!$D$2:$D$4000=$AB17)*('1994 E Maize Soil VWC'!$E$2:$E$4000=AE$5),'1994 E Maize Soil VWC'!$F$2:$F$4000)</f>
        <v>0.23965436259371981</v>
      </c>
      <c r="AF17" s="4" cm="1">
        <f t="array" ref="AF17">_xlfn.XLOOKUP(1,('1994 E Maize Soil VWC'!$C$2:$C$4000=$AA17)*('1994 E Maize Soil VWC'!$D$2:$D$4000=$AB17)*('1994 E Maize Soil VWC'!$E$2:$E$4000=AF$5),'1994 E Maize Soil VWC'!$F$2:$F$4000)</f>
        <v>0.25622156761190706</v>
      </c>
      <c r="AG17" s="4" t="e" cm="1">
        <f t="array" ref="AG17">_xlfn.XLOOKUP(1,('1994 E Maize Soil VWC'!$C$2:$C$4000=$AA17)*('1994 E Maize Soil VWC'!$D$2:$D$4000=$AB17)*('1994 E Maize Soil VWC'!$E$2:$E$4000=AG$5),'1994 E Maize Soil VWC'!$F$2:$F$4000)</f>
        <v>#N/A</v>
      </c>
      <c r="AH17" s="4" t="e" cm="1">
        <f t="array" ref="AH17">_xlfn.XLOOKUP(1,('1994 E Maize Soil VWC'!$C$2:$C$4000=$AA17)*('1994 E Maize Soil VWC'!$D$2:$D$4000=$AB17)*('1994 E Maize Soil VWC'!$E$2:$E$4000=AH$5),'1994 E Maize Soil VWC'!$F$2:$F$4000)</f>
        <v>#N/A</v>
      </c>
      <c r="AI17" s="4" t="e" cm="1">
        <f t="array" ref="AI17">_xlfn.XLOOKUP(1,('1994 E Maize Soil VWC'!$C$2:$C$4000=$AA17)*('1994 E Maize Soil VWC'!$D$2:$D$4000=$AB17)*('1994 E Maize Soil VWC'!$E$2:$E$4000=AI$5),'1994 E Maize Soil VWC'!$F$2:$F$4000)</f>
        <v>#N/A</v>
      </c>
      <c r="AJ17" s="4" cm="1">
        <f t="array" ref="AJ17">_xlfn.XLOOKUP(1,('1994 E Maize Soil VWC'!$C$2:$C$4000=$AA17)*('1994 E Maize Soil VWC'!$D$2:$D$4000=$AB17)*('1994 E Maize Soil VWC'!$E$2:$E$4000=AJ$5),'1994 E Maize Soil VWC'!$F$2:$F$4000)</f>
        <v>0.25210614725707076</v>
      </c>
      <c r="AK17" s="4" cm="1">
        <f t="array" ref="AK17">_xlfn.XLOOKUP(1,('1994 E Maize Soil VWC'!$C$2:$C$4000=$AA17)*('1994 E Maize Soil VWC'!$D$2:$D$4000=$AB17)*('1994 E Maize Soil VWC'!$E$2:$E$4000=AK$5),'1994 E Maize Soil VWC'!$F$2:$F$4000)</f>
        <v>0.24197588176824286</v>
      </c>
      <c r="AL17" s="4" cm="1">
        <f t="array" ref="AL17">_xlfn.XLOOKUP(1,('1994 E Maize Soil VWC'!$C$2:$C$4000=$AA17)*('1994 E Maize Soil VWC'!$D$2:$D$4000=$AB17)*('1994 E Maize Soil VWC'!$E$2:$E$4000=AL$5),'1994 E Maize Soil VWC'!$F$2:$F$4000)</f>
        <v>0.26139222395516293</v>
      </c>
      <c r="AM17" s="4" t="e" cm="1">
        <f t="array" ref="AM17">_xlfn.XLOOKUP(1,('1994 E Maize Soil VWC'!$C$2:$C$4000=$AA17)*('1994 E Maize Soil VWC'!$D$2:$D$4000=$AB17)*('1994 E Maize Soil VWC'!$E$2:$E$4000=AM$5),'1994 E Maize Soil VWC'!$F$2:$F$4000)</f>
        <v>#N/A</v>
      </c>
      <c r="AN17" s="4" t="e" cm="1">
        <f t="array" ref="AN17">_xlfn.XLOOKUP(1,('1994 E Maize Soil VWC'!$C$2:$C$4000=$AA17)*('1994 E Maize Soil VWC'!$D$2:$D$4000=$AB17)*('1994 E Maize Soil VWC'!$E$2:$E$4000=AN$5),'1994 E Maize Soil VWC'!$F$2:$F$4000)</f>
        <v>#N/A</v>
      </c>
      <c r="AO17" s="30">
        <f>Z149</f>
        <v>0</v>
      </c>
      <c r="AP17" s="13">
        <f>AA149</f>
        <v>34334</v>
      </c>
      <c r="AQ17" s="4" t="e">
        <f>AVERAGE(AG149:AH155)*1400+AVERAGE(AG156:AH156)*100</f>
        <v>#N/A</v>
      </c>
      <c r="AR17" s="4" t="e">
        <f>AVERAGE(AC149:AF155)*1400+AVERAGE(AC156:AF156)*100</f>
        <v>#N/A</v>
      </c>
      <c r="AS17" s="4" t="e">
        <f>AVERAGE(AM149:AN155)*1400+AVERAGE(AM156:AN156)*100</f>
        <v>#N/A</v>
      </c>
      <c r="AT17" s="4" t="e">
        <f>AVERAGE(AI149:AL155)*1400+AVERAGE(AI156:AL156)*100</f>
        <v>#N/A</v>
      </c>
      <c r="AU17" s="4">
        <f>Z149</f>
        <v>0</v>
      </c>
      <c r="AV17" s="4" t="e">
        <f>AVERAGE(AC149:AD160)*2400</f>
        <v>#N/A</v>
      </c>
      <c r="AW17" s="4" t="e">
        <f>AVERAGE(AE149:AF160)*2400</f>
        <v>#N/A</v>
      </c>
      <c r="AX17" s="4" t="e">
        <f>AVERAGE(AG149:AH158)*2000</f>
        <v>#N/A</v>
      </c>
      <c r="AY17" s="4" t="e">
        <f>AVERAGE(AI149:AJ160)*2400</f>
        <v>#N/A</v>
      </c>
      <c r="AZ17" s="4" t="e">
        <f>AVERAGE(AK149:AL160)*2400</f>
        <v>#N/A</v>
      </c>
      <c r="BA17" s="4" t="e">
        <f>AVERAGE(AM149:AN158)*2000</f>
        <v>#N/A</v>
      </c>
    </row>
    <row r="18" spans="25:53" x14ac:dyDescent="0.25">
      <c r="AA18" s="19"/>
      <c r="AO18" s="30">
        <f>Z162</f>
        <v>0</v>
      </c>
      <c r="AP18" s="13">
        <f>AA162</f>
        <v>34334</v>
      </c>
      <c r="AQ18" s="4" t="e">
        <f>AVERAGE(AG162:AH168)*1400+AVERAGE(AG169:AH169)*100</f>
        <v>#N/A</v>
      </c>
      <c r="AR18" s="4" t="e">
        <f>AVERAGE(AC162:AF168)*1400+AVERAGE(AC169:AF169)*100</f>
        <v>#N/A</v>
      </c>
      <c r="AS18" s="4" t="e">
        <f>AVERAGE(AM162:AN168)*1400+AVERAGE(AM169:AN169)*100</f>
        <v>#N/A</v>
      </c>
      <c r="AT18" s="4" t="e">
        <f>AVERAGE(AI162:AL168)*1400+AVERAGE(AI169:AL169)*100</f>
        <v>#N/A</v>
      </c>
      <c r="AU18" s="4">
        <f>Z162</f>
        <v>0</v>
      </c>
      <c r="AV18" s="4" t="e">
        <f>AVERAGE(AC162:AD173)*2400</f>
        <v>#N/A</v>
      </c>
      <c r="AW18" s="4" t="e">
        <f>AVERAGE(AE162:AF173)*2400</f>
        <v>#N/A</v>
      </c>
      <c r="AX18" s="4" t="e">
        <f>AVERAGE(AG162:AH171)*2000</f>
        <v>#N/A</v>
      </c>
      <c r="AY18" s="4" t="e">
        <f>AVERAGE(AI162:AJ173)*2400</f>
        <v>#N/A</v>
      </c>
      <c r="AZ18" s="4" t="e">
        <f>AVERAGE(AK162:AL173)*2400</f>
        <v>#N/A</v>
      </c>
      <c r="BA18" s="4" t="e">
        <f>AVERAGE(AM162:AN171)*2000</f>
        <v>#N/A</v>
      </c>
    </row>
    <row r="19" spans="25:53" x14ac:dyDescent="0.25">
      <c r="Y19" s="4">
        <f>Y6</f>
        <v>1994</v>
      </c>
      <c r="Z19" s="4">
        <v>140</v>
      </c>
      <c r="AA19" s="19">
        <f>DATE(Y19,1,Z19)</f>
        <v>34474</v>
      </c>
      <c r="AB19" s="4">
        <v>10</v>
      </c>
      <c r="AC19" s="4" cm="1">
        <f t="array" ref="AC19">_xlfn.XLOOKUP(1,('1994 E Maize Soil VWC'!$C$2:$C$4000=$AA19)*('1994 E Maize Soil VWC'!$D$2:$D$4000=$AB19)*('1994 E Maize Soil VWC'!$E$2:$E$4000=AC$5),'1994 E Maize Soil VWC'!$F$2:$F$4000)</f>
        <v>0.25092085700170735</v>
      </c>
      <c r="AD19" s="4" cm="1">
        <f t="array" ref="AD19">_xlfn.XLOOKUP(1,('1994 E Maize Soil VWC'!$C$2:$C$4000=$AA19)*('1994 E Maize Soil VWC'!$D$2:$D$4000=$AB19)*('1994 E Maize Soil VWC'!$E$2:$E$4000=AD$5),'1994 E Maize Soil VWC'!$F$2:$F$4000)</f>
        <v>0.23015283054487418</v>
      </c>
      <c r="AE19" s="4" cm="1">
        <f t="array" ref="AE19">_xlfn.XLOOKUP(1,('1994 E Maize Soil VWC'!$C$2:$C$4000=$AA19)*('1994 E Maize Soil VWC'!$D$2:$D$4000=$AB19)*('1994 E Maize Soil VWC'!$E$2:$E$4000=AE$5),'1994 E Maize Soil VWC'!$F$2:$F$4000)</f>
        <v>0.25328790479325958</v>
      </c>
      <c r="AF19" s="4" cm="1">
        <f t="array" ref="AF19">_xlfn.XLOOKUP(1,('1994 E Maize Soil VWC'!$C$2:$C$4000=$AA19)*('1994 E Maize Soil VWC'!$D$2:$D$4000=$AB19)*('1994 E Maize Soil VWC'!$E$2:$E$4000=AF$5),'1994 E Maize Soil VWC'!$F$2:$F$4000)</f>
        <v>0.23843749781530693</v>
      </c>
      <c r="AG19" s="4" cm="1">
        <f t="array" ref="AG19">_xlfn.XLOOKUP(1,('1994 E Maize Soil VWC'!$C$2:$C$4000=$AA19)*('1994 E Maize Soil VWC'!$D$2:$D$4000=$AB19)*('1994 E Maize Soil VWC'!$E$2:$E$4000=AG$5),'1994 E Maize Soil VWC'!$F$2:$F$4000)</f>
        <v>0.21893753267537674</v>
      </c>
      <c r="AH19" s="4" cm="1">
        <f t="array" ref="AH19">_xlfn.XLOOKUP(1,('1994 E Maize Soil VWC'!$C$2:$C$4000=$AA19)*('1994 E Maize Soil VWC'!$D$2:$D$4000=$AB19)*('1994 E Maize Soil VWC'!$E$2:$E$4000=AH$5),'1994 E Maize Soil VWC'!$F$2:$F$4000)</f>
        <v>0.20913119182466039</v>
      </c>
      <c r="AI19" s="4" t="e" cm="1">
        <f t="array" ref="AI19">_xlfn.XLOOKUP(1,('1994 E Maize Soil VWC'!$C$2:$C$4000=$AA19)*('1994 E Maize Soil VWC'!$D$2:$D$4000=$AB19)*('1994 E Maize Soil VWC'!$E$2:$E$4000=AI$5),'1994 E Maize Soil VWC'!$F$2:$F$4000)</f>
        <v>#N/A</v>
      </c>
      <c r="AJ19" s="4" cm="1">
        <f t="array" ref="AJ19">_xlfn.XLOOKUP(1,('1994 E Maize Soil VWC'!$C$2:$C$4000=$AA19)*('1994 E Maize Soil VWC'!$D$2:$D$4000=$AB19)*('1994 E Maize Soil VWC'!$E$2:$E$4000=AJ$5),'1994 E Maize Soil VWC'!$F$2:$F$4000)</f>
        <v>0.25523226547917749</v>
      </c>
      <c r="AK19" s="4" cm="1">
        <f t="array" ref="AK19">_xlfn.XLOOKUP(1,('1994 E Maize Soil VWC'!$C$2:$C$4000=$AA19)*('1994 E Maize Soil VWC'!$D$2:$D$4000=$AB19)*('1994 E Maize Soil VWC'!$E$2:$E$4000=AK$5),'1994 E Maize Soil VWC'!$F$2:$F$4000)</f>
        <v>0.25776838811298347</v>
      </c>
      <c r="AL19" s="4" cm="1">
        <f t="array" ref="AL19">_xlfn.XLOOKUP(1,('1994 E Maize Soil VWC'!$C$2:$C$4000=$AA19)*('1994 E Maize Soil VWC'!$D$2:$D$4000=$AB19)*('1994 E Maize Soil VWC'!$E$2:$E$4000=AL$5),'1994 E Maize Soil VWC'!$F$2:$F$4000)</f>
        <v>0.25776838811298347</v>
      </c>
      <c r="AM19" s="4" cm="1">
        <f t="array" ref="AM19">_xlfn.XLOOKUP(1,('1994 E Maize Soil VWC'!$C$2:$C$4000=$AA19)*('1994 E Maize Soil VWC'!$D$2:$D$4000=$AB19)*('1994 E Maize Soil VWC'!$E$2:$E$4000=AM$5),'1994 E Maize Soil VWC'!$F$2:$F$4000)</f>
        <v>0.25790928381486156</v>
      </c>
      <c r="AN19" s="4" cm="1">
        <f t="array" ref="AN19">_xlfn.XLOOKUP(1,('1994 E Maize Soil VWC'!$C$2:$C$4000=$AA19)*('1994 E Maize Soil VWC'!$D$2:$D$4000=$AB19)*('1994 E Maize Soil VWC'!$E$2:$E$4000=AN$5),'1994 E Maize Soil VWC'!$F$2:$F$4000)</f>
        <v>0.23347796910919749</v>
      </c>
      <c r="AO19" s="30">
        <f>Z175</f>
        <v>0</v>
      </c>
      <c r="AP19" s="13">
        <f>AA175</f>
        <v>34334</v>
      </c>
      <c r="AQ19" s="4" t="e">
        <f>AVERAGE(AG175:AH181)*1400+AVERAGE(AG182:AH182)*100</f>
        <v>#N/A</v>
      </c>
      <c r="AR19" s="4" t="e">
        <f>AVERAGE(AC175:AF181)*1400+AVERAGE(AC182:AF182)*100</f>
        <v>#N/A</v>
      </c>
      <c r="AS19" s="4" t="e">
        <f>AVERAGE(AM175:AN181)*1400+AVERAGE(AM182:AN182)*100</f>
        <v>#N/A</v>
      </c>
      <c r="AT19" s="4" t="e">
        <f>AVERAGE(AI175:AL181)*1400+AVERAGE(AI182:AL182)*100</f>
        <v>#N/A</v>
      </c>
      <c r="AU19" s="4">
        <f>Z175</f>
        <v>0</v>
      </c>
      <c r="AV19" s="4" t="e">
        <f>AVERAGE(AC175:AD186)*2400</f>
        <v>#N/A</v>
      </c>
      <c r="AW19" s="4" t="e">
        <f>AVERAGE(AE175:AF186)*2400</f>
        <v>#N/A</v>
      </c>
      <c r="AX19" s="4" t="e">
        <f>AVERAGE(AG175:AH184)*2000</f>
        <v>#N/A</v>
      </c>
      <c r="AY19" s="4" t="e">
        <f>AVERAGE(AI175:AJ186)*2400</f>
        <v>#N/A</v>
      </c>
      <c r="AZ19" s="4" t="e">
        <f>AVERAGE(AK175:AL186)*2400</f>
        <v>#N/A</v>
      </c>
      <c r="BA19" s="4" t="e">
        <f>AVERAGE(AM175:AN184)*2000</f>
        <v>#N/A</v>
      </c>
    </row>
    <row r="20" spans="25:53" x14ac:dyDescent="0.25">
      <c r="AA20" s="19">
        <f t="shared" ref="AA20:AA30" si="2">AA19</f>
        <v>34474</v>
      </c>
      <c r="AB20" s="4">
        <f t="shared" ref="AB20:AB30" si="3">AB19+20</f>
        <v>30</v>
      </c>
      <c r="AC20" s="4" cm="1">
        <f t="array" ref="AC20">_xlfn.XLOOKUP(1,('1994 E Maize Soil VWC'!$C$2:$C$4000=$AA20)*('1994 E Maize Soil VWC'!$D$2:$D$4000=$AB20)*('1994 E Maize Soil VWC'!$E$2:$E$4000=AC$5),'1994 E Maize Soil VWC'!$F$2:$F$4000)</f>
        <v>0.21292917851557663</v>
      </c>
      <c r="AD20" s="4" cm="1">
        <f t="array" ref="AD20">_xlfn.XLOOKUP(1,('1994 E Maize Soil VWC'!$C$2:$C$4000=$AA20)*('1994 E Maize Soil VWC'!$D$2:$D$4000=$AB20)*('1994 E Maize Soil VWC'!$E$2:$E$4000=AD$5),'1994 E Maize Soil VWC'!$F$2:$F$4000)</f>
        <v>0.18383768939450174</v>
      </c>
      <c r="AE20" s="4" cm="1">
        <f t="array" ref="AE20">_xlfn.XLOOKUP(1,('1994 E Maize Soil VWC'!$C$2:$C$4000=$AA20)*('1994 E Maize Soil VWC'!$D$2:$D$4000=$AB20)*('1994 E Maize Soil VWC'!$E$2:$E$4000=AE$5),'1994 E Maize Soil VWC'!$F$2:$F$4000)</f>
        <v>0.26379901386682503</v>
      </c>
      <c r="AF20" s="4" cm="1">
        <f t="array" ref="AF20">_xlfn.XLOOKUP(1,('1994 E Maize Soil VWC'!$C$2:$C$4000=$AA20)*('1994 E Maize Soil VWC'!$D$2:$D$4000=$AB20)*('1994 E Maize Soil VWC'!$E$2:$E$4000=AF$5),'1994 E Maize Soil VWC'!$F$2:$F$4000)</f>
        <v>0.25851550975181248</v>
      </c>
      <c r="AG20" s="4" cm="1">
        <f t="array" ref="AG20">_xlfn.XLOOKUP(1,('1994 E Maize Soil VWC'!$C$2:$C$4000=$AA20)*('1994 E Maize Soil VWC'!$D$2:$D$4000=$AB20)*('1994 E Maize Soil VWC'!$E$2:$E$4000=AG$5),'1994 E Maize Soil VWC'!$F$2:$F$4000)</f>
        <v>0.30352194419493728</v>
      </c>
      <c r="AH20" s="4" cm="1">
        <f t="array" ref="AH20">_xlfn.XLOOKUP(1,('1994 E Maize Soil VWC'!$C$2:$C$4000=$AA20)*('1994 E Maize Soil VWC'!$D$2:$D$4000=$AB20)*('1994 E Maize Soil VWC'!$E$2:$E$4000=AH$5),'1994 E Maize Soil VWC'!$F$2:$F$4000)</f>
        <v>0.22175649636626826</v>
      </c>
      <c r="AI20" s="4" t="e" cm="1">
        <f t="array" ref="AI20">_xlfn.XLOOKUP(1,('1994 E Maize Soil VWC'!$C$2:$C$4000=$AA20)*('1994 E Maize Soil VWC'!$D$2:$D$4000=$AB20)*('1994 E Maize Soil VWC'!$E$2:$E$4000=AI$5),'1994 E Maize Soil VWC'!$F$2:$F$4000)</f>
        <v>#N/A</v>
      </c>
      <c r="AJ20" s="4" cm="1">
        <f t="array" ref="AJ20">_xlfn.XLOOKUP(1,('1994 E Maize Soil VWC'!$C$2:$C$4000=$AA20)*('1994 E Maize Soil VWC'!$D$2:$D$4000=$AB20)*('1994 E Maize Soil VWC'!$E$2:$E$4000=AJ$5),'1994 E Maize Soil VWC'!$F$2:$F$4000)</f>
        <v>0.25854772624031869</v>
      </c>
      <c r="AK20" s="4" cm="1">
        <f t="array" ref="AK20">_xlfn.XLOOKUP(1,('1994 E Maize Soil VWC'!$C$2:$C$4000=$AA20)*('1994 E Maize Soil VWC'!$D$2:$D$4000=$AB20)*('1994 E Maize Soil VWC'!$E$2:$E$4000=AK$5),'1994 E Maize Soil VWC'!$F$2:$F$4000)</f>
        <v>0.27085442484967703</v>
      </c>
      <c r="AL20" s="4" cm="1">
        <f t="array" ref="AL20">_xlfn.XLOOKUP(1,('1994 E Maize Soil VWC'!$C$2:$C$4000=$AA20)*('1994 E Maize Soil VWC'!$D$2:$D$4000=$AB20)*('1994 E Maize Soil VWC'!$E$2:$E$4000=AL$5),'1994 E Maize Soil VWC'!$F$2:$F$4000)</f>
        <v>0.27085442484967703</v>
      </c>
      <c r="AM20" s="4" cm="1">
        <f t="array" ref="AM20">_xlfn.XLOOKUP(1,('1994 E Maize Soil VWC'!$C$2:$C$4000=$AA20)*('1994 E Maize Soil VWC'!$D$2:$D$4000=$AB20)*('1994 E Maize Soil VWC'!$E$2:$E$4000=AM$5),'1994 E Maize Soil VWC'!$F$2:$F$4000)</f>
        <v>0.29936601717764083</v>
      </c>
      <c r="AN20" s="4" cm="1">
        <f t="array" ref="AN20">_xlfn.XLOOKUP(1,('1994 E Maize Soil VWC'!$C$2:$C$4000=$AA20)*('1994 E Maize Soil VWC'!$D$2:$D$4000=$AB20)*('1994 E Maize Soil VWC'!$E$2:$E$4000=AN$5),'1994 E Maize Soil VWC'!$F$2:$F$4000)</f>
        <v>0.29682091458565307</v>
      </c>
      <c r="AO20" s="30">
        <f>Z188</f>
        <v>0</v>
      </c>
      <c r="AP20" s="13">
        <f>AA188</f>
        <v>34334</v>
      </c>
      <c r="AQ20" s="4" t="e">
        <f>AVERAGE(AG188:AH194)*1400+AVERAGE(AG195:AH195)*100</f>
        <v>#N/A</v>
      </c>
      <c r="AR20" s="4" t="e">
        <f>AVERAGE(AC188:AF194)*1400+AVERAGE(AC195:AF195)*100</f>
        <v>#N/A</v>
      </c>
      <c r="AS20" s="4" t="e">
        <f>AVERAGE(AM188:AN194)*1400+AVERAGE(AM195:AN195)*100</f>
        <v>#N/A</v>
      </c>
      <c r="AT20" s="4" t="e">
        <f>AVERAGE(AI188:AL194)*1400+AVERAGE(AI195:AL195)*100</f>
        <v>#N/A</v>
      </c>
      <c r="AU20" s="4">
        <f>Z188</f>
        <v>0</v>
      </c>
      <c r="AV20" s="4" t="e">
        <f>AVERAGE(AC188:AD199)*2400</f>
        <v>#N/A</v>
      </c>
      <c r="AW20" s="4" t="e">
        <f>AVERAGE(AE188:AF199)*2400</f>
        <v>#N/A</v>
      </c>
      <c r="AX20" s="4" t="e">
        <f>AVERAGE(AG188:AH197)*2000</f>
        <v>#N/A</v>
      </c>
      <c r="AY20" s="4" t="e">
        <f>AVERAGE(AI188:AJ199)*2400</f>
        <v>#N/A</v>
      </c>
      <c r="AZ20" s="4" t="e">
        <f>AVERAGE(AK188:AL199)*2400</f>
        <v>#N/A</v>
      </c>
      <c r="BA20" s="4" t="e">
        <f>AVERAGE(AM188:AN199)*2400</f>
        <v>#N/A</v>
      </c>
    </row>
    <row r="21" spans="25:53" x14ac:dyDescent="0.25">
      <c r="AA21" s="19">
        <f t="shared" si="2"/>
        <v>34474</v>
      </c>
      <c r="AB21" s="4">
        <f t="shared" si="3"/>
        <v>50</v>
      </c>
      <c r="AC21" s="4" cm="1">
        <f t="array" ref="AC21">_xlfn.XLOOKUP(1,('1994 E Maize Soil VWC'!$C$2:$C$4000=$AA21)*('1994 E Maize Soil VWC'!$D$2:$D$4000=$AB21)*('1994 E Maize Soil VWC'!$E$2:$E$4000=AC$5),'1994 E Maize Soil VWC'!$F$2:$F$4000)</f>
        <v>0.21122170462474943</v>
      </c>
      <c r="AD21" s="4" cm="1">
        <f t="array" ref="AD21">_xlfn.XLOOKUP(1,('1994 E Maize Soil VWC'!$C$2:$C$4000=$AA21)*('1994 E Maize Soil VWC'!$D$2:$D$4000=$AB21)*('1994 E Maize Soil VWC'!$E$2:$E$4000=AD$5),'1994 E Maize Soil VWC'!$F$2:$F$4000)</f>
        <v>0.21695623957884835</v>
      </c>
      <c r="AE21" s="4" cm="1">
        <f t="array" ref="AE21">_xlfn.XLOOKUP(1,('1994 E Maize Soil VWC'!$C$2:$C$4000=$AA21)*('1994 E Maize Soil VWC'!$D$2:$D$4000=$AB21)*('1994 E Maize Soil VWC'!$E$2:$E$4000=AE$5),'1994 E Maize Soil VWC'!$F$2:$F$4000)</f>
        <v>0.23970108046420702</v>
      </c>
      <c r="AF21" s="4" cm="1">
        <f t="array" ref="AF21">_xlfn.XLOOKUP(1,('1994 E Maize Soil VWC'!$C$2:$C$4000=$AA21)*('1994 E Maize Soil VWC'!$D$2:$D$4000=$AB21)*('1994 E Maize Soil VWC'!$E$2:$E$4000=AF$5),'1994 E Maize Soil VWC'!$F$2:$F$4000)</f>
        <v>0.24298716229183676</v>
      </c>
      <c r="AG21" s="4" cm="1">
        <f t="array" ref="AG21">_xlfn.XLOOKUP(1,('1994 E Maize Soil VWC'!$C$2:$C$4000=$AA21)*('1994 E Maize Soil VWC'!$D$2:$D$4000=$AB21)*('1994 E Maize Soil VWC'!$E$2:$E$4000=AG$5),'1994 E Maize Soil VWC'!$F$2:$F$4000)</f>
        <v>0.26064179799321996</v>
      </c>
      <c r="AH21" s="4" cm="1">
        <f t="array" ref="AH21">_xlfn.XLOOKUP(1,('1994 E Maize Soil VWC'!$C$2:$C$4000=$AA21)*('1994 E Maize Soil VWC'!$D$2:$D$4000=$AB21)*('1994 E Maize Soil VWC'!$E$2:$E$4000=AH$5),'1994 E Maize Soil VWC'!$F$2:$F$4000)</f>
        <v>0.21251036416499641</v>
      </c>
      <c r="AI21" s="4" t="e" cm="1">
        <f t="array" ref="AI21">_xlfn.XLOOKUP(1,('1994 E Maize Soil VWC'!$C$2:$C$4000=$AA21)*('1994 E Maize Soil VWC'!$D$2:$D$4000=$AB21)*('1994 E Maize Soil VWC'!$E$2:$E$4000=AI$5),'1994 E Maize Soil VWC'!$F$2:$F$4000)</f>
        <v>#N/A</v>
      </c>
      <c r="AJ21" s="4" cm="1">
        <f t="array" ref="AJ21">_xlfn.XLOOKUP(1,('1994 E Maize Soil VWC'!$C$2:$C$4000=$AA21)*('1994 E Maize Soil VWC'!$D$2:$D$4000=$AB21)*('1994 E Maize Soil VWC'!$E$2:$E$4000=AJ$5),'1994 E Maize Soil VWC'!$F$2:$F$4000)</f>
        <v>0.2756868981256031</v>
      </c>
      <c r="AK21" s="4" cm="1">
        <f t="array" ref="AK21">_xlfn.XLOOKUP(1,('1994 E Maize Soil VWC'!$C$2:$C$4000=$AA21)*('1994 E Maize Soil VWC'!$D$2:$D$4000=$AB21)*('1994 E Maize Soil VWC'!$E$2:$E$4000=AK$5),'1994 E Maize Soil VWC'!$F$2:$F$4000)</f>
        <v>0.26118947829782491</v>
      </c>
      <c r="AL21" s="4" cm="1">
        <f t="array" ref="AL21">_xlfn.XLOOKUP(1,('1994 E Maize Soil VWC'!$C$2:$C$4000=$AA21)*('1994 E Maize Soil VWC'!$D$2:$D$4000=$AB21)*('1994 E Maize Soil VWC'!$E$2:$E$4000=AL$5),'1994 E Maize Soil VWC'!$F$2:$F$4000)</f>
        <v>0.29566112099943082</v>
      </c>
      <c r="AM21" s="4" cm="1">
        <f t="array" ref="AM21">_xlfn.XLOOKUP(1,('1994 E Maize Soil VWC'!$C$2:$C$4000=$AA21)*('1994 E Maize Soil VWC'!$D$2:$D$4000=$AB21)*('1994 E Maize Soil VWC'!$E$2:$E$4000=AM$5),'1994 E Maize Soil VWC'!$F$2:$F$4000)</f>
        <v>0.27417272316581293</v>
      </c>
      <c r="AN21" s="4" cm="1">
        <f t="array" ref="AN21">_xlfn.XLOOKUP(1,('1994 E Maize Soil VWC'!$C$2:$C$4000=$AA21)*('1994 E Maize Soil VWC'!$D$2:$D$4000=$AB21)*('1994 E Maize Soil VWC'!$E$2:$E$4000=AN$5),'1994 E Maize Soil VWC'!$F$2:$F$4000)</f>
        <v>0.26334798302773854</v>
      </c>
      <c r="AO21" s="30">
        <f>Z201</f>
        <v>0</v>
      </c>
      <c r="AP21" s="13">
        <f>AA201</f>
        <v>34334</v>
      </c>
      <c r="AQ21" s="4" t="e">
        <f>AVERAGE(AG201:AH207)*1400+AVERAGE(AG208:AH208)*100</f>
        <v>#N/A</v>
      </c>
      <c r="AR21" s="4" t="e">
        <f>AVERAGE(AC201:AF207)*1400+AVERAGE(AC208:AF208)*100</f>
        <v>#N/A</v>
      </c>
      <c r="AS21" s="4" t="e">
        <f>AVERAGE(AM201:AN207)*1400+AVERAGE(AM208:AN208)*100</f>
        <v>#N/A</v>
      </c>
      <c r="AT21" s="4" t="e">
        <f>AVERAGE(AI201:AL207)*1400+AVERAGE(AI208:AL208)*100</f>
        <v>#N/A</v>
      </c>
      <c r="AU21" s="4">
        <f>Z201</f>
        <v>0</v>
      </c>
      <c r="AV21" s="4" t="e">
        <f>AVERAGE(AC201:AD212)*2400</f>
        <v>#N/A</v>
      </c>
      <c r="AW21" s="4" t="e">
        <f>AVERAGE(AE201:AF212)*2400</f>
        <v>#N/A</v>
      </c>
      <c r="AX21" s="4" t="e">
        <f>AVERAGE(AG201:AH210)*2000</f>
        <v>#N/A</v>
      </c>
      <c r="AY21" s="4" t="e">
        <f>AVERAGE(AI201:AJ212)*2400</f>
        <v>#N/A</v>
      </c>
      <c r="AZ21" s="4" t="e">
        <f>AVERAGE(AK201:AL212)*2400</f>
        <v>#N/A</v>
      </c>
      <c r="BA21" s="4" t="e">
        <f>AVERAGE(AM201:AN212)*2400</f>
        <v>#N/A</v>
      </c>
    </row>
    <row r="22" spans="25:53" x14ac:dyDescent="0.25">
      <c r="AA22" s="19">
        <f t="shared" si="2"/>
        <v>34474</v>
      </c>
      <c r="AB22" s="4">
        <f t="shared" si="3"/>
        <v>70</v>
      </c>
      <c r="AC22" s="4" cm="1">
        <f t="array" ref="AC22">_xlfn.XLOOKUP(1,('1994 E Maize Soil VWC'!$C$2:$C$4000=$AA22)*('1994 E Maize Soil VWC'!$D$2:$D$4000=$AB22)*('1994 E Maize Soil VWC'!$E$2:$E$4000=AC$5),'1994 E Maize Soil VWC'!$F$2:$F$4000)</f>
        <v>0.20706577760745298</v>
      </c>
      <c r="AD22" s="4" cm="1">
        <f t="array" ref="AD22">_xlfn.XLOOKUP(1,('1994 E Maize Soil VWC'!$C$2:$C$4000=$AA22)*('1994 E Maize Soil VWC'!$D$2:$D$4000=$AB22)*('1994 E Maize Soil VWC'!$E$2:$E$4000=AD$5),'1994 E Maize Soil VWC'!$F$2:$F$4000)</f>
        <v>0.20870881852126788</v>
      </c>
      <c r="AE22" s="4" cm="1">
        <f t="array" ref="AE22">_xlfn.XLOOKUP(1,('1994 E Maize Soil VWC'!$C$2:$C$4000=$AA22)*('1994 E Maize Soil VWC'!$D$2:$D$4000=$AB22)*('1994 E Maize Soil VWC'!$E$2:$E$4000=AE$5),'1994 E Maize Soil VWC'!$F$2:$F$4000)</f>
        <v>0.22050005331452749</v>
      </c>
      <c r="AF22" s="4" cm="1">
        <f t="array" ref="AF22">_xlfn.XLOOKUP(1,('1994 E Maize Soil VWC'!$C$2:$C$4000=$AA22)*('1994 E Maize Soil VWC'!$D$2:$D$4000=$AB22)*('1994 E Maize Soil VWC'!$E$2:$E$4000=AF$5),'1994 E Maize Soil VWC'!$F$2:$F$4000)</f>
        <v>0.20133124265335411</v>
      </c>
      <c r="AG22" s="4" cm="1">
        <f t="array" ref="AG22">_xlfn.XLOOKUP(1,('1994 E Maize Soil VWC'!$C$2:$C$4000=$AA22)*('1994 E Maize Soil VWC'!$D$2:$D$4000=$AB22)*('1994 E Maize Soil VWC'!$E$2:$E$4000=AG$5),'1994 E Maize Soil VWC'!$F$2:$F$4000)</f>
        <v>0.20448845852695913</v>
      </c>
      <c r="AH22" s="4" cm="1">
        <f t="array" ref="AH22">_xlfn.XLOOKUP(1,('1994 E Maize Soil VWC'!$C$2:$C$4000=$AA22)*('1994 E Maize Soil VWC'!$D$2:$D$4000=$AB22)*('1994 E Maize Soil VWC'!$E$2:$E$4000=AH$5),'1994 E Maize Soil VWC'!$F$2:$F$4000)</f>
        <v>0.20703356111894683</v>
      </c>
      <c r="AI22" s="4" t="e" cm="1">
        <f t="array" ref="AI22">_xlfn.XLOOKUP(1,('1994 E Maize Soil VWC'!$C$2:$C$4000=$AA22)*('1994 E Maize Soil VWC'!$D$2:$D$4000=$AB22)*('1994 E Maize Soil VWC'!$E$2:$E$4000=AI$5),'1994 E Maize Soil VWC'!$F$2:$F$4000)</f>
        <v>#N/A</v>
      </c>
      <c r="AJ22" s="4" cm="1">
        <f t="array" ref="AJ22">_xlfn.XLOOKUP(1,('1994 E Maize Soil VWC'!$C$2:$C$4000=$AA22)*('1994 E Maize Soil VWC'!$D$2:$D$4000=$AB22)*('1994 E Maize Soil VWC'!$E$2:$E$4000=AJ$5),'1994 E Maize Soil VWC'!$F$2:$F$4000)</f>
        <v>0.26740726057951647</v>
      </c>
      <c r="AK22" s="4" cm="1">
        <f t="array" ref="AK22">_xlfn.XLOOKUP(1,('1994 E Maize Soil VWC'!$C$2:$C$4000=$AA22)*('1994 E Maize Soil VWC'!$D$2:$D$4000=$AB22)*('1994 E Maize Soil VWC'!$E$2:$E$4000=AK$5),'1994 E Maize Soil VWC'!$F$2:$F$4000)</f>
        <v>0.26289695218865211</v>
      </c>
      <c r="AL22" s="4" cm="1">
        <f t="array" ref="AL22">_xlfn.XLOOKUP(1,('1994 E Maize Soil VWC'!$C$2:$C$4000=$AA22)*('1994 E Maize Soil VWC'!$D$2:$D$4000=$AB22)*('1994 E Maize Soil VWC'!$E$2:$E$4000=AL$5),'1994 E Maize Soil VWC'!$F$2:$F$4000)</f>
        <v>0.26431447768292377</v>
      </c>
      <c r="AM22" s="4" cm="1">
        <f t="array" ref="AM22">_xlfn.XLOOKUP(1,('1994 E Maize Soil VWC'!$C$2:$C$4000=$AA22)*('1994 E Maize Soil VWC'!$D$2:$D$4000=$AB22)*('1994 E Maize Soil VWC'!$E$2:$E$4000=AM$5),'1994 E Maize Soil VWC'!$F$2:$F$4000)</f>
        <v>0.27778096987850442</v>
      </c>
      <c r="AN22" s="4" cm="1">
        <f t="array" ref="AN22">_xlfn.XLOOKUP(1,('1994 E Maize Soil VWC'!$C$2:$C$4000=$AA22)*('1994 E Maize Soil VWC'!$D$2:$D$4000=$AB22)*('1994 E Maize Soil VWC'!$E$2:$E$4000=AN$5),'1994 E Maize Soil VWC'!$F$2:$F$4000)</f>
        <v>0.27069334240714621</v>
      </c>
      <c r="AO22" s="30">
        <f>Z214</f>
        <v>0</v>
      </c>
      <c r="AP22" s="13">
        <f>AA214</f>
        <v>34334</v>
      </c>
      <c r="AQ22" s="4" t="e">
        <f>AVERAGE(AG214:AH220)*1400+AVERAGE(AG221:AH221)*100</f>
        <v>#N/A</v>
      </c>
      <c r="AR22" s="4" t="e">
        <f>AVERAGE(AC214:AF220)*1400+AVERAGE(AC221:AF221)*100</f>
        <v>#N/A</v>
      </c>
      <c r="AS22" s="4" t="e">
        <f>AVERAGE(AM214:AN220)*1400+AVERAGE(AM221:AN221)*100</f>
        <v>#N/A</v>
      </c>
      <c r="AT22" s="4" t="e">
        <f>AVERAGE(AI214:AL220)*1400+AVERAGE(AI221:AL221)*100</f>
        <v>#N/A</v>
      </c>
      <c r="AU22" s="4">
        <f>Z214</f>
        <v>0</v>
      </c>
      <c r="AV22" s="4" t="e">
        <f>AVERAGE(AC214:AD225)*2400</f>
        <v>#N/A</v>
      </c>
      <c r="AW22" s="4" t="e">
        <f>AVERAGE(AE214:AF225)*2400</f>
        <v>#N/A</v>
      </c>
      <c r="AX22" s="4" t="e">
        <f>AVERAGE(AG214:AH223)*2000</f>
        <v>#N/A</v>
      </c>
      <c r="AY22" s="4" t="e">
        <f>AVERAGE(AI214:AJ225)*2400</f>
        <v>#N/A</v>
      </c>
      <c r="AZ22" s="4" t="e">
        <f>AVERAGE(AK214:AL225)*2400</f>
        <v>#N/A</v>
      </c>
      <c r="BA22" s="4" t="e">
        <f>AVERAGE(AM214:AN225)*2400</f>
        <v>#N/A</v>
      </c>
    </row>
    <row r="23" spans="25:53" x14ac:dyDescent="0.25">
      <c r="AA23" s="19">
        <f t="shared" si="2"/>
        <v>34474</v>
      </c>
      <c r="AB23" s="4">
        <f t="shared" si="3"/>
        <v>90</v>
      </c>
      <c r="AC23" s="4" cm="1">
        <f t="array" ref="AC23">_xlfn.XLOOKUP(1,('1994 E Maize Soil VWC'!$C$2:$C$4000=$AA23)*('1994 E Maize Soil VWC'!$D$2:$D$4000=$AB23)*('1994 E Maize Soil VWC'!$E$2:$E$4000=AC$5),'1994 E Maize Soil VWC'!$F$2:$F$4000)</f>
        <v>0.20993304508450245</v>
      </c>
      <c r="AD23" s="4" cm="1">
        <f t="array" ref="AD23">_xlfn.XLOOKUP(1,('1994 E Maize Soil VWC'!$C$2:$C$4000=$AA23)*('1994 E Maize Soil VWC'!$D$2:$D$4000=$AB23)*('1994 E Maize Soil VWC'!$E$2:$E$4000=AD$5),'1994 E Maize Soil VWC'!$F$2:$F$4000)</f>
        <v>0.19997815013609477</v>
      </c>
      <c r="AE23" s="4" cm="1">
        <f t="array" ref="AE23">_xlfn.XLOOKUP(1,('1994 E Maize Soil VWC'!$C$2:$C$4000=$AA23)*('1994 E Maize Soil VWC'!$D$2:$D$4000=$AB23)*('1994 E Maize Soil VWC'!$E$2:$E$4000=AE$5),'1994 E Maize Soil VWC'!$F$2:$F$4000)</f>
        <v>0.21979129056739166</v>
      </c>
      <c r="AF23" s="4" cm="1">
        <f t="array" ref="AF23">_xlfn.XLOOKUP(1,('1994 E Maize Soil VWC'!$C$2:$C$4000=$AA23)*('1994 E Maize Soil VWC'!$D$2:$D$4000=$AB23)*('1994 E Maize Soil VWC'!$E$2:$E$4000=AF$5),'1994 E Maize Soil VWC'!$F$2:$F$4000)</f>
        <v>0.20584155104421842</v>
      </c>
      <c r="AG23" s="4" cm="1">
        <f t="array" ref="AG23">_xlfn.XLOOKUP(1,('1994 E Maize Soil VWC'!$C$2:$C$4000=$AA23)*('1994 E Maize Soil VWC'!$D$2:$D$4000=$AB23)*('1994 E Maize Soil VWC'!$E$2:$E$4000=AG$5),'1994 E Maize Soil VWC'!$F$2:$F$4000)</f>
        <v>0.19430804815900821</v>
      </c>
      <c r="AH23" s="4" cm="1">
        <f t="array" ref="AH23">_xlfn.XLOOKUP(1,('1994 E Maize Soil VWC'!$C$2:$C$4000=$AA23)*('1994 E Maize Soil VWC'!$D$2:$D$4000=$AB23)*('1994 E Maize Soil VWC'!$E$2:$E$4000=AH$5),'1994 E Maize Soil VWC'!$F$2:$F$4000)</f>
        <v>0.20413407715339116</v>
      </c>
      <c r="AI23" s="4" t="e" cm="1">
        <f t="array" ref="AI23">_xlfn.XLOOKUP(1,('1994 E Maize Soil VWC'!$C$2:$C$4000=$AA23)*('1994 E Maize Soil VWC'!$D$2:$D$4000=$AB23)*('1994 E Maize Soil VWC'!$E$2:$E$4000=AI$5),'1994 E Maize Soil VWC'!$F$2:$F$4000)</f>
        <v>#N/A</v>
      </c>
      <c r="AJ23" s="4" cm="1">
        <f t="array" ref="AJ23">_xlfn.XLOOKUP(1,('1994 E Maize Soil VWC'!$C$2:$C$4000=$AA23)*('1994 E Maize Soil VWC'!$D$2:$D$4000=$AB23)*('1994 E Maize Soil VWC'!$E$2:$E$4000=AJ$5),'1994 E Maize Soil VWC'!$F$2:$F$4000)</f>
        <v>0.27617014545319574</v>
      </c>
      <c r="AK23" s="4" cm="1">
        <f t="array" ref="AK23">_xlfn.XLOOKUP(1,('1994 E Maize Soil VWC'!$C$2:$C$4000=$AA23)*('1994 E Maize Soil VWC'!$D$2:$D$4000=$AB23)*('1994 E Maize Soil VWC'!$E$2:$E$4000=AK$5),'1994 E Maize Soil VWC'!$F$2:$F$4000)</f>
        <v>0.27269076469452896</v>
      </c>
      <c r="AL23" s="4" cm="1">
        <f t="array" ref="AL23">_xlfn.XLOOKUP(1,('1994 E Maize Soil VWC'!$C$2:$C$4000=$AA23)*('1994 E Maize Soil VWC'!$D$2:$D$4000=$AB23)*('1994 E Maize Soil VWC'!$E$2:$E$4000=AL$5),'1994 E Maize Soil VWC'!$F$2:$F$4000)</f>
        <v>0.25084798548734316</v>
      </c>
      <c r="AM23" s="4" cm="1">
        <f t="array" ref="AM23">_xlfn.XLOOKUP(1,('1994 E Maize Soil VWC'!$C$2:$C$4000=$AA23)*('1994 E Maize Soil VWC'!$D$2:$D$4000=$AB23)*('1994 E Maize Soil VWC'!$E$2:$E$4000=AM$5),'1994 E Maize Soil VWC'!$F$2:$F$4000)</f>
        <v>0.27227195034394869</v>
      </c>
      <c r="AN23" s="4" cm="1">
        <f t="array" ref="AN23">_xlfn.XLOOKUP(1,('1994 E Maize Soil VWC'!$C$2:$C$4000=$AA23)*('1994 E Maize Soil VWC'!$D$2:$D$4000=$AB23)*('1994 E Maize Soil VWC'!$E$2:$E$4000=AN$5),'1994 E Maize Soil VWC'!$F$2:$F$4000)</f>
        <v>0.28167916498775142</v>
      </c>
      <c r="AO23" s="30">
        <f>Z227</f>
        <v>0</v>
      </c>
      <c r="AP23" s="13">
        <f>AA227</f>
        <v>34334</v>
      </c>
      <c r="AQ23" s="4" t="e">
        <f>AVERAGE(AG227:AH233)*1400+AVERAGE(AG234:AH234)*100</f>
        <v>#N/A</v>
      </c>
      <c r="AR23" s="4" t="e">
        <f>AVERAGE(AC227:AF233)*1400+AVERAGE(AC234:AF234)*100</f>
        <v>#N/A</v>
      </c>
      <c r="AS23" s="4" t="e">
        <f>AVERAGE(AM227:AN233)*1400+AVERAGE(AM234:AN234)*100</f>
        <v>#N/A</v>
      </c>
      <c r="AT23" s="4" t="e">
        <f>AVERAGE(AI227:AL233)*1400+AVERAGE(AI234:AL234)*100</f>
        <v>#N/A</v>
      </c>
      <c r="AU23" s="4">
        <f>Z227</f>
        <v>0</v>
      </c>
      <c r="AV23" s="4" t="e">
        <f>AVERAGE(AC227:AD238)*2400</f>
        <v>#N/A</v>
      </c>
      <c r="AW23" s="4" t="e">
        <f>AVERAGE(AE227:AF238)*2400</f>
        <v>#N/A</v>
      </c>
      <c r="AX23" s="4" t="e">
        <f>AVERAGE(AG227:AH236)*2000</f>
        <v>#N/A</v>
      </c>
      <c r="AY23" s="4" t="e">
        <f>AVERAGE(AI227:AJ238)*2400</f>
        <v>#N/A</v>
      </c>
      <c r="AZ23" s="4" t="e">
        <f>AVERAGE(AK227:AL238)*2400</f>
        <v>#N/A</v>
      </c>
      <c r="BA23" s="4" t="e">
        <f>AVERAGE(AM227:AN238)*2400</f>
        <v>#N/A</v>
      </c>
    </row>
    <row r="24" spans="25:53" x14ac:dyDescent="0.25">
      <c r="AA24" s="19">
        <f t="shared" si="2"/>
        <v>34474</v>
      </c>
      <c r="AB24" s="4">
        <f t="shared" si="3"/>
        <v>110</v>
      </c>
      <c r="AC24" s="4" cm="1">
        <f t="array" ref="AC24">_xlfn.XLOOKUP(1,('1994 E Maize Soil VWC'!$C$2:$C$4000=$AA24)*('1994 E Maize Soil VWC'!$D$2:$D$4000=$AB24)*('1994 E Maize Soil VWC'!$E$2:$E$4000=AC$5),'1994 E Maize Soil VWC'!$F$2:$F$4000)</f>
        <v>0.22971396902729319</v>
      </c>
      <c r="AD24" s="4" cm="1">
        <f t="array" ref="AD24">_xlfn.XLOOKUP(1,('1994 E Maize Soil VWC'!$C$2:$C$4000=$AA24)*('1994 E Maize Soil VWC'!$D$2:$D$4000=$AB24)*('1994 E Maize Soil VWC'!$E$2:$E$4000=AD$5),'1994 E Maize Soil VWC'!$F$2:$F$4000)</f>
        <v>0.20864438554425552</v>
      </c>
      <c r="AE24" s="4" cm="1">
        <f t="array" ref="AE24">_xlfn.XLOOKUP(1,('1994 E Maize Soil VWC'!$C$2:$C$4000=$AA24)*('1994 E Maize Soil VWC'!$D$2:$D$4000=$AB24)*('1994 E Maize Soil VWC'!$E$2:$E$4000=AE$5),'1994 E Maize Soil VWC'!$F$2:$F$4000)</f>
        <v>0.23519077207334271</v>
      </c>
      <c r="AF24" s="4" cm="1">
        <f t="array" ref="AF24">_xlfn.XLOOKUP(1,('1994 E Maize Soil VWC'!$C$2:$C$4000=$AA24)*('1994 E Maize Soil VWC'!$D$2:$D$4000=$AB24)*('1994 E Maize Soil VWC'!$E$2:$E$4000=AF$5),'1994 E Maize Soil VWC'!$F$2:$F$4000)</f>
        <v>0.23908896718258971</v>
      </c>
      <c r="AG24" s="4" cm="1">
        <f t="array" ref="AG24">_xlfn.XLOOKUP(1,('1994 E Maize Soil VWC'!$C$2:$C$4000=$AA24)*('1994 E Maize Soil VWC'!$D$2:$D$4000=$AB24)*('1994 E Maize Soil VWC'!$E$2:$E$4000=AG$5),'1994 E Maize Soil VWC'!$F$2:$F$4000)</f>
        <v>0.21979129056739166</v>
      </c>
      <c r="AH24" s="4" cm="1">
        <f t="array" ref="AH24">_xlfn.XLOOKUP(1,('1994 E Maize Soil VWC'!$C$2:$C$4000=$AA24)*('1994 E Maize Soil VWC'!$D$2:$D$4000=$AB24)*('1994 E Maize Soil VWC'!$E$2:$E$4000=AH$5),'1994 E Maize Soil VWC'!$F$2:$F$4000)</f>
        <v>0.22359283621112014</v>
      </c>
      <c r="AI24" s="4" t="e" cm="1">
        <f t="array" ref="AI24">_xlfn.XLOOKUP(1,('1994 E Maize Soil VWC'!$C$2:$C$4000=$AA24)*('1994 E Maize Soil VWC'!$D$2:$D$4000=$AB24)*('1994 E Maize Soil VWC'!$E$2:$E$4000=AI$5),'1994 E Maize Soil VWC'!$F$2:$F$4000)</f>
        <v>#N/A</v>
      </c>
      <c r="AJ24" s="4" cm="1">
        <f t="array" ref="AJ24">_xlfn.XLOOKUP(1,('1994 E Maize Soil VWC'!$C$2:$C$4000=$AA24)*('1994 E Maize Soil VWC'!$D$2:$D$4000=$AB24)*('1994 E Maize Soil VWC'!$E$2:$E$4000=AJ$5),'1994 E Maize Soil VWC'!$F$2:$F$4000)</f>
        <v>0.27736215552792415</v>
      </c>
      <c r="AK24" s="4" cm="1">
        <f t="array" ref="AK24">_xlfn.XLOOKUP(1,('1994 E Maize Soil VWC'!$C$2:$C$4000=$AA24)*('1994 E Maize Soil VWC'!$D$2:$D$4000=$AB24)*('1994 E Maize Soil VWC'!$E$2:$E$4000=AK$5),'1994 E Maize Soil VWC'!$F$2:$F$4000)</f>
        <v>0.27523586728651667</v>
      </c>
      <c r="AL24" s="4" cm="1">
        <f t="array" ref="AL24">_xlfn.XLOOKUP(1,('1994 E Maize Soil VWC'!$C$2:$C$4000=$AA24)*('1994 E Maize Soil VWC'!$D$2:$D$4000=$AB24)*('1994 E Maize Soil VWC'!$E$2:$E$4000=AL$5),'1994 E Maize Soil VWC'!$F$2:$F$4000)</f>
        <v>0.25178226365402218</v>
      </c>
      <c r="AM24" s="4" cm="1">
        <f t="array" ref="AM24">_xlfn.XLOOKUP(1,('1994 E Maize Soil VWC'!$C$2:$C$4000=$AA24)*('1994 E Maize Soil VWC'!$D$2:$D$4000=$AB24)*('1994 E Maize Soil VWC'!$E$2:$E$4000=AM$5),'1994 E Maize Soil VWC'!$F$2:$F$4000)</f>
        <v>0.27855416560265256</v>
      </c>
      <c r="AN24" s="4" cm="1">
        <f t="array" ref="AN24">_xlfn.XLOOKUP(1,('1994 E Maize Soil VWC'!$C$2:$C$4000=$AA24)*('1994 E Maize Soil VWC'!$D$2:$D$4000=$AB24)*('1994 E Maize Soil VWC'!$E$2:$E$4000=AN$5),'1994 E Maize Soil VWC'!$F$2:$F$4000)</f>
        <v>0.28316112345903544</v>
      </c>
      <c r="AO24" s="30">
        <f>Z240</f>
        <v>0</v>
      </c>
      <c r="AP24" s="13">
        <f>AA240</f>
        <v>34334</v>
      </c>
      <c r="AQ24" s="4" t="e">
        <f>AVERAGE(AG240:AH246)*1400+AVERAGE(AG247:AH247)*100</f>
        <v>#N/A</v>
      </c>
      <c r="AR24" s="4" t="e">
        <f>AVERAGE(AC240:AF246)*1400+AVERAGE(AC247:AF247)*100</f>
        <v>#N/A</v>
      </c>
      <c r="AS24" s="4" t="e">
        <f>AVERAGE(AM240:AN246)*1400+AVERAGE(AM247:AN247)*100</f>
        <v>#N/A</v>
      </c>
      <c r="AT24" s="4" t="e">
        <f>AVERAGE(AI240:AL246)*1400+AVERAGE(AI247:AL247)*100</f>
        <v>#N/A</v>
      </c>
      <c r="AU24" s="4">
        <f>Z240</f>
        <v>0</v>
      </c>
      <c r="AV24" s="4" t="e">
        <f>AVERAGE(AC240:AD251)*2400</f>
        <v>#N/A</v>
      </c>
      <c r="AW24" s="4" t="e">
        <f>AVERAGE(AE240:AF251)*2400</f>
        <v>#N/A</v>
      </c>
      <c r="AX24" s="4" t="e">
        <f>AVERAGE(AG240:AH249)*2000</f>
        <v>#N/A</v>
      </c>
      <c r="AY24" s="4" t="e">
        <f>AVERAGE(AI240:AJ251)*2400</f>
        <v>#N/A</v>
      </c>
      <c r="AZ24" s="4" t="e">
        <f>AVERAGE(AK240:AL251)*2400</f>
        <v>#N/A</v>
      </c>
      <c r="BA24" s="4" t="e">
        <f>AVERAGE(AM240:AN251)*2400</f>
        <v>#N/A</v>
      </c>
    </row>
    <row r="25" spans="25:53" x14ac:dyDescent="0.25">
      <c r="AA25" s="19">
        <f t="shared" si="2"/>
        <v>34474</v>
      </c>
      <c r="AB25" s="4">
        <f t="shared" si="3"/>
        <v>130</v>
      </c>
      <c r="AC25" s="4" cm="1">
        <f t="array" ref="AC25">_xlfn.XLOOKUP(1,('1994 E Maize Soil VWC'!$C$2:$C$4000=$AA25)*('1994 E Maize Soil VWC'!$D$2:$D$4000=$AB25)*('1994 E Maize Soil VWC'!$E$2:$E$4000=AC$5),'1994 E Maize Soil VWC'!$F$2:$F$4000)</f>
        <v>0.24398083014624006</v>
      </c>
      <c r="AD25" s="4" cm="1">
        <f t="array" ref="AD25">_xlfn.XLOOKUP(1,('1994 E Maize Soil VWC'!$C$2:$C$4000=$AA25)*('1994 E Maize Soil VWC'!$D$2:$D$4000=$AB25)*('1994 E Maize Soil VWC'!$E$2:$E$4000=AD$5),'1994 E Maize Soil VWC'!$F$2:$F$4000)</f>
        <v>0.20219348500482515</v>
      </c>
      <c r="AE25" s="4" cm="1">
        <f t="array" ref="AE25">_xlfn.XLOOKUP(1,('1994 E Maize Soil VWC'!$C$2:$C$4000=$AA25)*('1994 E Maize Soil VWC'!$D$2:$D$4000=$AB25)*('1994 E Maize Soil VWC'!$E$2:$E$4000=AE$5),'1994 E Maize Soil VWC'!$F$2:$F$4000)</f>
        <v>0.24912510558978546</v>
      </c>
      <c r="AF25" s="4" cm="1">
        <f t="array" ref="AF25">_xlfn.XLOOKUP(1,('1994 E Maize Soil VWC'!$C$2:$C$4000=$AA25)*('1994 E Maize Soil VWC'!$D$2:$D$4000=$AB25)*('1994 E Maize Soil VWC'!$E$2:$E$4000=AF$5),'1994 E Maize Soil VWC'!$F$2:$F$4000)</f>
        <v>0.24263540426100511</v>
      </c>
      <c r="AG25" s="4" cm="1">
        <f t="array" ref="AG25">_xlfn.XLOOKUP(1,('1994 E Maize Soil VWC'!$C$2:$C$4000=$AA25)*('1994 E Maize Soil VWC'!$D$2:$D$4000=$AB25)*('1994 E Maize Soil VWC'!$E$2:$E$4000=AG$5),'1994 E Maize Soil VWC'!$F$2:$F$4000)</f>
        <v>0.22018525860737881</v>
      </c>
      <c r="AH25" s="4" cm="1">
        <f t="array" ref="AH25">_xlfn.XLOOKUP(1,('1994 E Maize Soil VWC'!$C$2:$C$4000=$AA25)*('1994 E Maize Soil VWC'!$D$2:$D$4000=$AB25)*('1994 E Maize Soil VWC'!$E$2:$E$4000=AH$5),'1994 E Maize Soil VWC'!$F$2:$F$4000)</f>
        <v>0.22662219813673817</v>
      </c>
      <c r="AI25" s="4" t="e" cm="1">
        <f t="array" ref="AI25">_xlfn.XLOOKUP(1,('1994 E Maize Soil VWC'!$C$2:$C$4000=$AA25)*('1994 E Maize Soil VWC'!$D$2:$D$4000=$AB25)*('1994 E Maize Soil VWC'!$E$2:$E$4000=AI$5),'1994 E Maize Soil VWC'!$F$2:$F$4000)</f>
        <v>#N/A</v>
      </c>
      <c r="AJ25" s="4" cm="1">
        <f t="array" ref="AJ25">_xlfn.XLOOKUP(1,('1994 E Maize Soil VWC'!$C$2:$C$4000=$AA25)*('1994 E Maize Soil VWC'!$D$2:$D$4000=$AB25)*('1994 E Maize Soil VWC'!$E$2:$E$4000=AJ$5),'1994 E Maize Soil VWC'!$F$2:$F$4000)</f>
        <v>0.26205174644792517</v>
      </c>
      <c r="AK25" s="4" cm="1">
        <f t="array" ref="AK25">_xlfn.XLOOKUP(1,('1994 E Maize Soil VWC'!$C$2:$C$4000=$AA25)*('1994 E Maize Soil VWC'!$D$2:$D$4000=$AB25)*('1994 E Maize Soil VWC'!$E$2:$E$4000=AK$5),'1994 E Maize Soil VWC'!$F$2:$F$4000)</f>
        <v>0.28175827853166058</v>
      </c>
      <c r="AL25" s="4" cm="1">
        <f t="array" ref="AL25">_xlfn.XLOOKUP(1,('1994 E Maize Soil VWC'!$C$2:$C$4000=$AA25)*('1994 E Maize Soil VWC'!$D$2:$D$4000=$AB25)*('1994 E Maize Soil VWC'!$E$2:$E$4000=AL$5),'1994 E Maize Soil VWC'!$F$2:$F$4000)</f>
        <v>0.24094702667953383</v>
      </c>
      <c r="AM25" s="4" cm="1">
        <f t="array" ref="AM25">_xlfn.XLOOKUP(1,('1994 E Maize Soil VWC'!$C$2:$C$4000=$AA25)*('1994 E Maize Soil VWC'!$D$2:$D$4000=$AB25)*('1994 E Maize Soil VWC'!$E$2:$E$4000=AM$5),'1994 E Maize Soil VWC'!$F$2:$F$4000)</f>
        <v>0.26954392196570409</v>
      </c>
      <c r="AN25" s="4" cm="1">
        <f t="array" ref="AN25">_xlfn.XLOOKUP(1,('1994 E Maize Soil VWC'!$C$2:$C$4000=$AA25)*('1994 E Maize Soil VWC'!$D$2:$D$4000=$AB25)*('1994 E Maize Soil VWC'!$E$2:$E$4000=AN$5),'1994 E Maize Soil VWC'!$F$2:$F$4000)</f>
        <v>0.27347467602256698</v>
      </c>
      <c r="AO25" s="30">
        <f>Z253</f>
        <v>0</v>
      </c>
      <c r="AP25" s="13">
        <f>AA253</f>
        <v>34334</v>
      </c>
      <c r="AQ25" s="4" t="e">
        <f>AVERAGE(AG253:AH259)*1400+AVERAGE(AG260:AH260)*100</f>
        <v>#N/A</v>
      </c>
      <c r="AR25" s="4" t="e">
        <f>AVERAGE(AC253:AF259)*1400+AVERAGE(AC260:AF260)*100</f>
        <v>#N/A</v>
      </c>
      <c r="AS25" s="4" t="e">
        <f>AVERAGE(AM253:AN259)*1400+AVERAGE(AM260:AN260)*100</f>
        <v>#N/A</v>
      </c>
      <c r="AT25" s="4" t="e">
        <f>AVERAGE(AI253:AL259)*1400+AVERAGE(AI260:AL260)*100</f>
        <v>#N/A</v>
      </c>
      <c r="AU25" s="4">
        <f>Z253</f>
        <v>0</v>
      </c>
      <c r="AV25" s="4" t="e">
        <f>AVERAGE(AC253:AD264)*2400</f>
        <v>#N/A</v>
      </c>
      <c r="AW25" s="4" t="e">
        <f>AVERAGE(AE253:AF264)*2400</f>
        <v>#N/A</v>
      </c>
      <c r="AX25" s="4" t="e">
        <f>AVERAGE(AG253:AH262)*2000</f>
        <v>#N/A</v>
      </c>
      <c r="AY25" s="4" t="e">
        <f>AVERAGE(AI253:AJ264)*2400</f>
        <v>#N/A</v>
      </c>
      <c r="AZ25" s="4" t="e">
        <f>AVERAGE(AK253:AL264)*2400</f>
        <v>#N/A</v>
      </c>
      <c r="BA25" s="4" t="e">
        <f>AVERAGE(AM253:AN264)*2400</f>
        <v>#N/A</v>
      </c>
    </row>
    <row r="26" spans="25:53" x14ac:dyDescent="0.25">
      <c r="AA26" s="19">
        <f t="shared" si="2"/>
        <v>34474</v>
      </c>
      <c r="AB26" s="4">
        <f t="shared" si="3"/>
        <v>150</v>
      </c>
      <c r="AC26" s="4" cm="1">
        <f t="array" ref="AC26">_xlfn.XLOOKUP(1,('1994 E Maize Soil VWC'!$C$2:$C$4000=$AA26)*('1994 E Maize Soil VWC'!$D$2:$D$4000=$AB26)*('1994 E Maize Soil VWC'!$E$2:$E$4000=AC$5),'1994 E Maize Soil VWC'!$F$2:$F$4000)</f>
        <v>0.26344993413258105</v>
      </c>
      <c r="AD26" s="4" cm="1">
        <f t="array" ref="AD26">_xlfn.XLOOKUP(1,('1994 E Maize Soil VWC'!$C$2:$C$4000=$AA26)*('1994 E Maize Soil VWC'!$D$2:$D$4000=$AB26)*('1994 E Maize Soil VWC'!$E$2:$E$4000=AD$5),'1994 E Maize Soil VWC'!$F$2:$F$4000)</f>
        <v>0.18206485852572191</v>
      </c>
      <c r="AE26" s="4" cm="1">
        <f t="array" ref="AE26">_xlfn.XLOOKUP(1,('1994 E Maize Soil VWC'!$C$2:$C$4000=$AA26)*('1994 E Maize Soil VWC'!$D$2:$D$4000=$AB26)*('1994 E Maize Soil VWC'!$E$2:$E$4000=AE$5),'1994 E Maize Soil VWC'!$F$2:$F$4000)</f>
        <v>0.28803693266275704</v>
      </c>
      <c r="AF26" s="4" cm="1">
        <f t="array" ref="AF26">_xlfn.XLOOKUP(1,('1994 E Maize Soil VWC'!$C$2:$C$4000=$AA26)*('1994 E Maize Soil VWC'!$D$2:$D$4000=$AB26)*('1994 E Maize Soil VWC'!$E$2:$E$4000=AF$5),'1994 E Maize Soil VWC'!$F$2:$F$4000)</f>
        <v>0.27373848501967185</v>
      </c>
      <c r="AG26" s="4" cm="1">
        <f t="array" ref="AG26">_xlfn.XLOOKUP(1,('1994 E Maize Soil VWC'!$C$2:$C$4000=$AA26)*('1994 E Maize Soil VWC'!$D$2:$D$4000=$AB26)*('1994 E Maize Soil VWC'!$E$2:$E$4000=AG$5),'1994 E Maize Soil VWC'!$F$2:$F$4000)</f>
        <v>0.25585223501596022</v>
      </c>
      <c r="AH26" s="4" cm="1">
        <f t="array" ref="AH26">_xlfn.XLOOKUP(1,('1994 E Maize Soil VWC'!$C$2:$C$4000=$AA26)*('1994 E Maize Soil VWC'!$D$2:$D$4000=$AB26)*('1994 E Maize Soil VWC'!$E$2:$E$4000=AH$5),'1994 E Maize Soil VWC'!$F$2:$F$4000)</f>
        <v>0.26677392749610274</v>
      </c>
      <c r="AI26" s="4" t="e" cm="1">
        <f t="array" ref="AI26">_xlfn.XLOOKUP(1,('1994 E Maize Soil VWC'!$C$2:$C$4000=$AA26)*('1994 E Maize Soil VWC'!$D$2:$D$4000=$AB26)*('1994 E Maize Soil VWC'!$E$2:$E$4000=AI$5),'1994 E Maize Soil VWC'!$F$2:$F$4000)</f>
        <v>#N/A</v>
      </c>
      <c r="AJ26" s="4" cm="1">
        <f t="array" ref="AJ26">_xlfn.XLOOKUP(1,('1994 E Maize Soil VWC'!$C$2:$C$4000=$AA26)*('1994 E Maize Soil VWC'!$D$2:$D$4000=$AB26)*('1994 E Maize Soil VWC'!$E$2:$E$4000=AJ$5),'1994 E Maize Soil VWC'!$F$2:$F$4000)</f>
        <v>0.27912018856061166</v>
      </c>
      <c r="AK26" s="4" cm="1">
        <f t="array" ref="AK26">_xlfn.XLOOKUP(1,('1994 E Maize Soil VWC'!$C$2:$C$4000=$AA26)*('1994 E Maize Soil VWC'!$D$2:$D$4000=$AB26)*('1994 E Maize Soil VWC'!$E$2:$E$4000=AK$5),'1994 E Maize Soil VWC'!$F$2:$F$4000)</f>
        <v>0.28101961333976688</v>
      </c>
      <c r="AL26" s="4" cm="1">
        <f t="array" ref="AL26">_xlfn.XLOOKUP(1,('1994 E Maize Soil VWC'!$C$2:$C$4000=$AA26)*('1994 E Maize Soil VWC'!$D$2:$D$4000=$AB26)*('1994 E Maize Soil VWC'!$E$2:$E$4000=AL$5),'1994 E Maize Soil VWC'!$F$2:$F$4000)</f>
        <v>0.27621828959245787</v>
      </c>
      <c r="AM26" s="4" cm="1">
        <f t="array" ref="AM26">_xlfn.XLOOKUP(1,('1994 E Maize Soil VWC'!$C$2:$C$4000=$AA26)*('1994 E Maize Soil VWC'!$D$2:$D$4000=$AB26)*('1994 E Maize Soil VWC'!$E$2:$E$4000=AM$5),'1994 E Maize Soil VWC'!$F$2:$F$4000)</f>
        <v>0.29302292270803942</v>
      </c>
      <c r="AN26" s="4" cm="1">
        <f t="array" ref="AN26">_xlfn.XLOOKUP(1,('1994 E Maize Soil VWC'!$C$2:$C$4000=$AA26)*('1994 E Maize Soil VWC'!$D$2:$D$4000=$AB26)*('1994 E Maize Soil VWC'!$E$2:$E$4000=AN$5),'1994 E Maize Soil VWC'!$F$2:$F$4000)</f>
        <v>0.30922079513027984</v>
      </c>
      <c r="AO26" s="30">
        <f>Z266</f>
        <v>0</v>
      </c>
      <c r="AP26" s="13">
        <f>AA266</f>
        <v>34334</v>
      </c>
      <c r="AQ26" s="4" t="e">
        <f>AVERAGE(AG266:AH272)*1400+AVERAGE(AG273:AH273)*100</f>
        <v>#N/A</v>
      </c>
      <c r="AR26" s="4" t="e">
        <f>AVERAGE(AC266:AF272)*1400+AVERAGE(AC273:AF273)*100</f>
        <v>#N/A</v>
      </c>
      <c r="AS26" s="4" t="e">
        <f>AVERAGE(AM266:AN272)*1400+AVERAGE(AM273:AN273)*100</f>
        <v>#N/A</v>
      </c>
      <c r="AT26" s="4" t="e">
        <f>AVERAGE(AI266:AL272)*1400+AVERAGE(AI273:AL273)*100</f>
        <v>#N/A</v>
      </c>
      <c r="AU26" s="4">
        <f>Z266</f>
        <v>0</v>
      </c>
      <c r="AV26" s="4" t="e">
        <f>AVERAGE(AC266:AD277)*2400</f>
        <v>#N/A</v>
      </c>
      <c r="AW26" s="4" t="e">
        <f>AVERAGE(AE266:AF277)*2400</f>
        <v>#N/A</v>
      </c>
      <c r="AX26" s="4" t="e">
        <f>AVERAGE(AG266:AH275)*2000</f>
        <v>#N/A</v>
      </c>
      <c r="AY26" s="4" t="e">
        <f>AVERAGE(AI266:AJ277)*2400</f>
        <v>#N/A</v>
      </c>
      <c r="AZ26" s="4" t="e">
        <f>AVERAGE(AK266:AL277)*2400</f>
        <v>#N/A</v>
      </c>
      <c r="BA26" s="4" t="e">
        <f>AVERAGE(AM266:AN277)*2400</f>
        <v>#N/A</v>
      </c>
    </row>
    <row r="27" spans="25:53" x14ac:dyDescent="0.25">
      <c r="AA27" s="19">
        <f t="shared" si="2"/>
        <v>34474</v>
      </c>
      <c r="AB27" s="4">
        <f t="shared" si="3"/>
        <v>170</v>
      </c>
      <c r="AC27" s="4" cm="1">
        <f t="array" ref="AC27">_xlfn.XLOOKUP(1,('1994 E Maize Soil VWC'!$C$2:$C$4000=$AA27)*('1994 E Maize Soil VWC'!$D$2:$D$4000=$AB27)*('1994 E Maize Soil VWC'!$E$2:$E$4000=AC$5),'1994 E Maize Soil VWC'!$F$2:$F$4000)</f>
        <v>0.23667332092643451</v>
      </c>
      <c r="AD27" s="4" cm="1">
        <f t="array" ref="AD27">_xlfn.XLOOKUP(1,('1994 E Maize Soil VWC'!$C$2:$C$4000=$AA27)*('1994 E Maize Soil VWC'!$D$2:$D$4000=$AB27)*('1994 E Maize Soil VWC'!$E$2:$E$4000=AD$5),'1994 E Maize Soil VWC'!$F$2:$F$4000)</f>
        <v>0.26782916348452229</v>
      </c>
      <c r="AE27" s="4" cm="1">
        <f t="array" ref="AE27">_xlfn.XLOOKUP(1,('1994 E Maize Soil VWC'!$C$2:$C$4000=$AA27)*('1994 E Maize Soil VWC'!$D$2:$D$4000=$AB27)*('1994 E Maize Soil VWC'!$E$2:$E$4000=AE$5),'1994 E Maize Soil VWC'!$F$2:$F$4000)</f>
        <v>0.27115315684804392</v>
      </c>
      <c r="AF27" s="4" cm="1">
        <f t="array" ref="AF27">_xlfn.XLOOKUP(1,('1994 E Maize Soil VWC'!$C$2:$C$4000=$AA27)*('1994 E Maize Soil VWC'!$D$2:$D$4000=$AB27)*('1994 E Maize Soil VWC'!$E$2:$E$4000=AF$5),'1994 E Maize Soil VWC'!$F$2:$F$4000)</f>
        <v>0.26957030286541456</v>
      </c>
      <c r="AG27" s="4" cm="1">
        <f t="array" ref="AG27">_xlfn.XLOOKUP(1,('1994 E Maize Soil VWC'!$C$2:$C$4000=$AA27)*('1994 E Maize Soil VWC'!$D$2:$D$4000=$AB27)*('1994 E Maize Soil VWC'!$E$2:$E$4000=AG$5),'1994 E Maize Soil VWC'!$F$2:$F$4000)</f>
        <v>0.25440128553188329</v>
      </c>
      <c r="AH27" s="4" cm="1">
        <f t="array" ref="AH27">_xlfn.XLOOKUP(1,('1994 E Maize Soil VWC'!$C$2:$C$4000=$AA27)*('1994 E Maize Soil VWC'!$D$2:$D$4000=$AB27)*('1994 E Maize Soil VWC'!$E$2:$E$4000=AH$5),'1994 E Maize Soil VWC'!$F$2:$F$4000)</f>
        <v>0.26830401967931106</v>
      </c>
      <c r="AI27" s="4" t="e" cm="1">
        <f t="array" ref="AI27">_xlfn.XLOOKUP(1,('1994 E Maize Soil VWC'!$C$2:$C$4000=$AA27)*('1994 E Maize Soil VWC'!$D$2:$D$4000=$AB27)*('1994 E Maize Soil VWC'!$E$2:$E$4000=AI$5),'1994 E Maize Soil VWC'!$F$2:$F$4000)</f>
        <v>#N/A</v>
      </c>
      <c r="AJ27" s="4" cm="1">
        <f t="array" ref="AJ27">_xlfn.XLOOKUP(1,('1994 E Maize Soil VWC'!$C$2:$C$4000=$AA27)*('1994 E Maize Soil VWC'!$D$2:$D$4000=$AB27)*('1994 E Maize Soil VWC'!$E$2:$E$4000=AJ$5),'1994 E Maize Soil VWC'!$F$2:$F$4000)</f>
        <v>0.2649272645163685</v>
      </c>
      <c r="AK27" s="4" cm="1">
        <f t="array" ref="AK27">_xlfn.XLOOKUP(1,('1994 E Maize Soil VWC'!$C$2:$C$4000=$AA27)*('1994 E Maize Soil VWC'!$D$2:$D$4000=$AB27)*('1994 E Maize Soil VWC'!$E$2:$E$4000=AK$5),'1994 E Maize Soil VWC'!$F$2:$F$4000)</f>
        <v>0.25463871362927765</v>
      </c>
      <c r="AL27" s="4" cm="1">
        <f t="array" ref="AL27">_xlfn.XLOOKUP(1,('1994 E Maize Soil VWC'!$C$2:$C$4000=$AA27)*('1994 E Maize Soil VWC'!$D$2:$D$4000=$AB27)*('1994 E Maize Soil VWC'!$E$2:$E$4000=AL$5),'1994 E Maize Soil VWC'!$F$2:$F$4000)</f>
        <v>0.26442602742186916</v>
      </c>
      <c r="AM27" s="4" cm="1">
        <f t="array" ref="AM27">_xlfn.XLOOKUP(1,('1994 E Maize Soil VWC'!$C$2:$C$4000=$AA27)*('1994 E Maize Soil VWC'!$D$2:$D$4000=$AB27)*('1994 E Maize Soil VWC'!$E$2:$E$4000=AM$5),'1994 E Maize Soil VWC'!$F$2:$F$4000)</f>
        <v>0.27139058494543833</v>
      </c>
      <c r="AN27" s="4" cm="1">
        <f t="array" ref="AN27">_xlfn.XLOOKUP(1,('1994 E Maize Soil VWC'!$C$2:$C$4000=$AA27)*('1994 E Maize Soil VWC'!$D$2:$D$4000=$AB27)*('1994 E Maize Soil VWC'!$E$2:$E$4000=AN$5),'1994 E Maize Soil VWC'!$F$2:$F$4000)</f>
        <v>0.28138894593571373</v>
      </c>
      <c r="AO27" s="30">
        <f>Z279</f>
        <v>0</v>
      </c>
      <c r="AP27" s="13">
        <f>AA279</f>
        <v>34334</v>
      </c>
      <c r="AQ27" s="4" t="e">
        <f>AVERAGE(AG279:AH285)*1400+AVERAGE(AG286:AH286)*100</f>
        <v>#N/A</v>
      </c>
      <c r="AR27" s="4" t="e">
        <f>AVERAGE(AC279:AF285)*1400+AVERAGE(AC286:AF286)*100</f>
        <v>#N/A</v>
      </c>
      <c r="AS27" s="4" t="e">
        <f>AVERAGE(AM279:AN285)*1400+AVERAGE(AM286:AN286)*100</f>
        <v>#N/A</v>
      </c>
      <c r="AT27" s="4" t="e">
        <f>AVERAGE(AI279:AL285)*1400+AVERAGE(AI286:AL286)*100</f>
        <v>#N/A</v>
      </c>
      <c r="AU27" s="4">
        <f>Z279</f>
        <v>0</v>
      </c>
      <c r="AV27" s="4" t="e">
        <f>AVERAGE(AC279:AD290)*2400</f>
        <v>#N/A</v>
      </c>
      <c r="AW27" s="4" t="e">
        <f>AVERAGE(AE279:AF290)*2400</f>
        <v>#N/A</v>
      </c>
      <c r="AX27" s="4" t="e">
        <f>AVERAGE(AG279:AH288)*2000</f>
        <v>#N/A</v>
      </c>
      <c r="AY27" s="4" t="e">
        <f>AVERAGE(AI279:AJ290)*2400</f>
        <v>#N/A</v>
      </c>
      <c r="AZ27" s="4" t="e">
        <f>AVERAGE(AK279:AL290)*2400</f>
        <v>#N/A</v>
      </c>
      <c r="BA27" s="4" t="e">
        <f>AVERAGE(AM279:AN290)*2400</f>
        <v>#N/A</v>
      </c>
    </row>
    <row r="28" spans="25:53" x14ac:dyDescent="0.25">
      <c r="AA28" s="19">
        <f t="shared" si="2"/>
        <v>34474</v>
      </c>
      <c r="AB28" s="4">
        <f t="shared" si="3"/>
        <v>190</v>
      </c>
      <c r="AC28" s="4" cm="1">
        <f t="array" ref="AC28">_xlfn.XLOOKUP(1,('1994 E Maize Soil VWC'!$C$2:$C$4000=$AA28)*('1994 E Maize Soil VWC'!$D$2:$D$4000=$AB28)*('1994 E Maize Soil VWC'!$E$2:$E$4000=AC$5),'1994 E Maize Soil VWC'!$F$2:$F$4000)</f>
        <v>0.21010775491797196</v>
      </c>
      <c r="AD28" s="4" cm="1">
        <f t="array" ref="AD28">_xlfn.XLOOKUP(1,('1994 E Maize Soil VWC'!$C$2:$C$4000=$AA28)*('1994 E Maize Soil VWC'!$D$2:$D$4000=$AB28)*('1994 E Maize Soil VWC'!$E$2:$E$4000=AD$5),'1994 E Maize Soil VWC'!$F$2:$F$4000)</f>
        <v>0.2610492722589266</v>
      </c>
      <c r="AE28" s="4" cm="1">
        <f t="array" ref="AE28">_xlfn.XLOOKUP(1,('1994 E Maize Soil VWC'!$C$2:$C$4000=$AA28)*('1994 E Maize Soil VWC'!$D$2:$D$4000=$AB28)*('1994 E Maize Soil VWC'!$E$2:$E$4000=AE$5),'1994 E Maize Soil VWC'!$F$2:$F$4000)</f>
        <v>0.2649272645163685</v>
      </c>
      <c r="AF28" s="4" cm="1">
        <f t="array" ref="AF28">_xlfn.XLOOKUP(1,('1994 E Maize Soil VWC'!$C$2:$C$4000=$AA28)*('1994 E Maize Soil VWC'!$D$2:$D$4000=$AB28)*('1994 E Maize Soil VWC'!$E$2:$E$4000=AF$5),'1994 E Maize Soil VWC'!$F$2:$F$4000)</f>
        <v>0.26830401967931106</v>
      </c>
      <c r="AG28" s="4" cm="1">
        <f t="array" ref="AG28">_xlfn.XLOOKUP(1,('1994 E Maize Soil VWC'!$C$2:$C$4000=$AA28)*('1994 E Maize Soil VWC'!$D$2:$D$4000=$AB28)*('1994 E Maize Soil VWC'!$E$2:$E$4000=AG$5),'1994 E Maize Soil VWC'!$F$2:$F$4000)</f>
        <v>0.23363951745972827</v>
      </c>
      <c r="AH28" s="4" cm="1">
        <f t="array" ref="AH28">_xlfn.XLOOKUP(1,('1994 E Maize Soil VWC'!$C$2:$C$4000=$AA28)*('1994 E Maize Soil VWC'!$D$2:$D$4000=$AB28)*('1994 E Maize Soil VWC'!$E$2:$E$4000=AH$5),'1994 E Maize Soil VWC'!$F$2:$F$4000)</f>
        <v>0.2558258541162497</v>
      </c>
      <c r="AI28" s="4" t="e" cm="1">
        <f t="array" ref="AI28">_xlfn.XLOOKUP(1,('1994 E Maize Soil VWC'!$C$2:$C$4000=$AA28)*('1994 E Maize Soil VWC'!$D$2:$D$4000=$AB28)*('1994 E Maize Soil VWC'!$E$2:$E$4000=AI$5),'1994 E Maize Soil VWC'!$F$2:$F$4000)</f>
        <v>#N/A</v>
      </c>
      <c r="AJ28" s="4" cm="1">
        <f t="array" ref="AJ28">_xlfn.XLOOKUP(1,('1994 E Maize Soil VWC'!$C$2:$C$4000=$AA28)*('1994 E Maize Soil VWC'!$D$2:$D$4000=$AB28)*('1994 E Maize Soil VWC'!$E$2:$E$4000=AJ$5),'1994 E Maize Soil VWC'!$F$2:$F$4000)</f>
        <v>0.25492890352609304</v>
      </c>
      <c r="AK28" s="4" cm="1">
        <f t="array" ref="AK28">_xlfn.XLOOKUP(1,('1994 E Maize Soil VWC'!$C$2:$C$4000=$AA28)*('1994 E Maize Soil VWC'!$D$2:$D$4000=$AB28)*('1994 E Maize Soil VWC'!$E$2:$E$4000=AK$5),'1994 E Maize Soil VWC'!$F$2:$F$4000)</f>
        <v>0.24946805728602178</v>
      </c>
      <c r="AL28" s="4" cm="1">
        <f t="array" ref="AL28">_xlfn.XLOOKUP(1,('1994 E Maize Soil VWC'!$C$2:$C$4000=$AA28)*('1994 E Maize Soil VWC'!$D$2:$D$4000=$AB28)*('1994 E Maize Soil VWC'!$E$2:$E$4000=AL$5),'1994 E Maize Soil VWC'!$F$2:$F$4000)</f>
        <v>0.26223641274589854</v>
      </c>
      <c r="AM28" s="4" cm="1">
        <f t="array" ref="AM28">_xlfn.XLOOKUP(1,('1994 E Maize Soil VWC'!$C$2:$C$4000=$AA28)*('1994 E Maize Soil VWC'!$D$2:$D$4000=$AB28)*('1994 E Maize Soil VWC'!$E$2:$E$4000=AM$5),'1994 E Maize Soil VWC'!$F$2:$F$4000)</f>
        <v>0.2841061786058941</v>
      </c>
      <c r="AN28" s="4" cm="1">
        <f t="array" ref="AN28">_xlfn.XLOOKUP(1,('1994 E Maize Soil VWC'!$C$2:$C$4000=$AA28)*('1994 E Maize Soil VWC'!$D$2:$D$4000=$AB28)*('1994 E Maize Soil VWC'!$E$2:$E$4000=AN$5),'1994 E Maize Soil VWC'!$F$2:$F$4000)</f>
        <v>0.28619026968302275</v>
      </c>
      <c r="AO28" s="30">
        <f>Z292</f>
        <v>0</v>
      </c>
      <c r="AP28" s="13">
        <f>AA292</f>
        <v>34334</v>
      </c>
      <c r="AQ28" s="4" t="e">
        <f>AVERAGE(AG292:AH298)*1400+AVERAGE(AG299:AH299)*100</f>
        <v>#N/A</v>
      </c>
      <c r="AR28" s="4" t="e">
        <f>AVERAGE(AC292:AF298)*1400+AVERAGE(AC299:AF299)*100</f>
        <v>#N/A</v>
      </c>
      <c r="AS28" s="4" t="e">
        <f>AVERAGE(AM292:AN298)*1400+AVERAGE(AM299:AN299)*100</f>
        <v>#N/A</v>
      </c>
      <c r="AT28" s="4" t="e">
        <f>AVERAGE(AI292:AL298)*1400+AVERAGE(AI299:AL299)*100</f>
        <v>#N/A</v>
      </c>
      <c r="AU28" s="4">
        <f>Z292</f>
        <v>0</v>
      </c>
      <c r="AV28" s="4" t="e">
        <f>AVERAGE(AC292:AD303)*2400</f>
        <v>#N/A</v>
      </c>
      <c r="AW28" s="4" t="e">
        <f>AVERAGE(AE292:AF303)*2400</f>
        <v>#N/A</v>
      </c>
      <c r="AX28" s="4" t="e">
        <f>AVERAGE(AG292:AH301)*2000</f>
        <v>#N/A</v>
      </c>
      <c r="AY28" s="4" t="e">
        <f>AVERAGE(AI292:AJ303)*2400</f>
        <v>#N/A</v>
      </c>
      <c r="AZ28" s="4" t="e">
        <f>AVERAGE(AK292:AL303)*2400</f>
        <v>#N/A</v>
      </c>
      <c r="BA28" s="4" t="e">
        <f>AVERAGE(AM292:AN303)*2400</f>
        <v>#N/A</v>
      </c>
    </row>
    <row r="29" spans="25:53" x14ac:dyDescent="0.25">
      <c r="AA29" s="19">
        <f t="shared" si="2"/>
        <v>34474</v>
      </c>
      <c r="AB29" s="4">
        <f t="shared" si="3"/>
        <v>210</v>
      </c>
      <c r="AC29" s="4" cm="1">
        <f t="array" ref="AC29">_xlfn.XLOOKUP(1,('1994 E Maize Soil VWC'!$C$2:$C$4000=$AA29)*('1994 E Maize Soil VWC'!$D$2:$D$4000=$AB29)*('1994 E Maize Soil VWC'!$E$2:$E$4000=AC$5),'1994 E Maize Soil VWC'!$F$2:$F$4000)</f>
        <v>0.1799280056491723</v>
      </c>
      <c r="AD29" s="4" cm="1">
        <f t="array" ref="AD29">_xlfn.XLOOKUP(1,('1994 E Maize Soil VWC'!$C$2:$C$4000=$AA29)*('1994 E Maize Soil VWC'!$D$2:$D$4000=$AB29)*('1994 E Maize Soil VWC'!$E$2:$E$4000=AD$5),'1994 E Maize Soil VWC'!$F$2:$F$4000)</f>
        <v>0.25047053147502041</v>
      </c>
      <c r="AE29" s="4" cm="1">
        <f t="array" ref="AE29">_xlfn.XLOOKUP(1,('1994 E Maize Soil VWC'!$C$2:$C$4000=$AA29)*('1994 E Maize Soil VWC'!$D$2:$D$4000=$AB29)*('1994 E Maize Soil VWC'!$E$2:$E$4000=AE$5),'1994 E Maize Soil VWC'!$F$2:$F$4000)</f>
        <v>0.23952245809516737</v>
      </c>
      <c r="AF29" s="4" cm="1">
        <f t="array" ref="AF29">_xlfn.XLOOKUP(1,('1994 E Maize Soil VWC'!$C$2:$C$4000=$AA29)*('1994 E Maize Soil VWC'!$D$2:$D$4000=$AB29)*('1994 E Maize Soil VWC'!$E$2:$E$4000=AF$5),'1994 E Maize Soil VWC'!$F$2:$F$4000)</f>
        <v>0.26305422063692374</v>
      </c>
      <c r="AG29" s="4" t="e" cm="1">
        <f t="array" ref="AG29">_xlfn.XLOOKUP(1,('1994 E Maize Soil VWC'!$C$2:$C$4000=$AA29)*('1994 E Maize Soil VWC'!$D$2:$D$4000=$AB29)*('1994 E Maize Soil VWC'!$E$2:$E$4000=AG$5),'1994 E Maize Soil VWC'!$F$2:$F$4000)</f>
        <v>#N/A</v>
      </c>
      <c r="AH29" s="4" t="e" cm="1">
        <f t="array" ref="AH29">_xlfn.XLOOKUP(1,('1994 E Maize Soil VWC'!$C$2:$C$4000=$AA29)*('1994 E Maize Soil VWC'!$D$2:$D$4000=$AB29)*('1994 E Maize Soil VWC'!$E$2:$E$4000=AH$5),'1994 E Maize Soil VWC'!$F$2:$F$4000)</f>
        <v>#N/A</v>
      </c>
      <c r="AI29" s="4" t="e" cm="1">
        <f t="array" ref="AI29">_xlfn.XLOOKUP(1,('1994 E Maize Soil VWC'!$C$2:$C$4000=$AA29)*('1994 E Maize Soil VWC'!$D$2:$D$4000=$AB29)*('1994 E Maize Soil VWC'!$E$2:$E$4000=AI$5),'1994 E Maize Soil VWC'!$F$2:$F$4000)</f>
        <v>#N/A</v>
      </c>
      <c r="AJ29" s="4" cm="1">
        <f t="array" ref="AJ29">_xlfn.XLOOKUP(1,('1994 E Maize Soil VWC'!$C$2:$C$4000=$AA29)*('1994 E Maize Soil VWC'!$D$2:$D$4000=$AB29)*('1994 E Maize Soil VWC'!$E$2:$E$4000=AJ$5),'1994 E Maize Soil VWC'!$F$2:$F$4000)</f>
        <v>0.24448206724073934</v>
      </c>
      <c r="AK29" s="4" cm="1">
        <f t="array" ref="AK29">_xlfn.XLOOKUP(1,('1994 E Maize Soil VWC'!$C$2:$C$4000=$AA29)*('1994 E Maize Soil VWC'!$D$2:$D$4000=$AB29)*('1994 E Maize Soil VWC'!$E$2:$E$4000=AK$5),'1994 E Maize Soil VWC'!$F$2:$F$4000)</f>
        <v>0.24917786738920639</v>
      </c>
      <c r="AL29" s="4" cm="1">
        <f t="array" ref="AL29">_xlfn.XLOOKUP(1,('1994 E Maize Soil VWC'!$C$2:$C$4000=$AA29)*('1994 E Maize Soil VWC'!$D$2:$D$4000=$AB29)*('1994 E Maize Soil VWC'!$E$2:$E$4000=AL$5),'1994 E Maize Soil VWC'!$F$2:$F$4000)</f>
        <v>0.26476897911810554</v>
      </c>
      <c r="AM29" s="4" t="e" cm="1">
        <f t="array" ref="AM29">_xlfn.XLOOKUP(1,('1994 E Maize Soil VWC'!$C$2:$C$4000=$AA29)*('1994 E Maize Soil VWC'!$D$2:$D$4000=$AB29)*('1994 E Maize Soil VWC'!$E$2:$E$4000=AM$5),'1994 E Maize Soil VWC'!$F$2:$F$4000)</f>
        <v>#N/A</v>
      </c>
      <c r="AN29" s="4" t="e" cm="1">
        <f t="array" ref="AN29">_xlfn.XLOOKUP(1,('1994 E Maize Soil VWC'!$C$2:$C$4000=$AA29)*('1994 E Maize Soil VWC'!$D$2:$D$4000=$AB29)*('1994 E Maize Soil VWC'!$E$2:$E$4000=AN$5),'1994 E Maize Soil VWC'!$F$2:$F$4000)</f>
        <v>#N/A</v>
      </c>
      <c r="AP29" s="13"/>
      <c r="AQ29" s="13"/>
      <c r="AR29" s="13"/>
    </row>
    <row r="30" spans="25:53" x14ac:dyDescent="0.25">
      <c r="AA30" s="19">
        <f t="shared" si="2"/>
        <v>34474</v>
      </c>
      <c r="AB30" s="4">
        <f t="shared" si="3"/>
        <v>230</v>
      </c>
      <c r="AC30" s="4" cm="1">
        <f t="array" ref="AC30">_xlfn.XLOOKUP(1,('1994 E Maize Soil VWC'!$C$2:$C$4000=$AA30)*('1994 E Maize Soil VWC'!$D$2:$D$4000=$AB30)*('1994 E Maize Soil VWC'!$E$2:$E$4000=AC$5),'1994 E Maize Soil VWC'!$F$2:$F$4000)</f>
        <v>0.17626106058941426</v>
      </c>
      <c r="AD30" s="4" cm="1">
        <f t="array" ref="AD30">_xlfn.XLOOKUP(1,('1994 E Maize Soil VWC'!$C$2:$C$4000=$AA30)*('1994 E Maize Soil VWC'!$D$2:$D$4000=$AB30)*('1994 E Maize Soil VWC'!$E$2:$E$4000=AD$5),'1994 E Maize Soil VWC'!$F$2:$F$4000)</f>
        <v>0.23445732535075342</v>
      </c>
      <c r="AE30" s="4" cm="1">
        <f t="array" ref="AE30">_xlfn.XLOOKUP(1,('1994 E Maize Soil VWC'!$C$2:$C$4000=$AA30)*('1994 E Maize Soil VWC'!$D$2:$D$4000=$AB30)*('1994 E Maize Soil VWC'!$E$2:$E$4000=AE$5),'1994 E Maize Soil VWC'!$F$2:$F$4000)</f>
        <v>0.23764941421572267</v>
      </c>
      <c r="AF30" s="4" cm="1">
        <f t="array" ref="AF30">_xlfn.XLOOKUP(1,('1994 E Maize Soil VWC'!$C$2:$C$4000=$AA30)*('1994 E Maize Soil VWC'!$D$2:$D$4000=$AB30)*('1994 E Maize Soil VWC'!$E$2:$E$4000=AF$5),'1994 E Maize Soil VWC'!$F$2:$F$4000)</f>
        <v>0.25727680360032662</v>
      </c>
      <c r="AG30" s="4" t="e" cm="1">
        <f t="array" ref="AG30">_xlfn.XLOOKUP(1,('1994 E Maize Soil VWC'!$C$2:$C$4000=$AA30)*('1994 E Maize Soil VWC'!$D$2:$D$4000=$AB30)*('1994 E Maize Soil VWC'!$E$2:$E$4000=AG$5),'1994 E Maize Soil VWC'!$F$2:$F$4000)</f>
        <v>#N/A</v>
      </c>
      <c r="AH30" s="4" t="e" cm="1">
        <f t="array" ref="AH30">_xlfn.XLOOKUP(1,('1994 E Maize Soil VWC'!$C$2:$C$4000=$AA30)*('1994 E Maize Soil VWC'!$D$2:$D$4000=$AB30)*('1994 E Maize Soil VWC'!$E$2:$E$4000=AH$5),'1994 E Maize Soil VWC'!$F$2:$F$4000)</f>
        <v>#N/A</v>
      </c>
      <c r="AI30" s="4" t="e" cm="1">
        <f t="array" ref="AI30">_xlfn.XLOOKUP(1,('1994 E Maize Soil VWC'!$C$2:$C$4000=$AA30)*('1994 E Maize Soil VWC'!$D$2:$D$4000=$AB30)*('1994 E Maize Soil VWC'!$E$2:$E$4000=AI$5),'1994 E Maize Soil VWC'!$F$2:$F$4000)</f>
        <v>#N/A</v>
      </c>
      <c r="AJ30" s="4" cm="1">
        <f t="array" ref="AJ30">_xlfn.XLOOKUP(1,('1994 E Maize Soil VWC'!$C$2:$C$4000=$AA30)*('1994 E Maize Soil VWC'!$D$2:$D$4000=$AB30)*('1994 E Maize Soil VWC'!$E$2:$E$4000=AJ$5),'1994 E Maize Soil VWC'!$F$2:$F$4000)</f>
        <v>0.25200062365822878</v>
      </c>
      <c r="AK30" s="4" cm="1">
        <f t="array" ref="AK30">_xlfn.XLOOKUP(1,('1994 E Maize Soil VWC'!$C$2:$C$4000=$AA30)*('1994 E Maize Soil VWC'!$D$2:$D$4000=$AB30)*('1994 E Maize Soil VWC'!$E$2:$E$4000=AK$5),'1994 E Maize Soil VWC'!$F$2:$F$4000)</f>
        <v>0.2435323548511617</v>
      </c>
      <c r="AL30" s="4" cm="1">
        <f t="array" ref="AL30">_xlfn.XLOOKUP(1,('1994 E Maize Soil VWC'!$C$2:$C$4000=$AA30)*('1994 E Maize Soil VWC'!$D$2:$D$4000=$AB30)*('1994 E Maize Soil VWC'!$E$2:$E$4000=AL$5),'1994 E Maize Soil VWC'!$F$2:$F$4000)</f>
        <v>0.25785718339395736</v>
      </c>
      <c r="AM30" s="4" t="e" cm="1">
        <f t="array" ref="AM30">_xlfn.XLOOKUP(1,('1994 E Maize Soil VWC'!$C$2:$C$4000=$AA30)*('1994 E Maize Soil VWC'!$D$2:$D$4000=$AB30)*('1994 E Maize Soil VWC'!$E$2:$E$4000=AM$5),'1994 E Maize Soil VWC'!$F$2:$F$4000)</f>
        <v>#N/A</v>
      </c>
      <c r="AN30" s="4" t="e" cm="1">
        <f t="array" ref="AN30">_xlfn.XLOOKUP(1,('1994 E Maize Soil VWC'!$C$2:$C$4000=$AA30)*('1994 E Maize Soil VWC'!$D$2:$D$4000=$AB30)*('1994 E Maize Soil VWC'!$E$2:$E$4000=AN$5),'1994 E Maize Soil VWC'!$F$2:$F$4000)</f>
        <v>#N/A</v>
      </c>
      <c r="AP30" s="4" t="s">
        <v>119</v>
      </c>
      <c r="AQ30" s="13"/>
      <c r="AR30" s="13"/>
    </row>
    <row r="31" spans="25:53" x14ac:dyDescent="0.25">
      <c r="AA31" s="19"/>
    </row>
    <row r="32" spans="25:53" x14ac:dyDescent="0.25">
      <c r="Y32" s="4">
        <f>Y19</f>
        <v>1994</v>
      </c>
      <c r="Z32" s="4">
        <v>153</v>
      </c>
      <c r="AA32" s="19">
        <f>DATE(Y32,1,Z32)</f>
        <v>34487</v>
      </c>
      <c r="AB32" s="4">
        <v>10</v>
      </c>
      <c r="AC32" s="4" cm="1">
        <f t="array" ref="AC32">_xlfn.XLOOKUP(1,('1994 E Maize Soil VWC'!$C$2:$C$4000=$AA32)*('1994 E Maize Soil VWC'!$D$2:$D$4000=$AB32)*('1994 E Maize Soil VWC'!$E$2:$E$4000=AC$5),'1994 E Maize Soil VWC'!$F$2:$F$4000)</f>
        <v>0.24066364990498107</v>
      </c>
      <c r="AD32" s="4" cm="1">
        <f t="array" ref="AD32">_xlfn.XLOOKUP(1,('1994 E Maize Soil VWC'!$C$2:$C$4000=$AA32)*('1994 E Maize Soil VWC'!$D$2:$D$4000=$AB32)*('1994 E Maize Soil VWC'!$E$2:$E$4000=AD$5),'1994 E Maize Soil VWC'!$F$2:$F$4000)</f>
        <v>0.21933204064063544</v>
      </c>
      <c r="AE32" s="4" cm="1">
        <f t="array" ref="AE32">_xlfn.XLOOKUP(1,('1994 E Maize Soil VWC'!$C$2:$C$4000=$AA32)*('1994 E Maize Soil VWC'!$D$2:$D$4000=$AB32)*('1994 E Maize Soil VWC'!$E$2:$E$4000=AE$5),'1994 E Maize Soil VWC'!$F$2:$F$4000)</f>
        <v>0.24635583626085666</v>
      </c>
      <c r="AF32" s="4" cm="1">
        <f t="array" ref="AF32">_xlfn.XLOOKUP(1,('1994 E Maize Soil VWC'!$C$2:$C$4000=$AA32)*('1994 E Maize Soil VWC'!$D$2:$D$4000=$AB32)*('1994 E Maize Soil VWC'!$E$2:$E$4000=AF$5),'1994 E Maize Soil VWC'!$F$2:$F$4000)</f>
        <v>0.24500323752282682</v>
      </c>
      <c r="AG32" s="4" cm="1">
        <f t="array" ref="AG32">_xlfn.XLOOKUP(1,('1994 E Maize Soil VWC'!$C$2:$C$4000=$AA32)*('1994 E Maize Soil VWC'!$D$2:$D$4000=$AB32)*('1994 E Maize Soil VWC'!$E$2:$E$4000=AG$5),'1994 E Maize Soil VWC'!$F$2:$F$4000)</f>
        <v>0.20417166311855095</v>
      </c>
      <c r="AH32" s="4" cm="1">
        <f t="array" ref="AH32">_xlfn.XLOOKUP(1,('1994 E Maize Soil VWC'!$C$2:$C$4000=$AA32)*('1994 E Maize Soil VWC'!$D$2:$D$4000=$AB32)*('1994 E Maize Soil VWC'!$E$2:$E$4000=AH$5),'1994 E Maize Soil VWC'!$F$2:$F$4000)</f>
        <v>0.19771863997253358</v>
      </c>
      <c r="AI32" s="4" cm="1">
        <f t="array" ref="AI32">_xlfn.XLOOKUP(1,('1994 E Maize Soil VWC'!$C$2:$C$4000=$AA32)*('1994 E Maize Soil VWC'!$D$2:$D$4000=$AB32)*('1994 E Maize Soil VWC'!$E$2:$E$4000=AI$5),'1994 E Maize Soil VWC'!$F$2:$F$4000)</f>
        <v>0.24655309024348598</v>
      </c>
      <c r="AJ32" s="4" cm="1">
        <f t="array" ref="AJ32">_xlfn.XLOOKUP(1,('1994 E Maize Soil VWC'!$C$2:$C$4000=$AA32)*('1994 E Maize Soil VWC'!$D$2:$D$4000=$AB32)*('1994 E Maize Soil VWC'!$E$2:$E$4000=AJ$5),'1994 E Maize Soil VWC'!$F$2:$F$4000)</f>
        <v>0.25965639051815009</v>
      </c>
      <c r="AK32" s="4" cm="1">
        <f t="array" ref="AK32">_xlfn.XLOOKUP(1,('1994 E Maize Soil VWC'!$C$2:$C$4000=$AA32)*('1994 E Maize Soil VWC'!$D$2:$D$4000=$AB32)*('1994 E Maize Soil VWC'!$E$2:$E$4000=AK$5),'1994 E Maize Soil VWC'!$F$2:$F$4000)</f>
        <v>0.25156897723034666</v>
      </c>
      <c r="AL32" s="4" cm="1">
        <f t="array" ref="AL32">_xlfn.XLOOKUP(1,('1994 E Maize Soil VWC'!$C$2:$C$4000=$AA32)*('1994 E Maize Soil VWC'!$D$2:$D$4000=$AB32)*('1994 E Maize Soil VWC'!$E$2:$E$4000=AL$5),'1994 E Maize Soil VWC'!$F$2:$F$4000)</f>
        <v>0.24494687924207559</v>
      </c>
      <c r="AM32" s="4" cm="1">
        <f t="array" ref="AM32">_xlfn.XLOOKUP(1,('1994 E Maize Soil VWC'!$C$2:$C$4000=$AA32)*('1994 E Maize Soil VWC'!$D$2:$D$4000=$AB32)*('1994 E Maize Soil VWC'!$E$2:$E$4000=AM$5),'1994 E Maize Soil VWC'!$F$2:$F$4000)</f>
        <v>0.23060369679088411</v>
      </c>
      <c r="AN32" s="4" cm="1">
        <f t="array" ref="AN32">_xlfn.XLOOKUP(1,('1994 E Maize Soil VWC'!$C$2:$C$4000=$AA32)*('1994 E Maize Soil VWC'!$D$2:$D$4000=$AB32)*('1994 E Maize Soil VWC'!$E$2:$E$4000=AN$5),'1994 E Maize Soil VWC'!$F$2:$F$4000)</f>
        <v>0.2308291299138891</v>
      </c>
    </row>
    <row r="33" spans="25:40" x14ac:dyDescent="0.25">
      <c r="AA33" s="19">
        <f t="shared" ref="AA33:AA43" si="4">AA32</f>
        <v>34487</v>
      </c>
      <c r="AB33" s="4">
        <f t="shared" ref="AB33:AB43" si="5">AB32+20</f>
        <v>30</v>
      </c>
      <c r="AC33" s="4" cm="1">
        <f t="array" ref="AC33">_xlfn.XLOOKUP(1,('1994 E Maize Soil VWC'!$C$2:$C$4000=$AA33)*('1994 E Maize Soil VWC'!$D$2:$D$4000=$AB33)*('1994 E Maize Soil VWC'!$E$2:$E$4000=AC$5),'1994 E Maize Soil VWC'!$F$2:$F$4000)</f>
        <v>0.2194691256823299</v>
      </c>
      <c r="AD33" s="4" cm="1">
        <f t="array" ref="AD33">_xlfn.XLOOKUP(1,('1994 E Maize Soil VWC'!$C$2:$C$4000=$AA33)*('1994 E Maize Soil VWC'!$D$2:$D$4000=$AB33)*('1994 E Maize Soil VWC'!$E$2:$E$4000=AD$5),'1994 E Maize Soil VWC'!$F$2:$F$4000)</f>
        <v>0.18699490526810675</v>
      </c>
      <c r="AE33" s="4" cm="1">
        <f t="array" ref="AE33">_xlfn.XLOOKUP(1,('1994 E Maize Soil VWC'!$C$2:$C$4000=$AA33)*('1994 E Maize Soil VWC'!$D$2:$D$4000=$AB33)*('1994 E Maize Soil VWC'!$E$2:$E$4000=AE$5),'1994 E Maize Soil VWC'!$F$2:$F$4000)</f>
        <v>0.25252324288966416</v>
      </c>
      <c r="AF33" s="4" cm="1">
        <f t="array" ref="AF33">_xlfn.XLOOKUP(1,('1994 E Maize Soil VWC'!$C$2:$C$4000=$AA33)*('1994 E Maize Soil VWC'!$D$2:$D$4000=$AB33)*('1994 E Maize Soil VWC'!$E$2:$E$4000=AF$5),'1994 E Maize Soil VWC'!$F$2:$F$4000)</f>
        <v>0.23548072046989826</v>
      </c>
      <c r="AG33" s="4" cm="1">
        <f t="array" ref="AG33">_xlfn.XLOOKUP(1,('1994 E Maize Soil VWC'!$C$2:$C$4000=$AA33)*('1994 E Maize Soil VWC'!$D$2:$D$4000=$AB33)*('1994 E Maize Soil VWC'!$E$2:$E$4000=AG$5),'1994 E Maize Soil VWC'!$F$2:$F$4000)</f>
        <v>0.29617658481552966</v>
      </c>
      <c r="AH33" s="4" cm="1">
        <f t="array" ref="AH33">_xlfn.XLOOKUP(1,('1994 E Maize Soil VWC'!$C$2:$C$4000=$AA33)*('1994 E Maize Soil VWC'!$D$2:$D$4000=$AB33)*('1994 E Maize Soil VWC'!$E$2:$E$4000=AH$5),'1994 E Maize Soil VWC'!$F$2:$F$4000)</f>
        <v>0.2306482471939722</v>
      </c>
      <c r="AI33" s="4" cm="1">
        <f t="array" ref="AI33">_xlfn.XLOOKUP(1,('1994 E Maize Soil VWC'!$C$2:$C$4000=$AA33)*('1994 E Maize Soil VWC'!$D$2:$D$4000=$AB33)*('1994 E Maize Soil VWC'!$E$2:$E$4000=AI$5),'1994 E Maize Soil VWC'!$F$2:$F$4000)</f>
        <v>0.21048072538910745</v>
      </c>
      <c r="AJ33" s="4" cm="1">
        <f t="array" ref="AJ33">_xlfn.XLOOKUP(1,('1994 E Maize Soil VWC'!$C$2:$C$4000=$AA33)*('1994 E Maize Soil VWC'!$D$2:$D$4000=$AB33)*('1994 E Maize Soil VWC'!$E$2:$E$4000=AJ$5),'1994 E Maize Soil VWC'!$F$2:$F$4000)</f>
        <v>0.25700133479202236</v>
      </c>
      <c r="AK33" s="4" cm="1">
        <f t="array" ref="AK33">_xlfn.XLOOKUP(1,('1994 E Maize Soil VWC'!$C$2:$C$4000=$AA33)*('1994 E Maize Soil VWC'!$D$2:$D$4000=$AB33)*('1994 E Maize Soil VWC'!$E$2:$E$4000=AK$5),'1994 E Maize Soil VWC'!$F$2:$F$4000)</f>
        <v>0.25893432410239275</v>
      </c>
      <c r="AL33" s="4" cm="1">
        <f t="array" ref="AL33">_xlfn.XLOOKUP(1,('1994 E Maize Soil VWC'!$C$2:$C$4000=$AA33)*('1994 E Maize Soil VWC'!$D$2:$D$4000=$AB33)*('1994 E Maize Soil VWC'!$E$2:$E$4000=AL$5),'1994 E Maize Soil VWC'!$F$2:$F$4000)</f>
        <v>0.2681804563036646</v>
      </c>
      <c r="AM33" s="4" cm="1">
        <f t="array" ref="AM33">_xlfn.XLOOKUP(1,('1994 E Maize Soil VWC'!$C$2:$C$4000=$AA33)*('1994 E Maize Soil VWC'!$D$2:$D$4000=$AB33)*('1994 E Maize Soil VWC'!$E$2:$E$4000=AM$5),'1994 E Maize Soil VWC'!$F$2:$F$4000)</f>
        <v>0.30677580953406081</v>
      </c>
      <c r="AN33" s="4" cm="1">
        <f t="array" ref="AN33">_xlfn.XLOOKUP(1,('1994 E Maize Soil VWC'!$C$2:$C$4000=$AA33)*('1994 E Maize Soil VWC'!$D$2:$D$4000=$AB33)*('1994 E Maize Soil VWC'!$E$2:$E$4000=AN$5),'1994 E Maize Soil VWC'!$F$2:$F$4000)</f>
        <v>0.30181447030411002</v>
      </c>
    </row>
    <row r="34" spans="25:40" x14ac:dyDescent="0.25">
      <c r="AA34" s="19">
        <f t="shared" si="4"/>
        <v>34487</v>
      </c>
      <c r="AB34" s="4">
        <f t="shared" si="5"/>
        <v>50</v>
      </c>
      <c r="AC34" s="4" cm="1">
        <f t="array" ref="AC34">_xlfn.XLOOKUP(1,('1994 E Maize Soil VWC'!$C$2:$C$4000=$AA34)*('1994 E Maize Soil VWC'!$D$2:$D$4000=$AB34)*('1994 E Maize Soil VWC'!$E$2:$E$4000=AC$5),'1994 E Maize Soil VWC'!$F$2:$F$4000)</f>
        <v>0.21695623957884835</v>
      </c>
      <c r="AD34" s="4" cm="1">
        <f t="array" ref="AD34">_xlfn.XLOOKUP(1,('1994 E Maize Soil VWC'!$C$2:$C$4000=$AA34)*('1994 E Maize Soil VWC'!$D$2:$D$4000=$AB34)*('1994 E Maize Soil VWC'!$E$2:$E$4000=AD$5),'1994 E Maize Soil VWC'!$F$2:$F$4000)</f>
        <v>0.22091886766510771</v>
      </c>
      <c r="AE34" s="4" cm="1">
        <f t="array" ref="AE34">_xlfn.XLOOKUP(1,('1994 E Maize Soil VWC'!$C$2:$C$4000=$AA34)*('1994 E Maize Soil VWC'!$D$2:$D$4000=$AB34)*('1994 E Maize Soil VWC'!$E$2:$E$4000=AE$5),'1994 E Maize Soil VWC'!$F$2:$F$4000)</f>
        <v>0.24224618305619477</v>
      </c>
      <c r="AF34" s="4" cm="1">
        <f t="array" ref="AF34">_xlfn.XLOOKUP(1,('1994 E Maize Soil VWC'!$C$2:$C$4000=$AA34)*('1994 E Maize Soil VWC'!$D$2:$D$4000=$AB34)*('1994 E Maize Soil VWC'!$E$2:$E$4000=AF$5),'1994 E Maize Soil VWC'!$F$2:$F$4000)</f>
        <v>0.24582221328038006</v>
      </c>
      <c r="AG34" s="4" cm="1">
        <f t="array" ref="AG34">_xlfn.XLOOKUP(1,('1994 E Maize Soil VWC'!$C$2:$C$4000=$AA34)*('1994 E Maize Soil VWC'!$D$2:$D$4000=$AB34)*('1994 E Maize Soil VWC'!$E$2:$E$4000=AG$5),'1994 E Maize Soil VWC'!$F$2:$F$4000)</f>
        <v>0.25825777784376314</v>
      </c>
      <c r="AH34" s="4" cm="1">
        <f t="array" ref="AH34">_xlfn.XLOOKUP(1,('1994 E Maize Soil VWC'!$C$2:$C$4000=$AA34)*('1994 E Maize Soil VWC'!$D$2:$D$4000=$AB34)*('1994 E Maize Soil VWC'!$E$2:$E$4000=AH$5),'1994 E Maize Soil VWC'!$F$2:$F$4000)</f>
        <v>0.21379902370524334</v>
      </c>
      <c r="AI34" s="4" cm="1">
        <f t="array" ref="AI34">_xlfn.XLOOKUP(1,('1994 E Maize Soil VWC'!$C$2:$C$4000=$AA34)*('1994 E Maize Soil VWC'!$D$2:$D$4000=$AB34)*('1994 E Maize Soil VWC'!$E$2:$E$4000=AI$5),'1994 E Maize Soil VWC'!$F$2:$F$4000)</f>
        <v>0.25816112837824456</v>
      </c>
      <c r="AJ34" s="4" cm="1">
        <f t="array" ref="AJ34">_xlfn.XLOOKUP(1,('1994 E Maize Soil VWC'!$C$2:$C$4000=$AA34)*('1994 E Maize Soil VWC'!$D$2:$D$4000=$AB34)*('1994 E Maize Soil VWC'!$E$2:$E$4000=AJ$5),'1994 E Maize Soil VWC'!$F$2:$F$4000)</f>
        <v>0.27671782575780068</v>
      </c>
      <c r="AK34" s="4" cm="1">
        <f t="array" ref="AK34">_xlfn.XLOOKUP(1,('1994 E Maize Soil VWC'!$C$2:$C$4000=$AA34)*('1994 E Maize Soil VWC'!$D$2:$D$4000=$AB34)*('1994 E Maize Soil VWC'!$E$2:$E$4000=AK$5),'1994 E Maize Soil VWC'!$F$2:$F$4000)</f>
        <v>0.26737504409101026</v>
      </c>
      <c r="AL34" s="4" cm="1">
        <f t="array" ref="AL34">_xlfn.XLOOKUP(1,('1994 E Maize Soil VWC'!$C$2:$C$4000=$AA34)*('1994 E Maize Soil VWC'!$D$2:$D$4000=$AB34)*('1994 E Maize Soil VWC'!$E$2:$E$4000=AL$5),'1994 E Maize Soil VWC'!$F$2:$F$4000)</f>
        <v>0.29040983337292453</v>
      </c>
      <c r="AM34" s="4" cm="1">
        <f t="array" ref="AM34">_xlfn.XLOOKUP(1,('1994 E Maize Soil VWC'!$C$2:$C$4000=$AA34)*('1994 E Maize Soil VWC'!$D$2:$D$4000=$AB34)*('1994 E Maize Soil VWC'!$E$2:$E$4000=AM$5),'1994 E Maize Soil VWC'!$F$2:$F$4000)</f>
        <v>0.27323844499913391</v>
      </c>
      <c r="AN34" s="4" cm="1">
        <f t="array" ref="AN34">_xlfn.XLOOKUP(1,('1994 E Maize Soil VWC'!$C$2:$C$4000=$AA34)*('1994 E Maize Soil VWC'!$D$2:$D$4000=$AB34)*('1994 E Maize Soil VWC'!$E$2:$E$4000=AN$5),'1994 E Maize Soil VWC'!$F$2:$F$4000)</f>
        <v>0.27159540408531901</v>
      </c>
    </row>
    <row r="35" spans="25:40" x14ac:dyDescent="0.25">
      <c r="AA35" s="19">
        <f t="shared" si="4"/>
        <v>34487</v>
      </c>
      <c r="AB35" s="4">
        <f t="shared" si="5"/>
        <v>70</v>
      </c>
      <c r="AC35" s="4" cm="1">
        <f t="array" ref="AC35">_xlfn.XLOOKUP(1,('1994 E Maize Soil VWC'!$C$2:$C$4000=$AA35)*('1994 E Maize Soil VWC'!$D$2:$D$4000=$AB35)*('1994 E Maize Soil VWC'!$E$2:$E$4000=AC$5),'1994 E Maize Soil VWC'!$F$2:$F$4000)</f>
        <v>0.20761345791205793</v>
      </c>
      <c r="AD35" s="4" cm="1">
        <f t="array" ref="AD35">_xlfn.XLOOKUP(1,('1994 E Maize Soil VWC'!$C$2:$C$4000=$AA35)*('1994 E Maize Soil VWC'!$D$2:$D$4000=$AB35)*('1994 E Maize Soil VWC'!$E$2:$E$4000=AD$5),'1994 E Maize Soil VWC'!$F$2:$F$4000)</f>
        <v>0.20729129302699623</v>
      </c>
      <c r="AE35" s="4" cm="1">
        <f t="array" ref="AE35">_xlfn.XLOOKUP(1,('1994 E Maize Soil VWC'!$C$2:$C$4000=$AA35)*('1994 E Maize Soil VWC'!$D$2:$D$4000=$AB35)*('1994 E Maize Soil VWC'!$E$2:$E$4000=AE$5),'1994 E Maize Soil VWC'!$F$2:$F$4000)</f>
        <v>0.21934025972830523</v>
      </c>
      <c r="AF35" s="4" cm="1">
        <f t="array" ref="AF35">_xlfn.XLOOKUP(1,('1994 E Maize Soil VWC'!$C$2:$C$4000=$AA35)*('1994 E Maize Soil VWC'!$D$2:$D$4000=$AB35)*('1994 E Maize Soil VWC'!$E$2:$E$4000=AF$5),'1994 E Maize Soil VWC'!$F$2:$F$4000)</f>
        <v>0.20348974738326775</v>
      </c>
      <c r="AG35" s="4" cm="1">
        <f t="array" ref="AG35">_xlfn.XLOOKUP(1,('1994 E Maize Soil VWC'!$C$2:$C$4000=$AA35)*('1994 E Maize Soil VWC'!$D$2:$D$4000=$AB35)*('1994 E Maize Soil VWC'!$E$2:$E$4000=AG$5),'1994 E Maize Soil VWC'!$F$2:$F$4000)</f>
        <v>0.2110284056937124</v>
      </c>
      <c r="AH35" s="4" cm="1">
        <f t="array" ref="AH35">_xlfn.XLOOKUP(1,('1994 E Maize Soil VWC'!$C$2:$C$4000=$AA35)*('1994 E Maize Soil VWC'!$D$2:$D$4000=$AB35)*('1994 E Maize Soil VWC'!$E$2:$E$4000=AH$5),'1994 E Maize Soil VWC'!$F$2:$F$4000)</f>
        <v>0.20532608722811962</v>
      </c>
      <c r="AI35" s="4" cm="1">
        <f t="array" ref="AI35">_xlfn.XLOOKUP(1,('1994 E Maize Soil VWC'!$C$2:$C$4000=$AA35)*('1994 E Maize Soil VWC'!$D$2:$D$4000=$AB35)*('1994 E Maize Soil VWC'!$E$2:$E$4000=AI$5),'1994 E Maize Soil VWC'!$F$2:$F$4000)</f>
        <v>0.25168561418850371</v>
      </c>
      <c r="AJ35" s="4" cm="1">
        <f t="array" ref="AJ35">_xlfn.XLOOKUP(1,('1994 E Maize Soil VWC'!$C$2:$C$4000=$AA35)*('1994 E Maize Soil VWC'!$D$2:$D$4000=$AB35)*('1994 E Maize Soil VWC'!$E$2:$E$4000=AJ$5),'1994 E Maize Soil VWC'!$F$2:$F$4000)</f>
        <v>0.27050004347610912</v>
      </c>
      <c r="AK35" s="4" cm="1">
        <f t="array" ref="AK35">_xlfn.XLOOKUP(1,('1994 E Maize Soil VWC'!$C$2:$C$4000=$AA35)*('1994 E Maize Soil VWC'!$D$2:$D$4000=$AB35)*('1994 E Maize Soil VWC'!$E$2:$E$4000=AK$5),'1994 E Maize Soil VWC'!$F$2:$F$4000)</f>
        <v>0.26038406608517062</v>
      </c>
      <c r="AL35" s="4" cm="1">
        <f t="array" ref="AL35">_xlfn.XLOOKUP(1,('1994 E Maize Soil VWC'!$C$2:$C$4000=$AA35)*('1994 E Maize Soil VWC'!$D$2:$D$4000=$AB35)*('1994 E Maize Soil VWC'!$E$2:$E$4000=AL$5),'1994 E Maize Soil VWC'!$F$2:$F$4000)</f>
        <v>0.26769720897607208</v>
      </c>
      <c r="AM35" s="4" cm="1">
        <f t="array" ref="AM35">_xlfn.XLOOKUP(1,('1994 E Maize Soil VWC'!$C$2:$C$4000=$AA35)*('1994 E Maize Soil VWC'!$D$2:$D$4000=$AB35)*('1994 E Maize Soil VWC'!$E$2:$E$4000=AM$5),'1994 E Maize Soil VWC'!$F$2:$F$4000)</f>
        <v>0.27758767094746734</v>
      </c>
      <c r="AN35" s="4" cm="1">
        <f t="array" ref="AN35">_xlfn.XLOOKUP(1,('1994 E Maize Soil VWC'!$C$2:$C$4000=$AA35)*('1994 E Maize Soil VWC'!$D$2:$D$4000=$AB35)*('1994 E Maize Soil VWC'!$E$2:$E$4000=AN$5),'1994 E Maize Soil VWC'!$F$2:$F$4000)</f>
        <v>0.27581576407962777</v>
      </c>
    </row>
    <row r="36" spans="25:40" x14ac:dyDescent="0.25">
      <c r="AA36" s="19">
        <f t="shared" si="4"/>
        <v>34487</v>
      </c>
      <c r="AB36" s="4">
        <f t="shared" si="5"/>
        <v>90</v>
      </c>
      <c r="AC36" s="4" cm="1">
        <f t="array" ref="AC36">_xlfn.XLOOKUP(1,('1994 E Maize Soil VWC'!$C$2:$C$4000=$AA36)*('1994 E Maize Soil VWC'!$D$2:$D$4000=$AB36)*('1994 E Maize Soil VWC'!$E$2:$E$4000=AC$5),'1994 E Maize Soil VWC'!$F$2:$F$4000)</f>
        <v>0.21218819927993465</v>
      </c>
      <c r="AD36" s="4" cm="1">
        <f t="array" ref="AD36">_xlfn.XLOOKUP(1,('1994 E Maize Soil VWC'!$C$2:$C$4000=$AA36)*('1994 E Maize Soil VWC'!$D$2:$D$4000=$AB36)*('1994 E Maize Soil VWC'!$E$2:$E$4000=AD$5),'1994 E Maize Soil VWC'!$F$2:$F$4000)</f>
        <v>0.20191113944646522</v>
      </c>
      <c r="AE36" s="4" cm="1">
        <f t="array" ref="AE36">_xlfn.XLOOKUP(1,('1994 E Maize Soil VWC'!$C$2:$C$4000=$AA36)*('1994 E Maize Soil VWC'!$D$2:$D$4000=$AB36)*('1994 E Maize Soil VWC'!$E$2:$E$4000=AE$5),'1994 E Maize Soil VWC'!$F$2:$F$4000)</f>
        <v>0.21869592995818177</v>
      </c>
      <c r="AF36" s="4" cm="1">
        <f t="array" ref="AF36">_xlfn.XLOOKUP(1,('1994 E Maize Soil VWC'!$C$2:$C$4000=$AA36)*('1994 E Maize Soil VWC'!$D$2:$D$4000=$AB36)*('1994 E Maize Soil VWC'!$E$2:$E$4000=AF$5),'1994 E Maize Soil VWC'!$F$2:$F$4000)</f>
        <v>0.20661474676836661</v>
      </c>
      <c r="AG36" s="4" cm="1">
        <f t="array" ref="AG36">_xlfn.XLOOKUP(1,('1994 E Maize Soil VWC'!$C$2:$C$4000=$AA36)*('1994 E Maize Soil VWC'!$D$2:$D$4000=$AB36)*('1994 E Maize Soil VWC'!$E$2:$E$4000=AG$5),'1994 E Maize Soil VWC'!$F$2:$F$4000)</f>
        <v>0.19804516082572438</v>
      </c>
      <c r="AH36" s="4" cm="1">
        <f t="array" ref="AH36">_xlfn.XLOOKUP(1,('1994 E Maize Soil VWC'!$C$2:$C$4000=$AA36)*('1994 E Maize Soil VWC'!$D$2:$D$4000=$AB36)*('1994 E Maize Soil VWC'!$E$2:$E$4000=AH$5),'1994 E Maize Soil VWC'!$F$2:$F$4000)</f>
        <v>0.20709799409595919</v>
      </c>
      <c r="AI36" s="4" cm="1">
        <f t="array" ref="AI36">_xlfn.XLOOKUP(1,('1994 E Maize Soil VWC'!$C$2:$C$4000=$AA36)*('1994 E Maize Soil VWC'!$D$2:$D$4000=$AB36)*('1994 E Maize Soil VWC'!$E$2:$E$4000=AI$5),'1994 E Maize Soil VWC'!$F$2:$F$4000)</f>
        <v>0.25993303524608413</v>
      </c>
      <c r="AJ36" s="4" cm="1">
        <f t="array" ref="AJ36">_xlfn.XLOOKUP(1,('1994 E Maize Soil VWC'!$C$2:$C$4000=$AA36)*('1994 E Maize Soil VWC'!$D$2:$D$4000=$AB36)*('1994 E Maize Soil VWC'!$E$2:$E$4000=AJ$5),'1994 E Maize Soil VWC'!$F$2:$F$4000)</f>
        <v>0.27211086790141786</v>
      </c>
      <c r="AK36" s="4" cm="1">
        <f t="array" ref="AK36">_xlfn.XLOOKUP(1,('1994 E Maize Soil VWC'!$C$2:$C$4000=$AA36)*('1994 E Maize Soil VWC'!$D$2:$D$4000=$AB36)*('1994 E Maize Soil VWC'!$E$2:$E$4000=AK$5),'1994 E Maize Soil VWC'!$F$2:$F$4000)</f>
        <v>0.26834153874619548</v>
      </c>
      <c r="AL36" s="4" cm="1">
        <f t="array" ref="AL36">_xlfn.XLOOKUP(1,('1994 E Maize Soil VWC'!$C$2:$C$4000=$AA36)*('1994 E Maize Soil VWC'!$D$2:$D$4000=$AB36)*('1994 E Maize Soil VWC'!$E$2:$E$4000=AL$5),'1994 E Maize Soil VWC'!$F$2:$F$4000)</f>
        <v>0.24769076961373809</v>
      </c>
      <c r="AM36" s="4" cm="1">
        <f t="array" ref="AM36">_xlfn.XLOOKUP(1,('1994 E Maize Soil VWC'!$C$2:$C$4000=$AA36)*('1994 E Maize Soil VWC'!$D$2:$D$4000=$AB36)*('1994 E Maize Soil VWC'!$E$2:$E$4000=AM$5),'1994 E Maize Soil VWC'!$F$2:$F$4000)</f>
        <v>0.27472040347041787</v>
      </c>
      <c r="AN36" s="4" cm="1">
        <f t="array" ref="AN36">_xlfn.XLOOKUP(1,('1994 E Maize Soil VWC'!$C$2:$C$4000=$AA36)*('1994 E Maize Soil VWC'!$D$2:$D$4000=$AB36)*('1994 E Maize Soil VWC'!$E$2:$E$4000=AN$5),'1994 E Maize Soil VWC'!$F$2:$F$4000)</f>
        <v>0.27465597049340551</v>
      </c>
    </row>
    <row r="37" spans="25:40" x14ac:dyDescent="0.25">
      <c r="AA37" s="19">
        <f t="shared" si="4"/>
        <v>34487</v>
      </c>
      <c r="AB37" s="4">
        <f t="shared" si="5"/>
        <v>110</v>
      </c>
      <c r="AC37" s="4" cm="1">
        <f t="array" ref="AC37">_xlfn.XLOOKUP(1,('1994 E Maize Soil VWC'!$C$2:$C$4000=$AA37)*('1994 E Maize Soil VWC'!$D$2:$D$4000=$AB37)*('1994 E Maize Soil VWC'!$E$2:$E$4000=AC$5),'1994 E Maize Soil VWC'!$F$2:$F$4000)</f>
        <v>0.23493304016529332</v>
      </c>
      <c r="AD37" s="4" cm="1">
        <f t="array" ref="AD37">_xlfn.XLOOKUP(1,('1994 E Maize Soil VWC'!$C$2:$C$4000=$AA37)*('1994 E Maize Soil VWC'!$D$2:$D$4000=$AB37)*('1994 E Maize Soil VWC'!$E$2:$E$4000=AD$5),'1994 E Maize Soil VWC'!$F$2:$F$4000)</f>
        <v>0.2110606221822186</v>
      </c>
      <c r="AE37" s="4" cm="1">
        <f t="array" ref="AE37">_xlfn.XLOOKUP(1,('1994 E Maize Soil VWC'!$C$2:$C$4000=$AA37)*('1994 E Maize Soil VWC'!$D$2:$D$4000=$AB37)*('1994 E Maize Soil VWC'!$E$2:$E$4000=AE$5),'1994 E Maize Soil VWC'!$F$2:$F$4000)</f>
        <v>0.23867015283200949</v>
      </c>
      <c r="AF37" s="4" cm="1">
        <f t="array" ref="AF37">_xlfn.XLOOKUP(1,('1994 E Maize Soil VWC'!$C$2:$C$4000=$AA37)*('1994 E Maize Soil VWC'!$D$2:$D$4000=$AB37)*('1994 E Maize Soil VWC'!$E$2:$E$4000=AF$5),'1994 E Maize Soil VWC'!$F$2:$F$4000)</f>
        <v>0.24556448137233061</v>
      </c>
      <c r="AG37" s="4" cm="1">
        <f t="array" ref="AG37">_xlfn.XLOOKUP(1,('1994 E Maize Soil VWC'!$C$2:$C$4000=$AA37)*('1994 E Maize Soil VWC'!$D$2:$D$4000=$AB37)*('1994 E Maize Soil VWC'!$E$2:$E$4000=AG$5),'1994 E Maize Soil VWC'!$F$2:$F$4000)</f>
        <v>0.21969464110187314</v>
      </c>
      <c r="AH37" s="4" cm="1">
        <f t="array" ref="AH37">_xlfn.XLOOKUP(1,('1994 E Maize Soil VWC'!$C$2:$C$4000=$AA37)*('1994 E Maize Soil VWC'!$D$2:$D$4000=$AB37)*('1994 E Maize Soil VWC'!$E$2:$E$4000=AH$5),'1994 E Maize Soil VWC'!$F$2:$F$4000)</f>
        <v>0.22214309422834233</v>
      </c>
      <c r="AI37" s="4" cm="1">
        <f t="array" ref="AI37">_xlfn.XLOOKUP(1,('1994 E Maize Soil VWC'!$C$2:$C$4000=$AA37)*('1994 E Maize Soil VWC'!$D$2:$D$4000=$AB37)*('1994 E Maize Soil VWC'!$E$2:$E$4000=AI$5),'1994 E Maize Soil VWC'!$F$2:$F$4000)</f>
        <v>0.27984282514289949</v>
      </c>
      <c r="AJ37" s="4" cm="1">
        <f t="array" ref="AJ37">_xlfn.XLOOKUP(1,('1994 E Maize Soil VWC'!$C$2:$C$4000=$AA37)*('1994 E Maize Soil VWC'!$D$2:$D$4000=$AB37)*('1994 E Maize Soil VWC'!$E$2:$E$4000=AJ$5),'1994 E Maize Soil VWC'!$F$2:$F$4000)</f>
        <v>0.28364437078662802</v>
      </c>
      <c r="AK37" s="4" cm="1">
        <f t="array" ref="AK37">_xlfn.XLOOKUP(1,('1994 E Maize Soil VWC'!$C$2:$C$4000=$AA37)*('1994 E Maize Soil VWC'!$D$2:$D$4000=$AB37)*('1994 E Maize Soil VWC'!$E$2:$E$4000=AK$5),'1994 E Maize Soil VWC'!$F$2:$F$4000)</f>
        <v>0.27584798056813398</v>
      </c>
      <c r="AL37" s="4" cm="1">
        <f t="array" ref="AL37">_xlfn.XLOOKUP(1,('1994 E Maize Soil VWC'!$C$2:$C$4000=$AA37)*('1994 E Maize Soil VWC'!$D$2:$D$4000=$AB37)*('1994 E Maize Soil VWC'!$E$2:$E$4000=AL$5),'1994 E Maize Soil VWC'!$F$2:$F$4000)</f>
        <v>0.25065468655630613</v>
      </c>
      <c r="AM37" s="4" cm="1">
        <f t="array" ref="AM37">_xlfn.XLOOKUP(1,('1994 E Maize Soil VWC'!$C$2:$C$4000=$AA37)*('1994 E Maize Soil VWC'!$D$2:$D$4000=$AB37)*('1994 E Maize Soil VWC'!$E$2:$E$4000=AM$5),'1994 E Maize Soil VWC'!$F$2:$F$4000)</f>
        <v>0.27997169109692421</v>
      </c>
      <c r="AN37" s="4" cm="1">
        <f t="array" ref="AN37">_xlfn.XLOOKUP(1,('1994 E Maize Soil VWC'!$C$2:$C$4000=$AA37)*('1994 E Maize Soil VWC'!$D$2:$D$4000=$AB37)*('1994 E Maize Soil VWC'!$E$2:$E$4000=AN$5),'1994 E Maize Soil VWC'!$F$2:$F$4000)</f>
        <v>0.28728483398782567</v>
      </c>
    </row>
    <row r="38" spans="25:40" x14ac:dyDescent="0.25">
      <c r="AA38" s="19">
        <f t="shared" si="4"/>
        <v>34487</v>
      </c>
      <c r="AB38" s="4">
        <f t="shared" si="5"/>
        <v>130</v>
      </c>
      <c r="AC38" s="4" cm="1">
        <f t="array" ref="AC38">_xlfn.XLOOKUP(1,('1994 E Maize Soil VWC'!$C$2:$C$4000=$AA38)*('1994 E Maize Soil VWC'!$D$2:$D$4000=$AB38)*('1994 E Maize Soil VWC'!$E$2:$E$4000=AC$5),'1994 E Maize Soil VWC'!$F$2:$F$4000)</f>
        <v>0.24503606613465967</v>
      </c>
      <c r="AD38" s="4" cm="1">
        <f t="array" ref="AD38">_xlfn.XLOOKUP(1,('1994 E Maize Soil VWC'!$C$2:$C$4000=$AA38)*('1994 E Maize Soil VWC'!$D$2:$D$4000=$AB38)*('1994 E Maize Soil VWC'!$E$2:$E$4000=AD$5),'1994 E Maize Soil VWC'!$F$2:$F$4000)</f>
        <v>0.20351252999034963</v>
      </c>
      <c r="AE38" s="4" cm="1">
        <f t="array" ref="AE38">_xlfn.XLOOKUP(1,('1994 E Maize Soil VWC'!$C$2:$C$4000=$AA38)*('1994 E Maize Soil VWC'!$D$2:$D$4000=$AB38)*('1994 E Maize Soil VWC'!$E$2:$E$4000=AE$5),'1994 E Maize Soil VWC'!$F$2:$F$4000)</f>
        <v>0.25603690131393358</v>
      </c>
      <c r="AF38" s="4" cm="1">
        <f t="array" ref="AF38">_xlfn.XLOOKUP(1,('1994 E Maize Soil VWC'!$C$2:$C$4000=$AA38)*('1994 E Maize Soil VWC'!$D$2:$D$4000=$AB38)*('1994 E Maize Soil VWC'!$E$2:$E$4000=AF$5),'1994 E Maize Soil VWC'!$F$2:$F$4000)</f>
        <v>0.24957358088486375</v>
      </c>
      <c r="AG38" s="4" cm="1">
        <f t="array" ref="AG38">_xlfn.XLOOKUP(1,('1994 E Maize Soil VWC'!$C$2:$C$4000=$AA38)*('1994 E Maize Soil VWC'!$D$2:$D$4000=$AB38)*('1994 E Maize Soil VWC'!$E$2:$E$4000=AG$5),'1994 E Maize Soil VWC'!$F$2:$F$4000)</f>
        <v>0.22234849238363891</v>
      </c>
      <c r="AH38" s="4" cm="1">
        <f t="array" ref="AH38">_xlfn.XLOOKUP(1,('1994 E Maize Soil VWC'!$C$2:$C$4000=$AA38)*('1994 E Maize Soil VWC'!$D$2:$D$4000=$AB38)*('1994 E Maize Soil VWC'!$E$2:$E$4000=AH$5),'1994 E Maize Soil VWC'!$F$2:$F$4000)</f>
        <v>0.22730810152921088</v>
      </c>
      <c r="AI38" s="4" cm="1">
        <f t="array" ref="AI38">_xlfn.XLOOKUP(1,('1994 E Maize Soil VWC'!$C$2:$C$4000=$AA38)*('1994 E Maize Soil VWC'!$D$2:$D$4000=$AB38)*('1994 E Maize Soil VWC'!$E$2:$E$4000=AI$5),'1994 E Maize Soil VWC'!$F$2:$F$4000)</f>
        <v>0.26355545773142308</v>
      </c>
      <c r="AJ38" s="4" cm="1">
        <f t="array" ref="AJ38">_xlfn.XLOOKUP(1,('1994 E Maize Soil VWC'!$C$2:$C$4000=$AA38)*('1994 E Maize Soil VWC'!$D$2:$D$4000=$AB38)*('1994 E Maize Soil VWC'!$E$2:$E$4000=AJ$5),'1994 E Maize Soil VWC'!$F$2:$F$4000)</f>
        <v>0.26323888693489716</v>
      </c>
      <c r="AK38" s="4" cm="1">
        <f t="array" ref="AK38">_xlfn.XLOOKUP(1,('1994 E Maize Soil VWC'!$C$2:$C$4000=$AA38)*('1994 E Maize Soil VWC'!$D$2:$D$4000=$AB38)*('1994 E Maize Soil VWC'!$E$2:$E$4000=AK$5),'1994 E Maize Soil VWC'!$F$2:$F$4000)</f>
        <v>0.27439800751243409</v>
      </c>
      <c r="AL38" s="4" cm="1">
        <f t="array" ref="AL38">_xlfn.XLOOKUP(1,('1994 E Maize Soil VWC'!$C$2:$C$4000=$AA38)*('1994 E Maize Soil VWC'!$D$2:$D$4000=$AB38)*('1994 E Maize Soil VWC'!$E$2:$E$4000=AL$5),'1994 E Maize Soil VWC'!$F$2:$F$4000)</f>
        <v>0.24332130765347781</v>
      </c>
      <c r="AM38" s="4" cm="1">
        <f t="array" ref="AM38">_xlfn.XLOOKUP(1,('1994 E Maize Soil VWC'!$C$2:$C$4000=$AA38)*('1994 E Maize Soil VWC'!$D$2:$D$4000=$AB38)*('1994 E Maize Soil VWC'!$E$2:$E$4000=AM$5),'1994 E Maize Soil VWC'!$F$2:$F$4000)</f>
        <v>0.26645735669957687</v>
      </c>
      <c r="AN38" s="4" cm="1">
        <f t="array" ref="AN38">_xlfn.XLOOKUP(1,('1994 E Maize Soil VWC'!$C$2:$C$4000=$AA38)*('1994 E Maize Soil VWC'!$D$2:$D$4000=$AB38)*('1994 E Maize Soil VWC'!$E$2:$E$4000=AN$5),'1994 E Maize Soil VWC'!$F$2:$F$4000)</f>
        <v>0.272234773736174</v>
      </c>
    </row>
    <row r="39" spans="25:40" x14ac:dyDescent="0.25">
      <c r="AA39" s="19">
        <f t="shared" si="4"/>
        <v>34487</v>
      </c>
      <c r="AB39" s="4">
        <f t="shared" si="5"/>
        <v>150</v>
      </c>
      <c r="AC39" s="4" cm="1">
        <f t="array" ref="AC39">_xlfn.XLOOKUP(1,('1994 E Maize Soil VWC'!$C$2:$C$4000=$AA39)*('1994 E Maize Soil VWC'!$D$2:$D$4000=$AB39)*('1994 E Maize Soil VWC'!$E$2:$E$4000=AC$5),'1994 E Maize Soil VWC'!$F$2:$F$4000)</f>
        <v>0.26785554438423281</v>
      </c>
      <c r="AD39" s="4" cm="1">
        <f t="array" ref="AD39">_xlfn.XLOOKUP(1,('1994 E Maize Soil VWC'!$C$2:$C$4000=$AA39)*('1994 E Maize Soil VWC'!$D$2:$D$4000=$AB39)*('1994 E Maize Soil VWC'!$E$2:$E$4000=AD$5),'1994 E Maize Soil VWC'!$F$2:$F$4000)</f>
        <v>0.18301457091529952</v>
      </c>
      <c r="AE39" s="4" cm="1">
        <f t="array" ref="AE39">_xlfn.XLOOKUP(1,('1994 E Maize Soil VWC'!$C$2:$C$4000=$AA39)*('1994 E Maize Soil VWC'!$D$2:$D$4000=$AB39)*('1994 E Maize Soil VWC'!$E$2:$E$4000=AE$5),'1994 E Maize Soil VWC'!$F$2:$F$4000)</f>
        <v>0.28824797986044093</v>
      </c>
      <c r="AF39" s="4" cm="1">
        <f t="array" ref="AF39">_xlfn.XLOOKUP(1,('1994 E Maize Soil VWC'!$C$2:$C$4000=$AA39)*('1994 E Maize Soil VWC'!$D$2:$D$4000=$AB39)*('1994 E Maize Soil VWC'!$E$2:$E$4000=AF$5),'1994 E Maize Soil VWC'!$F$2:$F$4000)</f>
        <v>0.27948952115655851</v>
      </c>
      <c r="AG39" s="4" cm="1">
        <f t="array" ref="AG39">_xlfn.XLOOKUP(1,('1994 E Maize Soil VWC'!$C$2:$C$4000=$AA39)*('1994 E Maize Soil VWC'!$D$2:$D$4000=$AB39)*('1994 E Maize Soil VWC'!$E$2:$E$4000=AG$5),'1994 E Maize Soil VWC'!$F$2:$F$4000)</f>
        <v>0.25907070478063987</v>
      </c>
      <c r="AH39" s="4" cm="1">
        <f t="array" ref="AH39">_xlfn.XLOOKUP(1,('1994 E Maize Soil VWC'!$C$2:$C$4000=$AA39)*('1994 E Maize Soil VWC'!$D$2:$D$4000=$AB39)*('1994 E Maize Soil VWC'!$E$2:$E$4000=AH$5),'1994 E Maize Soil VWC'!$F$2:$F$4000)</f>
        <v>0.26893716127236283</v>
      </c>
      <c r="AI39" s="4" cm="1">
        <f t="array" ref="AI39">_xlfn.XLOOKUP(1,('1994 E Maize Soil VWC'!$C$2:$C$4000=$AA39)*('1994 E Maize Soil VWC'!$D$2:$D$4000=$AB39)*('1994 E Maize Soil VWC'!$E$2:$E$4000=AI$5),'1994 E Maize Soil VWC'!$F$2:$F$4000)</f>
        <v>0.27938399755771653</v>
      </c>
      <c r="AJ39" s="4" cm="1">
        <f t="array" ref="AJ39">_xlfn.XLOOKUP(1,('1994 E Maize Soil VWC'!$C$2:$C$4000=$AA39)*('1994 E Maize Soil VWC'!$D$2:$D$4000=$AB39)*('1994 E Maize Soil VWC'!$E$2:$E$4000=AJ$5),'1994 E Maize Soil VWC'!$F$2:$F$4000)</f>
        <v>0.27885637956350673</v>
      </c>
      <c r="AK39" s="4" cm="1">
        <f t="array" ref="AK39">_xlfn.XLOOKUP(1,('1994 E Maize Soil VWC'!$C$2:$C$4000=$AA39)*('1994 E Maize Soil VWC'!$D$2:$D$4000=$AB39)*('1994 E Maize Soil VWC'!$E$2:$E$4000=AK$5),'1994 E Maize Soil VWC'!$F$2:$F$4000)</f>
        <v>0.27571705249795858</v>
      </c>
      <c r="AL39" s="4" cm="1">
        <f t="array" ref="AL39">_xlfn.XLOOKUP(1,('1994 E Maize Soil VWC'!$C$2:$C$4000=$AA39)*('1994 E Maize Soil VWC'!$D$2:$D$4000=$AB39)*('1994 E Maize Soil VWC'!$E$2:$E$4000=AL$5),'1994 E Maize Soil VWC'!$F$2:$F$4000)</f>
        <v>0.27861895146611237</v>
      </c>
      <c r="AM39" s="4" cm="1">
        <f t="array" ref="AM39">_xlfn.XLOOKUP(1,('1994 E Maize Soil VWC'!$C$2:$C$4000=$AA39)*('1994 E Maize Soil VWC'!$D$2:$D$4000=$AB39)*('1994 E Maize Soil VWC'!$E$2:$E$4000=AM$5),'1994 E Maize Soil VWC'!$F$2:$F$4000)</f>
        <v>0.29800891275332192</v>
      </c>
      <c r="AN39" s="4" cm="1">
        <f t="array" ref="AN39">_xlfn.XLOOKUP(1,('1994 E Maize Soil VWC'!$C$2:$C$4000=$AA39)*('1994 E Maize Soil VWC'!$D$2:$D$4000=$AB39)*('1994 E Maize Soil VWC'!$E$2:$E$4000=AN$5),'1994 E Maize Soil VWC'!$F$2:$F$4000)</f>
        <v>0.3095373659268057</v>
      </c>
    </row>
    <row r="40" spans="25:40" x14ac:dyDescent="0.25">
      <c r="AA40" s="19">
        <f t="shared" si="4"/>
        <v>34487</v>
      </c>
      <c r="AB40" s="4">
        <f t="shared" si="5"/>
        <v>170</v>
      </c>
      <c r="AC40" s="4" cm="1">
        <f t="array" ref="AC40">_xlfn.XLOOKUP(1,('1994 E Maize Soil VWC'!$C$2:$C$4000=$AA40)*('1994 E Maize Soil VWC'!$D$2:$D$4000=$AB40)*('1994 E Maize Soil VWC'!$E$2:$E$4000=AC$5),'1994 E Maize Soil VWC'!$F$2:$F$4000)</f>
        <v>0.23849360300645833</v>
      </c>
      <c r="AD40" s="4" cm="1">
        <f t="array" ref="AD40">_xlfn.XLOOKUP(1,('1994 E Maize Soil VWC'!$C$2:$C$4000=$AA40)*('1994 E Maize Soil VWC'!$D$2:$D$4000=$AB40)*('1994 E Maize Soil VWC'!$E$2:$E$4000=AD$5),'1994 E Maize Soil VWC'!$F$2:$F$4000)</f>
        <v>0.26569231060797266</v>
      </c>
      <c r="AE40" s="4" cm="1">
        <f t="array" ref="AE40">_xlfn.XLOOKUP(1,('1994 E Maize Soil VWC'!$C$2:$C$4000=$AA40)*('1994 E Maize Soil VWC'!$D$2:$D$4000=$AB40)*('1994 E Maize Soil VWC'!$E$2:$E$4000=AE$5),'1994 E Maize Soil VWC'!$F$2:$F$4000)</f>
        <v>0.27392315131764533</v>
      </c>
      <c r="AF40" s="4" cm="1">
        <f t="array" ref="AF40">_xlfn.XLOOKUP(1,('1994 E Maize Soil VWC'!$C$2:$C$4000=$AA40)*('1994 E Maize Soil VWC'!$D$2:$D$4000=$AB40)*('1994 E Maize Soil VWC'!$E$2:$E$4000=AF$5),'1994 E Maize Soil VWC'!$F$2:$F$4000)</f>
        <v>0.27656124128869419</v>
      </c>
      <c r="AG40" s="4" cm="1">
        <f t="array" ref="AG40">_xlfn.XLOOKUP(1,('1994 E Maize Soil VWC'!$C$2:$C$4000=$AA40)*('1994 E Maize Soil VWC'!$D$2:$D$4000=$AB40)*('1994 E Maize Soil VWC'!$E$2:$E$4000=AG$5),'1994 E Maize Soil VWC'!$F$2:$F$4000)</f>
        <v>0.2565117575087224</v>
      </c>
      <c r="AH40" s="4" cm="1">
        <f t="array" ref="AH40">_xlfn.XLOOKUP(1,('1994 E Maize Soil VWC'!$C$2:$C$4000=$AA40)*('1994 E Maize Soil VWC'!$D$2:$D$4000=$AB40)*('1994 E Maize Soil VWC'!$E$2:$E$4000=AH$5),'1994 E Maize Soil VWC'!$F$2:$F$4000)</f>
        <v>0.26574507240739365</v>
      </c>
      <c r="AI40" s="4" cm="1">
        <f t="array" ref="AI40">_xlfn.XLOOKUP(1,('1994 E Maize Soil VWC'!$C$2:$C$4000=$AA40)*('1994 E Maize Soil VWC'!$D$2:$D$4000=$AB40)*('1994 E Maize Soil VWC'!$E$2:$E$4000=AI$5),'1994 E Maize Soil VWC'!$F$2:$F$4000)</f>
        <v>0.26983411186251949</v>
      </c>
      <c r="AJ40" s="4" cm="1">
        <f t="array" ref="AJ40">_xlfn.XLOOKUP(1,('1994 E Maize Soil VWC'!$C$2:$C$4000=$AA40)*('1994 E Maize Soil VWC'!$D$2:$D$4000=$AB40)*('1994 E Maize Soil VWC'!$E$2:$E$4000=AJ$5),'1994 E Maize Soil VWC'!$F$2:$F$4000)</f>
        <v>0.26442602742186916</v>
      </c>
      <c r="AK40" s="4" cm="1">
        <f t="array" ref="AK40">_xlfn.XLOOKUP(1,('1994 E Maize Soil VWC'!$C$2:$C$4000=$AA40)*('1994 E Maize Soil VWC'!$D$2:$D$4000=$AB40)*('1994 E Maize Soil VWC'!$E$2:$E$4000=AK$5),'1994 E Maize Soil VWC'!$F$2:$F$4000)</f>
        <v>0.25748785079801051</v>
      </c>
      <c r="AL40" s="4" cm="1">
        <f t="array" ref="AL40">_xlfn.XLOOKUP(1,('1994 E Maize Soil VWC'!$C$2:$C$4000=$AA40)*('1994 E Maize Soil VWC'!$D$2:$D$4000=$AB40)*('1994 E Maize Soil VWC'!$E$2:$E$4000=AL$5),'1994 E Maize Soil VWC'!$F$2:$F$4000)</f>
        <v>0.26561316790884121</v>
      </c>
      <c r="AM40" s="4" cm="1">
        <f t="array" ref="AM40">_xlfn.XLOOKUP(1,('1994 E Maize Soil VWC'!$C$2:$C$4000=$AA40)*('1994 E Maize Soil VWC'!$D$2:$D$4000=$AB40)*('1994 E Maize Soil VWC'!$E$2:$E$4000=AM$5),'1994 E Maize Soil VWC'!$F$2:$F$4000)</f>
        <v>0.26698497469378663</v>
      </c>
      <c r="AN40" s="4" cm="1">
        <f t="array" ref="AN40">_xlfn.XLOOKUP(1,('1994 E Maize Soil VWC'!$C$2:$C$4000=$AA40)*('1994 E Maize Soil VWC'!$D$2:$D$4000=$AB40)*('1994 E Maize Soil VWC'!$E$2:$E$4000=AN$5),'1994 E Maize Soil VWC'!$F$2:$F$4000)</f>
        <v>0.28036009084700464</v>
      </c>
    </row>
    <row r="41" spans="25:40" x14ac:dyDescent="0.25">
      <c r="AA41" s="19">
        <f t="shared" si="4"/>
        <v>34487</v>
      </c>
      <c r="AB41" s="4">
        <f t="shared" si="5"/>
        <v>190</v>
      </c>
      <c r="AC41" s="4" cm="1">
        <f t="array" ref="AC41">_xlfn.XLOOKUP(1,('1994 E Maize Soil VWC'!$C$2:$C$4000=$AA41)*('1994 E Maize Soil VWC'!$D$2:$D$4000=$AB41)*('1994 E Maize Soil VWC'!$E$2:$E$4000=AC$5),'1994 E Maize Soil VWC'!$F$2:$F$4000)</f>
        <v>0.21118937180610198</v>
      </c>
      <c r="AD41" s="4" cm="1">
        <f t="array" ref="AD41">_xlfn.XLOOKUP(1,('1994 E Maize Soil VWC'!$C$2:$C$4000=$AA41)*('1994 E Maize Soil VWC'!$D$2:$D$4000=$AB41)*('1994 E Maize Soil VWC'!$E$2:$E$4000=AD$5),'1994 E Maize Soil VWC'!$F$2:$F$4000)</f>
        <v>0.26268488804097689</v>
      </c>
      <c r="AE41" s="4" cm="1">
        <f t="array" ref="AE41">_xlfn.XLOOKUP(1,('1994 E Maize Soil VWC'!$C$2:$C$4000=$AA41)*('1994 E Maize Soil VWC'!$D$2:$D$4000=$AB41)*('1994 E Maize Soil VWC'!$E$2:$E$4000=AE$5),'1994 E Maize Soil VWC'!$F$2:$F$4000)</f>
        <v>0.26028422616732239</v>
      </c>
      <c r="AF41" s="4" cm="1">
        <f t="array" ref="AF41">_xlfn.XLOOKUP(1,('1994 E Maize Soil VWC'!$C$2:$C$4000=$AA41)*('1994 E Maize Soil VWC'!$D$2:$D$4000=$AB41)*('1994 E Maize Soil VWC'!$E$2:$E$4000=AF$5),'1994 E Maize Soil VWC'!$F$2:$F$4000)</f>
        <v>0.26920097026946771</v>
      </c>
      <c r="AG41" s="4" cm="1">
        <f t="array" ref="AG41">_xlfn.XLOOKUP(1,('1994 E Maize Soil VWC'!$C$2:$C$4000=$AA41)*('1994 E Maize Soil VWC'!$D$2:$D$4000=$AB41)*('1994 E Maize Soil VWC'!$E$2:$E$4000=AG$5),'1994 E Maize Soil VWC'!$F$2:$F$4000)</f>
        <v>0.23221494887536187</v>
      </c>
      <c r="AH41" s="4" cm="1">
        <f t="array" ref="AH41">_xlfn.XLOOKUP(1,('1994 E Maize Soil VWC'!$C$2:$C$4000=$AA41)*('1994 E Maize Soil VWC'!$D$2:$D$4000=$AB41)*('1994 E Maize Soil VWC'!$E$2:$E$4000=AH$5),'1994 E Maize Soil VWC'!$F$2:$F$4000)</f>
        <v>0.25608966311335457</v>
      </c>
      <c r="AI41" s="4" cm="1">
        <f t="array" ref="AI41">_xlfn.XLOOKUP(1,('1994 E Maize Soil VWC'!$C$2:$C$4000=$AA41)*('1994 E Maize Soil VWC'!$D$2:$D$4000=$AB41)*('1994 E Maize Soil VWC'!$E$2:$E$4000=AI$5),'1994 E Maize Soil VWC'!$F$2:$F$4000)</f>
        <v>0.26025784526761192</v>
      </c>
      <c r="AJ41" s="4" cm="1">
        <f t="array" ref="AJ41">_xlfn.XLOOKUP(1,('1994 E Maize Soil VWC'!$C$2:$C$4000=$AA41)*('1994 E Maize Soil VWC'!$D$2:$D$4000=$AB41)*('1994 E Maize Soil VWC'!$E$2:$E$4000=AJ$5),'1994 E Maize Soil VWC'!$F$2:$F$4000)</f>
        <v>0.25297671694751683</v>
      </c>
      <c r="AK41" s="4" cm="1">
        <f t="array" ref="AK41">_xlfn.XLOOKUP(1,('1994 E Maize Soil VWC'!$C$2:$C$4000=$AA41)*('1994 E Maize Soil VWC'!$D$2:$D$4000=$AB41)*('1994 E Maize Soil VWC'!$E$2:$E$4000=AK$5),'1994 E Maize Soil VWC'!$F$2:$F$4000)</f>
        <v>0.24799072690223445</v>
      </c>
      <c r="AL41" s="4" cm="1">
        <f t="array" ref="AL41">_xlfn.XLOOKUP(1,('1994 E Maize Soil VWC'!$C$2:$C$4000=$AA41)*('1994 E Maize Soil VWC'!$D$2:$D$4000=$AB41)*('1994 E Maize Soil VWC'!$E$2:$E$4000=AL$5),'1994 E Maize Soil VWC'!$F$2:$F$4000)</f>
        <v>0.26252660264271394</v>
      </c>
      <c r="AM41" s="4" cm="1">
        <f t="array" ref="AM41">_xlfn.XLOOKUP(1,('1994 E Maize Soil VWC'!$C$2:$C$4000=$AA41)*('1994 E Maize Soil VWC'!$D$2:$D$4000=$AB41)*('1994 E Maize Soil VWC'!$E$2:$E$4000=AM$5),'1994 E Maize Soil VWC'!$F$2:$F$4000)</f>
        <v>0.2817846594313711</v>
      </c>
      <c r="AN41" s="4" cm="1">
        <f t="array" ref="AN41">_xlfn.XLOOKUP(1,('1994 E Maize Soil VWC'!$C$2:$C$4000=$AA41)*('1994 E Maize Soil VWC'!$D$2:$D$4000=$AB41)*('1994 E Maize Soil VWC'!$E$2:$E$4000=AN$5),'1994 E Maize Soil VWC'!$F$2:$F$4000)</f>
        <v>0.28729826747086329</v>
      </c>
    </row>
    <row r="42" spans="25:40" x14ac:dyDescent="0.25">
      <c r="AA42" s="19">
        <f t="shared" si="4"/>
        <v>34487</v>
      </c>
      <c r="AB42" s="4">
        <f t="shared" si="5"/>
        <v>210</v>
      </c>
      <c r="AC42" s="4" cm="1">
        <f t="array" ref="AC42">_xlfn.XLOOKUP(1,('1994 E Maize Soil VWC'!$C$2:$C$4000=$AA42)*('1994 E Maize Soil VWC'!$D$2:$D$4000=$AB42)*('1994 E Maize Soil VWC'!$E$2:$E$4000=AC$5),'1994 E Maize Soil VWC'!$F$2:$F$4000)</f>
        <v>0.18290904731645755</v>
      </c>
      <c r="AD42" s="4" cm="1">
        <f t="array" ref="AD42">_xlfn.XLOOKUP(1,('1994 E Maize Soil VWC'!$C$2:$C$4000=$AA42)*('1994 E Maize Soil VWC'!$D$2:$D$4000=$AB42)*('1994 E Maize Soil VWC'!$E$2:$E$4000=AD$5),'1994 E Maize Soil VWC'!$F$2:$F$4000)</f>
        <v>0.24870301119441762</v>
      </c>
      <c r="AE42" s="4" cm="1">
        <f t="array" ref="AE42">_xlfn.XLOOKUP(1,('1994 E Maize Soil VWC'!$C$2:$C$4000=$AA42)*('1994 E Maize Soil VWC'!$D$2:$D$4000=$AB42)*('1994 E Maize Soil VWC'!$E$2:$E$4000=AE$5),'1994 E Maize Soil VWC'!$F$2:$F$4000)</f>
        <v>0.24184397726969042</v>
      </c>
      <c r="AF42" s="4" cm="1">
        <f t="array" ref="AF42">_xlfn.XLOOKUP(1,('1994 E Maize Soil VWC'!$C$2:$C$4000=$AA42)*('1994 E Maize Soil VWC'!$D$2:$D$4000=$AB42)*('1994 E Maize Soil VWC'!$E$2:$E$4000=AF$5),'1994 E Maize Soil VWC'!$F$2:$F$4000)</f>
        <v>0.26498002631578943</v>
      </c>
      <c r="AG42" s="4" t="e" cm="1">
        <f t="array" ref="AG42">_xlfn.XLOOKUP(1,('1994 E Maize Soil VWC'!$C$2:$C$4000=$AA42)*('1994 E Maize Soil VWC'!$D$2:$D$4000=$AB42)*('1994 E Maize Soil VWC'!$E$2:$E$4000=AG$5),'1994 E Maize Soil VWC'!$F$2:$F$4000)</f>
        <v>#N/A</v>
      </c>
      <c r="AH42" s="4" t="e" cm="1">
        <f t="array" ref="AH42">_xlfn.XLOOKUP(1,('1994 E Maize Soil VWC'!$C$2:$C$4000=$AA42)*('1994 E Maize Soil VWC'!$D$2:$D$4000=$AB42)*('1994 E Maize Soil VWC'!$E$2:$E$4000=AH$5),'1994 E Maize Soil VWC'!$F$2:$F$4000)</f>
        <v>#N/A</v>
      </c>
      <c r="AI42" s="4" cm="1">
        <f t="array" ref="AI42">_xlfn.XLOOKUP(1,('1994 E Maize Soil VWC'!$C$2:$C$4000=$AA42)*('1994 E Maize Soil VWC'!$D$2:$D$4000=$AB42)*('1994 E Maize Soil VWC'!$E$2:$E$4000=AI$5),'1994 E Maize Soil VWC'!$F$2:$F$4000)</f>
        <v>0.2603897497661643</v>
      </c>
      <c r="AJ42" s="4" cm="1">
        <f t="array" ref="AJ42">_xlfn.XLOOKUP(1,('1994 E Maize Soil VWC'!$C$2:$C$4000=$AA42)*('1994 E Maize Soil VWC'!$D$2:$D$4000=$AB42)*('1994 E Maize Soil VWC'!$E$2:$E$4000=AJ$5),'1994 E Maize Soil VWC'!$F$2:$F$4000)</f>
        <v>0.24582749312597429</v>
      </c>
      <c r="AK42" s="4" cm="1">
        <f t="array" ref="AK42">_xlfn.XLOOKUP(1,('1994 E Maize Soil VWC'!$C$2:$C$4000=$AA42)*('1994 E Maize Soil VWC'!$D$2:$D$4000=$AB42)*('1994 E Maize Soil VWC'!$E$2:$E$4000=AK$5),'1994 E Maize Soil VWC'!$F$2:$F$4000)</f>
        <v>0.24569558862742186</v>
      </c>
      <c r="AL42" s="4" cm="1">
        <f t="array" ref="AL42">_xlfn.XLOOKUP(1,('1994 E Maize Soil VWC'!$C$2:$C$4000=$AA42)*('1994 E Maize Soil VWC'!$D$2:$D$4000=$AB42)*('1994 E Maize Soil VWC'!$E$2:$E$4000=AL$5),'1994 E Maize Soil VWC'!$F$2:$F$4000)</f>
        <v>0.26479536001781601</v>
      </c>
      <c r="AM42" s="4" t="e" cm="1">
        <f t="array" ref="AM42">_xlfn.XLOOKUP(1,('1994 E Maize Soil VWC'!$C$2:$C$4000=$AA42)*('1994 E Maize Soil VWC'!$D$2:$D$4000=$AB42)*('1994 E Maize Soil VWC'!$E$2:$E$4000=AM$5),'1994 E Maize Soil VWC'!$F$2:$F$4000)</f>
        <v>#N/A</v>
      </c>
      <c r="AN42" s="4" t="e" cm="1">
        <f t="array" ref="AN42">_xlfn.XLOOKUP(1,('1994 E Maize Soil VWC'!$C$2:$C$4000=$AA42)*('1994 E Maize Soil VWC'!$D$2:$D$4000=$AB42)*('1994 E Maize Soil VWC'!$E$2:$E$4000=AN$5),'1994 E Maize Soil VWC'!$F$2:$F$4000)</f>
        <v>#N/A</v>
      </c>
    </row>
    <row r="43" spans="25:40" x14ac:dyDescent="0.25">
      <c r="AA43" s="19">
        <f t="shared" si="4"/>
        <v>34487</v>
      </c>
      <c r="AB43" s="4">
        <f t="shared" si="5"/>
        <v>230</v>
      </c>
      <c r="AC43" s="4" cm="1">
        <f t="array" ref="AC43">_xlfn.XLOOKUP(1,('1994 E Maize Soil VWC'!$C$2:$C$4000=$AA43)*('1994 E Maize Soil VWC'!$D$2:$D$4000=$AB43)*('1994 E Maize Soil VWC'!$E$2:$E$4000=AC$5),'1994 E Maize Soil VWC'!$F$2:$F$4000)</f>
        <v>0.17391316051518074</v>
      </c>
      <c r="AD43" s="4" cm="1">
        <f t="array" ref="AD43">_xlfn.XLOOKUP(1,('1994 E Maize Soil VWC'!$C$2:$C$4000=$AA43)*('1994 E Maize Soil VWC'!$D$2:$D$4000=$AB43)*('1994 E Maize Soil VWC'!$E$2:$E$4000=AD$5),'1994 E Maize Soil VWC'!$F$2:$F$4000)</f>
        <v>0.23234685337391431</v>
      </c>
      <c r="AE43" s="4" cm="1">
        <f t="array" ref="AE43">_xlfn.XLOOKUP(1,('1994 E Maize Soil VWC'!$C$2:$C$4000=$AA43)*('1994 E Maize Soil VWC'!$D$2:$D$4000=$AB43)*('1994 E Maize Soil VWC'!$E$2:$E$4000=AE$5),'1994 E Maize Soil VWC'!$F$2:$F$4000)</f>
        <v>0.23617208383193522</v>
      </c>
      <c r="AF43" s="4" cm="1">
        <f t="array" ref="AF43">_xlfn.XLOOKUP(1,('1994 E Maize Soil VWC'!$C$2:$C$4000=$AA43)*('1994 E Maize Soil VWC'!$D$2:$D$4000=$AB43)*('1994 E Maize Soil VWC'!$E$2:$E$4000=AF$5),'1994 E Maize Soil VWC'!$F$2:$F$4000)</f>
        <v>0.25930813287803428</v>
      </c>
      <c r="AG43" s="4" t="e" cm="1">
        <f t="array" ref="AG43">_xlfn.XLOOKUP(1,('1994 E Maize Soil VWC'!$C$2:$C$4000=$AA43)*('1994 E Maize Soil VWC'!$D$2:$D$4000=$AB43)*('1994 E Maize Soil VWC'!$E$2:$E$4000=AG$5),'1994 E Maize Soil VWC'!$F$2:$F$4000)</f>
        <v>#N/A</v>
      </c>
      <c r="AH43" s="4" t="e" cm="1">
        <f t="array" ref="AH43">_xlfn.XLOOKUP(1,('1994 E Maize Soil VWC'!$C$2:$C$4000=$AA43)*('1994 E Maize Soil VWC'!$D$2:$D$4000=$AB43)*('1994 E Maize Soil VWC'!$E$2:$E$4000=AH$5),'1994 E Maize Soil VWC'!$F$2:$F$4000)</f>
        <v>#N/A</v>
      </c>
      <c r="AI43" s="4" cm="1">
        <f t="array" ref="AI43">_xlfn.XLOOKUP(1,('1994 E Maize Soil VWC'!$C$2:$C$4000=$AA43)*('1994 E Maize Soil VWC'!$D$2:$D$4000=$AB43)*('1994 E Maize Soil VWC'!$E$2:$E$4000=AI$5),'1994 E Maize Soil VWC'!$F$2:$F$4000)</f>
        <v>0.25379452483854203</v>
      </c>
      <c r="AJ43" s="4" cm="1">
        <f t="array" ref="AJ43">_xlfn.XLOOKUP(1,('1994 E Maize Soil VWC'!$C$2:$C$4000=$AA43)*('1994 E Maize Soil VWC'!$D$2:$D$4000=$AB43)*('1994 E Maize Soil VWC'!$E$2:$E$4000=AJ$5),'1994 E Maize Soil VWC'!$F$2:$F$4000)</f>
        <v>0.2529239551480959</v>
      </c>
      <c r="AK43" s="4" cm="1">
        <f t="array" ref="AK43">_xlfn.XLOOKUP(1,('1994 E Maize Soil VWC'!$C$2:$C$4000=$AA43)*('1994 E Maize Soil VWC'!$D$2:$D$4000=$AB43)*('1994 E Maize Soil VWC'!$E$2:$E$4000=AK$5),'1994 E Maize Soil VWC'!$F$2:$F$4000)</f>
        <v>0.24260902336129464</v>
      </c>
      <c r="AL43" s="4" cm="1">
        <f t="array" ref="AL43">_xlfn.XLOOKUP(1,('1994 E Maize Soil VWC'!$C$2:$C$4000=$AA43)*('1994 E Maize Soil VWC'!$D$2:$D$4000=$AB43)*('1994 E Maize Soil VWC'!$E$2:$E$4000=AL$5),'1994 E Maize Soil VWC'!$F$2:$F$4000)</f>
        <v>0.25933451377774475</v>
      </c>
      <c r="AM43" s="4" t="e" cm="1">
        <f t="array" ref="AM43">_xlfn.XLOOKUP(1,('1994 E Maize Soil VWC'!$C$2:$C$4000=$AA43)*('1994 E Maize Soil VWC'!$D$2:$D$4000=$AB43)*('1994 E Maize Soil VWC'!$E$2:$E$4000=AM$5),'1994 E Maize Soil VWC'!$F$2:$F$4000)</f>
        <v>#N/A</v>
      </c>
      <c r="AN43" s="4" t="e" cm="1">
        <f t="array" ref="AN43">_xlfn.XLOOKUP(1,('1994 E Maize Soil VWC'!$C$2:$C$4000=$AA43)*('1994 E Maize Soil VWC'!$D$2:$D$4000=$AB43)*('1994 E Maize Soil VWC'!$E$2:$E$4000=AN$5),'1994 E Maize Soil VWC'!$F$2:$F$4000)</f>
        <v>#N/A</v>
      </c>
    </row>
    <row r="44" spans="25:40" x14ac:dyDescent="0.25">
      <c r="AA44" s="19"/>
    </row>
    <row r="45" spans="25:40" x14ac:dyDescent="0.25">
      <c r="Y45" s="4">
        <f>Y32</f>
        <v>1994</v>
      </c>
      <c r="Z45" s="4">
        <v>166</v>
      </c>
      <c r="AA45" s="19">
        <f>DATE(Y45,1,Z45)</f>
        <v>34500</v>
      </c>
      <c r="AB45" s="4">
        <v>10</v>
      </c>
      <c r="AC45" s="4" cm="1">
        <f t="array" ref="AC45">_xlfn.XLOOKUP(1,('1994 E Maize Soil VWC'!$C$2:$C$4000=$AA45)*('1994 E Maize Soil VWC'!$D$2:$D$4000=$AB45)*('1994 E Maize Soil VWC'!$E$2:$E$4000=AC$5),'1994 E Maize Soil VWC'!$F$2:$F$4000)</f>
        <v>0.2811852537651251</v>
      </c>
      <c r="AD45" s="4" cm="1">
        <f t="array" ref="AD45">_xlfn.XLOOKUP(1,('1994 E Maize Soil VWC'!$C$2:$C$4000=$AA45)*('1994 E Maize Soil VWC'!$D$2:$D$4000=$AB45)*('1994 E Maize Soil VWC'!$E$2:$E$4000=AD$5),'1994 E Maize Soil VWC'!$F$2:$F$4000)</f>
        <v>0.27078715096652062</v>
      </c>
      <c r="AE45" s="4" cm="1">
        <f t="array" ref="AE45">_xlfn.XLOOKUP(1,('1994 E Maize Soil VWC'!$C$2:$C$4000=$AA45)*('1994 E Maize Soil VWC'!$D$2:$D$4000=$AB45)*('1994 E Maize Soil VWC'!$E$2:$E$4000=AE$5),'1994 E Maize Soil VWC'!$F$2:$F$4000)</f>
        <v>0.27239336196793107</v>
      </c>
      <c r="AF45" s="4" cm="1">
        <f t="array" ref="AF45">_xlfn.XLOOKUP(1,('1994 E Maize Soil VWC'!$C$2:$C$4000=$AA45)*('1994 E Maize Soil VWC'!$D$2:$D$4000=$AB45)*('1994 E Maize Soil VWC'!$E$2:$E$4000=AF$5),'1994 E Maize Soil VWC'!$F$2:$F$4000)</f>
        <v>0.30265775873134876</v>
      </c>
      <c r="AG45" s="4" cm="1">
        <f t="array" ref="AG45">_xlfn.XLOOKUP(1,('1994 E Maize Soil VWC'!$C$2:$C$4000=$AA45)*('1994 E Maize Soil VWC'!$D$2:$D$4000=$AB45)*('1994 E Maize Soil VWC'!$E$2:$E$4000=AG$5),'1994 E Maize Soil VWC'!$F$2:$F$4000)</f>
        <v>0.24314341425803576</v>
      </c>
      <c r="AH45" s="4" cm="1">
        <f t="array" ref="AH45">_xlfn.XLOOKUP(1,('1994 E Maize Soil VWC'!$C$2:$C$4000=$AA45)*('1994 E Maize Soil VWC'!$D$2:$D$4000=$AB45)*('1994 E Maize Soil VWC'!$E$2:$E$4000=AH$5),'1994 E Maize Soil VWC'!$F$2:$F$4000)</f>
        <v>0.24753936015663275</v>
      </c>
      <c r="AI45" s="4" cm="1">
        <f t="array" ref="AI45">_xlfn.XLOOKUP(1,('1994 E Maize Soil VWC'!$C$2:$C$4000=$AA45)*('1994 E Maize Soil VWC'!$D$2:$D$4000=$AB45)*('1994 E Maize Soil VWC'!$E$2:$E$4000=AI$5),'1994 E Maize Soil VWC'!$F$2:$F$4000)</f>
        <v>0.2918087896867344</v>
      </c>
      <c r="AJ45" s="4" cm="1">
        <f t="array" ref="AJ45">_xlfn.XLOOKUP(1,('1994 E Maize Soil VWC'!$C$2:$C$4000=$AA45)*('1994 E Maize Soil VWC'!$D$2:$D$4000=$AB45)*('1994 E Maize Soil VWC'!$E$2:$E$4000=AJ$5),'1994 E Maize Soil VWC'!$F$2:$F$4000)</f>
        <v>0.28766645605151808</v>
      </c>
      <c r="AK45" s="4" cm="1">
        <f t="array" ref="AK45">_xlfn.XLOOKUP(1,('1994 E Maize Soil VWC'!$C$2:$C$4000=$AA45)*('1994 E Maize Soil VWC'!$D$2:$D$4000=$AB45)*('1994 E Maize Soil VWC'!$E$2:$E$4000=AK$5),'1994 E Maize Soil VWC'!$F$2:$F$4000)</f>
        <v>0.27611300849751319</v>
      </c>
      <c r="AL45" s="4" cm="1">
        <f t="array" ref="AL45">_xlfn.XLOOKUP(1,('1994 E Maize Soil VWC'!$C$2:$C$4000=$AA45)*('1994 E Maize Soil VWC'!$D$2:$D$4000=$AB45)*('1994 E Maize Soil VWC'!$E$2:$E$4000=AL$5),'1994 E Maize Soil VWC'!$F$2:$F$4000)</f>
        <v>0.28228424023977428</v>
      </c>
      <c r="AM45" s="4" cm="1">
        <f t="array" ref="AM45">_xlfn.XLOOKUP(1,('1994 E Maize Soil VWC'!$C$2:$C$4000=$AA45)*('1994 E Maize Soil VWC'!$D$2:$D$4000=$AB45)*('1994 E Maize Soil VWC'!$E$2:$E$4000=AM$5),'1994 E Maize Soil VWC'!$F$2:$F$4000)</f>
        <v>0.26887096942097838</v>
      </c>
      <c r="AN45" s="4" cm="1">
        <f t="array" ref="AN45">_xlfn.XLOOKUP(1,('1994 E Maize Soil VWC'!$C$2:$C$4000=$AA45)*('1994 E Maize Soil VWC'!$D$2:$D$4000=$AB45)*('1994 E Maize Soil VWC'!$E$2:$E$4000=AN$5),'1994 E Maize Soil VWC'!$F$2:$F$4000)</f>
        <v>0.26213615487120479</v>
      </c>
    </row>
    <row r="46" spans="25:40" x14ac:dyDescent="0.25">
      <c r="AA46" s="19">
        <f t="shared" ref="AA46:AA56" si="6">AA45</f>
        <v>34500</v>
      </c>
      <c r="AB46" s="4">
        <f t="shared" ref="AB46:AB56" si="7">AB45+20</f>
        <v>30</v>
      </c>
      <c r="AC46" s="4" cm="1">
        <f t="array" ref="AC46">_xlfn.XLOOKUP(1,('1994 E Maize Soil VWC'!$C$2:$C$4000=$AA46)*('1994 E Maize Soil VWC'!$D$2:$D$4000=$AB46)*('1994 E Maize Soil VWC'!$E$2:$E$4000=AC$5),'1994 E Maize Soil VWC'!$F$2:$F$4000)</f>
        <v>0.27423715614282534</v>
      </c>
      <c r="AD46" s="4" cm="1">
        <f t="array" ref="AD46">_xlfn.XLOOKUP(1,('1994 E Maize Soil VWC'!$C$2:$C$4000=$AA46)*('1994 E Maize Soil VWC'!$D$2:$D$4000=$AB46)*('1994 E Maize Soil VWC'!$E$2:$E$4000=AD$5),'1994 E Maize Soil VWC'!$F$2:$F$4000)</f>
        <v>0.24678870793556523</v>
      </c>
      <c r="AE46" s="4" cm="1">
        <f t="array" ref="AE46">_xlfn.XLOOKUP(1,('1994 E Maize Soil VWC'!$C$2:$C$4000=$AA46)*('1994 E Maize Soil VWC'!$D$2:$D$4000=$AB46)*('1994 E Maize Soil VWC'!$E$2:$E$4000=AE$5),'1994 E Maize Soil VWC'!$F$2:$F$4000)</f>
        <v>0.24321267771138</v>
      </c>
      <c r="AF46" s="4" cm="1">
        <f t="array" ref="AF46">_xlfn.XLOOKUP(1,('1994 E Maize Soil VWC'!$C$2:$C$4000=$AA46)*('1994 E Maize Soil VWC'!$D$2:$D$4000=$AB46)*('1994 E Maize Soil VWC'!$E$2:$E$4000=AF$5),'1994 E Maize Soil VWC'!$F$2:$F$4000)</f>
        <v>0.28319333994754159</v>
      </c>
      <c r="AG46" s="4" cm="1">
        <f t="array" ref="AG46">_xlfn.XLOOKUP(1,('1994 E Maize Soil VWC'!$C$2:$C$4000=$AA46)*('1994 E Maize Soil VWC'!$D$2:$D$4000=$AB46)*('1994 E Maize Soil VWC'!$E$2:$E$4000=AG$5),'1994 E Maize Soil VWC'!$F$2:$F$4000)</f>
        <v>0.31457219975255485</v>
      </c>
      <c r="AH46" s="4" cm="1">
        <f t="array" ref="AH46">_xlfn.XLOOKUP(1,('1994 E Maize Soil VWC'!$C$2:$C$4000=$AA46)*('1994 E Maize Soil VWC'!$D$2:$D$4000=$AB46)*('1994 E Maize Soil VWC'!$E$2:$E$4000=AH$5),'1994 E Maize Soil VWC'!$F$2:$F$4000)</f>
        <v>0.31096395303986341</v>
      </c>
      <c r="AI46" s="4" cm="1">
        <f t="array" ref="AI46">_xlfn.XLOOKUP(1,('1994 E Maize Soil VWC'!$C$2:$C$4000=$AA46)*('1994 E Maize Soil VWC'!$D$2:$D$4000=$AB46)*('1994 E Maize Soil VWC'!$E$2:$E$4000=AI$5),'1994 E Maize Soil VWC'!$F$2:$F$4000)</f>
        <v>0.22304515590651519</v>
      </c>
      <c r="AJ46" s="4" cm="1">
        <f t="array" ref="AJ46">_xlfn.XLOOKUP(1,('1994 E Maize Soil VWC'!$C$2:$C$4000=$AA46)*('1994 E Maize Soil VWC'!$D$2:$D$4000=$AB46)*('1994 E Maize Soil VWC'!$E$2:$E$4000=AJ$5),'1994 E Maize Soil VWC'!$F$2:$F$4000)</f>
        <v>0.27394720774626974</v>
      </c>
      <c r="AK46" s="4" cm="1">
        <f t="array" ref="AK46">_xlfn.XLOOKUP(1,('1994 E Maize Soil VWC'!$C$2:$C$4000=$AA46)*('1994 E Maize Soil VWC'!$D$2:$D$4000=$AB46)*('1994 E Maize Soil VWC'!$E$2:$E$4000=AK$5),'1994 E Maize Soil VWC'!$F$2:$F$4000)</f>
        <v>0.27871524804518344</v>
      </c>
      <c r="AL46" s="4" cm="1">
        <f t="array" ref="AL46">_xlfn.XLOOKUP(1,('1994 E Maize Soil VWC'!$C$2:$C$4000=$AA46)*('1994 E Maize Soil VWC'!$D$2:$D$4000=$AB46)*('1994 E Maize Soil VWC'!$E$2:$E$4000=AL$5),'1994 E Maize Soil VWC'!$F$2:$F$4000)</f>
        <v>0.24991370732066415</v>
      </c>
      <c r="AM46" s="4" cm="1">
        <f t="array" ref="AM46">_xlfn.XLOOKUP(1,('1994 E Maize Soil VWC'!$C$2:$C$4000=$AA46)*('1994 E Maize Soil VWC'!$D$2:$D$4000=$AB46)*('1994 E Maize Soil VWC'!$E$2:$E$4000=AM$5),'1994 E Maize Soil VWC'!$F$2:$F$4000)</f>
        <v>0.29972039855120874</v>
      </c>
      <c r="AN46" s="4" cm="1">
        <f t="array" ref="AN46">_xlfn.XLOOKUP(1,('1994 E Maize Soil VWC'!$C$2:$C$4000=$AA46)*('1994 E Maize Soil VWC'!$D$2:$D$4000=$AB46)*('1994 E Maize Soil VWC'!$E$2:$E$4000=AN$5),'1994 E Maize Soil VWC'!$F$2:$F$4000)</f>
        <v>0.30175003732709771</v>
      </c>
    </row>
    <row r="47" spans="25:40" x14ac:dyDescent="0.25">
      <c r="AA47" s="19">
        <f t="shared" si="6"/>
        <v>34500</v>
      </c>
      <c r="AB47" s="4">
        <f t="shared" si="7"/>
        <v>50</v>
      </c>
      <c r="AC47" s="4" cm="1">
        <f t="array" ref="AC47">_xlfn.XLOOKUP(1,('1994 E Maize Soil VWC'!$C$2:$C$4000=$AA47)*('1994 E Maize Soil VWC'!$D$2:$D$4000=$AB47)*('1994 E Maize Soil VWC'!$E$2:$E$4000=AC$5),'1994 E Maize Soil VWC'!$F$2:$F$4000)</f>
        <v>0.2575167986081211</v>
      </c>
      <c r="AD47" s="4" cm="1">
        <f t="array" ref="AD47">_xlfn.XLOOKUP(1,('1994 E Maize Soil VWC'!$C$2:$C$4000=$AA47)*('1994 E Maize Soil VWC'!$D$2:$D$4000=$AB47)*('1994 E Maize Soil VWC'!$E$2:$E$4000=AD$5),'1994 E Maize Soil VWC'!$F$2:$F$4000)</f>
        <v>0.24221396656768862</v>
      </c>
      <c r="AE47" s="4" cm="1">
        <f t="array" ref="AE47">_xlfn.XLOOKUP(1,('1994 E Maize Soil VWC'!$C$2:$C$4000=$AA47)*('1994 E Maize Soil VWC'!$D$2:$D$4000=$AB47)*('1994 E Maize Soil VWC'!$E$2:$E$4000=AE$5),'1994 E Maize Soil VWC'!$F$2:$F$4000)</f>
        <v>0.24208510061366384</v>
      </c>
      <c r="AF47" s="4" cm="1">
        <f t="array" ref="AF47">_xlfn.XLOOKUP(1,('1994 E Maize Soil VWC'!$C$2:$C$4000=$AA47)*('1994 E Maize Soil VWC'!$D$2:$D$4000=$AB47)*('1994 E Maize Soil VWC'!$E$2:$E$4000=AF$5),'1994 E Maize Soil VWC'!$F$2:$F$4000)</f>
        <v>0.30039694480983842</v>
      </c>
      <c r="AG47" s="4" cm="1">
        <f t="array" ref="AG47">_xlfn.XLOOKUP(1,('1994 E Maize Soil VWC'!$C$2:$C$4000=$AA47)*('1994 E Maize Soil VWC'!$D$2:$D$4000=$AB47)*('1994 E Maize Soil VWC'!$E$2:$E$4000=AG$5),'1994 E Maize Soil VWC'!$F$2:$F$4000)</f>
        <v>0.30906318021799911</v>
      </c>
      <c r="AH47" s="4" cm="1">
        <f t="array" ref="AH47">_xlfn.XLOOKUP(1,('1994 E Maize Soil VWC'!$C$2:$C$4000=$AA47)*('1994 E Maize Soil VWC'!$D$2:$D$4000=$AB47)*('1994 E Maize Soil VWC'!$E$2:$E$4000=AH$5),'1994 E Maize Soil VWC'!$F$2:$F$4000)</f>
        <v>0.28673715368322072</v>
      </c>
      <c r="AI47" s="4" cm="1">
        <f t="array" ref="AI47">_xlfn.XLOOKUP(1,('1994 E Maize Soil VWC'!$C$2:$C$4000=$AA47)*('1994 E Maize Soil VWC'!$D$2:$D$4000=$AB47)*('1994 E Maize Soil VWC'!$E$2:$E$4000=AI$5),'1994 E Maize Soil VWC'!$F$2:$F$4000)</f>
        <v>0.25925648898745446</v>
      </c>
      <c r="AJ47" s="4" cm="1">
        <f t="array" ref="AJ47">_xlfn.XLOOKUP(1,('1994 E Maize Soil VWC'!$C$2:$C$4000=$AA47)*('1994 E Maize Soil VWC'!$D$2:$D$4000=$AB47)*('1994 E Maize Soil VWC'!$E$2:$E$4000=AJ$5),'1994 E Maize Soil VWC'!$F$2:$F$4000)</f>
        <v>0.28651163826367748</v>
      </c>
      <c r="AK47" s="4" cm="1">
        <f t="array" ref="AK47">_xlfn.XLOOKUP(1,('1994 E Maize Soil VWC'!$C$2:$C$4000=$AA47)*('1994 E Maize Soil VWC'!$D$2:$D$4000=$AB47)*('1994 E Maize Soil VWC'!$E$2:$E$4000=AK$5),'1994 E Maize Soil VWC'!$F$2:$F$4000)</f>
        <v>0.26544205478063987</v>
      </c>
      <c r="AL47" s="4" cm="1">
        <f t="array" ref="AL47">_xlfn.XLOOKUP(1,('1994 E Maize Soil VWC'!$C$2:$C$4000=$AA47)*('1994 E Maize Soil VWC'!$D$2:$D$4000=$AB47)*('1994 E Maize Soil VWC'!$E$2:$E$4000=AL$5),'1994 E Maize Soil VWC'!$F$2:$F$4000)</f>
        <v>0.28863792650508496</v>
      </c>
      <c r="AM47" s="4" cm="1">
        <f t="array" ref="AM47">_xlfn.XLOOKUP(1,('1994 E Maize Soil VWC'!$C$2:$C$4000=$AA47)*('1994 E Maize Soil VWC'!$D$2:$D$4000=$AB47)*('1994 E Maize Soil VWC'!$E$2:$E$4000=AM$5),'1994 E Maize Soil VWC'!$F$2:$F$4000)</f>
        <v>0.27861859857966492</v>
      </c>
      <c r="AN47" s="4" cm="1">
        <f t="array" ref="AN47">_xlfn.XLOOKUP(1,('1994 E Maize Soil VWC'!$C$2:$C$4000=$AA47)*('1994 E Maize Soil VWC'!$D$2:$D$4000=$AB47)*('1994 E Maize Soil VWC'!$E$2:$E$4000=AN$5),'1994 E Maize Soil VWC'!$F$2:$F$4000)</f>
        <v>0.2768144752233192</v>
      </c>
    </row>
    <row r="48" spans="25:40" x14ac:dyDescent="0.25">
      <c r="AA48" s="19">
        <f t="shared" si="6"/>
        <v>34500</v>
      </c>
      <c r="AB48" s="4">
        <f t="shared" si="7"/>
        <v>70</v>
      </c>
      <c r="AC48" s="4" cm="1">
        <f t="array" ref="AC48">_xlfn.XLOOKUP(1,('1994 E Maize Soil VWC'!$C$2:$C$4000=$AA48)*('1994 E Maize Soil VWC'!$D$2:$D$4000=$AB48)*('1994 E Maize Soil VWC'!$E$2:$E$4000=AC$5),'1994 E Maize Soil VWC'!$F$2:$F$4000)</f>
        <v>0.21598974492366313</v>
      </c>
      <c r="AD48" s="4" cm="1">
        <f t="array" ref="AD48">_xlfn.XLOOKUP(1,('1994 E Maize Soil VWC'!$C$2:$C$4000=$AA48)*('1994 E Maize Soil VWC'!$D$2:$D$4000=$AB48)*('1994 E Maize Soil VWC'!$E$2:$E$4000=AD$5),'1994 E Maize Soil VWC'!$F$2:$F$4000)</f>
        <v>0.20973974615346541</v>
      </c>
      <c r="AE48" s="4" cm="1">
        <f t="array" ref="AE48">_xlfn.XLOOKUP(1,('1994 E Maize Soil VWC'!$C$2:$C$4000=$AA48)*('1994 E Maize Soil VWC'!$D$2:$D$4000=$AB48)*('1994 E Maize Soil VWC'!$E$2:$E$4000=AE$5),'1994 E Maize Soil VWC'!$F$2:$F$4000)</f>
        <v>0.22359283621112014</v>
      </c>
      <c r="AF48" s="4" cm="1">
        <f t="array" ref="AF48">_xlfn.XLOOKUP(1,('1994 E Maize Soil VWC'!$C$2:$C$4000=$AA48)*('1994 E Maize Soil VWC'!$D$2:$D$4000=$AB48)*('1994 E Maize Soil VWC'!$E$2:$E$4000=AF$5),'1994 E Maize Soil VWC'!$F$2:$F$4000)</f>
        <v>0.25062247006779992</v>
      </c>
      <c r="AG48" s="4" cm="1">
        <f t="array" ref="AG48">_xlfn.XLOOKUP(1,('1994 E Maize Soil VWC'!$C$2:$C$4000=$AA48)*('1994 E Maize Soil VWC'!$D$2:$D$4000=$AB48)*('1994 E Maize Soil VWC'!$E$2:$E$4000=AG$5),'1994 E Maize Soil VWC'!$F$2:$F$4000)</f>
        <v>0.28828354513151705</v>
      </c>
      <c r="AH48" s="4" cm="1">
        <f t="array" ref="AH48">_xlfn.XLOOKUP(1,('1994 E Maize Soil VWC'!$C$2:$C$4000=$AA48)*('1994 E Maize Soil VWC'!$D$2:$D$4000=$AB48)*('1994 E Maize Soil VWC'!$E$2:$E$4000=AH$5),'1994 E Maize Soil VWC'!$F$2:$F$4000)</f>
        <v>0.25468174761957785</v>
      </c>
      <c r="AI48" s="4" cm="1">
        <f t="array" ref="AI48">_xlfn.XLOOKUP(1,('1994 E Maize Soil VWC'!$C$2:$C$4000=$AA48)*('1994 E Maize Soil VWC'!$D$2:$D$4000=$AB48)*('1994 E Maize Soil VWC'!$E$2:$E$4000=AI$5),'1994 E Maize Soil VWC'!$F$2:$F$4000)</f>
        <v>0.25539051036671362</v>
      </c>
      <c r="AJ48" s="4" cm="1">
        <f t="array" ref="AJ48">_xlfn.XLOOKUP(1,('1994 E Maize Soil VWC'!$C$2:$C$4000=$AA48)*('1994 E Maize Soil VWC'!$D$2:$D$4000=$AB48)*('1994 E Maize Soil VWC'!$E$2:$E$4000=AJ$5),'1994 E Maize Soil VWC'!$F$2:$F$4000)</f>
        <v>0.28142143307970202</v>
      </c>
      <c r="AK48" s="4" cm="1">
        <f t="array" ref="AK48">_xlfn.XLOOKUP(1,('1994 E Maize Soil VWC'!$C$2:$C$4000=$AA48)*('1994 E Maize Soil VWC'!$D$2:$D$4000=$AB48)*('1994 E Maize Soil VWC'!$E$2:$E$4000=AK$5),'1994 E Maize Soil VWC'!$F$2:$F$4000)</f>
        <v>0.25503612899314571</v>
      </c>
      <c r="AL48" s="4" cm="1">
        <f t="array" ref="AL48">_xlfn.XLOOKUP(1,('1994 E Maize Soil VWC'!$C$2:$C$4000=$AA48)*('1994 E Maize Soil VWC'!$D$2:$D$4000=$AB48)*('1994 E Maize Soil VWC'!$E$2:$E$4000=AL$5),'1994 E Maize Soil VWC'!$F$2:$F$4000)</f>
        <v>0.26856705416573873</v>
      </c>
      <c r="AM48" s="4" cm="1">
        <f t="array" ref="AM48">_xlfn.XLOOKUP(1,('1994 E Maize Soil VWC'!$C$2:$C$4000=$AA48)*('1994 E Maize Soil VWC'!$D$2:$D$4000=$AB48)*('1994 E Maize Soil VWC'!$E$2:$E$4000=AM$5),'1994 E Maize Soil VWC'!$F$2:$F$4000)</f>
        <v>0.28370880376364038</v>
      </c>
      <c r="AN48" s="4" cm="1">
        <f t="array" ref="AN48">_xlfn.XLOOKUP(1,('1994 E Maize Soil VWC'!$C$2:$C$4000=$AA48)*('1994 E Maize Soil VWC'!$D$2:$D$4000=$AB48)*('1994 E Maize Soil VWC'!$E$2:$E$4000=AN$5),'1994 E Maize Soil VWC'!$F$2:$F$4000)</f>
        <v>0.27475261995892408</v>
      </c>
    </row>
    <row r="49" spans="25:40" x14ac:dyDescent="0.25">
      <c r="AA49" s="19">
        <f t="shared" si="6"/>
        <v>34500</v>
      </c>
      <c r="AB49" s="4">
        <f t="shared" si="7"/>
        <v>90</v>
      </c>
      <c r="AC49" s="4" cm="1">
        <f t="array" ref="AC49">_xlfn.XLOOKUP(1,('1994 E Maize Soil VWC'!$C$2:$C$4000=$AA49)*('1994 E Maize Soil VWC'!$D$2:$D$4000=$AB49)*('1994 E Maize Soil VWC'!$E$2:$E$4000=AC$5),'1994 E Maize Soil VWC'!$F$2:$F$4000)</f>
        <v>0.21296139500408284</v>
      </c>
      <c r="AD49" s="4" cm="1">
        <f t="array" ref="AD49">_xlfn.XLOOKUP(1,('1994 E Maize Soil VWC'!$C$2:$C$4000=$AA49)*('1994 E Maize Soil VWC'!$D$2:$D$4000=$AB49)*('1994 E Maize Soil VWC'!$E$2:$E$4000=AD$5),'1994 E Maize Soil VWC'!$F$2:$F$4000)</f>
        <v>0.20281320112463808</v>
      </c>
      <c r="AE49" s="4" cm="1">
        <f t="array" ref="AE49">_xlfn.XLOOKUP(1,('1994 E Maize Soil VWC'!$C$2:$C$4000=$AA49)*('1994 E Maize Soil VWC'!$D$2:$D$4000=$AB49)*('1994 E Maize Soil VWC'!$E$2:$E$4000=AE$5),'1994 E Maize Soil VWC'!$F$2:$F$4000)</f>
        <v>0.22433381544676217</v>
      </c>
      <c r="AF49" s="4" cm="1">
        <f t="array" ref="AF49">_xlfn.XLOOKUP(1,('1994 E Maize Soil VWC'!$C$2:$C$4000=$AA49)*('1994 E Maize Soil VWC'!$D$2:$D$4000=$AB49)*('1994 E Maize Soil VWC'!$E$2:$E$4000=AF$5),'1994 E Maize Soil VWC'!$F$2:$F$4000)</f>
        <v>0.21193046737188526</v>
      </c>
      <c r="AG49" s="4" cm="1">
        <f t="array" ref="AG49">_xlfn.XLOOKUP(1,('1994 E Maize Soil VWC'!$C$2:$C$4000=$AA49)*('1994 E Maize Soil VWC'!$D$2:$D$4000=$AB49)*('1994 E Maize Soil VWC'!$E$2:$E$4000=AG$5),'1994 E Maize Soil VWC'!$F$2:$F$4000)</f>
        <v>0.20806448875114442</v>
      </c>
      <c r="AH49" s="4" cm="1">
        <f t="array" ref="AH49">_xlfn.XLOOKUP(1,('1994 E Maize Soil VWC'!$C$2:$C$4000=$AA49)*('1994 E Maize Soil VWC'!$D$2:$D$4000=$AB49)*('1994 E Maize Soil VWC'!$E$2:$E$4000=AH$5),'1994 E Maize Soil VWC'!$F$2:$F$4000)</f>
        <v>0.22414051651572514</v>
      </c>
      <c r="AI49" s="4" cm="1">
        <f t="array" ref="AI49">_xlfn.XLOOKUP(1,('1994 E Maize Soil VWC'!$C$2:$C$4000=$AA49)*('1994 E Maize Soil VWC'!$D$2:$D$4000=$AB49)*('1994 E Maize Soil VWC'!$E$2:$E$4000=AI$5),'1994 E Maize Soil VWC'!$F$2:$F$4000)</f>
        <v>0.26354128195877563</v>
      </c>
      <c r="AJ49" s="4" cm="1">
        <f t="array" ref="AJ49">_xlfn.XLOOKUP(1,('1994 E Maize Soil VWC'!$C$2:$C$4000=$AA49)*('1994 E Maize Soil VWC'!$D$2:$D$4000=$AB49)*('1994 E Maize Soil VWC'!$E$2:$E$4000=AJ$5),'1994 E Maize Soil VWC'!$F$2:$F$4000)</f>
        <v>0.27449488805087469</v>
      </c>
      <c r="AK49" s="4" cm="1">
        <f t="array" ref="AK49">_xlfn.XLOOKUP(1,('1994 E Maize Soil VWC'!$C$2:$C$4000=$AA49)*('1994 E Maize Soil VWC'!$D$2:$D$4000=$AB49)*('1994 E Maize Soil VWC'!$E$2:$E$4000=AK$5),'1994 E Maize Soil VWC'!$F$2:$F$4000)</f>
        <v>0.27072555889565236</v>
      </c>
      <c r="AL49" s="4" cm="1">
        <f t="array" ref="AL49">_xlfn.XLOOKUP(1,('1994 E Maize Soil VWC'!$C$2:$C$4000=$AA49)*('1994 E Maize Soil VWC'!$D$2:$D$4000=$AB49)*('1994 E Maize Soil VWC'!$E$2:$E$4000=AL$5),'1994 E Maize Soil VWC'!$F$2:$F$4000)</f>
        <v>0.24701422335510848</v>
      </c>
      <c r="AM49" s="4" cm="1">
        <f t="array" ref="AM49">_xlfn.XLOOKUP(1,('1994 E Maize Soil VWC'!$C$2:$C$4000=$AA49)*('1994 E Maize Soil VWC'!$D$2:$D$4000=$AB49)*('1994 E Maize Soil VWC'!$E$2:$E$4000=AM$5),'1994 E Maize Soil VWC'!$F$2:$F$4000)</f>
        <v>0.275107001332492</v>
      </c>
      <c r="AN49" s="4" cm="1">
        <f t="array" ref="AN49">_xlfn.XLOOKUP(1,('1994 E Maize Soil VWC'!$C$2:$C$4000=$AA49)*('1994 E Maize Soil VWC'!$D$2:$D$4000=$AB49)*('1994 E Maize Soil VWC'!$E$2:$E$4000=AN$5),'1994 E Maize Soil VWC'!$F$2:$F$4000)</f>
        <v>0.28135700010268971</v>
      </c>
    </row>
    <row r="50" spans="25:40" x14ac:dyDescent="0.25">
      <c r="AA50" s="19">
        <f t="shared" si="6"/>
        <v>34500</v>
      </c>
      <c r="AB50" s="4">
        <f t="shared" si="7"/>
        <v>110</v>
      </c>
      <c r="AC50" s="4" cm="1">
        <f t="array" ref="AC50">_xlfn.XLOOKUP(1,('1994 E Maize Soil VWC'!$C$2:$C$4000=$AA50)*('1994 E Maize Soil VWC'!$D$2:$D$4000=$AB50)*('1994 E Maize Soil VWC'!$E$2:$E$4000=AC$5),'1994 E Maize Soil VWC'!$F$2:$F$4000)</f>
        <v>0.23061603070546605</v>
      </c>
      <c r="AD50" s="4" cm="1">
        <f t="array" ref="AD50">_xlfn.XLOOKUP(1,('1994 E Maize Soil VWC'!$C$2:$C$4000=$AA50)*('1994 E Maize Soil VWC'!$D$2:$D$4000=$AB50)*('1994 E Maize Soil VWC'!$E$2:$E$4000=AD$5),'1994 E Maize Soil VWC'!$F$2:$F$4000)</f>
        <v>0.2141211885903051</v>
      </c>
      <c r="AE50" s="4" cm="1">
        <f t="array" ref="AE50">_xlfn.XLOOKUP(1,('1994 E Maize Soil VWC'!$C$2:$C$4000=$AA50)*('1994 E Maize Soil VWC'!$D$2:$D$4000=$AB50)*('1994 E Maize Soil VWC'!$E$2:$E$4000=AE$5),'1994 E Maize Soil VWC'!$F$2:$F$4000)</f>
        <v>0.2392822661136268</v>
      </c>
      <c r="AF50" s="4" cm="1">
        <f t="array" ref="AF50">_xlfn.XLOOKUP(1,('1994 E Maize Soil VWC'!$C$2:$C$4000=$AA50)*('1994 E Maize Soil VWC'!$D$2:$D$4000=$AB50)*('1994 E Maize Soil VWC'!$E$2:$E$4000=AF$5),'1994 E Maize Soil VWC'!$F$2:$F$4000)</f>
        <v>0.23966886397570086</v>
      </c>
      <c r="AG50" s="4" cm="1">
        <f t="array" ref="AG50">_xlfn.XLOOKUP(1,('1994 E Maize Soil VWC'!$C$2:$C$4000=$AA50)*('1994 E Maize Soil VWC'!$D$2:$D$4000=$AB50)*('1994 E Maize Soil VWC'!$E$2:$E$4000=AG$5),'1994 E Maize Soil VWC'!$F$2:$F$4000)</f>
        <v>0.22062891926855216</v>
      </c>
      <c r="AH50" s="4" cm="1">
        <f t="array" ref="AH50">_xlfn.XLOOKUP(1,('1994 E Maize Soil VWC'!$C$2:$C$4000=$AA50)*('1994 E Maize Soil VWC'!$D$2:$D$4000=$AB50)*('1994 E Maize Soil VWC'!$E$2:$E$4000=AH$5),'1994 E Maize Soil VWC'!$F$2:$F$4000)</f>
        <v>0.22855417544107093</v>
      </c>
      <c r="AI50" s="4" cm="1">
        <f t="array" ref="AI50">_xlfn.XLOOKUP(1,('1994 E Maize Soil VWC'!$C$2:$C$4000=$AA50)*('1994 E Maize Soil VWC'!$D$2:$D$4000=$AB50)*('1994 E Maize Soil VWC'!$E$2:$E$4000=AI$5),'1994 E Maize Soil VWC'!$F$2:$F$4000)</f>
        <v>0.28068045384406004</v>
      </c>
      <c r="AJ50" s="4" cm="1">
        <f t="array" ref="AJ50">_xlfn.XLOOKUP(1,('1994 E Maize Soil VWC'!$C$2:$C$4000=$AA50)*('1994 E Maize Soil VWC'!$D$2:$D$4000=$AB50)*('1994 E Maize Soil VWC'!$E$2:$E$4000=AJ$5),'1994 E Maize Soil VWC'!$F$2:$F$4000)</f>
        <v>0.28428870055675148</v>
      </c>
      <c r="AK50" s="4" cm="1">
        <f t="array" ref="AK50">_xlfn.XLOOKUP(1,('1994 E Maize Soil VWC'!$C$2:$C$4000=$AA50)*('1994 E Maize Soil VWC'!$D$2:$D$4000=$AB50)*('1994 E Maize Soil VWC'!$E$2:$E$4000=AK$5),'1994 E Maize Soil VWC'!$F$2:$F$4000)</f>
        <v>0.27078999187266467</v>
      </c>
      <c r="AL50" s="4" cm="1">
        <f t="array" ref="AL50">_xlfn.XLOOKUP(1,('1994 E Maize Soil VWC'!$C$2:$C$4000=$AA50)*('1994 E Maize Soil VWC'!$D$2:$D$4000=$AB50)*('1994 E Maize Soil VWC'!$E$2:$E$4000=AL$5),'1994 E Maize Soil VWC'!$F$2:$F$4000)</f>
        <v>0.25551937632073835</v>
      </c>
      <c r="AM50" s="4" cm="1">
        <f t="array" ref="AM50">_xlfn.XLOOKUP(1,('1994 E Maize Soil VWC'!$C$2:$C$4000=$AA50)*('1994 E Maize Soil VWC'!$D$2:$D$4000=$AB50)*('1994 E Maize Soil VWC'!$E$2:$E$4000=AM$5),'1994 E Maize Soil VWC'!$F$2:$F$4000)</f>
        <v>0.27852194911414641</v>
      </c>
      <c r="AN50" s="4" cm="1">
        <f t="array" ref="AN50">_xlfn.XLOOKUP(1,('1994 E Maize Soil VWC'!$C$2:$C$4000=$AA50)*('1994 E Maize Soil VWC'!$D$2:$D$4000=$AB50)*('1994 E Maize Soil VWC'!$E$2:$E$4000=AN$5),'1994 E Maize Soil VWC'!$F$2:$F$4000)</f>
        <v>0.2871881845223071</v>
      </c>
    </row>
    <row r="51" spans="25:40" x14ac:dyDescent="0.25">
      <c r="AA51" s="19">
        <f t="shared" si="6"/>
        <v>34500</v>
      </c>
      <c r="AB51" s="4">
        <f t="shared" si="7"/>
        <v>130</v>
      </c>
      <c r="AC51" s="4" cm="1">
        <f t="array" ref="AC51">_xlfn.XLOOKUP(1,('1994 E Maize Soil VWC'!$C$2:$C$4000=$AA51)*('1994 E Maize Soil VWC'!$D$2:$D$4000=$AB51)*('1994 E Maize Soil VWC'!$E$2:$E$4000=AC$5),'1994 E Maize Soil VWC'!$F$2:$F$4000)</f>
        <v>0.24537901783089594</v>
      </c>
      <c r="AD51" s="4" cm="1">
        <f t="array" ref="AD51">_xlfn.XLOOKUP(1,('1994 E Maize Soil VWC'!$C$2:$C$4000=$AA51)*('1994 E Maize Soil VWC'!$D$2:$D$4000=$AB51)*('1994 E Maize Soil VWC'!$E$2:$E$4000=AD$5),'1994 E Maize Soil VWC'!$F$2:$F$4000)</f>
        <v>0.20535919297008387</v>
      </c>
      <c r="AE51" s="4" cm="1">
        <f t="array" ref="AE51">_xlfn.XLOOKUP(1,('1994 E Maize Soil VWC'!$C$2:$C$4000=$AA51)*('1994 E Maize Soil VWC'!$D$2:$D$4000=$AB51)*('1994 E Maize Soil VWC'!$E$2:$E$4000=AE$5),'1994 E Maize Soil VWC'!$F$2:$F$4000)</f>
        <v>0.25371538213941058</v>
      </c>
      <c r="AF51" s="4" cm="1">
        <f t="array" ref="AF51">_xlfn.XLOOKUP(1,('1994 E Maize Soil VWC'!$C$2:$C$4000=$AA51)*('1994 E Maize Soil VWC'!$D$2:$D$4000=$AB51)*('1994 E Maize Soil VWC'!$E$2:$E$4000=AF$5),'1994 E Maize Soil VWC'!$F$2:$F$4000)</f>
        <v>0.24862386849528612</v>
      </c>
      <c r="AG51" s="4" cm="1">
        <f t="array" ref="AG51">_xlfn.XLOOKUP(1,('1994 E Maize Soil VWC'!$C$2:$C$4000=$AA51)*('1994 E Maize Soil VWC'!$D$2:$D$4000=$AB51)*('1994 E Maize Soil VWC'!$E$2:$E$4000=AG$5),'1994 E Maize Soil VWC'!$F$2:$F$4000)</f>
        <v>0.21599069555341099</v>
      </c>
      <c r="AH51" s="4" cm="1">
        <f t="array" ref="AH51">_xlfn.XLOOKUP(1,('1994 E Maize Soil VWC'!$C$2:$C$4000=$AA51)*('1994 E Maize Soil VWC'!$D$2:$D$4000=$AB51)*('1994 E Maize Soil VWC'!$E$2:$E$4000=AH$5),'1994 E Maize Soil VWC'!$F$2:$F$4000)</f>
        <v>0.23160818818202061</v>
      </c>
      <c r="AI51" s="4" cm="1">
        <f t="array" ref="AI51">_xlfn.XLOOKUP(1,('1994 E Maize Soil VWC'!$C$2:$C$4000=$AA51)*('1994 E Maize Soil VWC'!$D$2:$D$4000=$AB51)*('1994 E Maize Soil VWC'!$E$2:$E$4000=AI$5),'1994 E Maize Soil VWC'!$F$2:$F$4000)</f>
        <v>0.26461069371984264</v>
      </c>
      <c r="AJ51" s="4" cm="1">
        <f t="array" ref="AJ51">_xlfn.XLOOKUP(1,('1994 E Maize Soil VWC'!$C$2:$C$4000=$AA51)*('1994 E Maize Soil VWC'!$D$2:$D$4000=$AB51)*('1994 E Maize Soil VWC'!$E$2:$E$4000=AJ$5),'1994 E Maize Soil VWC'!$F$2:$F$4000)</f>
        <v>0.26400393302650138</v>
      </c>
      <c r="AK51" s="4" cm="1">
        <f t="array" ref="AK51">_xlfn.XLOOKUP(1,('1994 E Maize Soil VWC'!$C$2:$C$4000=$AA51)*('1994 E Maize Soil VWC'!$D$2:$D$4000=$AB51)*('1994 E Maize Soil VWC'!$E$2:$E$4000=AK$5),'1994 E Maize Soil VWC'!$F$2:$F$4000)</f>
        <v>0.26869973317496842</v>
      </c>
      <c r="AL51" s="4" cm="1">
        <f t="array" ref="AL51">_xlfn.XLOOKUP(1,('1994 E Maize Soil VWC'!$C$2:$C$4000=$AA51)*('1994 E Maize Soil VWC'!$D$2:$D$4000=$AB51)*('1994 E Maize Soil VWC'!$E$2:$E$4000=AL$5),'1994 E Maize Soil VWC'!$F$2:$F$4000)</f>
        <v>0.24221330986563727</v>
      </c>
      <c r="AM51" s="4" cm="1">
        <f t="array" ref="AM51">_xlfn.XLOOKUP(1,('1994 E Maize Soil VWC'!$C$2:$C$4000=$AA51)*('1994 E Maize Soil VWC'!$D$2:$D$4000=$AB51)*('1994 E Maize Soil VWC'!$E$2:$E$4000=AM$5),'1994 E Maize Soil VWC'!$F$2:$F$4000)</f>
        <v>0.27017706355875581</v>
      </c>
      <c r="AN51" s="4" cm="1">
        <f t="array" ref="AN51">_xlfn.XLOOKUP(1,('1994 E Maize Soil VWC'!$C$2:$C$4000=$AA51)*('1994 E Maize Soil VWC'!$D$2:$D$4000=$AB51)*('1994 E Maize Soil VWC'!$E$2:$E$4000=AN$5),'1994 E Maize Soil VWC'!$F$2:$F$4000)</f>
        <v>0.27447715021156555</v>
      </c>
    </row>
    <row r="52" spans="25:40" x14ac:dyDescent="0.25">
      <c r="AA52" s="19">
        <f t="shared" si="6"/>
        <v>34500</v>
      </c>
      <c r="AB52" s="4">
        <f t="shared" si="7"/>
        <v>150</v>
      </c>
      <c r="AC52" s="4" cm="1">
        <f t="array" ref="AC52">_xlfn.XLOOKUP(1,('1994 E Maize Soil VWC'!$C$2:$C$4000=$AA52)*('1994 E Maize Soil VWC'!$D$2:$D$4000=$AB52)*('1994 E Maize Soil VWC'!$E$2:$E$4000=AC$5),'1994 E Maize Soil VWC'!$F$2:$F$4000)</f>
        <v>0.26804021068220618</v>
      </c>
      <c r="AD52" s="4" cm="1">
        <f t="array" ref="AD52">_xlfn.XLOOKUP(1,('1994 E Maize Soil VWC'!$C$2:$C$4000=$AA52)*('1994 E Maize Soil VWC'!$D$2:$D$4000=$AB52)*('1994 E Maize Soil VWC'!$E$2:$E$4000=AD$5),'1994 E Maize Soil VWC'!$F$2:$F$4000)</f>
        <v>0.18372685520748269</v>
      </c>
      <c r="AE52" s="4" cm="1">
        <f t="array" ref="AE52">_xlfn.XLOOKUP(1,('1994 E Maize Soil VWC'!$C$2:$C$4000=$AA52)*('1994 E Maize Soil VWC'!$D$2:$D$4000=$AB52)*('1994 E Maize Soil VWC'!$E$2:$E$4000=AE$5),'1994 E Maize Soil VWC'!$F$2:$F$4000)</f>
        <v>0.28758845736767868</v>
      </c>
      <c r="AF52" s="4" cm="1">
        <f t="array" ref="AF52">_xlfn.XLOOKUP(1,('1994 E Maize Soil VWC'!$C$2:$C$4000=$AA52)*('1994 E Maize Soil VWC'!$D$2:$D$4000=$AB52)*('1994 E Maize Soil VWC'!$E$2:$E$4000=AF$5),'1994 E Maize Soil VWC'!$F$2:$F$4000)</f>
        <v>0.27669314578724663</v>
      </c>
      <c r="AG52" s="4" cm="1">
        <f t="array" ref="AG52">_xlfn.XLOOKUP(1,('1994 E Maize Soil VWC'!$C$2:$C$4000=$AA52)*('1994 E Maize Soil VWC'!$D$2:$D$4000=$AB52)*('1994 E Maize Soil VWC'!$E$2:$E$4000=AG$5),'1994 E Maize Soil VWC'!$F$2:$F$4000)</f>
        <v>0.25914984747977138</v>
      </c>
      <c r="AH52" s="4" cm="1">
        <f t="array" ref="AH52">_xlfn.XLOOKUP(1,('1994 E Maize Soil VWC'!$C$2:$C$4000=$AA52)*('1994 E Maize Soil VWC'!$D$2:$D$4000=$AB52)*('1994 E Maize Soil VWC'!$E$2:$E$4000=AH$5),'1994 E Maize Soil VWC'!$F$2:$F$4000)</f>
        <v>0.27281515352980479</v>
      </c>
      <c r="AI52" s="4" cm="1">
        <f t="array" ref="AI52">_xlfn.XLOOKUP(1,('1994 E Maize Soil VWC'!$C$2:$C$4000=$AA52)*('1994 E Maize Soil VWC'!$D$2:$D$4000=$AB52)*('1994 E Maize Soil VWC'!$E$2:$E$4000=AI$5),'1994 E Maize Soil VWC'!$F$2:$F$4000)</f>
        <v>0.28088770884121445</v>
      </c>
      <c r="AJ52" s="4" cm="1">
        <f t="array" ref="AJ52">_xlfn.XLOOKUP(1,('1994 E Maize Soil VWC'!$C$2:$C$4000=$AA52)*('1994 E Maize Soil VWC'!$D$2:$D$4000=$AB52)*('1994 E Maize Soil VWC'!$E$2:$E$4000=AJ$5),'1994 E Maize Soil VWC'!$F$2:$F$4000)</f>
        <v>0.28249694372355427</v>
      </c>
      <c r="AK52" s="4" cm="1">
        <f t="array" ref="AK52">_xlfn.XLOOKUP(1,('1994 E Maize Soil VWC'!$C$2:$C$4000=$AA52)*('1994 E Maize Soil VWC'!$D$2:$D$4000=$AB52)*('1994 E Maize Soil VWC'!$E$2:$E$4000=AK$5),'1994 E Maize Soil VWC'!$F$2:$F$4000)</f>
        <v>0.27714162108232498</v>
      </c>
      <c r="AL52" s="4" cm="1">
        <f t="array" ref="AL52">_xlfn.XLOOKUP(1,('1994 E Maize Soil VWC'!$C$2:$C$4000=$AA52)*('1994 E Maize Soil VWC'!$D$2:$D$4000=$AB52)*('1994 E Maize Soil VWC'!$E$2:$E$4000=AL$5),'1994 E Maize Soil VWC'!$F$2:$F$4000)</f>
        <v>0.27801219077277112</v>
      </c>
      <c r="AM52" s="4" cm="1">
        <f t="array" ref="AM52">_xlfn.XLOOKUP(1,('1994 E Maize Soil VWC'!$C$2:$C$4000=$AA52)*('1994 E Maize Soil VWC'!$D$2:$D$4000=$AB52)*('1994 E Maize Soil VWC'!$E$2:$E$4000=AM$5),'1994 E Maize Soil VWC'!$F$2:$F$4000)</f>
        <v>0.2949223474871947</v>
      </c>
      <c r="AN52" s="4" cm="1">
        <f t="array" ref="AN52">_xlfn.XLOOKUP(1,('1994 E Maize Soil VWC'!$C$2:$C$4000=$AA52)*('1994 E Maize Soil VWC'!$D$2:$D$4000=$AB52)*('1994 E Maize Soil VWC'!$E$2:$E$4000=AN$5),'1994 E Maize Soil VWC'!$F$2:$F$4000)</f>
        <v>0.30821832094128127</v>
      </c>
    </row>
    <row r="53" spans="25:40" x14ac:dyDescent="0.25">
      <c r="AA53" s="19">
        <f t="shared" si="6"/>
        <v>34500</v>
      </c>
      <c r="AB53" s="4">
        <f t="shared" si="7"/>
        <v>170</v>
      </c>
      <c r="AC53" s="4" cm="1">
        <f t="array" ref="AC53">_xlfn.XLOOKUP(1,('1994 E Maize Soil VWC'!$C$2:$C$4000=$AA53)*('1994 E Maize Soil VWC'!$D$2:$D$4000=$AB53)*('1994 E Maize Soil VWC'!$E$2:$E$4000=AC$5),'1994 E Maize Soil VWC'!$F$2:$F$4000)</f>
        <v>0.24012921878850862</v>
      </c>
      <c r="AD53" s="4" cm="1">
        <f t="array" ref="AD53">_xlfn.XLOOKUP(1,('1994 E Maize Soil VWC'!$C$2:$C$4000=$AA53)*('1994 E Maize Soil VWC'!$D$2:$D$4000=$AB53)*('1994 E Maize Soil VWC'!$E$2:$E$4000=AD$5),'1994 E Maize Soil VWC'!$F$2:$F$4000)</f>
        <v>0.26374012402939645</v>
      </c>
      <c r="AE53" s="4" cm="1">
        <f t="array" ref="AE53">_xlfn.XLOOKUP(1,('1994 E Maize Soil VWC'!$C$2:$C$4000=$AA53)*('1994 E Maize Soil VWC'!$D$2:$D$4000=$AB53)*('1994 E Maize Soil VWC'!$E$2:$E$4000=AE$5),'1994 E Maize Soil VWC'!$F$2:$F$4000)</f>
        <v>0.26748621178828591</v>
      </c>
      <c r="AF53" s="4" cm="1">
        <f t="array" ref="AF53">_xlfn.XLOOKUP(1,('1994 E Maize Soil VWC'!$C$2:$C$4000=$AA53)*('1994 E Maize Soil VWC'!$D$2:$D$4000=$AB53)*('1994 E Maize Soil VWC'!$E$2:$E$4000=AF$5),'1994 E Maize Soil VWC'!$F$2:$F$4000)</f>
        <v>0.27526857720288028</v>
      </c>
      <c r="AG53" s="4" cm="1">
        <f t="array" ref="AG53">_xlfn.XLOOKUP(1,('1994 E Maize Soil VWC'!$C$2:$C$4000=$AA53)*('1994 E Maize Soil VWC'!$D$2:$D$4000=$AB53)*('1994 E Maize Soil VWC'!$E$2:$E$4000=AG$5),'1994 E Maize Soil VWC'!$F$2:$F$4000)</f>
        <v>0.25487614172667206</v>
      </c>
      <c r="AH53" s="4" cm="1">
        <f t="array" ref="AH53">_xlfn.XLOOKUP(1,('1994 E Maize Soil VWC'!$C$2:$C$4000=$AA53)*('1994 E Maize Soil VWC'!$D$2:$D$4000=$AB53)*('1994 E Maize Soil VWC'!$E$2:$E$4000=AH$5),'1994 E Maize Soil VWC'!$F$2:$F$4000)</f>
        <v>0.26822487698017961</v>
      </c>
      <c r="AI53" s="4" cm="1">
        <f t="array" ref="AI53">_xlfn.XLOOKUP(1,('1994 E Maize Soil VWC'!$C$2:$C$4000=$AA53)*('1994 E Maize Soil VWC'!$D$2:$D$4000=$AB53)*('1994 E Maize Soil VWC'!$E$2:$E$4000=AI$5),'1994 E Maize Soil VWC'!$F$2:$F$4000)</f>
        <v>0.26732792639002301</v>
      </c>
      <c r="AJ53" s="4" cm="1">
        <f t="array" ref="AJ53">_xlfn.XLOOKUP(1,('1994 E Maize Soil VWC'!$C$2:$C$4000=$AA53)*('1994 E Maize Soil VWC'!$D$2:$D$4000=$AB53)*('1994 E Maize Soil VWC'!$E$2:$E$4000=AJ$5),'1994 E Maize Soil VWC'!$F$2:$F$4000)</f>
        <v>0.26458431282013212</v>
      </c>
      <c r="AK53" s="4" cm="1">
        <f t="array" ref="AK53">_xlfn.XLOOKUP(1,('1994 E Maize Soil VWC'!$C$2:$C$4000=$AA53)*('1994 E Maize Soil VWC'!$D$2:$D$4000=$AB53)*('1994 E Maize Soil VWC'!$E$2:$E$4000=AK$5),'1994 E Maize Soil VWC'!$F$2:$F$4000)</f>
        <v>0.26020508346819093</v>
      </c>
      <c r="AL53" s="4" cm="1">
        <f t="array" ref="AL53">_xlfn.XLOOKUP(1,('1994 E Maize Soil VWC'!$C$2:$C$4000=$AA53)*('1994 E Maize Soil VWC'!$D$2:$D$4000=$AB53)*('1994 E Maize Soil VWC'!$E$2:$E$4000=AL$5),'1994 E Maize Soil VWC'!$F$2:$F$4000)</f>
        <v>0.2619462228490832</v>
      </c>
      <c r="AM53" s="4" cm="1">
        <f t="array" ref="AM53">_xlfn.XLOOKUP(1,('1994 E Maize Soil VWC'!$C$2:$C$4000=$AA53)*('1994 E Maize Soil VWC'!$D$2:$D$4000=$AB53)*('1994 E Maize Soil VWC'!$E$2:$E$4000=AM$5),'1994 E Maize Soil VWC'!$F$2:$F$4000)</f>
        <v>0.26672116569668175</v>
      </c>
      <c r="AN53" s="4" cm="1">
        <f t="array" ref="AN53">_xlfn.XLOOKUP(1,('1994 E Maize Soil VWC'!$C$2:$C$4000=$AA53)*('1994 E Maize Soil VWC'!$D$2:$D$4000=$AB53)*('1994 E Maize Soil VWC'!$E$2:$E$4000=AN$5),'1994 E Maize Soil VWC'!$F$2:$F$4000)</f>
        <v>0.28004352005047878</v>
      </c>
    </row>
    <row r="54" spans="25:40" x14ac:dyDescent="0.25">
      <c r="AA54" s="19">
        <f t="shared" si="6"/>
        <v>34500</v>
      </c>
      <c r="AB54" s="4">
        <f t="shared" si="7"/>
        <v>190</v>
      </c>
      <c r="AC54" s="4" cm="1">
        <f t="array" ref="AC54">_xlfn.XLOOKUP(1,('1994 E Maize Soil VWC'!$C$2:$C$4000=$AA54)*('1994 E Maize Soil VWC'!$D$2:$D$4000=$AB54)*('1994 E Maize Soil VWC'!$E$2:$E$4000=AC$5),'1994 E Maize Soil VWC'!$F$2:$F$4000)</f>
        <v>0.21293051118699427</v>
      </c>
      <c r="AD54" s="4" cm="1">
        <f t="array" ref="AD54">_xlfn.XLOOKUP(1,('1994 E Maize Soil VWC'!$C$2:$C$4000=$AA54)*('1994 E Maize Soil VWC'!$D$2:$D$4000=$AB54)*('1994 E Maize Soil VWC'!$E$2:$E$4000=AD$5),'1994 E Maize Soil VWC'!$F$2:$F$4000)</f>
        <v>0.25991489357137554</v>
      </c>
      <c r="AE54" s="4" cm="1">
        <f t="array" ref="AE54">_xlfn.XLOOKUP(1,('1994 E Maize Soil VWC'!$C$2:$C$4000=$AA54)*('1994 E Maize Soil VWC'!$D$2:$D$4000=$AB54)*('1994 E Maize Soil VWC'!$E$2:$E$4000=AE$5),'1994 E Maize Soil VWC'!$F$2:$F$4000)</f>
        <v>0.2585167058867196</v>
      </c>
      <c r="AF54" s="4" cm="1">
        <f t="array" ref="AF54">_xlfn.XLOOKUP(1,('1994 E Maize Soil VWC'!$C$2:$C$4000=$AA54)*('1994 E Maize Soil VWC'!$D$2:$D$4000=$AB54)*('1994 E Maize Soil VWC'!$E$2:$E$4000=AF$5),'1994 E Maize Soil VWC'!$F$2:$F$4000)</f>
        <v>0.27041449165615022</v>
      </c>
      <c r="AG54" s="4" cm="1">
        <f t="array" ref="AG54">_xlfn.XLOOKUP(1,('1994 E Maize Soil VWC'!$C$2:$C$4000=$AA54)*('1994 E Maize Soil VWC'!$D$2:$D$4000=$AB54)*('1994 E Maize Soil VWC'!$E$2:$E$4000=AG$5),'1994 E Maize Soil VWC'!$F$2:$F$4000)</f>
        <v>0.23514322874322618</v>
      </c>
      <c r="AH54" s="4" cm="1">
        <f t="array" ref="AH54">_xlfn.XLOOKUP(1,('1994 E Maize Soil VWC'!$C$2:$C$4000=$AA54)*('1994 E Maize Soil VWC'!$D$2:$D$4000=$AB54)*('1994 E Maize Soil VWC'!$E$2:$E$4000=AH$5),'1994 E Maize Soil VWC'!$F$2:$F$4000)</f>
        <v>0.25922899017890283</v>
      </c>
      <c r="AI54" s="4" cm="1">
        <f t="array" ref="AI54">_xlfn.XLOOKUP(1,('1994 E Maize Soil VWC'!$C$2:$C$4000=$AA54)*('1994 E Maize Soil VWC'!$D$2:$D$4000=$AB54)*('1994 E Maize Soil VWC'!$E$2:$E$4000=AI$5),'1994 E Maize Soil VWC'!$F$2:$F$4000)</f>
        <v>0.25957194187513916</v>
      </c>
      <c r="AJ54" s="4" cm="1">
        <f t="array" ref="AJ54">_xlfn.XLOOKUP(1,('1994 E Maize Soil VWC'!$C$2:$C$4000=$AA54)*('1994 E Maize Soil VWC'!$D$2:$D$4000=$AB54)*('1994 E Maize Soil VWC'!$E$2:$E$4000=AJ$5),'1994 E Maize Soil VWC'!$F$2:$F$4000)</f>
        <v>0.25751423169772103</v>
      </c>
      <c r="AK54" s="4" cm="1">
        <f t="array" ref="AK54">_xlfn.XLOOKUP(1,('1994 E Maize Soil VWC'!$C$2:$C$4000=$AA54)*('1994 E Maize Soil VWC'!$D$2:$D$4000=$AB54)*('1994 E Maize Soil VWC'!$E$2:$E$4000=AK$5),'1994 E Maize Soil VWC'!$F$2:$F$4000)</f>
        <v>0.24989015168138967</v>
      </c>
      <c r="AL54" s="4" cm="1">
        <f t="array" ref="AL54">_xlfn.XLOOKUP(1,('1994 E Maize Soil VWC'!$C$2:$C$4000=$AA54)*('1994 E Maize Soil VWC'!$D$2:$D$4000=$AB54)*('1994 E Maize Soil VWC'!$E$2:$E$4000=AL$5),'1994 E Maize Soil VWC'!$F$2:$F$4000)</f>
        <v>0.26223641274589854</v>
      </c>
      <c r="AM54" s="4" cm="1">
        <f t="array" ref="AM54">_xlfn.XLOOKUP(1,('1994 E Maize Soil VWC'!$C$2:$C$4000=$AA54)*('1994 E Maize Soil VWC'!$D$2:$D$4000=$AB54)*('1994 E Maize Soil VWC'!$E$2:$E$4000=AM$5),'1994 E Maize Soil VWC'!$F$2:$F$4000)</f>
        <v>0.27930485485858508</v>
      </c>
      <c r="AN54" s="4" cm="1">
        <f t="array" ref="AN54">_xlfn.XLOOKUP(1,('1994 E Maize Soil VWC'!$C$2:$C$4000=$AA54)*('1994 E Maize Soil VWC'!$D$2:$D$4000=$AB54)*('1994 E Maize Soil VWC'!$E$2:$E$4000=AN$5),'1994 E Maize Soil VWC'!$F$2:$F$4000)</f>
        <v>0.28753569556825775</v>
      </c>
    </row>
    <row r="55" spans="25:40" x14ac:dyDescent="0.25">
      <c r="AA55" s="19">
        <f t="shared" si="6"/>
        <v>34500</v>
      </c>
      <c r="AB55" s="4">
        <f t="shared" si="7"/>
        <v>210</v>
      </c>
      <c r="AC55" s="4" cm="1">
        <f t="array" ref="AC55">_xlfn.XLOOKUP(1,('1994 E Maize Soil VWC'!$C$2:$C$4000=$AA55)*('1994 E Maize Soil VWC'!$D$2:$D$4000=$AB55)*('1994 E Maize Soil VWC'!$E$2:$E$4000=AC$5),'1994 E Maize Soil VWC'!$F$2:$F$4000)</f>
        <v>0.18272438101848412</v>
      </c>
      <c r="AD55" s="4" cm="1">
        <f t="array" ref="AD55">_xlfn.XLOOKUP(1,('1994 E Maize Soil VWC'!$C$2:$C$4000=$AA55)*('1994 E Maize Soil VWC'!$D$2:$D$4000=$AB55)*('1994 E Maize Soil VWC'!$E$2:$E$4000=AD$5),'1994 E Maize Soil VWC'!$F$2:$F$4000)</f>
        <v>0.24838644039789171</v>
      </c>
      <c r="AE55" s="4" cm="1">
        <f t="array" ref="AE55">_xlfn.XLOOKUP(1,('1994 E Maize Soil VWC'!$C$2:$C$4000=$AA55)*('1994 E Maize Soil VWC'!$D$2:$D$4000=$AB55)*('1994 E Maize Soil VWC'!$E$2:$E$4000=AE$5),'1994 E Maize Soil VWC'!$F$2:$F$4000)</f>
        <v>0.24010283788879816</v>
      </c>
      <c r="AF55" s="4" cm="1">
        <f t="array" ref="AF55">_xlfn.XLOOKUP(1,('1994 E Maize Soil VWC'!$C$2:$C$4000=$AA55)*('1994 E Maize Soil VWC'!$D$2:$D$4000=$AB55)*('1994 E Maize Soil VWC'!$E$2:$E$4000=AF$5),'1994 E Maize Soil VWC'!$F$2:$F$4000)</f>
        <v>0.2606799396629797</v>
      </c>
      <c r="AG55" s="4" t="e" cm="1">
        <f t="array" ref="AG55">_xlfn.XLOOKUP(1,('1994 E Maize Soil VWC'!$C$2:$C$4000=$AA55)*('1994 E Maize Soil VWC'!$D$2:$D$4000=$AB55)*('1994 E Maize Soil VWC'!$E$2:$E$4000=AG$5),'1994 E Maize Soil VWC'!$F$2:$F$4000)</f>
        <v>#N/A</v>
      </c>
      <c r="AH55" s="4" t="e" cm="1">
        <f t="array" ref="AH55">_xlfn.XLOOKUP(1,('1994 E Maize Soil VWC'!$C$2:$C$4000=$AA55)*('1994 E Maize Soil VWC'!$D$2:$D$4000=$AB55)*('1994 E Maize Soil VWC'!$E$2:$E$4000=AH$5),'1994 E Maize Soil VWC'!$F$2:$F$4000)</f>
        <v>#N/A</v>
      </c>
      <c r="AI55" s="4" cm="1">
        <f t="array" ref="AI55">_xlfn.XLOOKUP(1,('1994 E Maize Soil VWC'!$C$2:$C$4000=$AA55)*('1994 E Maize Soil VWC'!$D$2:$D$4000=$AB55)*('1994 E Maize Soil VWC'!$E$2:$E$4000=AI$5),'1994 E Maize Soil VWC'!$F$2:$F$4000)</f>
        <v>0.26136584305545246</v>
      </c>
      <c r="AJ55" s="4" cm="1">
        <f t="array" ref="AJ55">_xlfn.XLOOKUP(1,('1994 E Maize Soil VWC'!$C$2:$C$4000=$AA55)*('1994 E Maize Soil VWC'!$D$2:$D$4000=$AB55)*('1994 E Maize Soil VWC'!$E$2:$E$4000=AJ$5),'1994 E Maize Soil VWC'!$F$2:$F$4000)</f>
        <v>0.24611768302278969</v>
      </c>
      <c r="AK55" s="4" cm="1">
        <f t="array" ref="AK55">_xlfn.XLOOKUP(1,('1994 E Maize Soil VWC'!$C$2:$C$4000=$AA55)*('1994 E Maize Soil VWC'!$D$2:$D$4000=$AB55)*('1994 E Maize Soil VWC'!$E$2:$E$4000=AK$5),'1994 E Maize Soil VWC'!$F$2:$F$4000)</f>
        <v>0.24770053700541905</v>
      </c>
      <c r="AL55" s="4" cm="1">
        <f t="array" ref="AL55">_xlfn.XLOOKUP(1,('1994 E Maize Soil VWC'!$C$2:$C$4000=$AA55)*('1994 E Maize Soil VWC'!$D$2:$D$4000=$AB55)*('1994 E Maize Soil VWC'!$E$2:$E$4000=AL$5),'1994 E Maize Soil VWC'!$F$2:$F$4000)</f>
        <v>0.26484812181723699</v>
      </c>
      <c r="AM55" s="4" t="e" cm="1">
        <f t="array" ref="AM55">_xlfn.XLOOKUP(1,('1994 E Maize Soil VWC'!$C$2:$C$4000=$AA55)*('1994 E Maize Soil VWC'!$D$2:$D$4000=$AB55)*('1994 E Maize Soil VWC'!$E$2:$E$4000=AM$5),'1994 E Maize Soil VWC'!$F$2:$F$4000)</f>
        <v>#N/A</v>
      </c>
      <c r="AN55" s="4" t="e" cm="1">
        <f t="array" ref="AN55">_xlfn.XLOOKUP(1,('1994 E Maize Soil VWC'!$C$2:$C$4000=$AA55)*('1994 E Maize Soil VWC'!$D$2:$D$4000=$AB55)*('1994 E Maize Soil VWC'!$E$2:$E$4000=AN$5),'1994 E Maize Soil VWC'!$F$2:$F$4000)</f>
        <v>#N/A</v>
      </c>
    </row>
    <row r="56" spans="25:40" x14ac:dyDescent="0.25">
      <c r="AA56" s="19">
        <f t="shared" si="6"/>
        <v>34500</v>
      </c>
      <c r="AB56" s="4">
        <f t="shared" si="7"/>
        <v>230</v>
      </c>
      <c r="AC56" s="4" cm="1">
        <f t="array" ref="AC56">_xlfn.XLOOKUP(1,('1994 E Maize Soil VWC'!$C$2:$C$4000=$AA56)*('1994 E Maize Soil VWC'!$D$2:$D$4000=$AB56)*('1994 E Maize Soil VWC'!$E$2:$E$4000=AC$5),'1994 E Maize Soil VWC'!$F$2:$F$4000)</f>
        <v>0.17618191789028281</v>
      </c>
      <c r="AD56" s="4" cm="1">
        <f t="array" ref="AD56">_xlfn.XLOOKUP(1,('1994 E Maize Soil VWC'!$C$2:$C$4000=$AA56)*('1994 E Maize Soil VWC'!$D$2:$D$4000=$AB56)*('1994 E Maize Soil VWC'!$E$2:$E$4000=AD$5),'1994 E Maize Soil VWC'!$F$2:$F$4000)</f>
        <v>0.23569722763714646</v>
      </c>
      <c r="AE56" s="4" cm="1">
        <f t="array" ref="AE56">_xlfn.XLOOKUP(1,('1994 E Maize Soil VWC'!$C$2:$C$4000=$AA56)*('1994 E Maize Soil VWC'!$D$2:$D$4000=$AB56)*('1994 E Maize Soil VWC'!$E$2:$E$4000=AE$5),'1994 E Maize Soil VWC'!$F$2:$F$4000)</f>
        <v>0.24070959858213936</v>
      </c>
      <c r="AF56" s="4" cm="1">
        <f t="array" ref="AF56">_xlfn.XLOOKUP(1,('1994 E Maize Soil VWC'!$C$2:$C$4000=$AA56)*('1994 E Maize Soil VWC'!$D$2:$D$4000=$AB56)*('1994 E Maize Soil VWC'!$E$2:$E$4000=AF$5),'1994 E Maize Soil VWC'!$F$2:$F$4000)</f>
        <v>0.26028422616732239</v>
      </c>
      <c r="AG56" s="4" t="e" cm="1">
        <f t="array" ref="AG56">_xlfn.XLOOKUP(1,('1994 E Maize Soil VWC'!$C$2:$C$4000=$AA56)*('1994 E Maize Soil VWC'!$D$2:$D$4000=$AB56)*('1994 E Maize Soil VWC'!$E$2:$E$4000=AG$5),'1994 E Maize Soil VWC'!$F$2:$F$4000)</f>
        <v>#N/A</v>
      </c>
      <c r="AH56" s="4" t="e" cm="1">
        <f t="array" ref="AH56">_xlfn.XLOOKUP(1,('1994 E Maize Soil VWC'!$C$2:$C$4000=$AA56)*('1994 E Maize Soil VWC'!$D$2:$D$4000=$AB56)*('1994 E Maize Soil VWC'!$E$2:$E$4000=AH$5),'1994 E Maize Soil VWC'!$F$2:$F$4000)</f>
        <v>#N/A</v>
      </c>
      <c r="AI56" s="4" cm="1">
        <f t="array" ref="AI56">_xlfn.XLOOKUP(1,('1994 E Maize Soil VWC'!$C$2:$C$4000=$AA56)*('1994 E Maize Soil VWC'!$D$2:$D$4000=$AB56)*('1994 E Maize Soil VWC'!$E$2:$E$4000=AI$5),'1994 E Maize Soil VWC'!$F$2:$F$4000)</f>
        <v>0.25226443265533366</v>
      </c>
      <c r="AJ56" s="4" cm="1">
        <f t="array" ref="AJ56">_xlfn.XLOOKUP(1,('1994 E Maize Soil VWC'!$C$2:$C$4000=$AA56)*('1994 E Maize Soil VWC'!$D$2:$D$4000=$AB56)*('1994 E Maize Soil VWC'!$E$2:$E$4000=AJ$5),'1994 E Maize Soil VWC'!$F$2:$F$4000)</f>
        <v>0.25012757977878403</v>
      </c>
      <c r="AK56" s="4" cm="1">
        <f t="array" ref="AK56">_xlfn.XLOOKUP(1,('1994 E Maize Soil VWC'!$C$2:$C$4000=$AA56)*('1994 E Maize Soil VWC'!$D$2:$D$4000=$AB56)*('1994 E Maize Soil VWC'!$E$2:$E$4000=AK$5),'1994 E Maize Soil VWC'!$F$2:$F$4000)</f>
        <v>0.24276730875955754</v>
      </c>
      <c r="AL56" s="4" cm="1">
        <f t="array" ref="AL56">_xlfn.XLOOKUP(1,('1994 E Maize Soil VWC'!$C$2:$C$4000=$AA56)*('1994 E Maize Soil VWC'!$D$2:$D$4000=$AB56)*('1994 E Maize Soil VWC'!$E$2:$E$4000=AL$5),'1994 E Maize Soil VWC'!$F$2:$F$4000)</f>
        <v>0.25775165979511544</v>
      </c>
      <c r="AM56" s="4" t="e" cm="1">
        <f t="array" ref="AM56">_xlfn.XLOOKUP(1,('1994 E Maize Soil VWC'!$C$2:$C$4000=$AA56)*('1994 E Maize Soil VWC'!$D$2:$D$4000=$AB56)*('1994 E Maize Soil VWC'!$E$2:$E$4000=AM$5),'1994 E Maize Soil VWC'!$F$2:$F$4000)</f>
        <v>#N/A</v>
      </c>
      <c r="AN56" s="4" t="e" cm="1">
        <f t="array" ref="AN56">_xlfn.XLOOKUP(1,('1994 E Maize Soil VWC'!$C$2:$C$4000=$AA56)*('1994 E Maize Soil VWC'!$D$2:$D$4000=$AB56)*('1994 E Maize Soil VWC'!$E$2:$E$4000=AN$5),'1994 E Maize Soil VWC'!$F$2:$F$4000)</f>
        <v>#N/A</v>
      </c>
    </row>
    <row r="57" spans="25:40" x14ac:dyDescent="0.25">
      <c r="AA57" s="19"/>
    </row>
    <row r="58" spans="25:40" x14ac:dyDescent="0.25">
      <c r="Y58" s="4">
        <f>Y45</f>
        <v>1994</v>
      </c>
      <c r="Z58" s="4">
        <v>180</v>
      </c>
      <c r="AA58" s="19">
        <f>DATE(Y58,1,Z58)</f>
        <v>34514</v>
      </c>
      <c r="AB58" s="4">
        <v>10</v>
      </c>
      <c r="AC58" s="4" cm="1">
        <f t="array" ref="AC58">_xlfn.XLOOKUP(1,('1994 E Maize Soil VWC'!$C$2:$C$4000=$AA58)*('1994 E Maize Soil VWC'!$D$2:$D$4000=$AB58)*('1994 E Maize Soil VWC'!$E$2:$E$4000=AC$5),'1994 E Maize Soil VWC'!$F$2:$F$4000)</f>
        <v>0.28715923152475686</v>
      </c>
      <c r="AD58" s="4" cm="1">
        <f t="array" ref="AD58">_xlfn.XLOOKUP(1,('1994 E Maize Soil VWC'!$C$2:$C$4000=$AA58)*('1994 E Maize Soil VWC'!$D$2:$D$4000=$AB58)*('1994 E Maize Soil VWC'!$E$2:$E$4000=AD$5),'1994 E Maize Soil VWC'!$F$2:$F$4000)</f>
        <v>0.22970196429886419</v>
      </c>
      <c r="AE58" s="4" cm="1">
        <f t="array" ref="AE58">_xlfn.XLOOKUP(1,('1994 E Maize Soil VWC'!$C$2:$C$4000=$AA58)*('1994 E Maize Soil VWC'!$D$2:$D$4000=$AB58)*('1994 E Maize Soil VWC'!$E$2:$E$4000=AE$5),'1994 E Maize Soil VWC'!$F$2:$F$4000)</f>
        <v>0.23085730905426471</v>
      </c>
      <c r="AF58" s="4" cm="1">
        <f t="array" ref="AF58">_xlfn.XLOOKUP(1,('1994 E Maize Soil VWC'!$C$2:$C$4000=$AA58)*('1994 E Maize Soil VWC'!$D$2:$D$4000=$AB58)*('1994 E Maize Soil VWC'!$E$2:$E$4000=AF$5),'1994 E Maize Soil VWC'!$F$2:$F$4000)</f>
        <v>0.28318597273179419</v>
      </c>
      <c r="AG58" s="4" cm="1">
        <f t="array" ref="AG58">_xlfn.XLOOKUP(1,('1994 E Maize Soil VWC'!$C$2:$C$4000=$AA58)*('1994 E Maize Soil VWC'!$D$2:$D$4000=$AB58)*('1994 E Maize Soil VWC'!$E$2:$E$4000=AG$5),'1994 E Maize Soil VWC'!$F$2:$F$4000)</f>
        <v>0.2820869862571449</v>
      </c>
      <c r="AH58" s="4" cm="1">
        <f t="array" ref="AH58">_xlfn.XLOOKUP(1,('1994 E Maize Soil VWC'!$C$2:$C$4000=$AA58)*('1994 E Maize Soil VWC'!$D$2:$D$4000=$AB58)*('1994 E Maize Soil VWC'!$E$2:$E$4000=AH$5),'1994 E Maize Soil VWC'!$F$2:$F$4000)</f>
        <v>0.26281245424021971</v>
      </c>
      <c r="AI58" s="4" cm="1">
        <f t="array" ref="AI58">_xlfn.XLOOKUP(1,('1994 E Maize Soil VWC'!$C$2:$C$4000=$AA58)*('1994 E Maize Soil VWC'!$D$2:$D$4000=$AB58)*('1994 E Maize Soil VWC'!$E$2:$E$4000=AI$5),'1994 E Maize Soil VWC'!$F$2:$F$4000)</f>
        <v>0.28901905478954787</v>
      </c>
      <c r="AJ58" s="4" cm="1">
        <f t="array" ref="AJ58">_xlfn.XLOOKUP(1,('1994 E Maize Soil VWC'!$C$2:$C$4000=$AA58)*('1994 E Maize Soil VWC'!$D$2:$D$4000=$AB58)*('1994 E Maize Soil VWC'!$E$2:$E$4000=AJ$5),'1994 E Maize Soil VWC'!$F$2:$F$4000)</f>
        <v>0.292513268196125</v>
      </c>
      <c r="AK58" s="4" cm="1">
        <f t="array" ref="AK58">_xlfn.XLOOKUP(1,('1994 E Maize Soil VWC'!$C$2:$C$4000=$AA58)*('1994 E Maize Soil VWC'!$D$2:$D$4000=$AB58)*('1994 E Maize Soil VWC'!$E$2:$E$4000=AK$5),'1994 E Maize Soil VWC'!$F$2:$F$4000)</f>
        <v>0.31905801842996062</v>
      </c>
      <c r="AL58" s="4" cm="1">
        <f t="array" ref="AL58">_xlfn.XLOOKUP(1,('1994 E Maize Soil VWC'!$C$2:$C$4000=$AA58)*('1994 E Maize Soil VWC'!$D$2:$D$4000=$AB58)*('1994 E Maize Soil VWC'!$E$2:$E$4000=AL$5),'1994 E Maize Soil VWC'!$F$2:$F$4000)</f>
        <v>0.27690202442803052</v>
      </c>
      <c r="AM58" s="4" cm="1">
        <f t="array" ref="AM58">_xlfn.XLOOKUP(1,('1994 E Maize Soil VWC'!$C$2:$C$4000=$AA58)*('1994 E Maize Soil VWC'!$D$2:$D$4000=$AB58)*('1994 E Maize Soil VWC'!$E$2:$E$4000=AM$5),'1994 E Maize Soil VWC'!$F$2:$F$4000)</f>
        <v>0.30984343952713234</v>
      </c>
      <c r="AN58" s="4" cm="1">
        <f t="array" ref="AN58">_xlfn.XLOOKUP(1,('1994 E Maize Soil VWC'!$C$2:$C$4000=$AA58)*('1994 E Maize Soil VWC'!$D$2:$D$4000=$AB58)*('1994 E Maize Soil VWC'!$E$2:$E$4000=AN$5),'1994 E Maize Soil VWC'!$F$2:$F$4000)</f>
        <v>0.30663101752431149</v>
      </c>
    </row>
    <row r="59" spans="25:40" x14ac:dyDescent="0.25">
      <c r="AA59" s="19">
        <f t="shared" ref="AA59:AA69" si="8">AA58</f>
        <v>34514</v>
      </c>
      <c r="AB59" s="4">
        <f t="shared" ref="AB59:AB69" si="9">AB58+20</f>
        <v>30</v>
      </c>
      <c r="AC59" s="4" cm="1">
        <f t="array" ref="AC59">_xlfn.XLOOKUP(1,('1994 E Maize Soil VWC'!$C$2:$C$4000=$AA59)*('1994 E Maize Soil VWC'!$D$2:$D$4000=$AB59)*('1994 E Maize Soil VWC'!$E$2:$E$4000=AC$5),'1994 E Maize Soil VWC'!$F$2:$F$4000)</f>
        <v>0.25774231402766434</v>
      </c>
      <c r="AD59" s="4" cm="1">
        <f t="array" ref="AD59">_xlfn.XLOOKUP(1,('1994 E Maize Soil VWC'!$C$2:$C$4000=$AA59)*('1994 E Maize Soil VWC'!$D$2:$D$4000=$AB59)*('1994 E Maize Soil VWC'!$E$2:$E$4000=AD$5),'1994 E Maize Soil VWC'!$F$2:$F$4000)</f>
        <v>0.19575779014178601</v>
      </c>
      <c r="AE59" s="4" cm="1">
        <f t="array" ref="AE59">_xlfn.XLOOKUP(1,('1994 E Maize Soil VWC'!$C$2:$C$4000=$AA59)*('1994 E Maize Soil VWC'!$D$2:$D$4000=$AB59)*('1994 E Maize Soil VWC'!$E$2:$E$4000=AE$5),'1994 E Maize Soil VWC'!$F$2:$F$4000)</f>
        <v>0.23010056688936725</v>
      </c>
      <c r="AF59" s="4" cm="1">
        <f t="array" ref="AF59">_xlfn.XLOOKUP(1,('1994 E Maize Soil VWC'!$C$2:$C$4000=$AA59)*('1994 E Maize Soil VWC'!$D$2:$D$4000=$AB59)*('1994 E Maize Soil VWC'!$E$2:$E$4000=AF$5),'1994 E Maize Soil VWC'!$F$2:$F$4000)</f>
        <v>0.22240082613639173</v>
      </c>
      <c r="AG59" s="4" cm="1">
        <f t="array" ref="AG59">_xlfn.XLOOKUP(1,('1994 E Maize Soil VWC'!$C$2:$C$4000=$AA59)*('1994 E Maize Soil VWC'!$D$2:$D$4000=$AB59)*('1994 E Maize Soil VWC'!$E$2:$E$4000=AG$5),'1994 E Maize Soil VWC'!$F$2:$F$4000)</f>
        <v>0.26106061234380024</v>
      </c>
      <c r="AH59" s="4" cm="1">
        <f t="array" ref="AH59">_xlfn.XLOOKUP(1,('1994 E Maize Soil VWC'!$C$2:$C$4000=$AA59)*('1994 E Maize Soil VWC'!$D$2:$D$4000=$AB59)*('1994 E Maize Soil VWC'!$E$2:$E$4000=AH$5),'1994 E Maize Soil VWC'!$F$2:$F$4000)</f>
        <v>0.25052582060228146</v>
      </c>
      <c r="AI59" s="4" cm="1">
        <f t="array" ref="AI59">_xlfn.XLOOKUP(1,('1994 E Maize Soil VWC'!$C$2:$C$4000=$AA59)*('1994 E Maize Soil VWC'!$D$2:$D$4000=$AB59)*('1994 E Maize Soil VWC'!$E$2:$E$4000=AI$5),'1994 E Maize Soil VWC'!$F$2:$F$4000)</f>
        <v>0.22288407346398431</v>
      </c>
      <c r="AJ59" s="4" cm="1">
        <f t="array" ref="AJ59">_xlfn.XLOOKUP(1,('1994 E Maize Soil VWC'!$C$2:$C$4000=$AA59)*('1994 E Maize Soil VWC'!$D$2:$D$4000=$AB59)*('1994 E Maize Soil VWC'!$E$2:$E$4000=AJ$5),'1994 E Maize Soil VWC'!$F$2:$F$4000)</f>
        <v>0.24991370732066415</v>
      </c>
      <c r="AK59" s="4" cm="1">
        <f t="array" ref="AK59">_xlfn.XLOOKUP(1,('1994 E Maize Soil VWC'!$C$2:$C$4000=$AA59)*('1994 E Maize Soil VWC'!$D$2:$D$4000=$AB59)*('1994 E Maize Soil VWC'!$E$2:$E$4000=AK$5),'1994 E Maize Soil VWC'!$F$2:$F$4000)</f>
        <v>0.2692758169128745</v>
      </c>
      <c r="AL59" s="4" cm="1">
        <f t="array" ref="AL59">_xlfn.XLOOKUP(1,('1994 E Maize Soil VWC'!$C$2:$C$4000=$AA59)*('1994 E Maize Soil VWC'!$D$2:$D$4000=$AB59)*('1994 E Maize Soil VWC'!$E$2:$E$4000=AL$5),'1994 E Maize Soil VWC'!$F$2:$F$4000)</f>
        <v>0.24327711068839231</v>
      </c>
      <c r="AM59" s="4" cm="1">
        <f t="array" ref="AM59">_xlfn.XLOOKUP(1,('1994 E Maize Soil VWC'!$C$2:$C$4000=$AA59)*('1994 E Maize Soil VWC'!$D$2:$D$4000=$AB59)*('1994 E Maize Soil VWC'!$E$2:$E$4000=AM$5),'1994 E Maize Soil VWC'!$F$2:$F$4000)</f>
        <v>0.29459797687872713</v>
      </c>
      <c r="AN59" s="4" cm="1">
        <f t="array" ref="AN59">_xlfn.XLOOKUP(1,('1994 E Maize Soil VWC'!$C$2:$C$4000=$AA59)*('1994 E Maize Soil VWC'!$D$2:$D$4000=$AB59)*('1994 E Maize Soil VWC'!$E$2:$E$4000=AN$5),'1994 E Maize Soil VWC'!$F$2:$F$4000)</f>
        <v>0.28544849414297374</v>
      </c>
    </row>
    <row r="60" spans="25:40" x14ac:dyDescent="0.25">
      <c r="AA60" s="19">
        <f t="shared" si="8"/>
        <v>34514</v>
      </c>
      <c r="AB60" s="4">
        <f t="shared" si="9"/>
        <v>50</v>
      </c>
      <c r="AC60" s="4" cm="1">
        <f t="array" ref="AC60">_xlfn.XLOOKUP(1,('1994 E Maize Soil VWC'!$C$2:$C$4000=$AA60)*('1994 E Maize Soil VWC'!$D$2:$D$4000=$AB60)*('1994 E Maize Soil VWC'!$E$2:$E$4000=AC$5),'1994 E Maize Soil VWC'!$F$2:$F$4000)</f>
        <v>0.27410829018880056</v>
      </c>
      <c r="AD60" s="4" cm="1">
        <f t="array" ref="AD60">_xlfn.XLOOKUP(1,('1994 E Maize Soil VWC'!$C$2:$C$4000=$AA60)*('1994 E Maize Soil VWC'!$D$2:$D$4000=$AB60)*('1994 E Maize Soil VWC'!$E$2:$E$4000=AD$5),'1994 E Maize Soil VWC'!$F$2:$F$4000)</f>
        <v>0.23035829879741665</v>
      </c>
      <c r="AE60" s="4" cm="1">
        <f t="array" ref="AE60">_xlfn.XLOOKUP(1,('1994 E Maize Soil VWC'!$C$2:$C$4000=$AA60)*('1994 E Maize Soil VWC'!$D$2:$D$4000=$AB60)*('1994 E Maize Soil VWC'!$E$2:$E$4000=AE$5),'1994 E Maize Soil VWC'!$F$2:$F$4000)</f>
        <v>0.24392144045851577</v>
      </c>
      <c r="AF60" s="4" cm="1">
        <f t="array" ref="AF60">_xlfn.XLOOKUP(1,('1994 E Maize Soil VWC'!$C$2:$C$4000=$AA60)*('1994 E Maize Soil VWC'!$D$2:$D$4000=$AB60)*('1994 E Maize Soil VWC'!$E$2:$E$4000=AF$5),'1994 E Maize Soil VWC'!$F$2:$F$4000)</f>
        <v>0.26019076715413358</v>
      </c>
      <c r="AG60" s="4" cm="1">
        <f t="array" ref="AG60">_xlfn.XLOOKUP(1,('1994 E Maize Soil VWC'!$C$2:$C$4000=$AA60)*('1994 E Maize Soil VWC'!$D$2:$D$4000=$AB60)*('1994 E Maize Soil VWC'!$E$2:$E$4000=AG$5),'1994 E Maize Soil VWC'!$F$2:$F$4000)</f>
        <v>0.2692758169128745</v>
      </c>
      <c r="AH60" s="4" cm="1">
        <f t="array" ref="AH60">_xlfn.XLOOKUP(1,('1994 E Maize Soil VWC'!$C$2:$C$4000=$AA60)*('1994 E Maize Soil VWC'!$D$2:$D$4000=$AB60)*('1994 E Maize Soil VWC'!$E$2:$E$4000=AH$5),'1994 E Maize Soil VWC'!$F$2:$F$4000)</f>
        <v>0.27310957904510919</v>
      </c>
      <c r="AI60" s="4" cm="1">
        <f t="array" ref="AI60">_xlfn.XLOOKUP(1,('1994 E Maize Soil VWC'!$C$2:$C$4000=$AA60)*('1994 E Maize Soil VWC'!$D$2:$D$4000=$AB60)*('1994 E Maize Soil VWC'!$E$2:$E$4000=AI$5),'1994 E Maize Soil VWC'!$F$2:$F$4000)</f>
        <v>0.25626035555638033</v>
      </c>
      <c r="AJ60" s="4" cm="1">
        <f t="array" ref="AJ60">_xlfn.XLOOKUP(1,('1994 E Maize Soil VWC'!$C$2:$C$4000=$AA60)*('1994 E Maize Soil VWC'!$D$2:$D$4000=$AB60)*('1994 E Maize Soil VWC'!$E$2:$E$4000=AJ$5),'1994 E Maize Soil VWC'!$F$2:$F$4000)</f>
        <v>0.29788405870635681</v>
      </c>
      <c r="AK60" s="4" cm="1">
        <f t="array" ref="AK60">_xlfn.XLOOKUP(1,('1994 E Maize Soil VWC'!$C$2:$C$4000=$AA60)*('1994 E Maize Soil VWC'!$D$2:$D$4000=$AB60)*('1994 E Maize Soil VWC'!$E$2:$E$4000=AK$5),'1994 E Maize Soil VWC'!$F$2:$F$4000)</f>
        <v>0.28097040224061565</v>
      </c>
      <c r="AL60" s="4" cm="1">
        <f t="array" ref="AL60">_xlfn.XLOOKUP(1,('1994 E Maize Soil VWC'!$C$2:$C$4000=$AA60)*('1994 E Maize Soil VWC'!$D$2:$D$4000=$AB60)*('1994 E Maize Soil VWC'!$E$2:$E$4000=AL$5),'1994 E Maize Soil VWC'!$F$2:$F$4000)</f>
        <v>0.27385055828075122</v>
      </c>
      <c r="AM60" s="4" cm="1">
        <f t="array" ref="AM60">_xlfn.XLOOKUP(1,('1994 E Maize Soil VWC'!$C$2:$C$4000=$AA60)*('1994 E Maize Soil VWC'!$D$2:$D$4000=$AB60)*('1994 E Maize Soil VWC'!$E$2:$E$4000=AM$5),'1994 E Maize Soil VWC'!$F$2:$F$4000)</f>
        <v>0.28499746330388737</v>
      </c>
      <c r="AN60" s="4" cm="1">
        <f t="array" ref="AN60">_xlfn.XLOOKUP(1,('1994 E Maize Soil VWC'!$C$2:$C$4000=$AA60)*('1994 E Maize Soil VWC'!$D$2:$D$4000=$AB60)*('1994 E Maize Soil VWC'!$E$2:$E$4000=AN$5),'1994 E Maize Soil VWC'!$F$2:$F$4000)</f>
        <v>0.29060313230396156</v>
      </c>
    </row>
    <row r="61" spans="25:40" x14ac:dyDescent="0.25">
      <c r="AA61" s="19">
        <f t="shared" si="8"/>
        <v>34514</v>
      </c>
      <c r="AB61" s="4">
        <f t="shared" si="9"/>
        <v>70</v>
      </c>
      <c r="AC61" s="4" cm="1">
        <f t="array" ref="AC61">_xlfn.XLOOKUP(1,('1994 E Maize Soil VWC'!$C$2:$C$4000=$AA61)*('1994 E Maize Soil VWC'!$D$2:$D$4000=$AB61)*('1994 E Maize Soil VWC'!$E$2:$E$4000=AC$5),'1994 E Maize Soil VWC'!$F$2:$F$4000)</f>
        <v>0.24392144045851577</v>
      </c>
      <c r="AD61" s="4" cm="1">
        <f t="array" ref="AD61">_xlfn.XLOOKUP(1,('1994 E Maize Soil VWC'!$C$2:$C$4000=$AA61)*('1994 E Maize Soil VWC'!$D$2:$D$4000=$AB61)*('1994 E Maize Soil VWC'!$E$2:$E$4000=AD$5),'1994 E Maize Soil VWC'!$F$2:$F$4000)</f>
        <v>0.20329644845223072</v>
      </c>
      <c r="AE61" s="4" cm="1">
        <f t="array" ref="AE61">_xlfn.XLOOKUP(1,('1994 E Maize Soil VWC'!$C$2:$C$4000=$AA61)*('1994 E Maize Soil VWC'!$D$2:$D$4000=$AB61)*('1994 E Maize Soil VWC'!$E$2:$E$4000=AE$5),'1994 E Maize Soil VWC'!$F$2:$F$4000)</f>
        <v>0.22107995010763865</v>
      </c>
      <c r="AF61" s="4" cm="1">
        <f t="array" ref="AF61">_xlfn.XLOOKUP(1,('1994 E Maize Soil VWC'!$C$2:$C$4000=$AA61)*('1994 E Maize Soil VWC'!$D$2:$D$4000=$AB61)*('1994 E Maize Soil VWC'!$E$2:$E$4000=AF$5),'1994 E Maize Soil VWC'!$F$2:$F$4000)</f>
        <v>0.23854128687798476</v>
      </c>
      <c r="AG61" s="4" cm="1">
        <f t="array" ref="AG61">_xlfn.XLOOKUP(1,('1994 E Maize Soil VWC'!$C$2:$C$4000=$AA61)*('1994 E Maize Soil VWC'!$D$2:$D$4000=$AB61)*('1994 E Maize Soil VWC'!$E$2:$E$4000=AG$5),'1994 E Maize Soil VWC'!$F$2:$F$4000)</f>
        <v>0.26685958027491152</v>
      </c>
      <c r="AH61" s="4" cm="1">
        <f t="array" ref="AH61">_xlfn.XLOOKUP(1,('1994 E Maize Soil VWC'!$C$2:$C$4000=$AA61)*('1994 E Maize Soil VWC'!$D$2:$D$4000=$AB61)*('1994 E Maize Soil VWC'!$E$2:$E$4000=AH$5),'1994 E Maize Soil VWC'!$F$2:$F$4000)</f>
        <v>0.27185313599336847</v>
      </c>
      <c r="AI61" s="4" cm="1">
        <f t="array" ref="AI61">_xlfn.XLOOKUP(1,('1994 E Maize Soil VWC'!$C$2:$C$4000=$AA61)*('1994 E Maize Soil VWC'!$D$2:$D$4000=$AB61)*('1994 E Maize Soil VWC'!$E$2:$E$4000=AI$5),'1994 E Maize Soil VWC'!$F$2:$F$4000)</f>
        <v>0.25661473692994824</v>
      </c>
      <c r="AJ61" s="4" cm="1">
        <f t="array" ref="AJ61">_xlfn.XLOOKUP(1,('1994 E Maize Soil VWC'!$C$2:$C$4000=$AA61)*('1994 E Maize Soil VWC'!$D$2:$D$4000=$AB61)*('1994 E Maize Soil VWC'!$E$2:$E$4000=AJ$5),'1994 E Maize Soil VWC'!$F$2:$F$4000)</f>
        <v>0.2896366376487764</v>
      </c>
      <c r="AK61" s="4" cm="1">
        <f t="array" ref="AK61">_xlfn.XLOOKUP(1,('1994 E Maize Soil VWC'!$C$2:$C$4000=$AA61)*('1994 E Maize Soil VWC'!$D$2:$D$4000=$AB61)*('1994 E Maize Soil VWC'!$E$2:$E$4000=AK$5),'1994 E Maize Soil VWC'!$F$2:$F$4000)</f>
        <v>0.27481705293593645</v>
      </c>
      <c r="AL61" s="4" cm="1">
        <f t="array" ref="AL61">_xlfn.XLOOKUP(1,('1994 E Maize Soil VWC'!$C$2:$C$4000=$AA61)*('1994 E Maize Soil VWC'!$D$2:$D$4000=$AB61)*('1994 E Maize Soil VWC'!$E$2:$E$4000=AL$5),'1994 E Maize Soil VWC'!$F$2:$F$4000)</f>
        <v>0.26663406485536828</v>
      </c>
      <c r="AM61" s="4" cm="1">
        <f t="array" ref="AM61">_xlfn.XLOOKUP(1,('1994 E Maize Soil VWC'!$C$2:$C$4000=$AA61)*('1994 E Maize Soil VWC'!$D$2:$D$4000=$AB61)*('1994 E Maize Soil VWC'!$E$2:$E$4000=AM$5),'1994 E Maize Soil VWC'!$F$2:$F$4000)</f>
        <v>0.27910184590725751</v>
      </c>
      <c r="AN61" s="4" cm="1">
        <f t="array" ref="AN61">_xlfn.XLOOKUP(1,('1994 E Maize Soil VWC'!$C$2:$C$4000=$AA61)*('1994 E Maize Soil VWC'!$D$2:$D$4000=$AB61)*('1994 E Maize Soil VWC'!$E$2:$E$4000=AN$5),'1994 E Maize Soil VWC'!$F$2:$F$4000)</f>
        <v>0.28541627765446759</v>
      </c>
    </row>
    <row r="62" spans="25:40" x14ac:dyDescent="0.25">
      <c r="AA62" s="19">
        <f t="shared" si="8"/>
        <v>34514</v>
      </c>
      <c r="AB62" s="4">
        <f t="shared" si="9"/>
        <v>90</v>
      </c>
      <c r="AC62" s="4" cm="1">
        <f t="array" ref="AC62">_xlfn.XLOOKUP(1,('1994 E Maize Soil VWC'!$C$2:$C$4000=$AA62)*('1994 E Maize Soil VWC'!$D$2:$D$4000=$AB62)*('1994 E Maize Soil VWC'!$E$2:$E$4000=AC$5),'1994 E Maize Soil VWC'!$F$2:$F$4000)</f>
        <v>0.23686602947566376</v>
      </c>
      <c r="AD62" s="4" cm="1">
        <f t="array" ref="AD62">_xlfn.XLOOKUP(1,('1994 E Maize Soil VWC'!$C$2:$C$4000=$AA62)*('1994 E Maize Soil VWC'!$D$2:$D$4000=$AB62)*('1994 E Maize Soil VWC'!$E$2:$E$4000=AD$5),'1994 E Maize Soil VWC'!$F$2:$F$4000)</f>
        <v>0.20381191226832945</v>
      </c>
      <c r="AE62" s="4" cm="1">
        <f t="array" ref="AE62">_xlfn.XLOOKUP(1,('1994 E Maize Soil VWC'!$C$2:$C$4000=$AA62)*('1994 E Maize Soil VWC'!$D$2:$D$4000=$AB62)*('1994 E Maize Soil VWC'!$E$2:$E$4000=AE$5),'1994 E Maize Soil VWC'!$F$2:$F$4000)</f>
        <v>0.21830933209610764</v>
      </c>
      <c r="AF62" s="4" cm="1">
        <f t="array" ref="AF62">_xlfn.XLOOKUP(1,('1994 E Maize Soil VWC'!$C$2:$C$4000=$AA62)*('1994 E Maize Soil VWC'!$D$2:$D$4000=$AB62)*('1994 E Maize Soil VWC'!$E$2:$E$4000=AF$5),'1994 E Maize Soil VWC'!$F$2:$F$4000)</f>
        <v>0.21128613760176174</v>
      </c>
      <c r="AG62" s="4" cm="1">
        <f t="array" ref="AG62">_xlfn.XLOOKUP(1,('1994 E Maize Soil VWC'!$C$2:$C$4000=$AA62)*('1994 E Maize Soil VWC'!$D$2:$D$4000=$AB62)*('1994 E Maize Soil VWC'!$E$2:$E$4000=AG$5),'1994 E Maize Soil VWC'!$F$2:$F$4000)</f>
        <v>0.21080289027416921</v>
      </c>
      <c r="AH62" s="4" cm="1">
        <f t="array" ref="AH62">_xlfn.XLOOKUP(1,('1994 E Maize Soil VWC'!$C$2:$C$4000=$AA62)*('1994 E Maize Soil VWC'!$D$2:$D$4000=$AB62)*('1994 E Maize Soil VWC'!$E$2:$E$4000=AH$5),'1994 E Maize Soil VWC'!$F$2:$F$4000)</f>
        <v>0.26685958027491152</v>
      </c>
      <c r="AI62" s="4" cm="1">
        <f t="array" ref="AI62">_xlfn.XLOOKUP(1,('1994 E Maize Soil VWC'!$C$2:$C$4000=$AA62)*('1994 E Maize Soil VWC'!$D$2:$D$4000=$AB62)*('1994 E Maize Soil VWC'!$E$2:$E$4000=AI$5),'1994 E Maize Soil VWC'!$F$2:$F$4000)</f>
        <v>0.25787117998168907</v>
      </c>
      <c r="AJ62" s="4" cm="1">
        <f t="array" ref="AJ62">_xlfn.XLOOKUP(1,('1994 E Maize Soil VWC'!$C$2:$C$4000=$AA62)*('1994 E Maize Soil VWC'!$D$2:$D$4000=$AB62)*('1994 E Maize Soil VWC'!$E$2:$E$4000=AJ$5),'1994 E Maize Soil VWC'!$F$2:$F$4000)</f>
        <v>0.28026163949347976</v>
      </c>
      <c r="AK62" s="4" cm="1">
        <f t="array" ref="AK62">_xlfn.XLOOKUP(1,('1994 E Maize Soil VWC'!$C$2:$C$4000=$AA62)*('1994 E Maize Soil VWC'!$D$2:$D$4000=$AB62)*('1994 E Maize Soil VWC'!$E$2:$E$4000=AK$5),'1994 E Maize Soil VWC'!$F$2:$F$4000)</f>
        <v>0.27407607370029441</v>
      </c>
      <c r="AL62" s="4" cm="1">
        <f t="array" ref="AL62">_xlfn.XLOOKUP(1,('1994 E Maize Soil VWC'!$C$2:$C$4000=$AA62)*('1994 E Maize Soil VWC'!$D$2:$D$4000=$AB62)*('1994 E Maize Soil VWC'!$E$2:$E$4000=AL$5),'1994 E Maize Soil VWC'!$F$2:$F$4000)</f>
        <v>0.2543917992230223</v>
      </c>
      <c r="AM62" s="4" cm="1">
        <f t="array" ref="AM62">_xlfn.XLOOKUP(1,('1994 E Maize Soil VWC'!$C$2:$C$4000=$AA62)*('1994 E Maize Soil VWC'!$D$2:$D$4000=$AB62)*('1994 E Maize Soil VWC'!$E$2:$E$4000=AM$5),'1994 E Maize Soil VWC'!$F$2:$F$4000)</f>
        <v>0.27774875338999822</v>
      </c>
      <c r="AN62" s="4" cm="1">
        <f t="array" ref="AN62">_xlfn.XLOOKUP(1,('1994 E Maize Soil VWC'!$C$2:$C$4000=$AA62)*('1994 E Maize Soil VWC'!$D$2:$D$4000=$AB62)*('1994 E Maize Soil VWC'!$E$2:$E$4000=AN$5),'1994 E Maize Soil VWC'!$F$2:$F$4000)</f>
        <v>0.28087375277509707</v>
      </c>
    </row>
    <row r="63" spans="25:40" x14ac:dyDescent="0.25">
      <c r="AA63" s="19">
        <f t="shared" si="8"/>
        <v>34514</v>
      </c>
      <c r="AB63" s="4">
        <f t="shared" si="9"/>
        <v>110</v>
      </c>
      <c r="AC63" s="4" cm="1">
        <f t="array" ref="AC63">_xlfn.XLOOKUP(1,('1994 E Maize Soil VWC'!$C$2:$C$4000=$AA63)*('1994 E Maize Soil VWC'!$D$2:$D$4000=$AB63)*('1994 E Maize Soil VWC'!$E$2:$E$4000=AC$5),'1994 E Maize Soil VWC'!$F$2:$F$4000)</f>
        <v>0.24169850275158977</v>
      </c>
      <c r="AD63" s="4" cm="1">
        <f t="array" ref="AD63">_xlfn.XLOOKUP(1,('1994 E Maize Soil VWC'!$C$2:$C$4000=$AA63)*('1994 E Maize Soil VWC'!$D$2:$D$4000=$AB63)*('1994 E Maize Soil VWC'!$E$2:$E$4000=AD$5),'1994 E Maize Soil VWC'!$F$2:$F$4000)</f>
        <v>0.21202711683740383</v>
      </c>
      <c r="AE63" s="4" cm="1">
        <f t="array" ref="AE63">_xlfn.XLOOKUP(1,('1994 E Maize Soil VWC'!$C$2:$C$4000=$AA63)*('1994 E Maize Soil VWC'!$D$2:$D$4000=$AB63)*('1994 E Maize Soil VWC'!$E$2:$E$4000=AE$5),'1994 E Maize Soil VWC'!$F$2:$F$4000)</f>
        <v>0.2351585555848365</v>
      </c>
      <c r="AF63" s="4" cm="1">
        <f t="array" ref="AF63">_xlfn.XLOOKUP(1,('1994 E Maize Soil VWC'!$C$2:$C$4000=$AA63)*('1994 E Maize Soil VWC'!$D$2:$D$4000=$AB63)*('1994 E Maize Soil VWC'!$E$2:$E$4000=AF$5),'1994 E Maize Soil VWC'!$F$2:$F$4000)</f>
        <v>0.24240726549872565</v>
      </c>
      <c r="AG63" s="4" cm="1">
        <f t="array" ref="AG63">_xlfn.XLOOKUP(1,('1994 E Maize Soil VWC'!$C$2:$C$4000=$AA63)*('1994 E Maize Soil VWC'!$D$2:$D$4000=$AB63)*('1994 E Maize Soil VWC'!$E$2:$E$4000=AG$5),'1994 E Maize Soil VWC'!$F$2:$F$4000)</f>
        <v>0.22626680475713262</v>
      </c>
      <c r="AH63" s="4" cm="1">
        <f t="array" ref="AH63">_xlfn.XLOOKUP(1,('1994 E Maize Soil VWC'!$C$2:$C$4000=$AA63)*('1994 E Maize Soil VWC'!$D$2:$D$4000=$AB63)*('1994 E Maize Soil VWC'!$E$2:$E$4000=AH$5),'1994 E Maize Soil VWC'!$F$2:$F$4000)</f>
        <v>0.2499459238091703</v>
      </c>
      <c r="AI63" s="4" cm="1">
        <f t="array" ref="AI63">_xlfn.XLOOKUP(1,('1994 E Maize Soil VWC'!$C$2:$C$4000=$AA63)*('1994 E Maize Soil VWC'!$D$2:$D$4000=$AB63)*('1994 E Maize Soil VWC'!$E$2:$E$4000=AI$5),'1994 E Maize Soil VWC'!$F$2:$F$4000)</f>
        <v>0.28026163949347976</v>
      </c>
      <c r="AJ63" s="4" cm="1">
        <f t="array" ref="AJ63">_xlfn.XLOOKUP(1,('1994 E Maize Soil VWC'!$C$2:$C$4000=$AA63)*('1994 E Maize Soil VWC'!$D$2:$D$4000=$AB63)*('1994 E Maize Soil VWC'!$E$2:$E$4000=AJ$5),'1994 E Maize Soil VWC'!$F$2:$F$4000)</f>
        <v>0.28019720651646746</v>
      </c>
      <c r="AK63" s="4" cm="1">
        <f t="array" ref="AK63">_xlfn.XLOOKUP(1,('1994 E Maize Soil VWC'!$C$2:$C$4000=$AA63)*('1994 E Maize Soil VWC'!$D$2:$D$4000=$AB63)*('1994 E Maize Soil VWC'!$E$2:$E$4000=AK$5),'1994 E Maize Soil VWC'!$F$2:$F$4000)</f>
        <v>0.27662117629228217</v>
      </c>
      <c r="AL63" s="4" cm="1">
        <f t="array" ref="AL63">_xlfn.XLOOKUP(1,('1994 E Maize Soil VWC'!$C$2:$C$4000=$AA63)*('1994 E Maize Soil VWC'!$D$2:$D$4000=$AB63)*('1994 E Maize Soil VWC'!$E$2:$E$4000=AL$5),'1994 E Maize Soil VWC'!$F$2:$F$4000)</f>
        <v>0.25191112960804685</v>
      </c>
      <c r="AM63" s="4" cm="1">
        <f t="array" ref="AM63">_xlfn.XLOOKUP(1,('1994 E Maize Soil VWC'!$C$2:$C$4000=$AA63)*('1994 E Maize Soil VWC'!$D$2:$D$4000=$AB63)*('1994 E Maize Soil VWC'!$E$2:$E$4000=AM$5),'1994 E Maize Soil VWC'!$F$2:$F$4000)</f>
        <v>0.27861859857966492</v>
      </c>
      <c r="AN63" s="4" cm="1">
        <f t="array" ref="AN63">_xlfn.XLOOKUP(1,('1994 E Maize Soil VWC'!$C$2:$C$4000=$AA63)*('1994 E Maize Soil VWC'!$D$2:$D$4000=$AB63)*('1994 E Maize Soil VWC'!$E$2:$E$4000=AN$5),'1994 E Maize Soil VWC'!$F$2:$F$4000)</f>
        <v>0.28828354513151705</v>
      </c>
    </row>
    <row r="64" spans="25:40" x14ac:dyDescent="0.25">
      <c r="AA64" s="19">
        <f t="shared" si="8"/>
        <v>34514</v>
      </c>
      <c r="AB64" s="4">
        <f t="shared" si="9"/>
        <v>130</v>
      </c>
      <c r="AC64" s="4" cm="1">
        <f t="array" ref="AC64">_xlfn.XLOOKUP(1,('1994 E Maize Soil VWC'!$C$2:$C$4000=$AA64)*('1994 E Maize Soil VWC'!$D$2:$D$4000=$AB64)*('1994 E Maize Soil VWC'!$E$2:$E$4000=AC$5),'1994 E Maize Soil VWC'!$F$2:$F$4000)</f>
        <v>0.24485139983668619</v>
      </c>
      <c r="AD64" s="4" cm="1">
        <f t="array" ref="AD64">_xlfn.XLOOKUP(1,('1994 E Maize Soil VWC'!$C$2:$C$4000=$AA64)*('1994 E Maize Soil VWC'!$D$2:$D$4000=$AB64)*('1994 E Maize Soil VWC'!$E$2:$E$4000=AD$5),'1994 E Maize Soil VWC'!$F$2:$F$4000)</f>
        <v>0.20200881870685175</v>
      </c>
      <c r="AE64" s="4" cm="1">
        <f t="array" ref="AE64">_xlfn.XLOOKUP(1,('1994 E Maize Soil VWC'!$C$2:$C$4000=$AA64)*('1994 E Maize Soil VWC'!$D$2:$D$4000=$AB64)*('1994 E Maize Soil VWC'!$E$2:$E$4000=AE$5),'1994 E Maize Soil VWC'!$F$2:$F$4000)</f>
        <v>0.25495528442580356</v>
      </c>
      <c r="AF64" s="4" cm="1">
        <f t="array" ref="AF64">_xlfn.XLOOKUP(1,('1994 E Maize Soil VWC'!$C$2:$C$4000=$AA64)*('1994 E Maize Soil VWC'!$D$2:$D$4000=$AB64)*('1994 E Maize Soil VWC'!$E$2:$E$4000=AF$5),'1994 E Maize Soil VWC'!$F$2:$F$4000)</f>
        <v>0.25031224607675745</v>
      </c>
      <c r="AG64" s="4" cm="1">
        <f t="array" ref="AG64">_xlfn.XLOOKUP(1,('1994 E Maize Soil VWC'!$C$2:$C$4000=$AA64)*('1994 E Maize Soil VWC'!$D$2:$D$4000=$AB64)*('1994 E Maize Soil VWC'!$E$2:$E$4000=AG$5),'1994 E Maize Soil VWC'!$F$2:$F$4000)</f>
        <v>0.22369391826887386</v>
      </c>
      <c r="AH64" s="4" cm="1">
        <f t="array" ref="AH64">_xlfn.XLOOKUP(1,('1994 E Maize Soil VWC'!$C$2:$C$4000=$AA64)*('1994 E Maize Soil VWC'!$D$2:$D$4000=$AB64)*('1994 E Maize Soil VWC'!$E$2:$E$4000=AH$5),'1994 E Maize Soil VWC'!$F$2:$F$4000)</f>
        <v>0.23617208383193522</v>
      </c>
      <c r="AI64" s="4" cm="1">
        <f t="array" ref="AI64">_xlfn.XLOOKUP(1,('1994 E Maize Soil VWC'!$C$2:$C$4000=$AA64)*('1994 E Maize Soil VWC'!$D$2:$D$4000=$AB64)*('1994 E Maize Soil VWC'!$E$2:$E$4000=AI$5),'1994 E Maize Soil VWC'!$F$2:$F$4000)</f>
        <v>0.26302783973721328</v>
      </c>
      <c r="AJ64" s="4" cm="1">
        <f t="array" ref="AJ64">_xlfn.XLOOKUP(1,('1994 E Maize Soil VWC'!$C$2:$C$4000=$AA64)*('1994 E Maize Soil VWC'!$D$2:$D$4000=$AB64)*('1994 E Maize Soil VWC'!$E$2:$E$4000=AJ$5),'1994 E Maize Soil VWC'!$F$2:$F$4000)</f>
        <v>0.26429412292331672</v>
      </c>
      <c r="AK64" s="4" cm="1">
        <f t="array" ref="AK64">_xlfn.XLOOKUP(1,('1994 E Maize Soil VWC'!$C$2:$C$4000=$AA64)*('1994 E Maize Soil VWC'!$D$2:$D$4000=$AB64)*('1994 E Maize Soil VWC'!$E$2:$E$4000=AK$5),'1994 E Maize Soil VWC'!$F$2:$F$4000)</f>
        <v>0.26946477926657264</v>
      </c>
      <c r="AL64" s="4" cm="1">
        <f t="array" ref="AL64">_xlfn.XLOOKUP(1,('1994 E Maize Soil VWC'!$C$2:$C$4000=$AA64)*('1994 E Maize Soil VWC'!$D$2:$D$4000=$AB64)*('1994 E Maize Soil VWC'!$E$2:$E$4000=AL$5),'1994 E Maize Soil VWC'!$F$2:$F$4000)</f>
        <v>0.24068321768242895</v>
      </c>
      <c r="AM64" s="4" cm="1">
        <f t="array" ref="AM64">_xlfn.XLOOKUP(1,('1994 E Maize Soil VWC'!$C$2:$C$4000=$AA64)*('1994 E Maize Soil VWC'!$D$2:$D$4000=$AB64)*('1994 E Maize Soil VWC'!$E$2:$E$4000=AM$5),'1994 E Maize Soil VWC'!$F$2:$F$4000)</f>
        <v>0.26450517012100067</v>
      </c>
      <c r="AN64" s="4" cm="1">
        <f t="array" ref="AN64">_xlfn.XLOOKUP(1,('1994 E Maize Soil VWC'!$C$2:$C$4000=$AA64)*('1994 E Maize Soil VWC'!$D$2:$D$4000=$AB64)*('1994 E Maize Soil VWC'!$E$2:$E$4000=AN$5),'1994 E Maize Soil VWC'!$F$2:$F$4000)</f>
        <v>0.27505753000519628</v>
      </c>
    </row>
    <row r="65" spans="25:40" x14ac:dyDescent="0.25">
      <c r="AA65" s="19">
        <f t="shared" si="8"/>
        <v>34514</v>
      </c>
      <c r="AB65" s="4">
        <f t="shared" si="9"/>
        <v>150</v>
      </c>
      <c r="AC65" s="4" cm="1">
        <f t="array" ref="AC65">_xlfn.XLOOKUP(1,('1994 E Maize Soil VWC'!$C$2:$C$4000=$AA65)*('1994 E Maize Soil VWC'!$D$2:$D$4000=$AB65)*('1994 E Maize Soil VWC'!$E$2:$E$4000=AC$5),'1994 E Maize Soil VWC'!$F$2:$F$4000)</f>
        <v>0.26920097026946771</v>
      </c>
      <c r="AD65" s="4" cm="1">
        <f t="array" ref="AD65">_xlfn.XLOOKUP(1,('1994 E Maize Soil VWC'!$C$2:$C$4000=$AA65)*('1994 E Maize Soil VWC'!$D$2:$D$4000=$AB65)*('1994 E Maize Soil VWC'!$E$2:$E$4000=AD$5),'1994 E Maize Soil VWC'!$F$2:$F$4000)</f>
        <v>0.187947799161161</v>
      </c>
      <c r="AE65" s="4" cm="1">
        <f t="array" ref="AE65">_xlfn.XLOOKUP(1,('1994 E Maize Soil VWC'!$C$2:$C$4000=$AA65)*('1994 E Maize Soil VWC'!$D$2:$D$4000=$AB65)*('1994 E Maize Soil VWC'!$E$2:$E$4000=AE$5),'1994 E Maize Soil VWC'!$F$2:$F$4000)</f>
        <v>0.28938235854799199</v>
      </c>
      <c r="AF65" s="4" cm="1">
        <f t="array" ref="AF65">_xlfn.XLOOKUP(1,('1994 E Maize Soil VWC'!$C$2:$C$4000=$AA65)*('1994 E Maize Soil VWC'!$D$2:$D$4000=$AB65)*('1994 E Maize Soil VWC'!$E$2:$E$4000=AF$5),'1994 E Maize Soil VWC'!$F$2:$F$4000)</f>
        <v>0.27384400861851382</v>
      </c>
      <c r="AG65" s="4" cm="1">
        <f t="array" ref="AG65">_xlfn.XLOOKUP(1,('1994 E Maize Soil VWC'!$C$2:$C$4000=$AA65)*('1994 E Maize Soil VWC'!$D$2:$D$4000=$AB65)*('1994 E Maize Soil VWC'!$E$2:$E$4000=AG$5),'1994 E Maize Soil VWC'!$F$2:$F$4000)</f>
        <v>0.26025784526761192</v>
      </c>
      <c r="AH65" s="4" cm="1">
        <f t="array" ref="AH65">_xlfn.XLOOKUP(1,('1994 E Maize Soil VWC'!$C$2:$C$4000=$AA65)*('1994 E Maize Soil VWC'!$D$2:$D$4000=$AB65)*('1994 E Maize Soil VWC'!$E$2:$E$4000=AH$5),'1994 E Maize Soil VWC'!$F$2:$F$4000)</f>
        <v>0.27065191975354463</v>
      </c>
      <c r="AI65" s="4" cm="1">
        <f t="array" ref="AI65">_xlfn.XLOOKUP(1,('1994 E Maize Soil VWC'!$C$2:$C$4000=$AA65)*('1994 E Maize Soil VWC'!$D$2:$D$4000=$AB65)*('1994 E Maize Soil VWC'!$E$2:$E$4000=AI$5),'1994 E Maize Soil VWC'!$F$2:$F$4000)</f>
        <v>0.27830238066958651</v>
      </c>
      <c r="AJ65" s="4" cm="1">
        <f t="array" ref="AJ65">_xlfn.XLOOKUP(1,('1994 E Maize Soil VWC'!$C$2:$C$4000=$AA65)*('1994 E Maize Soil VWC'!$D$2:$D$4000=$AB65)*('1994 E Maize Soil VWC'!$E$2:$E$4000=AJ$5),'1994 E Maize Soil VWC'!$F$2:$F$4000)</f>
        <v>0.28017542454903127</v>
      </c>
      <c r="AK65" s="4" cm="1">
        <f t="array" ref="AK65">_xlfn.XLOOKUP(1,('1994 E Maize Soil VWC'!$C$2:$C$4000=$AA65)*('1994 E Maize Soil VWC'!$D$2:$D$4000=$AB65)*('1994 E Maize Soil VWC'!$E$2:$E$4000=AK$5),'1994 E Maize Soil VWC'!$F$2:$F$4000)</f>
        <v>0.27748457277856131</v>
      </c>
      <c r="AL65" s="4" cm="1">
        <f t="array" ref="AL65">_xlfn.XLOOKUP(1,('1994 E Maize Soil VWC'!$C$2:$C$4000=$AA65)*('1994 E Maize Soil VWC'!$D$2:$D$4000=$AB65)*('1994 E Maize Soil VWC'!$E$2:$E$4000=AL$5),'1994 E Maize Soil VWC'!$F$2:$F$4000)</f>
        <v>0.2792520930591641</v>
      </c>
      <c r="AM65" s="4" cm="1">
        <f t="array" ref="AM65">_xlfn.XLOOKUP(1,('1994 E Maize Soil VWC'!$C$2:$C$4000=$AA65)*('1994 E Maize Soil VWC'!$D$2:$D$4000=$AB65)*('1994 E Maize Soil VWC'!$E$2:$E$4000=AM$5),'1994 E Maize Soil VWC'!$F$2:$F$4000)</f>
        <v>0.30106909711973867</v>
      </c>
      <c r="AN65" s="4" cm="1">
        <f t="array" ref="AN65">_xlfn.XLOOKUP(1,('1994 E Maize Soil VWC'!$C$2:$C$4000=$AA65)*('1994 E Maize Soil VWC'!$D$2:$D$4000=$AB65)*('1994 E Maize Soil VWC'!$E$2:$E$4000=AN$5),'1994 E Maize Soil VWC'!$F$2:$F$4000)</f>
        <v>0.3055010882711009</v>
      </c>
    </row>
    <row r="66" spans="25:40" x14ac:dyDescent="0.25">
      <c r="AA66" s="19">
        <f t="shared" si="8"/>
        <v>34514</v>
      </c>
      <c r="AB66" s="4">
        <f t="shared" si="9"/>
        <v>170</v>
      </c>
      <c r="AC66" s="4" cm="1">
        <f t="array" ref="AC66">_xlfn.XLOOKUP(1,('1994 E Maize Soil VWC'!$C$2:$C$4000=$AA66)*('1994 E Maize Soil VWC'!$D$2:$D$4000=$AB66)*('1994 E Maize Soil VWC'!$E$2:$E$4000=AC$5),'1994 E Maize Soil VWC'!$F$2:$F$4000)</f>
        <v>0.23793960411253806</v>
      </c>
      <c r="AD66" s="4" cm="1">
        <f t="array" ref="AD66">_xlfn.XLOOKUP(1,('1994 E Maize Soil VWC'!$C$2:$C$4000=$AA66)*('1994 E Maize Soil VWC'!$D$2:$D$4000=$AB66)*('1994 E Maize Soil VWC'!$E$2:$E$4000=AD$5),'1994 E Maize Soil VWC'!$F$2:$F$4000)</f>
        <v>0.26885801857323138</v>
      </c>
      <c r="AE66" s="4" cm="1">
        <f t="array" ref="AE66">_xlfn.XLOOKUP(1,('1994 E Maize Soil VWC'!$C$2:$C$4000=$AA66)*('1994 E Maize Soil VWC'!$D$2:$D$4000=$AB66)*('1994 E Maize Soil VWC'!$E$2:$E$4000=AE$5),'1994 E Maize Soil VWC'!$F$2:$F$4000)</f>
        <v>0.27168077484225372</v>
      </c>
      <c r="AF66" s="4" cm="1">
        <f t="array" ref="AF66">_xlfn.XLOOKUP(1,('1994 E Maize Soil VWC'!$C$2:$C$4000=$AA66)*('1994 E Maize Soil VWC'!$D$2:$D$4000=$AB66)*('1994 E Maize Soil VWC'!$E$2:$E$4000=AF$5),'1994 E Maize Soil VWC'!$F$2:$F$4000)</f>
        <v>0.27423972211417114</v>
      </c>
      <c r="AG66" s="4" cm="1">
        <f t="array" ref="AG66">_xlfn.XLOOKUP(1,('1994 E Maize Soil VWC'!$C$2:$C$4000=$AA66)*('1994 E Maize Soil VWC'!$D$2:$D$4000=$AB66)*('1994 E Maize Soil VWC'!$E$2:$E$4000=AG$5),'1994 E Maize Soil VWC'!$F$2:$F$4000)</f>
        <v>0.25310862144606933</v>
      </c>
      <c r="AH66" s="4" cm="1">
        <f t="array" ref="AH66">_xlfn.XLOOKUP(1,('1994 E Maize Soil VWC'!$C$2:$C$4000=$AA66)*('1994 E Maize Soil VWC'!$D$2:$D$4000=$AB66)*('1994 E Maize Soil VWC'!$E$2:$E$4000=AH$5),'1994 E Maize Soil VWC'!$F$2:$F$4000)</f>
        <v>0.26756535448741742</v>
      </c>
      <c r="AI66" s="4" cm="1">
        <f t="array" ref="AI66">_xlfn.XLOOKUP(1,('1994 E Maize Soil VWC'!$C$2:$C$4000=$AA66)*('1994 E Maize Soil VWC'!$D$2:$D$4000=$AB66)*('1994 E Maize Soil VWC'!$E$2:$E$4000=AI$5),'1994 E Maize Soil VWC'!$F$2:$F$4000)</f>
        <v>0.26975496916338798</v>
      </c>
      <c r="AJ66" s="4" cm="1">
        <f t="array" ref="AJ66">_xlfn.XLOOKUP(1,('1994 E Maize Soil VWC'!$C$2:$C$4000=$AA66)*('1994 E Maize Soil VWC'!$D$2:$D$4000=$AB66)*('1994 E Maize Soil VWC'!$E$2:$E$4000=AJ$5),'1994 E Maize Soil VWC'!$F$2:$F$4000)</f>
        <v>0.26540212071115732</v>
      </c>
      <c r="AK66" s="4" cm="1">
        <f t="array" ref="AK66">_xlfn.XLOOKUP(1,('1994 E Maize Soil VWC'!$C$2:$C$4000=$AA66)*('1994 E Maize Soil VWC'!$D$2:$D$4000=$AB66)*('1994 E Maize Soil VWC'!$E$2:$E$4000=AK$5),'1994 E Maize Soil VWC'!$F$2:$F$4000)</f>
        <v>0.25761975529656295</v>
      </c>
      <c r="AL66" s="4" cm="1">
        <f t="array" ref="AL66">_xlfn.XLOOKUP(1,('1994 E Maize Soil VWC'!$C$2:$C$4000=$AA66)*('1994 E Maize Soil VWC'!$D$2:$D$4000=$AB66)*('1994 E Maize Soil VWC'!$E$2:$E$4000=AL$5),'1994 E Maize Soil VWC'!$F$2:$F$4000)</f>
        <v>0.26255298354242446</v>
      </c>
      <c r="AM66" s="4" cm="1">
        <f t="array" ref="AM66">_xlfn.XLOOKUP(1,('1994 E Maize Soil VWC'!$C$2:$C$4000=$AA66)*('1994 E Maize Soil VWC'!$D$2:$D$4000=$AB66)*('1994 E Maize Soil VWC'!$E$2:$E$4000=AM$5),'1994 E Maize Soil VWC'!$F$2:$F$4000)</f>
        <v>0.27154887034370123</v>
      </c>
      <c r="AN66" s="4" cm="1">
        <f t="array" ref="AN66">_xlfn.XLOOKUP(1,('1994 E Maize Soil VWC'!$C$2:$C$4000=$AA66)*('1994 E Maize Soil VWC'!$D$2:$D$4000=$AB66)*('1994 E Maize Soil VWC'!$E$2:$E$4000=AN$5),'1994 E Maize Soil VWC'!$F$2:$F$4000)</f>
        <v>0.28133618413629274</v>
      </c>
    </row>
    <row r="67" spans="25:40" x14ac:dyDescent="0.25">
      <c r="AA67" s="19">
        <f t="shared" si="8"/>
        <v>34514</v>
      </c>
      <c r="AB67" s="4">
        <f t="shared" si="9"/>
        <v>190</v>
      </c>
      <c r="AC67" s="4" cm="1">
        <f t="array" ref="AC67">_xlfn.XLOOKUP(1,('1994 E Maize Soil VWC'!$C$2:$C$4000=$AA67)*('1994 E Maize Soil VWC'!$D$2:$D$4000=$AB67)*('1994 E Maize Soil VWC'!$E$2:$E$4000=AC$5),'1994 E Maize Soil VWC'!$F$2:$F$4000)</f>
        <v>0.21211270329596912</v>
      </c>
      <c r="AD67" s="4" cm="1">
        <f t="array" ref="AD67">_xlfn.XLOOKUP(1,('1994 E Maize Soil VWC'!$C$2:$C$4000=$AA67)*('1994 E Maize Soil VWC'!$D$2:$D$4000=$AB67)*('1994 E Maize Soil VWC'!$E$2:$E$4000=AD$5),'1994 E Maize Soil VWC'!$F$2:$F$4000)</f>
        <v>0.26149774755400484</v>
      </c>
      <c r="AE67" s="4" cm="1">
        <f t="array" ref="AE67">_xlfn.XLOOKUP(1,('1994 E Maize Soil VWC'!$C$2:$C$4000=$AA67)*('1994 E Maize Soil VWC'!$D$2:$D$4000=$AB67)*('1994 E Maize Soil VWC'!$E$2:$E$4000=AE$5),'1994 E Maize Soil VWC'!$F$2:$F$4000)</f>
        <v>0.26025784526761192</v>
      </c>
      <c r="AF67" s="4" cm="1">
        <f t="array" ref="AF67">_xlfn.XLOOKUP(1,('1994 E Maize Soil VWC'!$C$2:$C$4000=$AA67)*('1994 E Maize Soil VWC'!$D$2:$D$4000=$AB67)*('1994 E Maize Soil VWC'!$E$2:$E$4000=AF$5),'1994 E Maize Soil VWC'!$F$2:$F$4000)</f>
        <v>0.26751259268799643</v>
      </c>
      <c r="AG67" s="4" cm="1">
        <f t="array" ref="AG67">_xlfn.XLOOKUP(1,('1994 E Maize Soil VWC'!$C$2:$C$4000=$AA67)*('1994 E Maize Soil VWC'!$D$2:$D$4000=$AB67)*('1994 E Maize Soil VWC'!$E$2:$E$4000=AG$5),'1994 E Maize Soil VWC'!$F$2:$F$4000)</f>
        <v>0.2324787578724668</v>
      </c>
      <c r="AH67" s="4" cm="1">
        <f t="array" ref="AH67">_xlfn.XLOOKUP(1,('1994 E Maize Soil VWC'!$C$2:$C$4000=$AA67)*('1994 E Maize Soil VWC'!$D$2:$D$4000=$AB67)*('1994 E Maize Soil VWC'!$E$2:$E$4000=AH$5),'1994 E Maize Soil VWC'!$F$2:$F$4000)</f>
        <v>0.25506080802464554</v>
      </c>
      <c r="AI67" s="4" cm="1">
        <f t="array" ref="AI67">_xlfn.XLOOKUP(1,('1994 E Maize Soil VWC'!$C$2:$C$4000=$AA67)*('1994 E Maize Soil VWC'!$D$2:$D$4000=$AB67)*('1994 E Maize Soil VWC'!$E$2:$E$4000=AI$5),'1994 E Maize Soil VWC'!$F$2:$F$4000)</f>
        <v>0.25656451930814339</v>
      </c>
      <c r="AJ67" s="4" cm="1">
        <f t="array" ref="AJ67">_xlfn.XLOOKUP(1,('1994 E Maize Soil VWC'!$C$2:$C$4000=$AA67)*('1994 E Maize Soil VWC'!$D$2:$D$4000=$AB67)*('1994 E Maize Soil VWC'!$E$2:$E$4000=AJ$5),'1994 E Maize Soil VWC'!$F$2:$F$4000)</f>
        <v>0.25147300566401898</v>
      </c>
      <c r="AK67" s="4" cm="1">
        <f t="array" ref="AK67">_xlfn.XLOOKUP(1,('1994 E Maize Soil VWC'!$C$2:$C$4000=$AA67)*('1994 E Maize Soil VWC'!$D$2:$D$4000=$AB67)*('1994 E Maize Soil VWC'!$E$2:$E$4000=AK$5),'1994 E Maize Soil VWC'!$F$2:$F$4000)</f>
        <v>0.24746310890802464</v>
      </c>
      <c r="AL67" s="4" cm="1">
        <f t="array" ref="AL67">_xlfn.XLOOKUP(1,('1994 E Maize Soil VWC'!$C$2:$C$4000=$AA67)*('1994 E Maize Soil VWC'!$D$2:$D$4000=$AB67)*('1994 E Maize Soil VWC'!$E$2:$E$4000=AL$5),'1994 E Maize Soil VWC'!$F$2:$F$4000)</f>
        <v>0.26123393855689997</v>
      </c>
      <c r="AM67" s="4" cm="1">
        <f t="array" ref="AM67">_xlfn.XLOOKUP(1,('1994 E Maize Soil VWC'!$C$2:$C$4000=$AA67)*('1994 E Maize Soil VWC'!$D$2:$D$4000=$AB67)*('1994 E Maize Soil VWC'!$E$2:$E$4000=AM$5),'1994 E Maize Soil VWC'!$F$2:$F$4000)</f>
        <v>0.28735102927028427</v>
      </c>
      <c r="AN67" s="4" cm="1">
        <f t="array" ref="AN67">_xlfn.XLOOKUP(1,('1994 E Maize Soil VWC'!$C$2:$C$4000=$AA67)*('1994 E Maize Soil VWC'!$D$2:$D$4000=$AB67)*('1994 E Maize Soil VWC'!$E$2:$E$4000=AN$5),'1994 E Maize Soil VWC'!$F$2:$F$4000)</f>
        <v>0.29075416533293741</v>
      </c>
    </row>
    <row r="68" spans="25:40" x14ac:dyDescent="0.25">
      <c r="AA68" s="19">
        <f t="shared" si="8"/>
        <v>34514</v>
      </c>
      <c r="AB68" s="4">
        <f t="shared" si="9"/>
        <v>210</v>
      </c>
      <c r="AC68" s="4" cm="1">
        <f t="array" ref="AC68">_xlfn.XLOOKUP(1,('1994 E Maize Soil VWC'!$C$2:$C$4000=$AA68)*('1994 E Maize Soil VWC'!$D$2:$D$4000=$AB68)*('1994 E Maize Soil VWC'!$E$2:$E$4000=AC$5),'1994 E Maize Soil VWC'!$F$2:$F$4000)</f>
        <v>0.18327837991240439</v>
      </c>
      <c r="AD68" s="4" cm="1">
        <f t="array" ref="AD68">_xlfn.XLOOKUP(1,('1994 E Maize Soil VWC'!$C$2:$C$4000=$AA68)*('1994 E Maize Soil VWC'!$D$2:$D$4000=$AB68)*('1994 E Maize Soil VWC'!$E$2:$E$4000=AD$5),'1994 E Maize Soil VWC'!$F$2:$F$4000)</f>
        <v>0.25178957646054484</v>
      </c>
      <c r="AE68" s="4" cm="1">
        <f t="array" ref="AE68">_xlfn.XLOOKUP(1,('1994 E Maize Soil VWC'!$C$2:$C$4000=$AA68)*('1994 E Maize Soil VWC'!$D$2:$D$4000=$AB68)*('1994 E Maize Soil VWC'!$E$2:$E$4000=AE$5),'1994 E Maize Soil VWC'!$F$2:$F$4000)</f>
        <v>0.24005007608937717</v>
      </c>
      <c r="AF68" s="4" cm="1">
        <f t="array" ref="AF68">_xlfn.XLOOKUP(1,('1994 E Maize Soil VWC'!$C$2:$C$4000=$AA68)*('1994 E Maize Soil VWC'!$D$2:$D$4000=$AB68)*('1994 E Maize Soil VWC'!$E$2:$E$4000=AF$5),'1994 E Maize Soil VWC'!$F$2:$F$4000)</f>
        <v>0.26830401967931106</v>
      </c>
      <c r="AG68" s="4" t="e" cm="1">
        <f t="array" ref="AG68">_xlfn.XLOOKUP(1,('1994 E Maize Soil VWC'!$C$2:$C$4000=$AA68)*('1994 E Maize Soil VWC'!$D$2:$D$4000=$AB68)*('1994 E Maize Soil VWC'!$E$2:$E$4000=AG$5),'1994 E Maize Soil VWC'!$F$2:$F$4000)</f>
        <v>#N/A</v>
      </c>
      <c r="AH68" s="4" t="e" cm="1">
        <f t="array" ref="AH68">_xlfn.XLOOKUP(1,('1994 E Maize Soil VWC'!$C$2:$C$4000=$AA68)*('1994 E Maize Soil VWC'!$D$2:$D$4000=$AB68)*('1994 E Maize Soil VWC'!$E$2:$E$4000=AH$5),'1994 E Maize Soil VWC'!$F$2:$F$4000)</f>
        <v>#N/A</v>
      </c>
      <c r="AI68" s="4" cm="1">
        <f t="array" ref="AI68">_xlfn.XLOOKUP(1,('1994 E Maize Soil VWC'!$C$2:$C$4000=$AA68)*('1994 E Maize Soil VWC'!$D$2:$D$4000=$AB68)*('1994 E Maize Soil VWC'!$E$2:$E$4000=AI$5),'1994 E Maize Soil VWC'!$F$2:$F$4000)</f>
        <v>0.26115479585776852</v>
      </c>
      <c r="AJ68" s="4" cm="1">
        <f t="array" ref="AJ68">_xlfn.XLOOKUP(1,('1994 E Maize Soil VWC'!$C$2:$C$4000=$AA68)*('1994 E Maize Soil VWC'!$D$2:$D$4000=$AB68)*('1994 E Maize Soil VWC'!$E$2:$E$4000=AJ$5),'1994 E Maize Soil VWC'!$F$2:$F$4000)</f>
        <v>0.24358511665058274</v>
      </c>
      <c r="AK68" s="4" cm="1">
        <f t="array" ref="AK68">_xlfn.XLOOKUP(1,('1994 E Maize Soil VWC'!$C$2:$C$4000=$AA68)*('1994 E Maize Soil VWC'!$D$2:$D$4000=$AB68)*('1994 E Maize Soil VWC'!$E$2:$E$4000=AK$5),'1994 E Maize Soil VWC'!$F$2:$F$4000)</f>
        <v>0.24551092232944843</v>
      </c>
      <c r="AL68" s="4" cm="1">
        <f t="array" ref="AL68">_xlfn.XLOOKUP(1,('1994 E Maize Soil VWC'!$C$2:$C$4000=$AA68)*('1994 E Maize Soil VWC'!$D$2:$D$4000=$AB68)*('1994 E Maize Soil VWC'!$E$2:$E$4000=AL$5),'1994 E Maize Soil VWC'!$F$2:$F$4000)</f>
        <v>0.2654548825105783</v>
      </c>
      <c r="AM68" s="4" t="e" cm="1">
        <f t="array" ref="AM68">_xlfn.XLOOKUP(1,('1994 E Maize Soil VWC'!$C$2:$C$4000=$AA68)*('1994 E Maize Soil VWC'!$D$2:$D$4000=$AB68)*('1994 E Maize Soil VWC'!$E$2:$E$4000=AM$5),'1994 E Maize Soil VWC'!$F$2:$F$4000)</f>
        <v>#N/A</v>
      </c>
      <c r="AN68" s="4" t="e" cm="1">
        <f t="array" ref="AN68">_xlfn.XLOOKUP(1,('1994 E Maize Soil VWC'!$C$2:$C$4000=$AA68)*('1994 E Maize Soil VWC'!$D$2:$D$4000=$AB68)*('1994 E Maize Soil VWC'!$E$2:$E$4000=AN$5),'1994 E Maize Soil VWC'!$F$2:$F$4000)</f>
        <v>#N/A</v>
      </c>
    </row>
    <row r="69" spans="25:40" x14ac:dyDescent="0.25">
      <c r="AA69" s="19">
        <f t="shared" si="8"/>
        <v>34514</v>
      </c>
      <c r="AB69" s="4">
        <f t="shared" si="9"/>
        <v>230</v>
      </c>
      <c r="AC69" s="4" cm="1">
        <f t="array" ref="AC69">_xlfn.XLOOKUP(1,('1994 E Maize Soil VWC'!$C$2:$C$4000=$AA69)*('1994 E Maize Soil VWC'!$D$2:$D$4000=$AB69)*('1994 E Maize Soil VWC'!$E$2:$E$4000=AC$5),'1994 E Maize Soil VWC'!$F$2:$F$4000)</f>
        <v>0.17562791899636254</v>
      </c>
      <c r="AD69" s="4" cm="1">
        <f t="array" ref="AD69">_xlfn.XLOOKUP(1,('1994 E Maize Soil VWC'!$C$2:$C$4000=$AA69)*('1994 E Maize Soil VWC'!$D$2:$D$4000=$AB69)*('1994 E Maize Soil VWC'!$E$2:$E$4000=AD$5),'1994 E Maize Soil VWC'!$F$2:$F$4000)</f>
        <v>0.23741198611832826</v>
      </c>
      <c r="AE69" s="4" cm="1">
        <f t="array" ref="AE69">_xlfn.XLOOKUP(1,('1994 E Maize Soil VWC'!$C$2:$C$4000=$AA69)*('1994 E Maize Soil VWC'!$D$2:$D$4000=$AB69)*('1994 E Maize Soil VWC'!$E$2:$E$4000=AE$5),'1994 E Maize Soil VWC'!$F$2:$F$4000)</f>
        <v>0.23406161185509611</v>
      </c>
      <c r="AF69" s="4" cm="1">
        <f t="array" ref="AF69">_xlfn.XLOOKUP(1,('1994 E Maize Soil VWC'!$C$2:$C$4000=$AA69)*('1994 E Maize Soil VWC'!$D$2:$D$4000=$AB69)*('1994 E Maize Soil VWC'!$E$2:$E$4000=AF$5),'1994 E Maize Soil VWC'!$F$2:$F$4000)</f>
        <v>0.25548290242001331</v>
      </c>
      <c r="AG69" s="4" t="e" cm="1">
        <f t="array" ref="AG69">_xlfn.XLOOKUP(1,('1994 E Maize Soil VWC'!$C$2:$C$4000=$AA69)*('1994 E Maize Soil VWC'!$D$2:$D$4000=$AB69)*('1994 E Maize Soil VWC'!$E$2:$E$4000=AG$5),'1994 E Maize Soil VWC'!$F$2:$F$4000)</f>
        <v>#N/A</v>
      </c>
      <c r="AH69" s="4" t="e" cm="1">
        <f t="array" ref="AH69">_xlfn.XLOOKUP(1,('1994 E Maize Soil VWC'!$C$2:$C$4000=$AA69)*('1994 E Maize Soil VWC'!$D$2:$D$4000=$AB69)*('1994 E Maize Soil VWC'!$E$2:$E$4000=AH$5),'1994 E Maize Soil VWC'!$F$2:$F$4000)</f>
        <v>#N/A</v>
      </c>
      <c r="AI69" s="4" cm="1">
        <f t="array" ref="AI69">_xlfn.XLOOKUP(1,('1994 E Maize Soil VWC'!$C$2:$C$4000=$AA69)*('1994 E Maize Soil VWC'!$D$2:$D$4000=$AB69)*('1994 E Maize Soil VWC'!$E$2:$E$4000=AI$5),'1994 E Maize Soil VWC'!$F$2:$F$4000)</f>
        <v>0.25345157314230571</v>
      </c>
      <c r="AJ69" s="4" cm="1">
        <f t="array" ref="AJ69">_xlfn.XLOOKUP(1,('1994 E Maize Soil VWC'!$C$2:$C$4000=$AA69)*('1994 E Maize Soil VWC'!$D$2:$D$4000=$AB69)*('1994 E Maize Soil VWC'!$E$2:$E$4000=AJ$5),'1994 E Maize Soil VWC'!$F$2:$F$4000)</f>
        <v>0.24894043929181203</v>
      </c>
      <c r="AK69" s="4" cm="1">
        <f t="array" ref="AK69">_xlfn.XLOOKUP(1,('1994 E Maize Soil VWC'!$C$2:$C$4000=$AA69)*('1994 E Maize Soil VWC'!$D$2:$D$4000=$AB69)*('1994 E Maize Soil VWC'!$E$2:$E$4000=AK$5),'1994 E Maize Soil VWC'!$F$2:$F$4000)</f>
        <v>0.24260902336129464</v>
      </c>
      <c r="AL69" s="4" cm="1">
        <f t="array" ref="AL69">_xlfn.XLOOKUP(1,('1994 E Maize Soil VWC'!$C$2:$C$4000=$AA69)*('1994 E Maize Soil VWC'!$D$2:$D$4000=$AB69)*('1994 E Maize Soil VWC'!$E$2:$E$4000=AL$5),'1994 E Maize Soil VWC'!$F$2:$F$4000)</f>
        <v>0.25893880028208743</v>
      </c>
      <c r="AM69" s="4" t="e" cm="1">
        <f t="array" ref="AM69">_xlfn.XLOOKUP(1,('1994 E Maize Soil VWC'!$C$2:$C$4000=$AA69)*('1994 E Maize Soil VWC'!$D$2:$D$4000=$AB69)*('1994 E Maize Soil VWC'!$E$2:$E$4000=AM$5),'1994 E Maize Soil VWC'!$F$2:$F$4000)</f>
        <v>#N/A</v>
      </c>
      <c r="AN69" s="4" t="e" cm="1">
        <f t="array" ref="AN69">_xlfn.XLOOKUP(1,('1994 E Maize Soil VWC'!$C$2:$C$4000=$AA69)*('1994 E Maize Soil VWC'!$D$2:$D$4000=$AB69)*('1994 E Maize Soil VWC'!$E$2:$E$4000=AN$5),'1994 E Maize Soil VWC'!$F$2:$F$4000)</f>
        <v>#N/A</v>
      </c>
    </row>
    <row r="70" spans="25:40" x14ac:dyDescent="0.25">
      <c r="AA70" s="19"/>
    </row>
    <row r="71" spans="25:40" x14ac:dyDescent="0.25">
      <c r="Y71" s="4">
        <f>Y58</f>
        <v>1994</v>
      </c>
      <c r="Z71" s="4">
        <v>193</v>
      </c>
      <c r="AA71" s="19">
        <f>DATE(Y71,1,Z71)</f>
        <v>34527</v>
      </c>
      <c r="AB71" s="4">
        <v>10</v>
      </c>
      <c r="AC71" s="4" cm="1">
        <f t="array" ref="AC71">_xlfn.XLOOKUP(1,('1994 E Maize Soil VWC'!$C$2:$C$4000=$AA71)*('1994 E Maize Soil VWC'!$D$2:$D$4000=$AB71)*('1994 E Maize Soil VWC'!$E$2:$E$4000=AC$5),'1994 E Maize Soil VWC'!$F$2:$F$4000)</f>
        <v>0.32148142450226408</v>
      </c>
      <c r="AD71" s="4" cm="1">
        <f t="array" ref="AD71">_xlfn.XLOOKUP(1,('1994 E Maize Soil VWC'!$C$2:$C$4000=$AA71)*('1994 E Maize Soil VWC'!$D$2:$D$4000=$AB71)*('1994 E Maize Soil VWC'!$E$2:$E$4000=AD$5),'1994 E Maize Soil VWC'!$F$2:$F$4000)</f>
        <v>0.29913536618439607</v>
      </c>
      <c r="AE71" s="4" cm="1">
        <f t="array" ref="AE71">_xlfn.XLOOKUP(1,('1994 E Maize Soil VWC'!$C$2:$C$4000=$AA71)*('1994 E Maize Soil VWC'!$D$2:$D$4000=$AB71)*('1994 E Maize Soil VWC'!$E$2:$E$4000=AE$5),'1994 E Maize Soil VWC'!$F$2:$F$4000)</f>
        <v>0.29366861295152547</v>
      </c>
      <c r="AF71" s="4" cm="1">
        <f t="array" ref="AF71">_xlfn.XLOOKUP(1,('1994 E Maize Soil VWC'!$C$2:$C$4000=$AA71)*('1994 E Maize Soil VWC'!$D$2:$D$4000=$AB71)*('1994 E Maize Soil VWC'!$E$2:$E$4000=AF$5),'1994 E Maize Soil VWC'!$F$2:$F$4000)</f>
        <v>0.33923428293890578</v>
      </c>
      <c r="AG71" s="4" cm="1">
        <f t="array" ref="AG71">_xlfn.XLOOKUP(1,('1994 E Maize Soil VWC'!$C$2:$C$4000=$AA71)*('1994 E Maize Soil VWC'!$D$2:$D$4000=$AB71)*('1994 E Maize Soil VWC'!$E$2:$E$4000=AG$5),'1994 E Maize Soil VWC'!$F$2:$F$4000)</f>
        <v>0.31046338061539597</v>
      </c>
      <c r="AH71" s="4" cm="1">
        <f t="array" ref="AH71">_xlfn.XLOOKUP(1,('1994 E Maize Soil VWC'!$C$2:$C$4000=$AA71)*('1994 E Maize Soil VWC'!$D$2:$D$4000=$AB71)*('1994 E Maize Soil VWC'!$E$2:$E$4000=AH$5),'1994 E Maize Soil VWC'!$F$2:$F$4000)</f>
        <v>0.28535576654071709</v>
      </c>
      <c r="AI71" s="4" cm="1">
        <f t="array" ref="AI71">_xlfn.XLOOKUP(1,('1994 E Maize Soil VWC'!$C$2:$C$4000=$AA71)*('1994 E Maize Soil VWC'!$D$2:$D$4000=$AB71)*('1994 E Maize Soil VWC'!$E$2:$E$4000=AI$5),'1994 E Maize Soil VWC'!$F$2:$F$4000)</f>
        <v>0.32035425888723923</v>
      </c>
      <c r="AJ71" s="4" cm="1">
        <f t="array" ref="AJ71">_xlfn.XLOOKUP(1,('1994 E Maize Soil VWC'!$C$2:$C$4000=$AA71)*('1994 E Maize Soil VWC'!$D$2:$D$4000=$AB71)*('1994 E Maize Soil VWC'!$E$2:$E$4000=AJ$5),'1994 E Maize Soil VWC'!$F$2:$F$4000)</f>
        <v>0.3345283664961769</v>
      </c>
      <c r="AK71" s="4" cm="1">
        <f t="array" ref="AK71">_xlfn.XLOOKUP(1,('1994 E Maize Soil VWC'!$C$2:$C$4000=$AA71)*('1994 E Maize Soil VWC'!$D$2:$D$4000=$AB71)*('1994 E Maize Soil VWC'!$E$2:$E$4000=AK$5),'1994 E Maize Soil VWC'!$F$2:$F$4000)</f>
        <v>0.3317949898797416</v>
      </c>
      <c r="AL71" s="4" cm="1">
        <f t="array" ref="AL71">_xlfn.XLOOKUP(1,('1994 E Maize Soil VWC'!$C$2:$C$4000=$AA71)*('1994 E Maize Soil VWC'!$D$2:$D$4000=$AB71)*('1994 E Maize Soil VWC'!$E$2:$E$4000=AL$5),'1994 E Maize Soil VWC'!$F$2:$F$4000)</f>
        <v>0.31984703436047807</v>
      </c>
      <c r="AM71" s="4" cm="1">
        <f t="array" ref="AM71">_xlfn.XLOOKUP(1,('1994 E Maize Soil VWC'!$C$2:$C$4000=$AA71)*('1994 E Maize Soil VWC'!$D$2:$D$4000=$AB71)*('1994 E Maize Soil VWC'!$E$2:$E$4000=AM$5),'1994 E Maize Soil VWC'!$F$2:$F$4000)</f>
        <v>0.33233039354687843</v>
      </c>
      <c r="AN71" s="4" cm="1">
        <f t="array" ref="AN71">_xlfn.XLOOKUP(1,('1994 E Maize Soil VWC'!$C$2:$C$4000=$AA71)*('1994 E Maize Soil VWC'!$D$2:$D$4000=$AB71)*('1994 E Maize Soil VWC'!$E$2:$E$4000=AN$5),'1994 E Maize Soil VWC'!$F$2:$F$4000)</f>
        <v>0.32903343412293073</v>
      </c>
    </row>
    <row r="72" spans="25:40" x14ac:dyDescent="0.25">
      <c r="AA72" s="19">
        <f t="shared" ref="AA72:AA82" si="10">AA71</f>
        <v>34527</v>
      </c>
      <c r="AB72" s="4">
        <f t="shared" ref="AB72:AB82" si="11">AB71+20</f>
        <v>30</v>
      </c>
      <c r="AC72" s="4" cm="1">
        <f t="array" ref="AC72">_xlfn.XLOOKUP(1,('1994 E Maize Soil VWC'!$C$2:$C$4000=$AA72)*('1994 E Maize Soil VWC'!$D$2:$D$4000=$AB72)*('1994 E Maize Soil VWC'!$E$2:$E$4000=AC$5),'1994 E Maize Soil VWC'!$F$2:$F$4000)</f>
        <v>0.31743946722960426</v>
      </c>
      <c r="AD72" s="4" cm="1">
        <f t="array" ref="AD72">_xlfn.XLOOKUP(1,('1994 E Maize Soil VWC'!$C$2:$C$4000=$AA72)*('1994 E Maize Soil VWC'!$D$2:$D$4000=$AB72)*('1994 E Maize Soil VWC'!$E$2:$E$4000=AD$5),'1994 E Maize Soil VWC'!$F$2:$F$4000)</f>
        <v>0.25516499494717043</v>
      </c>
      <c r="AE72" s="4" cm="1">
        <f t="array" ref="AE72">_xlfn.XLOOKUP(1,('1994 E Maize Soil VWC'!$C$2:$C$4000=$AA72)*('1994 E Maize Soil VWC'!$D$2:$D$4000=$AB72)*('1994 E Maize Soil VWC'!$E$2:$E$4000=AE$5),'1994 E Maize Soil VWC'!$F$2:$F$4000)</f>
        <v>0.30835441747086334</v>
      </c>
      <c r="AF72" s="4" cm="1">
        <f t="array" ref="AF72">_xlfn.XLOOKUP(1,('1994 E Maize Soil VWC'!$C$2:$C$4000=$AA72)*('1994 E Maize Soil VWC'!$D$2:$D$4000=$AB72)*('1994 E Maize Soil VWC'!$E$2:$E$4000=AF$5),'1994 E Maize Soil VWC'!$F$2:$F$4000)</f>
        <v>0.31463663272956721</v>
      </c>
      <c r="AG72" s="4" cm="1">
        <f t="array" ref="AG72">_xlfn.XLOOKUP(1,('1994 E Maize Soil VWC'!$C$2:$C$4000=$AA72)*('1994 E Maize Soil VWC'!$D$2:$D$4000=$AB72)*('1994 E Maize Soil VWC'!$E$2:$E$4000=AG$5),'1994 E Maize Soil VWC'!$F$2:$F$4000)</f>
        <v>0.31347683914334495</v>
      </c>
      <c r="AH72" s="4" cm="1">
        <f t="array" ref="AH72">_xlfn.XLOOKUP(1,('1994 E Maize Soil VWC'!$C$2:$C$4000=$AA72)*('1994 E Maize Soil VWC'!$D$2:$D$4000=$AB72)*('1994 E Maize Soil VWC'!$E$2:$E$4000=AH$5),'1994 E Maize Soil VWC'!$F$2:$F$4000)</f>
        <v>0.2807448868210724</v>
      </c>
      <c r="AI72" s="4" cm="1">
        <f t="array" ref="AI72">_xlfn.XLOOKUP(1,('1994 E Maize Soil VWC'!$C$2:$C$4000=$AA72)*('1994 E Maize Soil VWC'!$D$2:$D$4000=$AB72)*('1994 E Maize Soil VWC'!$E$2:$E$4000=AI$5),'1994 E Maize Soil VWC'!$F$2:$F$4000)</f>
        <v>0.28986215306831953</v>
      </c>
      <c r="AJ72" s="4" cm="1">
        <f t="array" ref="AJ72">_xlfn.XLOOKUP(1,('1994 E Maize Soil VWC'!$C$2:$C$4000=$AA72)*('1994 E Maize Soil VWC'!$D$2:$D$4000=$AB72)*('1994 E Maize Soil VWC'!$E$2:$E$4000=AJ$5),'1994 E Maize Soil VWC'!$F$2:$F$4000)</f>
        <v>0.3210154974537896</v>
      </c>
      <c r="AK72" s="4" cm="1">
        <f t="array" ref="AK72">_xlfn.XLOOKUP(1,('1994 E Maize Soil VWC'!$C$2:$C$4000=$AA72)*('1994 E Maize Soil VWC'!$D$2:$D$4000=$AB72)*('1994 E Maize Soil VWC'!$E$2:$E$4000=AK$5),'1994 E Maize Soil VWC'!$F$2:$F$4000)</f>
        <v>0.32136987882735751</v>
      </c>
      <c r="AL72" s="4" cm="1">
        <f t="array" ref="AL72">_xlfn.XLOOKUP(1,('1994 E Maize Soil VWC'!$C$2:$C$4000=$AA72)*('1994 E Maize Soil VWC'!$D$2:$D$4000=$AB72)*('1994 E Maize Soil VWC'!$E$2:$E$4000=AL$5),'1994 E Maize Soil VWC'!$F$2:$F$4000)</f>
        <v>0.31241369502264116</v>
      </c>
      <c r="AM72" s="4" cm="1">
        <f t="array" ref="AM72">_xlfn.XLOOKUP(1,('1994 E Maize Soil VWC'!$C$2:$C$4000=$AA72)*('1994 E Maize Soil VWC'!$D$2:$D$4000=$AB72)*('1994 E Maize Soil VWC'!$E$2:$E$4000=AM$5),'1994 E Maize Soil VWC'!$F$2:$F$4000)</f>
        <v>0.33145363972978992</v>
      </c>
      <c r="AN72" s="4" cm="1">
        <f t="array" ref="AN72">_xlfn.XLOOKUP(1,('1994 E Maize Soil VWC'!$C$2:$C$4000=$AA72)*('1994 E Maize Soil VWC'!$D$2:$D$4000=$AB72)*('1994 E Maize Soil VWC'!$E$2:$E$4000=AN$5),'1994 E Maize Soil VWC'!$F$2:$F$4000)</f>
        <v>0.32794204248261694</v>
      </c>
    </row>
    <row r="73" spans="25:40" x14ac:dyDescent="0.25">
      <c r="AA73" s="19">
        <f t="shared" si="10"/>
        <v>34527</v>
      </c>
      <c r="AB73" s="4">
        <f t="shared" si="11"/>
        <v>50</v>
      </c>
      <c r="AC73" s="4" cm="1">
        <f t="array" ref="AC73">_xlfn.XLOOKUP(1,('1994 E Maize Soil VWC'!$C$2:$C$4000=$AA73)*('1994 E Maize Soil VWC'!$D$2:$D$4000=$AB73)*('1994 E Maize Soil VWC'!$E$2:$E$4000=AC$5),'1994 E Maize Soil VWC'!$F$2:$F$4000)</f>
        <v>0.31582864280429562</v>
      </c>
      <c r="AD73" s="4" cm="1">
        <f t="array" ref="AD73">_xlfn.XLOOKUP(1,('1994 E Maize Soil VWC'!$C$2:$C$4000=$AA73)*('1994 E Maize Soil VWC'!$D$2:$D$4000=$AB73)*('1994 E Maize Soil VWC'!$E$2:$E$4000=AD$5),'1994 E Maize Soil VWC'!$F$2:$F$4000)</f>
        <v>0.23490082367678716</v>
      </c>
      <c r="AE73" s="4" cm="1">
        <f t="array" ref="AE73">_xlfn.XLOOKUP(1,('1994 E Maize Soil VWC'!$C$2:$C$4000=$AA73)*('1994 E Maize Soil VWC'!$D$2:$D$4000=$AB73)*('1994 E Maize Soil VWC'!$E$2:$E$4000=AE$5),'1994 E Maize Soil VWC'!$F$2:$F$4000)</f>
        <v>0.31051292220077692</v>
      </c>
      <c r="AF73" s="4" cm="1">
        <f t="array" ref="AF73">_xlfn.XLOOKUP(1,('1994 E Maize Soil VWC'!$C$2:$C$4000=$AA73)*('1994 E Maize Soil VWC'!$D$2:$D$4000=$AB73)*('1994 E Maize Soil VWC'!$E$2:$E$4000=AF$5),'1994 E Maize Soil VWC'!$F$2:$F$4000)</f>
        <v>0.31595750875832029</v>
      </c>
      <c r="AG73" s="4" cm="1">
        <f t="array" ref="AG73">_xlfn.XLOOKUP(1,('1994 E Maize Soil VWC'!$C$2:$C$4000=$AA73)*('1994 E Maize Soil VWC'!$D$2:$D$4000=$AB73)*('1994 E Maize Soil VWC'!$E$2:$E$4000=AG$5),'1994 E Maize Soil VWC'!$F$2:$F$4000)</f>
        <v>0.24640211007349117</v>
      </c>
      <c r="AH73" s="4" cm="1">
        <f t="array" ref="AH73">_xlfn.XLOOKUP(1,('1994 E Maize Soil VWC'!$C$2:$C$4000=$AA73)*('1994 E Maize Soil VWC'!$D$2:$D$4000=$AB73)*('1994 E Maize Soil VWC'!$E$2:$E$4000=AH$5),'1994 E Maize Soil VWC'!$F$2:$F$4000)</f>
        <v>0.24859283129191101</v>
      </c>
      <c r="AI73" s="4" cm="1">
        <f t="array" ref="AI73">_xlfn.XLOOKUP(1,('1994 E Maize Soil VWC'!$C$2:$C$4000=$AA73)*('1994 E Maize Soil VWC'!$D$2:$D$4000=$AB73)*('1994 E Maize Soil VWC'!$E$2:$E$4000=AI$5),'1994 E Maize Soil VWC'!$F$2:$F$4000)</f>
        <v>0.30287761442481376</v>
      </c>
      <c r="AJ73" s="4" cm="1">
        <f t="array" ref="AJ73">_xlfn.XLOOKUP(1,('1994 E Maize Soil VWC'!$C$2:$C$4000=$AA73)*('1994 E Maize Soil VWC'!$D$2:$D$4000=$AB73)*('1994 E Maize Soil VWC'!$E$2:$E$4000=AJ$5),'1994 E Maize Soil VWC'!$F$2:$F$4000)</f>
        <v>0.3252036409595922</v>
      </c>
      <c r="AK73" s="4" cm="1">
        <f t="array" ref="AK73">_xlfn.XLOOKUP(1,('1994 E Maize Soil VWC'!$C$2:$C$4000=$AA73)*('1994 E Maize Soil VWC'!$D$2:$D$4000=$AB73)*('1994 E Maize Soil VWC'!$E$2:$E$4000=AK$5),'1994 E Maize Soil VWC'!$F$2:$F$4000)</f>
        <v>0.31801936402271541</v>
      </c>
      <c r="AL73" s="4" cm="1">
        <f t="array" ref="AL73">_xlfn.XLOOKUP(1,('1994 E Maize Soil VWC'!$C$2:$C$4000=$AA73)*('1994 E Maize Soil VWC'!$D$2:$D$4000=$AB73)*('1994 E Maize Soil VWC'!$E$2:$E$4000=AL$5),'1994 E Maize Soil VWC'!$F$2:$F$4000)</f>
        <v>0.30046137778685073</v>
      </c>
      <c r="AM73" s="4" cm="1">
        <f t="array" ref="AM73">_xlfn.XLOOKUP(1,('1994 E Maize Soil VWC'!$C$2:$C$4000=$AA73)*('1994 E Maize Soil VWC'!$D$2:$D$4000=$AB73)*('1994 E Maize Soil VWC'!$E$2:$E$4000=AM$5),'1994 E Maize Soil VWC'!$F$2:$F$4000)</f>
        <v>0.31044848922376461</v>
      </c>
      <c r="AN73" s="4" cm="1">
        <f t="array" ref="AN73">_xlfn.XLOOKUP(1,('1994 E Maize Soil VWC'!$C$2:$C$4000=$AA73)*('1994 E Maize Soil VWC'!$D$2:$D$4000=$AB73)*('1994 E Maize Soil VWC'!$E$2:$E$4000=AN$5),'1994 E Maize Soil VWC'!$F$2:$F$4000)</f>
        <v>0.32910183606883919</v>
      </c>
    </row>
    <row r="74" spans="25:40" x14ac:dyDescent="0.25">
      <c r="AA74" s="19">
        <f t="shared" si="10"/>
        <v>34527</v>
      </c>
      <c r="AB74" s="4">
        <f t="shared" si="11"/>
        <v>70</v>
      </c>
      <c r="AC74" s="4" cm="1">
        <f t="array" ref="AC74">_xlfn.XLOOKUP(1,('1994 E Maize Soil VWC'!$C$2:$C$4000=$AA74)*('1994 E Maize Soil VWC'!$D$2:$D$4000=$AB74)*('1994 E Maize Soil VWC'!$E$2:$E$4000=AC$5),'1994 E Maize Soil VWC'!$F$2:$F$4000)</f>
        <v>0.30042916129834457</v>
      </c>
      <c r="AD74" s="4" cm="1">
        <f t="array" ref="AD74">_xlfn.XLOOKUP(1,('1994 E Maize Soil VWC'!$C$2:$C$4000=$AA74)*('1994 E Maize Soil VWC'!$D$2:$D$4000=$AB74)*('1994 E Maize Soil VWC'!$E$2:$E$4000=AD$5),'1994 E Maize Soil VWC'!$F$2:$F$4000)</f>
        <v>0.20361861333729242</v>
      </c>
      <c r="AE74" s="4" cm="1">
        <f t="array" ref="AE74">_xlfn.XLOOKUP(1,('1994 E Maize Soil VWC'!$C$2:$C$4000=$AA74)*('1994 E Maize Soil VWC'!$D$2:$D$4000=$AB74)*('1994 E Maize Soil VWC'!$E$2:$E$4000=AE$5),'1994 E Maize Soil VWC'!$F$2:$F$4000)</f>
        <v>0.2953067396258629</v>
      </c>
      <c r="AF74" s="4" cm="1">
        <f t="array" ref="AF74">_xlfn.XLOOKUP(1,('1994 E Maize Soil VWC'!$C$2:$C$4000=$AA74)*('1994 E Maize Soil VWC'!$D$2:$D$4000=$AB74)*('1994 E Maize Soil VWC'!$E$2:$E$4000=AF$5),'1994 E Maize Soil VWC'!$F$2:$F$4000)</f>
        <v>0.29424359550515922</v>
      </c>
      <c r="AG74" s="4" cm="1">
        <f t="array" ref="AG74">_xlfn.XLOOKUP(1,('1994 E Maize Soil VWC'!$C$2:$C$4000=$AA74)*('1994 E Maize Soil VWC'!$D$2:$D$4000=$AB74)*('1994 E Maize Soil VWC'!$E$2:$E$4000=AG$5),'1994 E Maize Soil VWC'!$F$2:$F$4000)</f>
        <v>0.23386989604458958</v>
      </c>
      <c r="AH74" s="4" cm="1">
        <f t="array" ref="AH74">_xlfn.XLOOKUP(1,('1994 E Maize Soil VWC'!$C$2:$C$4000=$AA74)*('1994 E Maize Soil VWC'!$D$2:$D$4000=$AB74)*('1994 E Maize Soil VWC'!$E$2:$E$4000=AH$5),'1994 E Maize Soil VWC'!$F$2:$F$4000)</f>
        <v>0.25194334609655306</v>
      </c>
      <c r="AI74" s="4" cm="1">
        <f t="array" ref="AI74">_xlfn.XLOOKUP(1,('1994 E Maize Soil VWC'!$C$2:$C$4000=$AA74)*('1994 E Maize Soil VWC'!$D$2:$D$4000=$AB74)*('1994 E Maize Soil VWC'!$E$2:$E$4000=AI$5),'1994 E Maize Soil VWC'!$F$2:$F$4000)</f>
        <v>0.26988793019449181</v>
      </c>
      <c r="AJ74" s="4" cm="1">
        <f t="array" ref="AJ74">_xlfn.XLOOKUP(1,('1994 E Maize Soil VWC'!$C$2:$C$4000=$AA74)*('1994 E Maize Soil VWC'!$D$2:$D$4000=$AB74)*('1994 E Maize Soil VWC'!$E$2:$E$4000=AJ$5),'1994 E Maize Soil VWC'!$F$2:$F$4000)</f>
        <v>0.31383122051691281</v>
      </c>
      <c r="AK74" s="4" cm="1">
        <f t="array" ref="AK74">_xlfn.XLOOKUP(1,('1994 E Maize Soil VWC'!$C$2:$C$4000=$AA74)*('1994 E Maize Soil VWC'!$D$2:$D$4000=$AB74)*('1994 E Maize Soil VWC'!$E$2:$E$4000=AK$5),'1994 E Maize Soil VWC'!$F$2:$F$4000)</f>
        <v>0.31048070571227077</v>
      </c>
      <c r="AL74" s="4" cm="1">
        <f t="array" ref="AL74">_xlfn.XLOOKUP(1,('1994 E Maize Soil VWC'!$C$2:$C$4000=$AA74)*('1994 E Maize Soil VWC'!$D$2:$D$4000=$AB74)*('1994 E Maize Soil VWC'!$E$2:$E$4000=AL$5),'1994 E Maize Soil VWC'!$F$2:$F$4000)</f>
        <v>0.26905030149333137</v>
      </c>
      <c r="AM74" s="4" cm="1">
        <f t="array" ref="AM74">_xlfn.XLOOKUP(1,('1994 E Maize Soil VWC'!$C$2:$C$4000=$AA74)*('1994 E Maize Soil VWC'!$D$2:$D$4000=$AB74)*('1994 E Maize Soil VWC'!$E$2:$E$4000=AM$5),'1994 E Maize Soil VWC'!$F$2:$F$4000)</f>
        <v>0.27088664133818324</v>
      </c>
      <c r="AN74" s="4" cm="1">
        <f t="array" ref="AN74">_xlfn.XLOOKUP(1,('1994 E Maize Soil VWC'!$C$2:$C$4000=$AA74)*('1994 E Maize Soil VWC'!$D$2:$D$4000=$AB74)*('1994 E Maize Soil VWC'!$E$2:$E$4000=AN$5),'1994 E Maize Soil VWC'!$F$2:$F$4000)</f>
        <v>0.32124101287333284</v>
      </c>
    </row>
    <row r="75" spans="25:40" x14ac:dyDescent="0.25">
      <c r="AA75" s="19">
        <f t="shared" si="10"/>
        <v>34527</v>
      </c>
      <c r="AB75" s="4">
        <f t="shared" si="11"/>
        <v>90</v>
      </c>
      <c r="AC75" s="4" cm="1">
        <f t="array" ref="AC75">_xlfn.XLOOKUP(1,('1994 E Maize Soil VWC'!$C$2:$C$4000=$AA75)*('1994 E Maize Soil VWC'!$D$2:$D$4000=$AB75)*('1994 E Maize Soil VWC'!$E$2:$E$4000=AC$5),'1994 E Maize Soil VWC'!$F$2:$F$4000)</f>
        <v>0.29524230664885059</v>
      </c>
      <c r="AD75" s="4" cm="1">
        <f t="array" ref="AD75">_xlfn.XLOOKUP(1,('1994 E Maize Soil VWC'!$C$2:$C$4000=$AA75)*('1994 E Maize Soil VWC'!$D$2:$D$4000=$AB75)*('1994 E Maize Soil VWC'!$E$2:$E$4000=AD$5),'1994 E Maize Soil VWC'!$F$2:$F$4000)</f>
        <v>0.2006546963947245</v>
      </c>
      <c r="AE75" s="4" cm="1">
        <f t="array" ref="AE75">_xlfn.XLOOKUP(1,('1994 E Maize Soil VWC'!$C$2:$C$4000=$AA75)*('1994 E Maize Soil VWC'!$D$2:$D$4000=$AB75)*('1994 E Maize Soil VWC'!$E$2:$E$4000=AE$5),'1994 E Maize Soil VWC'!$F$2:$F$4000)</f>
        <v>0.27149875461980055</v>
      </c>
      <c r="AF75" s="4" cm="1">
        <f t="array" ref="AF75">_xlfn.XLOOKUP(1,('1994 E Maize Soil VWC'!$C$2:$C$4000=$AA75)*('1994 E Maize Soil VWC'!$D$2:$D$4000=$AB75)*('1994 E Maize Soil VWC'!$E$2:$E$4000=AF$5),'1994 E Maize Soil VWC'!$F$2:$F$4000)</f>
        <v>0.28683380314873924</v>
      </c>
      <c r="AG75" s="4" cm="1">
        <f t="array" ref="AG75">_xlfn.XLOOKUP(1,('1994 E Maize Soil VWC'!$C$2:$C$4000=$AA75)*('1994 E Maize Soil VWC'!$D$2:$D$4000=$AB75)*('1994 E Maize Soil VWC'!$E$2:$E$4000=AG$5),'1994 E Maize Soil VWC'!$F$2:$F$4000)</f>
        <v>0.21180160141786059</v>
      </c>
      <c r="AH75" s="4" cm="1">
        <f t="array" ref="AH75">_xlfn.XLOOKUP(1,('1994 E Maize Soil VWC'!$C$2:$C$4000=$AA75)*('1994 E Maize Soil VWC'!$D$2:$D$4000=$AB75)*('1994 E Maize Soil VWC'!$E$2:$E$4000=AH$5),'1994 E Maize Soil VWC'!$F$2:$F$4000)</f>
        <v>0.25906319005641743</v>
      </c>
      <c r="AI75" s="4" cm="1">
        <f t="array" ref="AI75">_xlfn.XLOOKUP(1,('1994 E Maize Soil VWC'!$C$2:$C$4000=$AA75)*('1994 E Maize Soil VWC'!$D$2:$D$4000=$AB75)*('1994 E Maize Soil VWC'!$E$2:$E$4000=AI$5),'1994 E Maize Soil VWC'!$F$2:$F$4000)</f>
        <v>0.27836086667161553</v>
      </c>
      <c r="AJ75" s="4" cm="1">
        <f t="array" ref="AJ75">_xlfn.XLOOKUP(1,('1994 E Maize Soil VWC'!$C$2:$C$4000=$AA75)*('1994 E Maize Soil VWC'!$D$2:$D$4000=$AB75)*('1994 E Maize Soil VWC'!$E$2:$E$4000=AJ$5),'1994 E Maize Soil VWC'!$F$2:$F$4000)</f>
        <v>0.3000747799247766</v>
      </c>
      <c r="AK75" s="4" cm="1">
        <f t="array" ref="AK75">_xlfn.XLOOKUP(1,('1994 E Maize Soil VWC'!$C$2:$C$4000=$AA75)*('1994 E Maize Soil VWC'!$D$2:$D$4000=$AB75)*('1994 E Maize Soil VWC'!$E$2:$E$4000=AK$5),'1994 E Maize Soil VWC'!$F$2:$F$4000)</f>
        <v>0.30751678876970279</v>
      </c>
      <c r="AL75" s="4" cm="1">
        <f t="array" ref="AL75">_xlfn.XLOOKUP(1,('1994 E Maize Soil VWC'!$C$2:$C$4000=$AA75)*('1994 E Maize Soil VWC'!$D$2:$D$4000=$AB75)*('1994 E Maize Soil VWC'!$E$2:$E$4000=AL$5),'1994 E Maize Soil VWC'!$F$2:$F$4000)</f>
        <v>0.25329643861381235</v>
      </c>
      <c r="AM75" s="4" cm="1">
        <f t="array" ref="AM75">_xlfn.XLOOKUP(1,('1994 E Maize Soil VWC'!$C$2:$C$4000=$AA75)*('1994 E Maize Soil VWC'!$D$2:$D$4000=$AB75)*('1994 E Maize Soil VWC'!$E$2:$E$4000=AM$5),'1994 E Maize Soil VWC'!$F$2:$F$4000)</f>
        <v>0.27252968225199808</v>
      </c>
      <c r="AN75" s="4" cm="1">
        <f t="array" ref="AN75">_xlfn.XLOOKUP(1,('1994 E Maize Soil VWC'!$C$2:$C$4000=$AA75)*('1994 E Maize Soil VWC'!$D$2:$D$4000=$AB75)*('1994 E Maize Soil VWC'!$E$2:$E$4000=AN$5),'1994 E Maize Soil VWC'!$F$2:$F$4000)</f>
        <v>0.3142822513559993</v>
      </c>
    </row>
    <row r="76" spans="25:40" x14ac:dyDescent="0.25">
      <c r="AA76" s="19">
        <f t="shared" si="10"/>
        <v>34527</v>
      </c>
      <c r="AB76" s="4">
        <f t="shared" si="11"/>
        <v>110</v>
      </c>
      <c r="AC76" s="4" cm="1">
        <f t="array" ref="AC76">_xlfn.XLOOKUP(1,('1994 E Maize Soil VWC'!$C$2:$C$4000=$AA76)*('1994 E Maize Soil VWC'!$D$2:$D$4000=$AB76)*('1994 E Maize Soil VWC'!$E$2:$E$4000=AC$5),'1994 E Maize Soil VWC'!$F$2:$F$4000)</f>
        <v>0.29405029657412218</v>
      </c>
      <c r="AD76" s="4" cm="1">
        <f t="array" ref="AD76">_xlfn.XLOOKUP(1,('1994 E Maize Soil VWC'!$C$2:$C$4000=$AA76)*('1994 E Maize Soil VWC'!$D$2:$D$4000=$AB76)*('1994 E Maize Soil VWC'!$E$2:$E$4000=AD$5),'1994 E Maize Soil VWC'!$F$2:$F$4000)</f>
        <v>0.21508768324549032</v>
      </c>
      <c r="AE76" s="4" cm="1">
        <f t="array" ref="AE76">_xlfn.XLOOKUP(1,('1994 E Maize Soil VWC'!$C$2:$C$4000=$AA76)*('1994 E Maize Soil VWC'!$D$2:$D$4000=$AB76)*('1994 E Maize Soil VWC'!$E$2:$E$4000=AE$5),'1994 E Maize Soil VWC'!$F$2:$F$4000)</f>
        <v>0.25819334486675077</v>
      </c>
      <c r="AF76" s="4" cm="1">
        <f t="array" ref="AF76">_xlfn.XLOOKUP(1,('1994 E Maize Soil VWC'!$C$2:$C$4000=$AA76)*('1994 E Maize Soil VWC'!$D$2:$D$4000=$AB76)*('1994 E Maize Soil VWC'!$E$2:$E$4000=AF$5),'1994 E Maize Soil VWC'!$F$2:$F$4000)</f>
        <v>0.28899230787865288</v>
      </c>
      <c r="AG76" s="4" cm="1">
        <f t="array" ref="AG76">_xlfn.XLOOKUP(1,('1994 E Maize Soil VWC'!$C$2:$C$4000=$AA76)*('1994 E Maize Soil VWC'!$D$2:$D$4000=$AB76)*('1994 E Maize Soil VWC'!$E$2:$E$4000=AG$5),'1994 E Maize Soil VWC'!$F$2:$F$4000)</f>
        <v>0.23312891680894759</v>
      </c>
      <c r="AH76" s="4" cm="1">
        <f t="array" ref="AH76">_xlfn.XLOOKUP(1,('1994 E Maize Soil VWC'!$C$2:$C$4000=$AA76)*('1994 E Maize Soil VWC'!$D$2:$D$4000=$AB76)*('1994 E Maize Soil VWC'!$E$2:$E$4000=AH$5),'1994 E Maize Soil VWC'!$F$2:$F$4000)</f>
        <v>0.25977195280355331</v>
      </c>
      <c r="AI76" s="4" cm="1">
        <f t="array" ref="AI76">_xlfn.XLOOKUP(1,('1994 E Maize Soil VWC'!$C$2:$C$4000=$AA76)*('1994 E Maize Soil VWC'!$D$2:$D$4000=$AB76)*('1994 E Maize Soil VWC'!$E$2:$E$4000=AI$5),'1994 E Maize Soil VWC'!$F$2:$F$4000)</f>
        <v>0.29437246145918389</v>
      </c>
      <c r="AJ76" s="4" cm="1">
        <f t="array" ref="AJ76">_xlfn.XLOOKUP(1,('1994 E Maize Soil VWC'!$C$2:$C$4000=$AA76)*('1994 E Maize Soil VWC'!$D$2:$D$4000=$AB76)*('1994 E Maize Soil VWC'!$E$2:$E$4000=AJ$5),'1994 E Maize Soil VWC'!$F$2:$F$4000)</f>
        <v>0.29066756528097387</v>
      </c>
      <c r="AK76" s="4" cm="1">
        <f t="array" ref="AK76">_xlfn.XLOOKUP(1,('1994 E Maize Soil VWC'!$C$2:$C$4000=$AA76)*('1994 E Maize Soil VWC'!$D$2:$D$4000=$AB76)*('1994 E Maize Soil VWC'!$E$2:$E$4000=AK$5),'1994 E Maize Soil VWC'!$F$2:$F$4000)</f>
        <v>0.30136343946502359</v>
      </c>
      <c r="AL76" s="4" cm="1">
        <f t="array" ref="AL76">_xlfn.XLOOKUP(1,('1994 E Maize Soil VWC'!$C$2:$C$4000=$AA76)*('1994 E Maize Soil VWC'!$D$2:$D$4000=$AB76)*('1994 E Maize Soil VWC'!$E$2:$E$4000=AL$5),'1994 E Maize Soil VWC'!$F$2:$F$4000)</f>
        <v>0.25861215921733105</v>
      </c>
      <c r="AM76" s="4" cm="1">
        <f t="array" ref="AM76">_xlfn.XLOOKUP(1,('1994 E Maize Soil VWC'!$C$2:$C$4000=$AA76)*('1994 E Maize Soil VWC'!$D$2:$D$4000=$AB76)*('1994 E Maize Soil VWC'!$E$2:$E$4000=AM$5),'1994 E Maize Soil VWC'!$F$2:$F$4000)</f>
        <v>0.27723328957389948</v>
      </c>
      <c r="AN76" s="4" cm="1">
        <f t="array" ref="AN76">_xlfn.XLOOKUP(1,('1994 E Maize Soil VWC'!$C$2:$C$4000=$AA76)*('1994 E Maize Soil VWC'!$D$2:$D$4000=$AB76)*('1994 E Maize Soil VWC'!$E$2:$E$4000=AN$5),'1994 E Maize Soil VWC'!$F$2:$F$4000)</f>
        <v>0.31096395303986341</v>
      </c>
    </row>
    <row r="77" spans="25:40" x14ac:dyDescent="0.25">
      <c r="AA77" s="19">
        <f t="shared" si="10"/>
        <v>34527</v>
      </c>
      <c r="AB77" s="4">
        <f t="shared" si="11"/>
        <v>130</v>
      </c>
      <c r="AC77" s="4" cm="1">
        <f t="array" ref="AC77">_xlfn.XLOOKUP(1,('1994 E Maize Soil VWC'!$C$2:$C$4000=$AA77)*('1994 E Maize Soil VWC'!$D$2:$D$4000=$AB77)*('1994 E Maize Soil VWC'!$E$2:$E$4000=AC$5),'1994 E Maize Soil VWC'!$F$2:$F$4000)</f>
        <v>0.26028422616732239</v>
      </c>
      <c r="AD77" s="4" cm="1">
        <f t="array" ref="AD77">_xlfn.XLOOKUP(1,('1994 E Maize Soil VWC'!$C$2:$C$4000=$AA77)*('1994 E Maize Soil VWC'!$D$2:$D$4000=$AB77)*('1994 E Maize Soil VWC'!$E$2:$E$4000=AD$5),'1994 E Maize Soil VWC'!$F$2:$F$4000)</f>
        <v>0.20944823242520968</v>
      </c>
      <c r="AE77" s="4" cm="1">
        <f t="array" ref="AE77">_xlfn.XLOOKUP(1,('1994 E Maize Soil VWC'!$C$2:$C$4000=$AA77)*('1994 E Maize Soil VWC'!$D$2:$D$4000=$AB77)*('1994 E Maize Soil VWC'!$E$2:$E$4000=AE$5),'1994 E Maize Soil VWC'!$F$2:$F$4000)</f>
        <v>0.25946641827629724</v>
      </c>
      <c r="AF77" s="4" cm="1">
        <f t="array" ref="AF77">_xlfn.XLOOKUP(1,('1994 E Maize Soil VWC'!$C$2:$C$4000=$AA77)*('1994 E Maize Soil VWC'!$D$2:$D$4000=$AB77)*('1994 E Maize Soil VWC'!$E$2:$E$4000=AF$5),'1994 E Maize Soil VWC'!$F$2:$F$4000)</f>
        <v>0.25711851820206366</v>
      </c>
      <c r="AG77" s="4" cm="1">
        <f t="array" ref="AG77">_xlfn.XLOOKUP(1,('1994 E Maize Soil VWC'!$C$2:$C$4000=$AA77)*('1994 E Maize Soil VWC'!$D$2:$D$4000=$AB77)*('1994 E Maize Soil VWC'!$E$2:$E$4000=AG$5),'1994 E Maize Soil VWC'!$F$2:$F$4000)</f>
        <v>0.22298163397669069</v>
      </c>
      <c r="AH77" s="4" cm="1">
        <f t="array" ref="AH77">_xlfn.XLOOKUP(1,('1994 E Maize Soil VWC'!$C$2:$C$4000=$AA77)*('1994 E Maize Soil VWC'!$D$2:$D$4000=$AB77)*('1994 E Maize Soil VWC'!$E$2:$E$4000=AH$5),'1994 E Maize Soil VWC'!$F$2:$F$4000)</f>
        <v>0.23582913213569889</v>
      </c>
      <c r="AI77" s="4" cm="1">
        <f t="array" ref="AI77">_xlfn.XLOOKUP(1,('1994 E Maize Soil VWC'!$C$2:$C$4000=$AA77)*('1994 E Maize Soil VWC'!$D$2:$D$4000=$AB77)*('1994 E Maize Soil VWC'!$E$2:$E$4000=AI$5),'1994 E Maize Soil VWC'!$F$2:$F$4000)</f>
        <v>0.2632125060351867</v>
      </c>
      <c r="AJ77" s="4" cm="1">
        <f t="array" ref="AJ77">_xlfn.XLOOKUP(1,('1994 E Maize Soil VWC'!$C$2:$C$4000=$AA77)*('1994 E Maize Soil VWC'!$D$2:$D$4000=$AB77)*('1994 E Maize Soil VWC'!$E$2:$E$4000=AJ$5),'1994 E Maize Soil VWC'!$F$2:$F$4000)</f>
        <v>0.26735430728973353</v>
      </c>
      <c r="AK77" s="4" cm="1">
        <f t="array" ref="AK77">_xlfn.XLOOKUP(1,('1994 E Maize Soil VWC'!$C$2:$C$4000=$AA77)*('1994 E Maize Soil VWC'!$D$2:$D$4000=$AB77)*('1994 E Maize Soil VWC'!$E$2:$E$4000=AK$5),'1994 E Maize Soil VWC'!$F$2:$F$4000)</f>
        <v>0.2817846594313711</v>
      </c>
      <c r="AL77" s="4" cm="1">
        <f t="array" ref="AL77">_xlfn.XLOOKUP(1,('1994 E Maize Soil VWC'!$C$2:$C$4000=$AA77)*('1994 E Maize Soil VWC'!$D$2:$D$4000=$AB77)*('1994 E Maize Soil VWC'!$E$2:$E$4000=AL$5),'1994 E Maize Soil VWC'!$F$2:$F$4000)</f>
        <v>0.24450844814044986</v>
      </c>
      <c r="AM77" s="4" cm="1">
        <f t="array" ref="AM77">_xlfn.XLOOKUP(1,('1994 E Maize Soil VWC'!$C$2:$C$4000=$AA77)*('1994 E Maize Soil VWC'!$D$2:$D$4000=$AB77)*('1994 E Maize Soil VWC'!$E$2:$E$4000=AM$5),'1994 E Maize Soil VWC'!$F$2:$F$4000)</f>
        <v>0.26658926119812931</v>
      </c>
      <c r="AN77" s="4" cm="1">
        <f t="array" ref="AN77">_xlfn.XLOOKUP(1,('1994 E Maize Soil VWC'!$C$2:$C$4000=$AA77)*('1994 E Maize Soil VWC'!$D$2:$D$4000=$AB77)*('1994 E Maize Soil VWC'!$E$2:$E$4000=AN$5),'1994 E Maize Soil VWC'!$F$2:$F$4000)</f>
        <v>0.29312844630688145</v>
      </c>
    </row>
    <row r="78" spans="25:40" x14ac:dyDescent="0.25">
      <c r="AA78" s="19">
        <f t="shared" si="10"/>
        <v>34527</v>
      </c>
      <c r="AB78" s="4">
        <f t="shared" si="11"/>
        <v>150</v>
      </c>
      <c r="AC78" s="4" cm="1">
        <f t="array" ref="AC78">_xlfn.XLOOKUP(1,('1994 E Maize Soil VWC'!$C$2:$C$4000=$AA78)*('1994 E Maize Soil VWC'!$D$2:$D$4000=$AB78)*('1994 E Maize Soil VWC'!$E$2:$E$4000=AC$5),'1994 E Maize Soil VWC'!$F$2:$F$4000)</f>
        <v>0.2676181162868384</v>
      </c>
      <c r="AD78" s="4" cm="1">
        <f t="array" ref="AD78">_xlfn.XLOOKUP(1,('1994 E Maize Soil VWC'!$C$2:$C$4000=$AA78)*('1994 E Maize Soil VWC'!$D$2:$D$4000=$AB78)*('1994 E Maize Soil VWC'!$E$2:$E$4000=AD$5),'1994 E Maize Soil VWC'!$F$2:$F$4000)</f>
        <v>0.18211762032514286</v>
      </c>
      <c r="AE78" s="4" cm="1">
        <f t="array" ref="AE78">_xlfn.XLOOKUP(1,('1994 E Maize Soil VWC'!$C$2:$C$4000=$AA78)*('1994 E Maize Soil VWC'!$D$2:$D$4000=$AB78)*('1994 E Maize Soil VWC'!$E$2:$E$4000=AE$5),'1994 E Maize Soil VWC'!$F$2:$F$4000)</f>
        <v>0.28745655286912625</v>
      </c>
      <c r="AF78" s="4" cm="1">
        <f t="array" ref="AF78">_xlfn.XLOOKUP(1,('1994 E Maize Soil VWC'!$C$2:$C$4000=$AA78)*('1994 E Maize Soil VWC'!$D$2:$D$4000=$AB78)*('1994 E Maize Soil VWC'!$E$2:$E$4000=AF$5),'1994 E Maize Soil VWC'!$F$2:$F$4000)</f>
        <v>0.27595448059535294</v>
      </c>
      <c r="AG78" s="4" cm="1">
        <f t="array" ref="AG78">_xlfn.XLOOKUP(1,('1994 E Maize Soil VWC'!$C$2:$C$4000=$AA78)*('1994 E Maize Soil VWC'!$D$2:$D$4000=$AB78)*('1994 E Maize Soil VWC'!$E$2:$E$4000=AG$5),'1994 E Maize Soil VWC'!$F$2:$F$4000)</f>
        <v>0.26487450271694751</v>
      </c>
      <c r="AH78" s="4" cm="1">
        <f t="array" ref="AH78">_xlfn.XLOOKUP(1,('1994 E Maize Soil VWC'!$C$2:$C$4000=$AA78)*('1994 E Maize Soil VWC'!$D$2:$D$4000=$AB78)*('1994 E Maize Soil VWC'!$E$2:$E$4000=AH$5),'1994 E Maize Soil VWC'!$F$2:$F$4000)</f>
        <v>0.27376486591938237</v>
      </c>
      <c r="AI78" s="4" cm="1">
        <f t="array" ref="AI78">_xlfn.XLOOKUP(1,('1994 E Maize Soil VWC'!$C$2:$C$4000=$AA78)*('1994 E Maize Soil VWC'!$D$2:$D$4000=$AB78)*('1994 E Maize Soil VWC'!$E$2:$E$4000=AI$5),'1994 E Maize Soil VWC'!$F$2:$F$4000)</f>
        <v>0.27935761665800607</v>
      </c>
      <c r="AJ78" s="4" cm="1">
        <f t="array" ref="AJ78">_xlfn.XLOOKUP(1,('1994 E Maize Soil VWC'!$C$2:$C$4000=$AA78)*('1994 E Maize Soil VWC'!$D$2:$D$4000=$AB78)*('1994 E Maize Soil VWC'!$E$2:$E$4000=AJ$5),'1994 E Maize Soil VWC'!$F$2:$F$4000)</f>
        <v>0.27967418745453193</v>
      </c>
      <c r="AK78" s="4" cm="1">
        <f t="array" ref="AK78">_xlfn.XLOOKUP(1,('1994 E Maize Soil VWC'!$C$2:$C$4000=$AA78)*('1994 E Maize Soil VWC'!$D$2:$D$4000=$AB78)*('1994 E Maize Soil VWC'!$E$2:$E$4000=AK$5),'1994 E Maize Soil VWC'!$F$2:$F$4000)</f>
        <v>0.27788028627421868</v>
      </c>
      <c r="AL78" s="4" cm="1">
        <f t="array" ref="AL78">_xlfn.XLOOKUP(1,('1994 E Maize Soil VWC'!$C$2:$C$4000=$AA78)*('1994 E Maize Soil VWC'!$D$2:$D$4000=$AB78)*('1994 E Maize Soil VWC'!$E$2:$E$4000=AL$5),'1994 E Maize Soil VWC'!$F$2:$F$4000)</f>
        <v>0.27698333568406203</v>
      </c>
      <c r="AM78" s="4" cm="1">
        <f t="array" ref="AM78">_xlfn.XLOOKUP(1,('1994 E Maize Soil VWC'!$C$2:$C$4000=$AA78)*('1994 E Maize Soil VWC'!$D$2:$D$4000=$AB78)*('1994 E Maize Soil VWC'!$E$2:$E$4000=AM$5),'1994 E Maize Soil VWC'!$F$2:$F$4000)</f>
        <v>0.29858929254695271</v>
      </c>
      <c r="AN78" s="4" cm="1">
        <f t="array" ref="AN78">_xlfn.XLOOKUP(1,('1994 E Maize Soil VWC'!$C$2:$C$4000=$AA78)*('1994 E Maize Soil VWC'!$D$2:$D$4000=$AB78)*('1994 E Maize Soil VWC'!$E$2:$E$4000=AN$5),'1994 E Maize Soil VWC'!$F$2:$F$4000)</f>
        <v>0.3203535348081063</v>
      </c>
    </row>
    <row r="79" spans="25:40" x14ac:dyDescent="0.25">
      <c r="AA79" s="19">
        <f t="shared" si="10"/>
        <v>34527</v>
      </c>
      <c r="AB79" s="4">
        <f t="shared" si="11"/>
        <v>170</v>
      </c>
      <c r="AC79" s="4" cm="1">
        <f t="array" ref="AC79">_xlfn.XLOOKUP(1,('1994 E Maize Soil VWC'!$C$2:$C$4000=$AA79)*('1994 E Maize Soil VWC'!$D$2:$D$4000=$AB79)*('1994 E Maize Soil VWC'!$E$2:$E$4000=AC$5),'1994 E Maize Soil VWC'!$F$2:$F$4000)</f>
        <v>0.24675082461584141</v>
      </c>
      <c r="AD79" s="4" cm="1">
        <f t="array" ref="AD79">_xlfn.XLOOKUP(1,('1994 E Maize Soil VWC'!$C$2:$C$4000=$AA79)*('1994 E Maize Soil VWC'!$D$2:$D$4000=$AB79)*('1994 E Maize Soil VWC'!$E$2:$E$4000=AD$5),'1994 E Maize Soil VWC'!$F$2:$F$4000)</f>
        <v>0.2653757398114468</v>
      </c>
      <c r="AE79" s="4" cm="1">
        <f t="array" ref="AE79">_xlfn.XLOOKUP(1,('1994 E Maize Soil VWC'!$C$2:$C$4000=$AA79)*('1994 E Maize Soil VWC'!$D$2:$D$4000=$AB79)*('1994 E Maize Soil VWC'!$E$2:$E$4000=AE$5),'1994 E Maize Soil VWC'!$F$2:$F$4000)</f>
        <v>0.27175991754138518</v>
      </c>
      <c r="AF79" s="4" cm="1">
        <f t="array" ref="AF79">_xlfn.XLOOKUP(1,('1994 E Maize Soil VWC'!$C$2:$C$4000=$AA79)*('1994 E Maize Soil VWC'!$D$2:$D$4000=$AB79)*('1994 E Maize Soil VWC'!$E$2:$E$4000=AF$5),'1994 E Maize Soil VWC'!$F$2:$F$4000)</f>
        <v>0.27199734563877959</v>
      </c>
      <c r="AG79" s="4" cm="1">
        <f t="array" ref="AG79">_xlfn.XLOOKUP(1,('1994 E Maize Soil VWC'!$C$2:$C$4000=$AA79)*('1994 E Maize Soil VWC'!$D$2:$D$4000=$AB79)*('1994 E Maize Soil VWC'!$E$2:$E$4000=AG$5),'1994 E Maize Soil VWC'!$F$2:$F$4000)</f>
        <v>0.25429576193304138</v>
      </c>
      <c r="AH79" s="4" cm="1">
        <f t="array" ref="AH79">_xlfn.XLOOKUP(1,('1994 E Maize Soil VWC'!$C$2:$C$4000=$AA79)*('1994 E Maize Soil VWC'!$D$2:$D$4000=$AB79)*('1994 E Maize Soil VWC'!$E$2:$E$4000=AH$5),'1994 E Maize Soil VWC'!$F$2:$F$4000)</f>
        <v>0.26785554438423281</v>
      </c>
      <c r="AI79" s="4" cm="1">
        <f t="array" ref="AI79">_xlfn.XLOOKUP(1,('1994 E Maize Soil VWC'!$C$2:$C$4000=$AA79)*('1994 E Maize Soil VWC'!$D$2:$D$4000=$AB79)*('1994 E Maize Soil VWC'!$E$2:$E$4000=AI$5),'1994 E Maize Soil VWC'!$F$2:$F$4000)</f>
        <v>0.26983411186251949</v>
      </c>
      <c r="AJ79" s="4" cm="1">
        <f t="array" ref="AJ79">_xlfn.XLOOKUP(1,('1994 E Maize Soil VWC'!$C$2:$C$4000=$AA79)*('1994 E Maize Soil VWC'!$D$2:$D$4000=$AB79)*('1994 E Maize Soil VWC'!$E$2:$E$4000=AJ$5),'1994 E Maize Soil VWC'!$F$2:$F$4000)</f>
        <v>0.26318612513547618</v>
      </c>
      <c r="AK79" s="4" cm="1">
        <f t="array" ref="AK79">_xlfn.XLOOKUP(1,('1994 E Maize Soil VWC'!$C$2:$C$4000=$AA79)*('1994 E Maize Soil VWC'!$D$2:$D$4000=$AB79)*('1994 E Maize Soil VWC'!$E$2:$E$4000=AK$5),'1994 E Maize Soil VWC'!$F$2:$F$4000)</f>
        <v>0.2585167058867196</v>
      </c>
      <c r="AL79" s="4" cm="1">
        <f t="array" ref="AL79">_xlfn.XLOOKUP(1,('1994 E Maize Soil VWC'!$C$2:$C$4000=$AA79)*('1994 E Maize Soil VWC'!$D$2:$D$4000=$AB79)*('1994 E Maize Soil VWC'!$E$2:$E$4000=AL$5),'1994 E Maize Soil VWC'!$F$2:$F$4000)</f>
        <v>0.26189346104966221</v>
      </c>
      <c r="AM79" s="4" cm="1">
        <f t="array" ref="AM79">_xlfn.XLOOKUP(1,('1994 E Maize Soil VWC'!$C$2:$C$4000=$AA79)*('1994 E Maize Soil VWC'!$D$2:$D$4000=$AB79)*('1994 E Maize Soil VWC'!$E$2:$E$4000=AM$5),'1994 E Maize Soil VWC'!$F$2:$F$4000)</f>
        <v>0.27774838177566624</v>
      </c>
      <c r="AN79" s="4" cm="1">
        <f t="array" ref="AN79">_xlfn.XLOOKUP(1,('1994 E Maize Soil VWC'!$C$2:$C$4000=$AA79)*('1994 E Maize Soil VWC'!$D$2:$D$4000=$AB79)*('1994 E Maize Soil VWC'!$E$2:$E$4000=AN$5),'1994 E Maize Soil VWC'!$F$2:$F$4000)</f>
        <v>0.29315482720659192</v>
      </c>
    </row>
    <row r="80" spans="25:40" x14ac:dyDescent="0.25">
      <c r="AA80" s="19">
        <f t="shared" si="10"/>
        <v>34527</v>
      </c>
      <c r="AB80" s="4">
        <f t="shared" si="11"/>
        <v>190</v>
      </c>
      <c r="AC80" s="4" cm="1">
        <f t="array" ref="AC80">_xlfn.XLOOKUP(1,('1994 E Maize Soil VWC'!$C$2:$C$4000=$AA80)*('1994 E Maize Soil VWC'!$D$2:$D$4000=$AB80)*('1994 E Maize Soil VWC'!$E$2:$E$4000=AC$5),'1994 E Maize Soil VWC'!$F$2:$F$4000)</f>
        <v>0.21422317527280824</v>
      </c>
      <c r="AD80" s="4" cm="1">
        <f t="array" ref="AD80">_xlfn.XLOOKUP(1,('1994 E Maize Soil VWC'!$C$2:$C$4000=$AA80)*('1994 E Maize Soil VWC'!$D$2:$D$4000=$AB80)*('1994 E Maize Soil VWC'!$E$2:$E$4000=AD$5),'1994 E Maize Soil VWC'!$F$2:$F$4000)</f>
        <v>0.26315974423576571</v>
      </c>
      <c r="AE80" s="4" cm="1">
        <f t="array" ref="AE80">_xlfn.XLOOKUP(1,('1994 E Maize Soil VWC'!$C$2:$C$4000=$AA80)*('1994 E Maize Soil VWC'!$D$2:$D$4000=$AB80)*('1994 E Maize Soil VWC'!$E$2:$E$4000=AE$5),'1994 E Maize Soil VWC'!$F$2:$F$4000)</f>
        <v>0.25648537660901194</v>
      </c>
      <c r="AF80" s="4" cm="1">
        <f t="array" ref="AF80">_xlfn.XLOOKUP(1,('1994 E Maize Soil VWC'!$C$2:$C$4000=$AA80)*('1994 E Maize Soil VWC'!$D$2:$D$4000=$AB80)*('1994 E Maize Soil VWC'!$E$2:$E$4000=AF$5),'1994 E Maize Soil VWC'!$F$2:$F$4000)</f>
        <v>0.26801382978249572</v>
      </c>
      <c r="AG80" s="4" cm="1">
        <f t="array" ref="AG80">_xlfn.XLOOKUP(1,('1994 E Maize Soil VWC'!$C$2:$C$4000=$AA80)*('1994 E Maize Soil VWC'!$D$2:$D$4000=$AB80)*('1994 E Maize Soil VWC'!$E$2:$E$4000=AG$5),'1994 E Maize Soil VWC'!$F$2:$F$4000)</f>
        <v>0.23226771067478286</v>
      </c>
      <c r="AH80" s="4" cm="1">
        <f t="array" ref="AH80">_xlfn.XLOOKUP(1,('1994 E Maize Soil VWC'!$C$2:$C$4000=$AA80)*('1994 E Maize Soil VWC'!$D$2:$D$4000=$AB80)*('1994 E Maize Soil VWC'!$E$2:$E$4000=AH$5),'1994 E Maize Soil VWC'!$F$2:$F$4000)</f>
        <v>0.25928175197832376</v>
      </c>
      <c r="AI80" s="4" cm="1">
        <f t="array" ref="AI80">_xlfn.XLOOKUP(1,('1994 E Maize Soil VWC'!$C$2:$C$4000=$AA80)*('1994 E Maize Soil VWC'!$D$2:$D$4000=$AB80)*('1994 E Maize Soil VWC'!$E$2:$E$4000=AI$5),'1994 E Maize Soil VWC'!$F$2:$F$4000)</f>
        <v>0.25574671141711824</v>
      </c>
      <c r="AJ80" s="4" cm="1">
        <f t="array" ref="AJ80">_xlfn.XLOOKUP(1,('1994 E Maize Soil VWC'!$C$2:$C$4000=$AA80)*('1994 E Maize Soil VWC'!$D$2:$D$4000=$AB80)*('1994 E Maize Soil VWC'!$E$2:$E$4000=AJ$5),'1994 E Maize Soil VWC'!$F$2:$F$4000)</f>
        <v>0.25184233825996588</v>
      </c>
      <c r="AK80" s="4" cm="1">
        <f t="array" ref="AK80">_xlfn.XLOOKUP(1,('1994 E Maize Soil VWC'!$C$2:$C$4000=$AA80)*('1994 E Maize Soil VWC'!$D$2:$D$4000=$AB80)*('1994 E Maize Soil VWC'!$E$2:$E$4000=AK$5),'1994 E Maize Soil VWC'!$F$2:$F$4000)</f>
        <v>0.24952081908544277</v>
      </c>
      <c r="AL80" s="4" cm="1">
        <f t="array" ref="AL80">_xlfn.XLOOKUP(1,('1994 E Maize Soil VWC'!$C$2:$C$4000=$AA80)*('1994 E Maize Soil VWC'!$D$2:$D$4000=$AB80)*('1994 E Maize Soil VWC'!$E$2:$E$4000=AL$5),'1994 E Maize Soil VWC'!$F$2:$F$4000)</f>
        <v>0.26218365094647761</v>
      </c>
      <c r="AM80" s="4" cm="1">
        <f t="array" ref="AM80">_xlfn.XLOOKUP(1,('1994 E Maize Soil VWC'!$C$2:$C$4000=$AA80)*('1994 E Maize Soil VWC'!$D$2:$D$4000=$AB80)*('1994 E Maize Soil VWC'!$E$2:$E$4000=AM$5),'1994 E Maize Soil VWC'!$F$2:$F$4000)</f>
        <v>0.29067502263380596</v>
      </c>
      <c r="AN80" s="4" cm="1">
        <f t="array" ref="AN80">_xlfn.XLOOKUP(1,('1994 E Maize Soil VWC'!$C$2:$C$4000=$AA80)*('1994 E Maize Soil VWC'!$D$2:$D$4000=$AB80)*('1994 E Maize Soil VWC'!$E$2:$E$4000=AN$5),'1994 E Maize Soil VWC'!$F$2:$F$4000)</f>
        <v>0.29798253185361145</v>
      </c>
    </row>
    <row r="81" spans="25:40" x14ac:dyDescent="0.25">
      <c r="AA81" s="19">
        <f t="shared" si="10"/>
        <v>34527</v>
      </c>
      <c r="AB81" s="4">
        <f t="shared" si="11"/>
        <v>210</v>
      </c>
      <c r="AC81" s="4" cm="1">
        <f t="array" ref="AC81">_xlfn.XLOOKUP(1,('1994 E Maize Soil VWC'!$C$2:$C$4000=$AA81)*('1994 E Maize Soil VWC'!$D$2:$D$4000=$AB81)*('1994 E Maize Soil VWC'!$E$2:$E$4000=AC$5),'1994 E Maize Soil VWC'!$F$2:$F$4000)</f>
        <v>0.1812734315344072</v>
      </c>
      <c r="AD81" s="4" cm="1">
        <f t="array" ref="AD81">_xlfn.XLOOKUP(1,('1994 E Maize Soil VWC'!$C$2:$C$4000=$AA81)*('1994 E Maize Soil VWC'!$D$2:$D$4000=$AB81)*('1994 E Maize Soil VWC'!$E$2:$E$4000=AD$5),'1994 E Maize Soil VWC'!$F$2:$F$4000)</f>
        <v>0.24556368412886942</v>
      </c>
      <c r="AE81" s="4" cm="1">
        <f t="array" ref="AE81">_xlfn.XLOOKUP(1,('1994 E Maize Soil VWC'!$C$2:$C$4000=$AA81)*('1994 E Maize Soil VWC'!$D$2:$D$4000=$AB81)*('1994 E Maize Soil VWC'!$E$2:$E$4000=AE$5),'1994 E Maize Soil VWC'!$F$2:$F$4000)</f>
        <v>0.23970712439314079</v>
      </c>
      <c r="AF81" s="4" cm="1">
        <f t="array" ref="AF81">_xlfn.XLOOKUP(1,('1994 E Maize Soil VWC'!$C$2:$C$4000=$AA81)*('1994 E Maize Soil VWC'!$D$2:$D$4000=$AB81)*('1994 E Maize Soil VWC'!$E$2:$E$4000=AF$5),'1994 E Maize Soil VWC'!$F$2:$F$4000)</f>
        <v>0.26598250050478806</v>
      </c>
      <c r="AG81" s="4" t="e" cm="1">
        <f t="array" ref="AG81">_xlfn.XLOOKUP(1,('1994 E Maize Soil VWC'!$C$2:$C$4000=$AA81)*('1994 E Maize Soil VWC'!$D$2:$D$4000=$AB81)*('1994 E Maize Soil VWC'!$E$2:$E$4000=AG$5),'1994 E Maize Soil VWC'!$F$2:$F$4000)</f>
        <v>#N/A</v>
      </c>
      <c r="AH81" s="4" t="e" cm="1">
        <f t="array" ref="AH81">_xlfn.XLOOKUP(1,('1994 E Maize Soil VWC'!$C$2:$C$4000=$AA81)*('1994 E Maize Soil VWC'!$D$2:$D$4000=$AB81)*('1994 E Maize Soil VWC'!$E$2:$E$4000=AH$5),'1994 E Maize Soil VWC'!$F$2:$F$4000)</f>
        <v>#N/A</v>
      </c>
      <c r="AI81" s="4" cm="1">
        <f t="array" ref="AI81">_xlfn.XLOOKUP(1,('1994 E Maize Soil VWC'!$C$2:$C$4000=$AA81)*('1994 E Maize Soil VWC'!$D$2:$D$4000=$AB81)*('1994 E Maize Soil VWC'!$E$2:$E$4000=AI$5),'1994 E Maize Soil VWC'!$F$2:$F$4000)</f>
        <v>0.25885965758295598</v>
      </c>
      <c r="AJ81" s="4" cm="1">
        <f t="array" ref="AJ81">_xlfn.XLOOKUP(1,('1994 E Maize Soil VWC'!$C$2:$C$4000=$AA81)*('1994 E Maize Soil VWC'!$D$2:$D$4000=$AB81)*('1994 E Maize Soil VWC'!$E$2:$E$4000=AJ$5),'1994 E Maize Soil VWC'!$F$2:$F$4000)</f>
        <v>0.24292559415782045</v>
      </c>
      <c r="AK81" s="4" cm="1">
        <f t="array" ref="AK81">_xlfn.XLOOKUP(1,('1994 E Maize Soil VWC'!$C$2:$C$4000=$AA81)*('1994 E Maize Soil VWC'!$D$2:$D$4000=$AB81)*('1994 E Maize Soil VWC'!$E$2:$E$4000=AK$5),'1994 E Maize Soil VWC'!$F$2:$F$4000)</f>
        <v>0.24675082461584141</v>
      </c>
      <c r="AL81" s="4" cm="1">
        <f t="array" ref="AL81">_xlfn.XLOOKUP(1,('1994 E Maize Soil VWC'!$C$2:$C$4000=$AA81)*('1994 E Maize Soil VWC'!$D$2:$D$4000=$AB81)*('1994 E Maize Soil VWC'!$E$2:$E$4000=AL$5),'1994 E Maize Soil VWC'!$F$2:$F$4000)</f>
        <v>0.26476897911810554</v>
      </c>
      <c r="AM81" s="4" t="e" cm="1">
        <f t="array" ref="AM81">_xlfn.XLOOKUP(1,('1994 E Maize Soil VWC'!$C$2:$C$4000=$AA81)*('1994 E Maize Soil VWC'!$D$2:$D$4000=$AB81)*('1994 E Maize Soil VWC'!$E$2:$E$4000=AM$5),'1994 E Maize Soil VWC'!$F$2:$F$4000)</f>
        <v>#N/A</v>
      </c>
      <c r="AN81" s="4" t="e" cm="1">
        <f t="array" ref="AN81">_xlfn.XLOOKUP(1,('1994 E Maize Soil VWC'!$C$2:$C$4000=$AA81)*('1994 E Maize Soil VWC'!$D$2:$D$4000=$AB81)*('1994 E Maize Soil VWC'!$E$2:$E$4000=AN$5),'1994 E Maize Soil VWC'!$F$2:$F$4000)</f>
        <v>#N/A</v>
      </c>
    </row>
    <row r="82" spans="25:40" x14ac:dyDescent="0.25">
      <c r="AA82" s="19">
        <f t="shared" si="10"/>
        <v>34527</v>
      </c>
      <c r="AB82" s="4">
        <f t="shared" si="11"/>
        <v>230</v>
      </c>
      <c r="AC82" s="4" cm="1">
        <f t="array" ref="AC82">_xlfn.XLOOKUP(1,('1994 E Maize Soil VWC'!$C$2:$C$4000=$AA82)*('1994 E Maize Soil VWC'!$D$2:$D$4000=$AB82)*('1994 E Maize Soil VWC'!$E$2:$E$4000=AC$5),'1994 E Maize Soil VWC'!$F$2:$F$4000)</f>
        <v>0.1742561122114171</v>
      </c>
      <c r="AD82" s="4" cm="1">
        <f t="array" ref="AD82">_xlfn.XLOOKUP(1,('1994 E Maize Soil VWC'!$C$2:$C$4000=$AA82)*('1994 E Maize Soil VWC'!$D$2:$D$4000=$AB82)*('1994 E Maize Soil VWC'!$E$2:$E$4000=AD$5),'1994 E Maize Soil VWC'!$F$2:$F$4000)</f>
        <v>0.23516960964293665</v>
      </c>
      <c r="AE82" s="4" cm="1">
        <f t="array" ref="AE82">_xlfn.XLOOKUP(1,('1994 E Maize Soil VWC'!$C$2:$C$4000=$AA82)*('1994 E Maize Soil VWC'!$D$2:$D$4000=$AB82)*('1994 E Maize Soil VWC'!$E$2:$E$4000=AE$5),'1994 E Maize Soil VWC'!$F$2:$F$4000)</f>
        <v>0.23754389061688069</v>
      </c>
      <c r="AF82" s="4" cm="1">
        <f t="array" ref="AF82">_xlfn.XLOOKUP(1,('1994 E Maize Soil VWC'!$C$2:$C$4000=$AA82)*('1994 E Maize Soil VWC'!$D$2:$D$4000=$AB82)*('1994 E Maize Soil VWC'!$E$2:$E$4000=AF$5),'1994 E Maize Soil VWC'!$F$2:$F$4000)</f>
        <v>0.25656451930814339</v>
      </c>
      <c r="AG82" s="4" t="e" cm="1">
        <f t="array" ref="AG82">_xlfn.XLOOKUP(1,('1994 E Maize Soil VWC'!$C$2:$C$4000=$AA82)*('1994 E Maize Soil VWC'!$D$2:$D$4000=$AB82)*('1994 E Maize Soil VWC'!$E$2:$E$4000=AG$5),'1994 E Maize Soil VWC'!$F$2:$F$4000)</f>
        <v>#N/A</v>
      </c>
      <c r="AH82" s="4" t="e" cm="1">
        <f t="array" ref="AH82">_xlfn.XLOOKUP(1,('1994 E Maize Soil VWC'!$C$2:$C$4000=$AA82)*('1994 E Maize Soil VWC'!$D$2:$D$4000=$AB82)*('1994 E Maize Soil VWC'!$E$2:$E$4000=AH$5),'1994 E Maize Soil VWC'!$F$2:$F$4000)</f>
        <v>#N/A</v>
      </c>
      <c r="AI82" s="4" cm="1">
        <f t="array" ref="AI82">_xlfn.XLOOKUP(1,('1994 E Maize Soil VWC'!$C$2:$C$4000=$AA82)*('1994 E Maize Soil VWC'!$D$2:$D$4000=$AB82)*('1994 E Maize Soil VWC'!$E$2:$E$4000=AI$5),'1994 E Maize Soil VWC'!$F$2:$F$4000)</f>
        <v>0.25231719445475465</v>
      </c>
      <c r="AJ82" s="4" cm="1">
        <f t="array" ref="AJ82">_xlfn.XLOOKUP(1,('1994 E Maize Soil VWC'!$C$2:$C$4000=$AA82)*('1994 E Maize Soil VWC'!$D$2:$D$4000=$AB82)*('1994 E Maize Soil VWC'!$E$2:$E$4000=AJ$5),'1994 E Maize Soil VWC'!$F$2:$F$4000)</f>
        <v>0.24954719998515329</v>
      </c>
      <c r="AK82" s="4" cm="1">
        <f t="array" ref="AK82">_xlfn.XLOOKUP(1,('1994 E Maize Soil VWC'!$C$2:$C$4000=$AA82)*('1994 E Maize Soil VWC'!$D$2:$D$4000=$AB82)*('1994 E Maize Soil VWC'!$E$2:$E$4000=AK$5),'1994 E Maize Soil VWC'!$F$2:$F$4000)</f>
        <v>0.24350597395145124</v>
      </c>
      <c r="AL82" s="4" cm="1">
        <f t="array" ref="AL82">_xlfn.XLOOKUP(1,('1994 E Maize Soil VWC'!$C$2:$C$4000=$AA82)*('1994 E Maize Soil VWC'!$D$2:$D$4000=$AB82)*('1994 E Maize Soil VWC'!$E$2:$E$4000=AL$5),'1994 E Maize Soil VWC'!$F$2:$F$4000)</f>
        <v>0.25812099239106229</v>
      </c>
      <c r="AM82" s="4" t="e" cm="1">
        <f t="array" ref="AM82">_xlfn.XLOOKUP(1,('1994 E Maize Soil VWC'!$C$2:$C$4000=$AA82)*('1994 E Maize Soil VWC'!$D$2:$D$4000=$AB82)*('1994 E Maize Soil VWC'!$E$2:$E$4000=AM$5),'1994 E Maize Soil VWC'!$F$2:$F$4000)</f>
        <v>#N/A</v>
      </c>
      <c r="AN82" s="4" t="e" cm="1">
        <f t="array" ref="AN82">_xlfn.XLOOKUP(1,('1994 E Maize Soil VWC'!$C$2:$C$4000=$AA82)*('1994 E Maize Soil VWC'!$D$2:$D$4000=$AB82)*('1994 E Maize Soil VWC'!$E$2:$E$4000=AN$5),'1994 E Maize Soil VWC'!$F$2:$F$4000)</f>
        <v>#N/A</v>
      </c>
    </row>
    <row r="83" spans="25:40" x14ac:dyDescent="0.25">
      <c r="AA83" s="19"/>
    </row>
    <row r="84" spans="25:40" x14ac:dyDescent="0.25">
      <c r="Y84" s="4">
        <f>Y71</f>
        <v>1994</v>
      </c>
      <c r="Z84" s="4">
        <v>210</v>
      </c>
      <c r="AA84" s="19">
        <f>DATE(Y84,1,Z84)</f>
        <v>34544</v>
      </c>
      <c r="AB84" s="4">
        <v>10</v>
      </c>
      <c r="AC84" s="4" cm="1">
        <f t="array" ref="AC84">_xlfn.XLOOKUP(1,('1994 E Maize Soil VWC'!$C$2:$C$4000=$AA84)*('1994 E Maize Soil VWC'!$D$2:$D$4000=$AB84)*('1994 E Maize Soil VWC'!$E$2:$E$4000=AC$5),'1994 E Maize Soil VWC'!$F$2:$F$4000)</f>
        <v>0.3269763568755103</v>
      </c>
      <c r="AD84" s="4" cm="1">
        <f t="array" ref="AD84">_xlfn.XLOOKUP(1,('1994 E Maize Soil VWC'!$C$2:$C$4000=$AA84)*('1994 E Maize Soil VWC'!$D$2:$D$4000=$AB84)*('1994 E Maize Soil VWC'!$E$2:$E$4000=AD$5),'1994 E Maize Soil VWC'!$F$2:$F$4000)</f>
        <v>0.30640558440130644</v>
      </c>
      <c r="AE84" s="4" cm="1">
        <f t="array" ref="AE84">_xlfn.XLOOKUP(1,('1994 E Maize Soil VWC'!$C$2:$C$4000=$AA84)*('1994 E Maize Soil VWC'!$D$2:$D$4000=$AB84)*('1994 E Maize Soil VWC'!$E$2:$E$4000=AE$5),'1994 E Maize Soil VWC'!$F$2:$F$4000)</f>
        <v>0.26312242478435155</v>
      </c>
      <c r="AF84" s="4" cm="1">
        <f t="array" ref="AF84">_xlfn.XLOOKUP(1,('1994 E Maize Soil VWC'!$C$2:$C$4000=$AA84)*('1994 E Maize Soil VWC'!$D$2:$D$4000=$AB84)*('1994 E Maize Soil VWC'!$E$2:$E$4000=AF$5),'1994 E Maize Soil VWC'!$F$2:$F$4000)</f>
        <v>0.33278125979288842</v>
      </c>
      <c r="AG84" s="4" cm="1">
        <f t="array" ref="AG84">_xlfn.XLOOKUP(1,('1994 E Maize Soil VWC'!$C$2:$C$4000=$AA84)*('1994 E Maize Soil VWC'!$D$2:$D$4000=$AB84)*('1994 E Maize Soil VWC'!$E$2:$E$4000=AG$5),'1994 E Maize Soil VWC'!$F$2:$F$4000)</f>
        <v>0.32069240857174669</v>
      </c>
      <c r="AH84" s="4" cm="1">
        <f t="array" ref="AH84">_xlfn.XLOOKUP(1,('1994 E Maize Soil VWC'!$C$2:$C$4000=$AA84)*('1994 E Maize Soil VWC'!$D$2:$D$4000=$AB84)*('1994 E Maize Soil VWC'!$E$2:$E$4000=AH$5),'1994 E Maize Soil VWC'!$F$2:$F$4000)</f>
        <v>0.30392582004825175</v>
      </c>
      <c r="AI84" s="4" cm="1">
        <f t="array" ref="AI84">_xlfn.XLOOKUP(1,('1994 E Maize Soil VWC'!$C$2:$C$4000=$AA84)*('1994 E Maize Soil VWC'!$D$2:$D$4000=$AB84)*('1994 E Maize Soil VWC'!$E$2:$E$4000=AI$5),'1994 E Maize Soil VWC'!$F$2:$F$4000)</f>
        <v>0.32398936799569439</v>
      </c>
      <c r="AJ84" s="4" cm="1">
        <f t="array" ref="AJ84">_xlfn.XLOOKUP(1,('1994 E Maize Soil VWC'!$C$2:$C$4000=$AA84)*('1994 E Maize Soil VWC'!$D$2:$D$4000=$AB84)*('1994 E Maize Soil VWC'!$E$2:$E$4000=AJ$5),'1994 E Maize Soil VWC'!$F$2:$F$4000)</f>
        <v>0.3381352964642565</v>
      </c>
      <c r="AK84" s="4" cm="1">
        <f t="array" ref="AK84">_xlfn.XLOOKUP(1,('1994 E Maize Soil VWC'!$C$2:$C$4000=$AA84)*('1994 E Maize Soil VWC'!$D$2:$D$4000=$AB84)*('1994 E Maize Soil VWC'!$E$2:$E$4000=AK$5),'1994 E Maize Soil VWC'!$F$2:$F$4000)</f>
        <v>0.33968514918491571</v>
      </c>
      <c r="AL84" s="4" cm="1">
        <f t="array" ref="AL84">_xlfn.XLOOKUP(1,('1994 E Maize Soil VWC'!$C$2:$C$4000=$AA84)*('1994 E Maize Soil VWC'!$D$2:$D$4000=$AB84)*('1994 E Maize Soil VWC'!$E$2:$E$4000=AL$5),'1994 E Maize Soil VWC'!$F$2:$F$4000)</f>
        <v>0.32813170163091082</v>
      </c>
      <c r="AM84" s="4" cm="1">
        <f t="array" ref="AM84">_xlfn.XLOOKUP(1,('1994 E Maize Soil VWC'!$C$2:$C$4000=$AA84)*('1994 E Maize Soil VWC'!$D$2:$D$4000=$AB84)*('1994 E Maize Soil VWC'!$E$2:$E$4000=AM$5),'1994 E Maize Soil VWC'!$F$2:$F$4000)</f>
        <v>0.3345283664961769</v>
      </c>
      <c r="AN84" s="4" cm="1">
        <f t="array" ref="AN84">_xlfn.XLOOKUP(1,('1994 E Maize Soil VWC'!$C$2:$C$4000=$AA84)*('1994 E Maize Soil VWC'!$D$2:$D$4000=$AB84)*('1994 E Maize Soil VWC'!$E$2:$E$4000=AN$5),'1994 E Maize Soil VWC'!$F$2:$F$4000)</f>
        <v>0.33266854323138595</v>
      </c>
    </row>
    <row r="85" spans="25:40" x14ac:dyDescent="0.25">
      <c r="AA85" s="19">
        <f t="shared" ref="AA85:AA95" si="12">AA84</f>
        <v>34544</v>
      </c>
      <c r="AB85" s="4">
        <f t="shared" ref="AB85:AB95" si="13">AB84+20</f>
        <v>30</v>
      </c>
      <c r="AC85" s="4" cm="1">
        <f t="array" ref="AC85">_xlfn.XLOOKUP(1,('1994 E Maize Soil VWC'!$C$2:$C$4000=$AA85)*('1994 E Maize Soil VWC'!$D$2:$D$4000=$AB85)*('1994 E Maize Soil VWC'!$E$2:$E$4000=AC$5),'1994 E Maize Soil VWC'!$F$2:$F$4000)</f>
        <v>0.31782606509167838</v>
      </c>
      <c r="AD85" s="4" cm="1">
        <f t="array" ref="AD85">_xlfn.XLOOKUP(1,('1994 E Maize Soil VWC'!$C$2:$C$4000=$AA85)*('1994 E Maize Soil VWC'!$D$2:$D$4000=$AB85)*('1994 E Maize Soil VWC'!$E$2:$E$4000=AD$5),'1994 E Maize Soil VWC'!$F$2:$F$4000)</f>
        <v>0.24440468778610835</v>
      </c>
      <c r="AE85" s="4" cm="1">
        <f t="array" ref="AE85">_xlfn.XLOOKUP(1,('1994 E Maize Soil VWC'!$C$2:$C$4000=$AA85)*('1994 E Maize Soil VWC'!$D$2:$D$4000=$AB85)*('1994 E Maize Soil VWC'!$E$2:$E$4000=AE$5),'1994 E Maize Soil VWC'!$F$2:$F$4000)</f>
        <v>0.29318045138445548</v>
      </c>
      <c r="AF85" s="4" cm="1">
        <f t="array" ref="AF85">_xlfn.XLOOKUP(1,('1994 E Maize Soil VWC'!$C$2:$C$4000=$AA85)*('1994 E Maize Soil VWC'!$D$2:$D$4000=$AB85)*('1994 E Maize Soil VWC'!$E$2:$E$4000=AF$5),'1994 E Maize Soil VWC'!$F$2:$F$4000)</f>
        <v>0.30635699518348053</v>
      </c>
      <c r="AG85" s="4" cm="1">
        <f t="array" ref="AG85">_xlfn.XLOOKUP(1,('1994 E Maize Soil VWC'!$C$2:$C$4000=$AA85)*('1994 E Maize Soil VWC'!$D$2:$D$4000=$AB85)*('1994 E Maize Soil VWC'!$E$2:$E$4000=AG$5),'1994 E Maize Soil VWC'!$F$2:$F$4000)</f>
        <v>0.31421781837898694</v>
      </c>
      <c r="AH85" s="4" cm="1">
        <f t="array" ref="AH85">_xlfn.XLOOKUP(1,('1994 E Maize Soil VWC'!$C$2:$C$4000=$AA85)*('1994 E Maize Soil VWC'!$D$2:$D$4000=$AB85)*('1994 E Maize Soil VWC'!$E$2:$E$4000=AH$5),'1994 E Maize Soil VWC'!$F$2:$F$4000)</f>
        <v>0.28364437078662802</v>
      </c>
      <c r="AI85" s="4" cm="1">
        <f t="array" ref="AI85">_xlfn.XLOOKUP(1,('1994 E Maize Soil VWC'!$C$2:$C$4000=$AA85)*('1994 E Maize Soil VWC'!$D$2:$D$4000=$AB85)*('1994 E Maize Soil VWC'!$E$2:$E$4000=AI$5),'1994 E Maize Soil VWC'!$F$2:$F$4000)</f>
        <v>0.30255544953975205</v>
      </c>
      <c r="AJ85" s="4" cm="1">
        <f t="array" ref="AJ85">_xlfn.XLOOKUP(1,('1994 E Maize Soil VWC'!$C$2:$C$4000=$AA85)*('1994 E Maize Soil VWC'!$D$2:$D$4000=$AB85)*('1994 E Maize Soil VWC'!$E$2:$E$4000=AJ$5),'1994 E Maize Soil VWC'!$F$2:$F$4000)</f>
        <v>0.32394719790785143</v>
      </c>
      <c r="AK85" s="4" cm="1">
        <f t="array" ref="AK85">_xlfn.XLOOKUP(1,('1994 E Maize Soil VWC'!$C$2:$C$4000=$AA85)*('1994 E Maize Soil VWC'!$D$2:$D$4000=$AB85)*('1994 E Maize Soil VWC'!$E$2:$E$4000=AK$5),'1994 E Maize Soil VWC'!$F$2:$F$4000)</f>
        <v>0.33293559820107388</v>
      </c>
      <c r="AL85" s="4" cm="1">
        <f t="array" ref="AL85">_xlfn.XLOOKUP(1,('1994 E Maize Soil VWC'!$C$2:$C$4000=$AA85)*('1994 E Maize Soil VWC'!$D$2:$D$4000=$AB85)*('1994 E Maize Soil VWC'!$E$2:$E$4000=AL$5),'1994 E Maize Soil VWC'!$F$2:$F$4000)</f>
        <v>0.31808379699972777</v>
      </c>
      <c r="AM85" s="4" cm="1">
        <f t="array" ref="AM85">_xlfn.XLOOKUP(1,('1994 E Maize Soil VWC'!$C$2:$C$4000=$AA85)*('1994 E Maize Soil VWC'!$D$2:$D$4000=$AB85)*('1994 E Maize Soil VWC'!$E$2:$E$4000=AM$5),'1994 E Maize Soil VWC'!$F$2:$F$4000)</f>
        <v>0.32948843393091332</v>
      </c>
      <c r="AN85" s="4" cm="1">
        <f t="array" ref="AN85">_xlfn.XLOOKUP(1,('1994 E Maize Soil VWC'!$C$2:$C$4000=$AA85)*('1994 E Maize Soil VWC'!$D$2:$D$4000=$AB85)*('1994 E Maize Soil VWC'!$E$2:$E$4000=AN$5),'1994 E Maize Soil VWC'!$F$2:$F$4000)</f>
        <v>0.31579642631578947</v>
      </c>
    </row>
    <row r="86" spans="25:40" x14ac:dyDescent="0.25">
      <c r="AA86" s="19">
        <f t="shared" si="12"/>
        <v>34544</v>
      </c>
      <c r="AB86" s="4">
        <f t="shared" si="13"/>
        <v>50</v>
      </c>
      <c r="AC86" s="4" cm="1">
        <f t="array" ref="AC86">_xlfn.XLOOKUP(1,('1994 E Maize Soil VWC'!$C$2:$C$4000=$AA86)*('1994 E Maize Soil VWC'!$D$2:$D$4000=$AB86)*('1994 E Maize Soil VWC'!$E$2:$E$4000=AC$5),'1994 E Maize Soil VWC'!$F$2:$F$4000)</f>
        <v>0.3156997768502709</v>
      </c>
      <c r="AD86" s="4" cm="1">
        <f t="array" ref="AD86">_xlfn.XLOOKUP(1,('1994 E Maize Soil VWC'!$C$2:$C$4000=$AA86)*('1994 E Maize Soil VWC'!$D$2:$D$4000=$AB86)*('1994 E Maize Soil VWC'!$E$2:$E$4000=AD$5),'1994 E Maize Soil VWC'!$F$2:$F$4000)</f>
        <v>0.26186602455645458</v>
      </c>
      <c r="AE86" s="4" cm="1">
        <f t="array" ref="AE86">_xlfn.XLOOKUP(1,('1994 E Maize Soil VWC'!$C$2:$C$4000=$AA86)*('1994 E Maize Soil VWC'!$D$2:$D$4000=$AB86)*('1994 E Maize Soil VWC'!$E$2:$E$4000=AE$5),'1994 E Maize Soil VWC'!$F$2:$F$4000)</f>
        <v>0.30742013930418427</v>
      </c>
      <c r="AF86" s="4" cm="1">
        <f t="array" ref="AF86">_xlfn.XLOOKUP(1,('1994 E Maize Soil VWC'!$C$2:$C$4000=$AA86)*('1994 E Maize Soil VWC'!$D$2:$D$4000=$AB86)*('1994 E Maize Soil VWC'!$E$2:$E$4000=AF$5),'1994 E Maize Soil VWC'!$F$2:$F$4000)</f>
        <v>0.30690467548808548</v>
      </c>
      <c r="AG86" s="4" cm="1">
        <f t="array" ref="AG86">_xlfn.XLOOKUP(1,('1994 E Maize Soil VWC'!$C$2:$C$4000=$AA86)*('1994 E Maize Soil VWC'!$D$2:$D$4000=$AB86)*('1994 E Maize Soil VWC'!$E$2:$E$4000=AG$5),'1994 E Maize Soil VWC'!$F$2:$F$4000)</f>
        <v>0.2664729824128374</v>
      </c>
      <c r="AH86" s="4" cm="1">
        <f t="array" ref="AH86">_xlfn.XLOOKUP(1,('1994 E Maize Soil VWC'!$C$2:$C$4000=$AA86)*('1994 E Maize Soil VWC'!$D$2:$D$4000=$AB86)*('1994 E Maize Soil VWC'!$E$2:$E$4000=AH$5),'1994 E Maize Soil VWC'!$F$2:$F$4000)</f>
        <v>0.25158896472298514</v>
      </c>
      <c r="AI86" s="4" cm="1">
        <f t="array" ref="AI86">_xlfn.XLOOKUP(1,('1994 E Maize Soil VWC'!$C$2:$C$4000=$AA86)*('1994 E Maize Soil VWC'!$D$2:$D$4000=$AB86)*('1994 E Maize Soil VWC'!$E$2:$E$4000=AI$5),'1994 E Maize Soil VWC'!$F$2:$F$4000)</f>
        <v>0.31714951883304876</v>
      </c>
      <c r="AJ86" s="4" cm="1">
        <f t="array" ref="AJ86">_xlfn.XLOOKUP(1,('1994 E Maize Soil VWC'!$C$2:$C$4000=$AA86)*('1994 E Maize Soil VWC'!$D$2:$D$4000=$AB86)*('1994 E Maize Soil VWC'!$E$2:$E$4000=AJ$5),'1994 E Maize Soil VWC'!$F$2:$F$4000)</f>
        <v>0.32481704309751808</v>
      </c>
      <c r="AK86" s="4" cm="1">
        <f t="array" ref="AK86">_xlfn.XLOOKUP(1,('1994 E Maize Soil VWC'!$C$2:$C$4000=$AA86)*('1994 E Maize Soil VWC'!$D$2:$D$4000=$AB86)*('1994 E Maize Soil VWC'!$E$2:$E$4000=AK$5),'1994 E Maize Soil VWC'!$F$2:$F$4000)</f>
        <v>0.31901807516640679</v>
      </c>
      <c r="AL86" s="4" cm="1">
        <f t="array" ref="AL86">_xlfn.XLOOKUP(1,('1994 E Maize Soil VWC'!$C$2:$C$4000=$AA86)*('1994 E Maize Soil VWC'!$D$2:$D$4000=$AB86)*('1994 E Maize Soil VWC'!$E$2:$E$4000=AL$5),'1994 E Maize Soil VWC'!$F$2:$F$4000)</f>
        <v>0.3140245194479499</v>
      </c>
      <c r="AM86" s="4" cm="1">
        <f t="array" ref="AM86">_xlfn.XLOOKUP(1,('1994 E Maize Soil VWC'!$C$2:$C$4000=$AA86)*('1994 E Maize Soil VWC'!$D$2:$D$4000=$AB86)*('1994 E Maize Soil VWC'!$E$2:$E$4000=AM$5),'1994 E Maize Soil VWC'!$F$2:$F$4000)</f>
        <v>0.32078998203424636</v>
      </c>
      <c r="AN86" s="4" cm="1">
        <f t="array" ref="AN86">_xlfn.XLOOKUP(1,('1994 E Maize Soil VWC'!$C$2:$C$4000=$AA86)*('1994 E Maize Soil VWC'!$D$2:$D$4000=$AB86)*('1994 E Maize Soil VWC'!$E$2:$E$4000=AN$5),'1994 E Maize Soil VWC'!$F$2:$F$4000)</f>
        <v>0.29095751367752948</v>
      </c>
    </row>
    <row r="87" spans="25:40" x14ac:dyDescent="0.25">
      <c r="AA87" s="19">
        <f t="shared" si="12"/>
        <v>34544</v>
      </c>
      <c r="AB87" s="4">
        <f t="shared" si="13"/>
        <v>70</v>
      </c>
      <c r="AC87" s="4" cm="1">
        <f t="array" ref="AC87">_xlfn.XLOOKUP(1,('1994 E Maize Soil VWC'!$C$2:$C$4000=$AA87)*('1994 E Maize Soil VWC'!$D$2:$D$4000=$AB87)*('1994 E Maize Soil VWC'!$E$2:$E$4000=AC$5),'1994 E Maize Soil VWC'!$F$2:$F$4000)</f>
        <v>0.30226550114319645</v>
      </c>
      <c r="AD87" s="4" cm="1">
        <f t="array" ref="AD87">_xlfn.XLOOKUP(1,('1994 E Maize Soil VWC'!$C$2:$C$4000=$AA87)*('1994 E Maize Soil VWC'!$D$2:$D$4000=$AB87)*('1994 E Maize Soil VWC'!$E$2:$E$4000=AD$5),'1994 E Maize Soil VWC'!$F$2:$F$4000)</f>
        <v>0.20986861210749014</v>
      </c>
      <c r="AE87" s="4" cm="1">
        <f t="array" ref="AE87">_xlfn.XLOOKUP(1,('1994 E Maize Soil VWC'!$C$2:$C$4000=$AA87)*('1994 E Maize Soil VWC'!$D$2:$D$4000=$AB87)*('1994 E Maize Soil VWC'!$E$2:$E$4000=AE$5),'1994 E Maize Soil VWC'!$F$2:$F$4000)</f>
        <v>0.30046137778685073</v>
      </c>
      <c r="AF87" s="4" cm="1">
        <f t="array" ref="AF87">_xlfn.XLOOKUP(1,('1994 E Maize Soil VWC'!$C$2:$C$4000=$AA87)*('1994 E Maize Soil VWC'!$D$2:$D$4000=$AB87)*('1994 E Maize Soil VWC'!$E$2:$E$4000=AF$5),'1994 E Maize Soil VWC'!$F$2:$F$4000)</f>
        <v>0.28148586605671438</v>
      </c>
      <c r="AG87" s="4" cm="1">
        <f t="array" ref="AG87">_xlfn.XLOOKUP(1,('1994 E Maize Soil VWC'!$C$2:$C$4000=$AA87)*('1994 E Maize Soil VWC'!$D$2:$D$4000=$AB87)*('1994 E Maize Soil VWC'!$E$2:$E$4000=AG$5),'1994 E Maize Soil VWC'!$F$2:$F$4000)</f>
        <v>0.24140855435503422</v>
      </c>
      <c r="AH87" s="4" cm="1">
        <f t="array" ref="AH87">_xlfn.XLOOKUP(1,('1994 E Maize Soil VWC'!$C$2:$C$4000=$AA87)*('1994 E Maize Soil VWC'!$D$2:$D$4000=$AB87)*('1994 E Maize Soil VWC'!$E$2:$E$4000=AH$5),'1994 E Maize Soil VWC'!$F$2:$F$4000)</f>
        <v>0.24720752228614551</v>
      </c>
      <c r="AI87" s="4" cm="1">
        <f t="array" ref="AI87">_xlfn.XLOOKUP(1,('1994 E Maize Soil VWC'!$C$2:$C$4000=$AA87)*('1994 E Maize Soil VWC'!$D$2:$D$4000=$AB87)*('1994 E Maize Soil VWC'!$E$2:$E$4000=AI$5),'1994 E Maize Soil VWC'!$F$2:$F$4000)</f>
        <v>0.30030029534431985</v>
      </c>
      <c r="AJ87" s="4" cm="1">
        <f t="array" ref="AJ87">_xlfn.XLOOKUP(1,('1994 E Maize Soil VWC'!$C$2:$C$4000=$AA87)*('1994 E Maize Soil VWC'!$D$2:$D$4000=$AB87)*('1994 E Maize Soil VWC'!$E$2:$E$4000=AJ$5),'1994 E Maize Soil VWC'!$F$2:$F$4000)</f>
        <v>0.30716240739613487</v>
      </c>
      <c r="AK87" s="4" cm="1">
        <f t="array" ref="AK87">_xlfn.XLOOKUP(1,('1994 E Maize Soil VWC'!$C$2:$C$4000=$AA87)*('1994 E Maize Soil VWC'!$D$2:$D$4000=$AB87)*('1994 E Maize Soil VWC'!$E$2:$E$4000=AK$5),'1994 E Maize Soil VWC'!$F$2:$F$4000)</f>
        <v>0.30886988128696208</v>
      </c>
      <c r="AL87" s="4" cm="1">
        <f t="array" ref="AL87">_xlfn.XLOOKUP(1,('1994 E Maize Soil VWC'!$C$2:$C$4000=$AA87)*('1994 E Maize Soil VWC'!$D$2:$D$4000=$AB87)*('1994 E Maize Soil VWC'!$E$2:$E$4000=AL$5),'1994 E Maize Soil VWC'!$F$2:$F$4000)</f>
        <v>0.28815467917749232</v>
      </c>
      <c r="AM87" s="4" cm="1">
        <f t="array" ref="AM87">_xlfn.XLOOKUP(1,('1994 E Maize Soil VWC'!$C$2:$C$4000=$AA87)*('1994 E Maize Soil VWC'!$D$2:$D$4000=$AB87)*('1994 E Maize Soil VWC'!$E$2:$E$4000=AM$5),'1994 E Maize Soil VWC'!$F$2:$F$4000)</f>
        <v>0.30809668556281394</v>
      </c>
      <c r="AN87" s="4" cm="1">
        <f t="array" ref="AN87">_xlfn.XLOOKUP(1,('1994 E Maize Soil VWC'!$C$2:$C$4000=$AA87)*('1994 E Maize Soil VWC'!$D$2:$D$4000=$AB87)*('1994 E Maize Soil VWC'!$E$2:$E$4000=AN$5),'1994 E Maize Soil VWC'!$F$2:$F$4000)</f>
        <v>0.29337375031549251</v>
      </c>
    </row>
    <row r="88" spans="25:40" x14ac:dyDescent="0.25">
      <c r="AA88" s="19">
        <f t="shared" si="12"/>
        <v>34544</v>
      </c>
      <c r="AB88" s="4">
        <f t="shared" si="13"/>
        <v>90</v>
      </c>
      <c r="AC88" s="4" cm="1">
        <f t="array" ref="AC88">_xlfn.XLOOKUP(1,('1994 E Maize Soil VWC'!$C$2:$C$4000=$AA88)*('1994 E Maize Soil VWC'!$D$2:$D$4000=$AB88)*('1994 E Maize Soil VWC'!$E$2:$E$4000=AC$5),'1994 E Maize Soil VWC'!$F$2:$F$4000)</f>
        <v>0.29785184221785066</v>
      </c>
      <c r="AD88" s="4" cm="1">
        <f t="array" ref="AD88">_xlfn.XLOOKUP(1,('1994 E Maize Soil VWC'!$C$2:$C$4000=$AA88)*('1994 E Maize Soil VWC'!$D$2:$D$4000=$AB88)*('1994 E Maize Soil VWC'!$E$2:$E$4000=AD$5),'1994 E Maize Soil VWC'!$F$2:$F$4000)</f>
        <v>0.20358639684878621</v>
      </c>
      <c r="AE88" s="4" cm="1">
        <f t="array" ref="AE88">_xlfn.XLOOKUP(1,('1994 E Maize Soil VWC'!$C$2:$C$4000=$AA88)*('1994 E Maize Soil VWC'!$D$2:$D$4000=$AB88)*('1994 E Maize Soil VWC'!$E$2:$E$4000=AE$5),'1994 E Maize Soil VWC'!$F$2:$F$4000)</f>
        <v>0.29195622482122086</v>
      </c>
      <c r="AF88" s="4" cm="1">
        <f t="array" ref="AF88">_xlfn.XLOOKUP(1,('1994 E Maize Soil VWC'!$C$2:$C$4000=$AA88)*('1994 E Maize Soil VWC'!$D$2:$D$4000=$AB88)*('1994 E Maize Soil VWC'!$E$2:$E$4000=AF$5),'1994 E Maize Soil VWC'!$F$2:$F$4000)</f>
        <v>0.28142143307970202</v>
      </c>
      <c r="AG88" s="4" cm="1">
        <f t="array" ref="AG88">_xlfn.XLOOKUP(1,('1994 E Maize Soil VWC'!$C$2:$C$4000=$AA88)*('1994 E Maize Soil VWC'!$D$2:$D$4000=$AB88)*('1994 E Maize Soil VWC'!$E$2:$E$4000=AG$5),'1994 E Maize Soil VWC'!$F$2:$F$4000)</f>
        <v>0.21460443591789768</v>
      </c>
      <c r="AH88" s="4" cm="1">
        <f t="array" ref="AH88">_xlfn.XLOOKUP(1,('1994 E Maize Soil VWC'!$C$2:$C$4000=$AA88)*('1994 E Maize Soil VWC'!$D$2:$D$4000=$AB88)*('1994 E Maize Soil VWC'!$E$2:$E$4000=AH$5),'1994 E Maize Soil VWC'!$F$2:$F$4000)</f>
        <v>0.25709798425754088</v>
      </c>
      <c r="AI88" s="4" cm="1">
        <f t="array" ref="AI88">_xlfn.XLOOKUP(1,('1994 E Maize Soil VWC'!$C$2:$C$4000=$AA88)*('1994 E Maize Soil VWC'!$D$2:$D$4000=$AB88)*('1994 E Maize Soil VWC'!$E$2:$E$4000=AI$5),'1994 E Maize Soil VWC'!$F$2:$F$4000)</f>
        <v>0.29885055336154204</v>
      </c>
      <c r="AJ88" s="4" cm="1">
        <f t="array" ref="AJ88">_xlfn.XLOOKUP(1,('1994 E Maize Soil VWC'!$C$2:$C$4000=$AA88)*('1994 E Maize Soil VWC'!$D$2:$D$4000=$AB88)*('1994 E Maize Soil VWC'!$E$2:$E$4000=AJ$5),'1994 E Maize Soil VWC'!$F$2:$F$4000)</f>
        <v>0.30832220098235713</v>
      </c>
      <c r="AK88" s="4" cm="1">
        <f t="array" ref="AK88">_xlfn.XLOOKUP(1,('1994 E Maize Soil VWC'!$C$2:$C$4000=$AA88)*('1994 E Maize Soil VWC'!$D$2:$D$4000=$AB88)*('1994 E Maize Soil VWC'!$E$2:$E$4000=AK$5),'1994 E Maize Soil VWC'!$F$2:$F$4000)</f>
        <v>0.30722684037314718</v>
      </c>
      <c r="AL88" s="4" cm="1">
        <f t="array" ref="AL88">_xlfn.XLOOKUP(1,('1994 E Maize Soil VWC'!$C$2:$C$4000=$AA88)*('1994 E Maize Soil VWC'!$D$2:$D$4000=$AB88)*('1994 E Maize Soil VWC'!$E$2:$E$4000=AL$5),'1994 E Maize Soil VWC'!$F$2:$F$4000)</f>
        <v>0.25426293326899757</v>
      </c>
      <c r="AM88" s="4" cm="1">
        <f t="array" ref="AM88">_xlfn.XLOOKUP(1,('1994 E Maize Soil VWC'!$C$2:$C$4000=$AA88)*('1994 E Maize Soil VWC'!$D$2:$D$4000=$AB88)*('1994 E Maize Soil VWC'!$E$2:$E$4000=AM$5),'1994 E Maize Soil VWC'!$F$2:$F$4000)</f>
        <v>0.29997813045925814</v>
      </c>
      <c r="AN88" s="4" cm="1">
        <f t="array" ref="AN88">_xlfn.XLOOKUP(1,('1994 E Maize Soil VWC'!$C$2:$C$4000=$AA88)*('1994 E Maize Soil VWC'!$D$2:$D$4000=$AB88)*('1994 E Maize Soil VWC'!$E$2:$E$4000=AN$5),'1994 E Maize Soil VWC'!$F$2:$F$4000)</f>
        <v>0.29662761565461604</v>
      </c>
    </row>
    <row r="89" spans="25:40" x14ac:dyDescent="0.25">
      <c r="AA89" s="19">
        <f t="shared" si="12"/>
        <v>34544</v>
      </c>
      <c r="AB89" s="4">
        <f t="shared" si="13"/>
        <v>110</v>
      </c>
      <c r="AC89" s="4" cm="1">
        <f t="array" ref="AC89">_xlfn.XLOOKUP(1,('1994 E Maize Soil VWC'!$C$2:$C$4000=$AA89)*('1994 E Maize Soil VWC'!$D$2:$D$4000=$AB89)*('1994 E Maize Soil VWC'!$E$2:$E$4000=AC$5),'1994 E Maize Soil VWC'!$F$2:$F$4000)</f>
        <v>0.29289050298789993</v>
      </c>
      <c r="AD89" s="4" cm="1">
        <f t="array" ref="AD89">_xlfn.XLOOKUP(1,('1994 E Maize Soil VWC'!$C$2:$C$4000=$AA89)*('1994 E Maize Soil VWC'!$D$2:$D$4000=$AB89)*('1994 E Maize Soil VWC'!$E$2:$E$4000=AD$5),'1994 E Maize Soil VWC'!$F$2:$F$4000)</f>
        <v>0.21818046614208297</v>
      </c>
      <c r="AE89" s="4" cm="1">
        <f t="array" ref="AE89">_xlfn.XLOOKUP(1,('1994 E Maize Soil VWC'!$C$2:$C$4000=$AA89)*('1994 E Maize Soil VWC'!$D$2:$D$4000=$AB89)*('1994 E Maize Soil VWC'!$E$2:$E$4000=AE$5),'1994 E Maize Soil VWC'!$F$2:$F$4000)</f>
        <v>0.28863792650508496</v>
      </c>
      <c r="AF89" s="4" cm="1">
        <f t="array" ref="AF89">_xlfn.XLOOKUP(1,('1994 E Maize Soil VWC'!$C$2:$C$4000=$AA89)*('1994 E Maize Soil VWC'!$D$2:$D$4000=$AB89)*('1994 E Maize Soil VWC'!$E$2:$E$4000=AF$5),'1994 E Maize Soil VWC'!$F$2:$F$4000)</f>
        <v>0.29015210146487513</v>
      </c>
      <c r="AG89" s="4" cm="1">
        <f t="array" ref="AG89">_xlfn.XLOOKUP(1,('1994 E Maize Soil VWC'!$C$2:$C$4000=$AA89)*('1994 E Maize Soil VWC'!$D$2:$D$4000=$AB89)*('1994 E Maize Soil VWC'!$E$2:$E$4000=AG$5),'1994 E Maize Soil VWC'!$F$2:$F$4000)</f>
        <v>0.22993948444683643</v>
      </c>
      <c r="AH89" s="4" cm="1">
        <f t="array" ref="AH89">_xlfn.XLOOKUP(1,('1994 E Maize Soil VWC'!$C$2:$C$4000=$AA89)*('1994 E Maize Soil VWC'!$D$2:$D$4000=$AB89)*('1994 E Maize Soil VWC'!$E$2:$E$4000=AH$5),'1994 E Maize Soil VWC'!$F$2:$F$4000)</f>
        <v>0.2636701479128003</v>
      </c>
      <c r="AI89" s="4" cm="1">
        <f t="array" ref="AI89">_xlfn.XLOOKUP(1,('1994 E Maize Soil VWC'!$C$2:$C$4000=$AA89)*('1994 E Maize Soil VWC'!$D$2:$D$4000=$AB89)*('1994 E Maize Soil VWC'!$E$2:$E$4000=AI$5),'1994 E Maize Soil VWC'!$F$2:$F$4000)</f>
        <v>0.29936601717764083</v>
      </c>
      <c r="AJ89" s="4" cm="1">
        <f t="array" ref="AJ89">_xlfn.XLOOKUP(1,('1994 E Maize Soil VWC'!$C$2:$C$4000=$AA89)*('1994 E Maize Soil VWC'!$D$2:$D$4000=$AB89)*('1994 E Maize Soil VWC'!$E$2:$E$4000=AJ$5),'1994 E Maize Soil VWC'!$F$2:$F$4000)</f>
        <v>0.30397297503402365</v>
      </c>
      <c r="AK89" s="4" cm="1">
        <f t="array" ref="AK89">_xlfn.XLOOKUP(1,('1994 E Maize Soil VWC'!$C$2:$C$4000=$AA89)*('1994 E Maize Soil VWC'!$D$2:$D$4000=$AB89)*('1994 E Maize Soil VWC'!$E$2:$E$4000=AK$5),'1994 E Maize Soil VWC'!$F$2:$F$4000)</f>
        <v>0.29959153259718402</v>
      </c>
      <c r="AL89" s="4" cm="1">
        <f t="array" ref="AL89">_xlfn.XLOOKUP(1,('1994 E Maize Soil VWC'!$C$2:$C$4000=$AA89)*('1994 E Maize Soil VWC'!$D$2:$D$4000=$AB89)*('1994 E Maize Soil VWC'!$E$2:$E$4000=AL$5),'1994 E Maize Soil VWC'!$F$2:$F$4000)</f>
        <v>0.25236216044713333</v>
      </c>
      <c r="AM89" s="4" cm="1">
        <f t="array" ref="AM89">_xlfn.XLOOKUP(1,('1994 E Maize Soil VWC'!$C$2:$C$4000=$AA89)*('1994 E Maize Soil VWC'!$D$2:$D$4000=$AB89)*('1994 E Maize Soil VWC'!$E$2:$E$4000=AM$5),'1994 E Maize Soil VWC'!$F$2:$F$4000)</f>
        <v>0.29459797687872713</v>
      </c>
      <c r="AN89" s="4" cm="1">
        <f t="array" ref="AN89">_xlfn.XLOOKUP(1,('1994 E Maize Soil VWC'!$C$2:$C$4000=$AA89)*('1994 E Maize Soil VWC'!$D$2:$D$4000=$AB89)*('1994 E Maize Soil VWC'!$E$2:$E$4000=AN$5),'1994 E Maize Soil VWC'!$F$2:$F$4000)</f>
        <v>0.29881833687303588</v>
      </c>
    </row>
    <row r="90" spans="25:40" x14ac:dyDescent="0.25">
      <c r="AA90" s="19">
        <f t="shared" si="12"/>
        <v>34544</v>
      </c>
      <c r="AB90" s="4">
        <f t="shared" si="13"/>
        <v>130</v>
      </c>
      <c r="AC90" s="4" cm="1">
        <f t="array" ref="AC90">_xlfn.XLOOKUP(1,('1994 E Maize Soil VWC'!$C$2:$C$4000=$AA90)*('1994 E Maize Soil VWC'!$D$2:$D$4000=$AB90)*('1994 E Maize Soil VWC'!$E$2:$E$4000=AC$5),'1994 E Maize Soil VWC'!$F$2:$F$4000)</f>
        <v>0.26300145883750281</v>
      </c>
      <c r="AD90" s="4" cm="1">
        <f t="array" ref="AD90">_xlfn.XLOOKUP(1,('1994 E Maize Soil VWC'!$C$2:$C$4000=$AA90)*('1994 E Maize Soil VWC'!$D$2:$D$4000=$AB90)*('1994 E Maize Soil VWC'!$E$2:$E$4000=AD$5),'1994 E Maize Soil VWC'!$F$2:$F$4000)</f>
        <v>0.20852490093534257</v>
      </c>
      <c r="AE90" s="4" cm="1">
        <f t="array" ref="AE90">_xlfn.XLOOKUP(1,('1994 E Maize Soil VWC'!$C$2:$C$4000=$AA90)*('1994 E Maize Soil VWC'!$D$2:$D$4000=$AB90)*('1994 E Maize Soil VWC'!$E$2:$E$4000=AE$5),'1994 E Maize Soil VWC'!$F$2:$F$4000)</f>
        <v>0.27088934785093904</v>
      </c>
      <c r="AF90" s="4" cm="1">
        <f t="array" ref="AF90">_xlfn.XLOOKUP(1,('1994 E Maize Soil VWC'!$C$2:$C$4000=$AA90)*('1994 E Maize Soil VWC'!$D$2:$D$4000=$AB90)*('1994 E Maize Soil VWC'!$E$2:$E$4000=AF$5),'1994 E Maize Soil VWC'!$F$2:$F$4000)</f>
        <v>0.26215727004676714</v>
      </c>
      <c r="AG90" s="4" cm="1">
        <f t="array" ref="AG90">_xlfn.XLOOKUP(1,('1994 E Maize Soil VWC'!$C$2:$C$4000=$AA90)*('1994 E Maize Soil VWC'!$D$2:$D$4000=$AB90)*('1994 E Maize Soil VWC'!$E$2:$E$4000=AG$5),'1994 E Maize Soil VWC'!$F$2:$F$4000)</f>
        <v>0.22108220919753546</v>
      </c>
      <c r="AH90" s="4" cm="1">
        <f t="array" ref="AH90">_xlfn.XLOOKUP(1,('1994 E Maize Soil VWC'!$C$2:$C$4000=$AA90)*('1994 E Maize Soil VWC'!$D$2:$D$4000=$AB90)*('1994 E Maize Soil VWC'!$E$2:$E$4000=AH$5),'1994 E Maize Soil VWC'!$F$2:$F$4000)</f>
        <v>0.24012921878850862</v>
      </c>
      <c r="AI90" s="4" cm="1">
        <f t="array" ref="AI90">_xlfn.XLOOKUP(1,('1994 E Maize Soil VWC'!$C$2:$C$4000=$AA90)*('1994 E Maize Soil VWC'!$D$2:$D$4000=$AB90)*('1994 E Maize Soil VWC'!$E$2:$E$4000=AI$5),'1994 E Maize Soil VWC'!$F$2:$F$4000)</f>
        <v>0.27334277152401454</v>
      </c>
      <c r="AJ90" s="4" cm="1">
        <f t="array" ref="AJ90">_xlfn.XLOOKUP(1,('1994 E Maize Soil VWC'!$C$2:$C$4000=$AA90)*('1994 E Maize Soil VWC'!$D$2:$D$4000=$AB90)*('1994 E Maize Soil VWC'!$E$2:$E$4000=AJ$5),'1994 E Maize Soil VWC'!$F$2:$F$4000)</f>
        <v>0.27793304807363967</v>
      </c>
      <c r="AK90" s="4" cm="1">
        <f t="array" ref="AK90">_xlfn.XLOOKUP(1,('1994 E Maize Soil VWC'!$C$2:$C$4000=$AA90)*('1994 E Maize Soil VWC'!$D$2:$D$4000=$AB90)*('1994 E Maize Soil VWC'!$E$2:$E$4000=AK$5),'1994 E Maize Soil VWC'!$F$2:$F$4000)</f>
        <v>0.29890586334347857</v>
      </c>
      <c r="AL90" s="4" cm="1">
        <f t="array" ref="AL90">_xlfn.XLOOKUP(1,('1994 E Maize Soil VWC'!$C$2:$C$4000=$AA90)*('1994 E Maize Soil VWC'!$D$2:$D$4000=$AB90)*('1994 E Maize Soil VWC'!$E$2:$E$4000=AL$5),'1994 E Maize Soil VWC'!$F$2:$F$4000)</f>
        <v>0.24669806281642043</v>
      </c>
      <c r="AM90" s="4" cm="1">
        <f t="array" ref="AM90">_xlfn.XLOOKUP(1,('1994 E Maize Soil VWC'!$C$2:$C$4000=$AA90)*('1994 E Maize Soil VWC'!$D$2:$D$4000=$AB90)*('1994 E Maize Soil VWC'!$E$2:$E$4000=AM$5),'1994 E Maize Soil VWC'!$F$2:$F$4000)</f>
        <v>0.27711524018261452</v>
      </c>
      <c r="AN90" s="4" cm="1">
        <f t="array" ref="AN90">_xlfn.XLOOKUP(1,('1994 E Maize Soil VWC'!$C$2:$C$4000=$AA90)*('1994 E Maize Soil VWC'!$D$2:$D$4000=$AB90)*('1994 E Maize Soil VWC'!$E$2:$E$4000=AN$5),'1994 E Maize Soil VWC'!$F$2:$F$4000)</f>
        <v>0.28291903811892211</v>
      </c>
    </row>
    <row r="91" spans="25:40" x14ac:dyDescent="0.25">
      <c r="AA91" s="19">
        <f t="shared" si="12"/>
        <v>34544</v>
      </c>
      <c r="AB91" s="4">
        <f t="shared" si="13"/>
        <v>150</v>
      </c>
      <c r="AC91" s="4" cm="1">
        <f t="array" ref="AC91">_xlfn.XLOOKUP(1,('1994 E Maize Soil VWC'!$C$2:$C$4000=$AA91)*('1994 E Maize Soil VWC'!$D$2:$D$4000=$AB91)*('1994 E Maize Soil VWC'!$E$2:$E$4000=AC$5),'1994 E Maize Soil VWC'!$F$2:$F$4000)</f>
        <v>0.26730154549031249</v>
      </c>
      <c r="AD91" s="4" cm="1">
        <f t="array" ref="AD91">_xlfn.XLOOKUP(1,('1994 E Maize Soil VWC'!$C$2:$C$4000=$AA91)*('1994 E Maize Soil VWC'!$D$2:$D$4000=$AB91)*('1994 E Maize Soil VWC'!$E$2:$E$4000=AD$5),'1994 E Maize Soil VWC'!$F$2:$F$4000)</f>
        <v>0.18536247098953304</v>
      </c>
      <c r="AE91" s="4" cm="1">
        <f t="array" ref="AE91">_xlfn.XLOOKUP(1,('1994 E Maize Soil VWC'!$C$2:$C$4000=$AA91)*('1994 E Maize Soil VWC'!$D$2:$D$4000=$AB91)*('1994 E Maize Soil VWC'!$E$2:$E$4000=AE$5),'1994 E Maize Soil VWC'!$F$2:$F$4000)</f>
        <v>0.28713998207260039</v>
      </c>
      <c r="AF91" s="4" cm="1">
        <f t="array" ref="AF91">_xlfn.XLOOKUP(1,('1994 E Maize Soil VWC'!$C$2:$C$4000=$AA91)*('1994 E Maize Soil VWC'!$D$2:$D$4000=$AB91)*('1994 E Maize Soil VWC'!$E$2:$E$4000=AF$5),'1994 E Maize Soil VWC'!$F$2:$F$4000)</f>
        <v>0.2767986693860886</v>
      </c>
      <c r="AG91" s="4" cm="1">
        <f t="array" ref="AG91">_xlfn.XLOOKUP(1,('1994 E Maize Soil VWC'!$C$2:$C$4000=$AA91)*('1994 E Maize Soil VWC'!$D$2:$D$4000=$AB91)*('1994 E Maize Soil VWC'!$E$2:$E$4000=AG$5),'1994 E Maize Soil VWC'!$F$2:$F$4000)</f>
        <v>0.26078546326182167</v>
      </c>
      <c r="AH91" s="4" cm="1">
        <f t="array" ref="AH91">_xlfn.XLOOKUP(1,('1994 E Maize Soil VWC'!$C$2:$C$4000=$AA91)*('1994 E Maize Soil VWC'!$D$2:$D$4000=$AB91)*('1994 E Maize Soil VWC'!$E$2:$E$4000=AH$5),'1994 E Maize Soil VWC'!$F$2:$F$4000)</f>
        <v>0.27439800751243409</v>
      </c>
      <c r="AI91" s="4" cm="1">
        <f t="array" ref="AI91">_xlfn.XLOOKUP(1,('1994 E Maize Soil VWC'!$C$2:$C$4000=$AA91)*('1994 E Maize Soil VWC'!$D$2:$D$4000=$AB91)*('1994 E Maize Soil VWC'!$E$2:$E$4000=AI$5),'1994 E Maize Soil VWC'!$F$2:$F$4000)</f>
        <v>0.2880633135624675</v>
      </c>
      <c r="AJ91" s="4" cm="1">
        <f t="array" ref="AJ91">_xlfn.XLOOKUP(1,('1994 E Maize Soil VWC'!$C$2:$C$4000=$AA91)*('1994 E Maize Soil VWC'!$D$2:$D$4000=$AB91)*('1994 E Maize Soil VWC'!$E$2:$E$4000=AJ$5),'1994 E Maize Soil VWC'!$F$2:$F$4000)</f>
        <v>0.28531969999257667</v>
      </c>
      <c r="AK91" s="4" cm="1">
        <f t="array" ref="AK91">_xlfn.XLOOKUP(1,('1994 E Maize Soil VWC'!$C$2:$C$4000=$AA91)*('1994 E Maize Soil VWC'!$D$2:$D$4000=$AB91)*('1994 E Maize Soil VWC'!$E$2:$E$4000=AK$5),'1994 E Maize Soil VWC'!$F$2:$F$4000)</f>
        <v>0.2973757711602702</v>
      </c>
      <c r="AL91" s="4" cm="1">
        <f t="array" ref="AL91">_xlfn.XLOOKUP(1,('1994 E Maize Soil VWC'!$C$2:$C$4000=$AA91)*('1994 E Maize Soil VWC'!$D$2:$D$4000=$AB91)*('1994 E Maize Soil VWC'!$E$2:$E$4000=AL$5),'1994 E Maize Soil VWC'!$F$2:$F$4000)</f>
        <v>0.27719438288174597</v>
      </c>
      <c r="AM91" s="4" cm="1">
        <f t="array" ref="AM91">_xlfn.XLOOKUP(1,('1994 E Maize Soil VWC'!$C$2:$C$4000=$AA91)*('1994 E Maize Soil VWC'!$D$2:$D$4000=$AB91)*('1994 E Maize Soil VWC'!$E$2:$E$4000=AM$5),'1994 E Maize Soil VWC'!$F$2:$F$4000)</f>
        <v>0.3073741321505456</v>
      </c>
      <c r="AN91" s="4" cm="1">
        <f t="array" ref="AN91">_xlfn.XLOOKUP(1,('1994 E Maize Soil VWC'!$C$2:$C$4000=$AA91)*('1994 E Maize Soil VWC'!$D$2:$D$4000=$AB91)*('1994 E Maize Soil VWC'!$E$2:$E$4000=AN$5),'1994 E Maize Soil VWC'!$F$2:$F$4000)</f>
        <v>0.31850687182837206</v>
      </c>
    </row>
    <row r="92" spans="25:40" x14ac:dyDescent="0.25">
      <c r="AA92" s="19">
        <f t="shared" si="12"/>
        <v>34544</v>
      </c>
      <c r="AB92" s="4">
        <f t="shared" si="13"/>
        <v>170</v>
      </c>
      <c r="AC92" s="4" cm="1">
        <f t="array" ref="AC92">_xlfn.XLOOKUP(1,('1994 E Maize Soil VWC'!$C$2:$C$4000=$AA92)*('1994 E Maize Soil VWC'!$D$2:$D$4000=$AB92)*('1994 E Maize Soil VWC'!$E$2:$E$4000=AC$5),'1994 E Maize Soil VWC'!$F$2:$F$4000)</f>
        <v>0.24833367859847078</v>
      </c>
      <c r="AD92" s="4" cm="1">
        <f t="array" ref="AD92">_xlfn.XLOOKUP(1,('1994 E Maize Soil VWC'!$C$2:$C$4000=$AA92)*('1994 E Maize Soil VWC'!$D$2:$D$4000=$AB92)*('1994 E Maize Soil VWC'!$E$2:$E$4000=AD$5),'1994 E Maize Soil VWC'!$F$2:$F$4000)</f>
        <v>0.26434688472273771</v>
      </c>
      <c r="AE92" s="4" cm="1">
        <f t="array" ref="AE92">_xlfn.XLOOKUP(1,('1994 E Maize Soil VWC'!$C$2:$C$4000=$AA92)*('1994 E Maize Soil VWC'!$D$2:$D$4000=$AB92)*('1994 E Maize Soil VWC'!$E$2:$E$4000=AE$5),'1994 E Maize Soil VWC'!$F$2:$F$4000)</f>
        <v>0.27545324350085365</v>
      </c>
      <c r="AF92" s="4" cm="1">
        <f t="array" ref="AF92">_xlfn.XLOOKUP(1,('1994 E Maize Soil VWC'!$C$2:$C$4000=$AA92)*('1994 E Maize Soil VWC'!$D$2:$D$4000=$AB92)*('1994 E Maize Soil VWC'!$E$2:$E$4000=AF$5),'1994 E Maize Soil VWC'!$F$2:$F$4000)</f>
        <v>0.27144334674485932</v>
      </c>
      <c r="AG92" s="4" cm="1">
        <f t="array" ref="AG92">_xlfn.XLOOKUP(1,('1994 E Maize Soil VWC'!$C$2:$C$4000=$AA92)*('1994 E Maize Soil VWC'!$D$2:$D$4000=$AB92)*('1994 E Maize Soil VWC'!$E$2:$E$4000=AG$5),'1994 E Maize Soil VWC'!$F$2:$F$4000)</f>
        <v>0.25606328221364411</v>
      </c>
      <c r="AH92" s="4" cm="1">
        <f t="array" ref="AH92">_xlfn.XLOOKUP(1,('1994 E Maize Soil VWC'!$C$2:$C$4000=$AA92)*('1994 E Maize Soil VWC'!$D$2:$D$4000=$AB92)*('1994 E Maize Soil VWC'!$E$2:$E$4000=AH$5),'1994 E Maize Soil VWC'!$F$2:$F$4000)</f>
        <v>0.26859420957612645</v>
      </c>
      <c r="AI92" s="4" cm="1">
        <f t="array" ref="AI92">_xlfn.XLOOKUP(1,('1994 E Maize Soil VWC'!$C$2:$C$4000=$AA92)*('1994 E Maize Soil VWC'!$D$2:$D$4000=$AB92)*('1994 E Maize Soil VWC'!$E$2:$E$4000=AI$5),'1994 E Maize Soil VWC'!$F$2:$F$4000)</f>
        <v>0.27822323797045506</v>
      </c>
      <c r="AJ92" s="4" cm="1">
        <f t="array" ref="AJ92">_xlfn.XLOOKUP(1,('1994 E Maize Soil VWC'!$C$2:$C$4000=$AA92)*('1994 E Maize Soil VWC'!$D$2:$D$4000=$AB92)*('1994 E Maize Soil VWC'!$E$2:$E$4000=AJ$5),'1994 E Maize Soil VWC'!$F$2:$F$4000)</f>
        <v>0.27497838730606489</v>
      </c>
      <c r="AK92" s="4" cm="1">
        <f t="array" ref="AK92">_xlfn.XLOOKUP(1,('1994 E Maize Soil VWC'!$C$2:$C$4000=$AA92)*('1994 E Maize Soil VWC'!$D$2:$D$4000=$AB92)*('1994 E Maize Soil VWC'!$E$2:$E$4000=AK$5),'1994 E Maize Soil VWC'!$F$2:$F$4000)</f>
        <v>0.27075744335238661</v>
      </c>
      <c r="AL92" s="4" cm="1">
        <f t="array" ref="AL92">_xlfn.XLOOKUP(1,('1994 E Maize Soil VWC'!$C$2:$C$4000=$AA92)*('1994 E Maize Soil VWC'!$D$2:$D$4000=$AB92)*('1994 E Maize Soil VWC'!$E$2:$E$4000=AL$5),'1994 E Maize Soil VWC'!$F$2:$F$4000)</f>
        <v>0.26471621731868455</v>
      </c>
      <c r="AM92" s="4" cm="1">
        <f t="array" ref="AM92">_xlfn.XLOOKUP(1,('1994 E Maize Soil VWC'!$C$2:$C$4000=$AA92)*('1994 E Maize Soil VWC'!$D$2:$D$4000=$AB92)*('1994 E Maize Soil VWC'!$E$2:$E$4000=AM$5),'1994 E Maize Soil VWC'!$F$2:$F$4000)</f>
        <v>0.28621665058273321</v>
      </c>
      <c r="AN92" s="4" cm="1">
        <f t="array" ref="AN92">_xlfn.XLOOKUP(1,('1994 E Maize Soil VWC'!$C$2:$C$4000=$AA92)*('1994 E Maize Soil VWC'!$D$2:$D$4000=$AB92)*('1994 E Maize Soil VWC'!$E$2:$E$4000=AN$5),'1994 E Maize Soil VWC'!$F$2:$F$4000)</f>
        <v>0.29088606983148985</v>
      </c>
    </row>
    <row r="93" spans="25:40" x14ac:dyDescent="0.25">
      <c r="AA93" s="19">
        <f t="shared" si="12"/>
        <v>34544</v>
      </c>
      <c r="AB93" s="4">
        <f t="shared" si="13"/>
        <v>190</v>
      </c>
      <c r="AC93" s="4" cm="1">
        <f t="array" ref="AC93">_xlfn.XLOOKUP(1,('1994 E Maize Soil VWC'!$C$2:$C$4000=$AA93)*('1994 E Maize Soil VWC'!$D$2:$D$4000=$AB93)*('1994 E Maize Soil VWC'!$E$2:$E$4000=AC$5),'1994 E Maize Soil VWC'!$F$2:$F$4000)</f>
        <v>0.21274584488902082</v>
      </c>
      <c r="AD93" s="4" cm="1">
        <f t="array" ref="AD93">_xlfn.XLOOKUP(1,('1994 E Maize Soil VWC'!$C$2:$C$4000=$AA93)*('1994 E Maize Soil VWC'!$D$2:$D$4000=$AB93)*('1994 E Maize Soil VWC'!$E$2:$E$4000=AD$5),'1994 E Maize Soil VWC'!$F$2:$F$4000)</f>
        <v>0.26041613066587482</v>
      </c>
      <c r="AE93" s="4" cm="1">
        <f t="array" ref="AE93">_xlfn.XLOOKUP(1,('1994 E Maize Soil VWC'!$C$2:$C$4000=$AA93)*('1994 E Maize Soil VWC'!$D$2:$D$4000=$AB93)*('1994 E Maize Soil VWC'!$E$2:$E$4000=AE$5),'1994 E Maize Soil VWC'!$F$2:$F$4000)</f>
        <v>0.26250022174300347</v>
      </c>
      <c r="AF93" s="4" cm="1">
        <f t="array" ref="AF93">_xlfn.XLOOKUP(1,('1994 E Maize Soil VWC'!$C$2:$C$4000=$AA93)*('1994 E Maize Soil VWC'!$D$2:$D$4000=$AB93)*('1994 E Maize Soil VWC'!$E$2:$E$4000=AF$5),'1994 E Maize Soil VWC'!$F$2:$F$4000)</f>
        <v>0.26986049276222995</v>
      </c>
      <c r="AG93" s="4" cm="1">
        <f t="array" ref="AG93">_xlfn.XLOOKUP(1,('1994 E Maize Soil VWC'!$C$2:$C$4000=$AA93)*('1994 E Maize Soil VWC'!$D$2:$D$4000=$AB93)*('1994 E Maize Soil VWC'!$E$2:$E$4000=AG$5),'1994 E Maize Soil VWC'!$F$2:$F$4000)</f>
        <v>0.23319104216464998</v>
      </c>
      <c r="AH93" s="4" cm="1">
        <f t="array" ref="AH93">_xlfn.XLOOKUP(1,('1994 E Maize Soil VWC'!$C$2:$C$4000=$AA93)*('1994 E Maize Soil VWC'!$D$2:$D$4000=$AB93)*('1994 E Maize Soil VWC'!$E$2:$E$4000=AH$5),'1994 E Maize Soil VWC'!$F$2:$F$4000)</f>
        <v>0.25775165979511544</v>
      </c>
      <c r="AI93" s="4" cm="1">
        <f t="array" ref="AI93">_xlfn.XLOOKUP(1,('1994 E Maize Soil VWC'!$C$2:$C$4000=$AA93)*('1994 E Maize Soil VWC'!$D$2:$D$4000=$AB93)*('1994 E Maize Soil VWC'!$E$2:$E$4000=AI$5),'1994 E Maize Soil VWC'!$F$2:$F$4000)</f>
        <v>0.26323888693489716</v>
      </c>
      <c r="AJ93" s="4" cm="1">
        <f t="array" ref="AJ93">_xlfn.XLOOKUP(1,('1994 E Maize Soil VWC'!$C$2:$C$4000=$AA93)*('1994 E Maize Soil VWC'!$D$2:$D$4000=$AB93)*('1994 E Maize Soil VWC'!$E$2:$E$4000=AJ$5),'1994 E Maize Soil VWC'!$F$2:$F$4000)</f>
        <v>0.26189346104966221</v>
      </c>
      <c r="AK93" s="4" cm="1">
        <f t="array" ref="AK93">_xlfn.XLOOKUP(1,('1994 E Maize Soil VWC'!$C$2:$C$4000=$AA93)*('1994 E Maize Soil VWC'!$D$2:$D$4000=$AB93)*('1994 E Maize Soil VWC'!$E$2:$E$4000=AK$5),'1994 E Maize Soil VWC'!$F$2:$F$4000)</f>
        <v>0.26128670035632096</v>
      </c>
      <c r="AL93" s="4" cm="1">
        <f t="array" ref="AL93">_xlfn.XLOOKUP(1,('1994 E Maize Soil VWC'!$C$2:$C$4000=$AA93)*('1994 E Maize Soil VWC'!$D$2:$D$4000=$AB93)*('1994 E Maize Soil VWC'!$E$2:$E$4000=AL$5),'1994 E Maize Soil VWC'!$F$2:$F$4000)</f>
        <v>0.26305422063692374</v>
      </c>
      <c r="AM93" s="4" cm="1">
        <f t="array" ref="AM93">_xlfn.XLOOKUP(1,('1994 E Maize Soil VWC'!$C$2:$C$4000=$AA93)*('1994 E Maize Soil VWC'!$D$2:$D$4000=$AB93)*('1994 E Maize Soil VWC'!$E$2:$E$4000=AM$5),'1994 E Maize Soil VWC'!$F$2:$F$4000)</f>
        <v>0.29795615095390093</v>
      </c>
      <c r="AN93" s="4" cm="1">
        <f t="array" ref="AN93">_xlfn.XLOOKUP(1,('1994 E Maize Soil VWC'!$C$2:$C$4000=$AA93)*('1994 E Maize Soil VWC'!$D$2:$D$4000=$AB93)*('1994 E Maize Soil VWC'!$E$2:$E$4000=AN$5),'1994 E Maize Soil VWC'!$F$2:$F$4000)</f>
        <v>0.30230899940613165</v>
      </c>
    </row>
    <row r="94" spans="25:40" x14ac:dyDescent="0.25">
      <c r="AA94" s="19">
        <f t="shared" si="12"/>
        <v>34544</v>
      </c>
      <c r="AB94" s="4">
        <f t="shared" si="13"/>
        <v>210</v>
      </c>
      <c r="AC94" s="4" cm="1">
        <f t="array" ref="AC94">_xlfn.XLOOKUP(1,('1994 E Maize Soil VWC'!$C$2:$C$4000=$AA94)*('1994 E Maize Soil VWC'!$D$2:$D$4000=$AB94)*('1994 E Maize Soil VWC'!$E$2:$E$4000=AC$5),'1994 E Maize Soil VWC'!$F$2:$F$4000)</f>
        <v>0.18159000233093311</v>
      </c>
      <c r="AD94" s="4" cm="1">
        <f t="array" ref="AD94">_xlfn.XLOOKUP(1,('1994 E Maize Soil VWC'!$C$2:$C$4000=$AA94)*('1994 E Maize Soil VWC'!$D$2:$D$4000=$AB94)*('1994 E Maize Soil VWC'!$E$2:$E$4000=AD$5),'1994 E Maize Soil VWC'!$F$2:$F$4000)</f>
        <v>0.25110367306807213</v>
      </c>
      <c r="AE94" s="4" cm="1">
        <f t="array" ref="AE94">_xlfn.XLOOKUP(1,('1994 E Maize Soil VWC'!$C$2:$C$4000=$AA94)*('1994 E Maize Soil VWC'!$D$2:$D$4000=$AB94)*('1994 E Maize Soil VWC'!$E$2:$E$4000=AE$5),'1994 E Maize Soil VWC'!$F$2:$F$4000)</f>
        <v>0.24041940868532402</v>
      </c>
      <c r="AF94" s="4" cm="1">
        <f t="array" ref="AF94">_xlfn.XLOOKUP(1,('1994 E Maize Soil VWC'!$C$2:$C$4000=$AA94)*('1994 E Maize Soil VWC'!$D$2:$D$4000=$AB94)*('1994 E Maize Soil VWC'!$E$2:$E$4000=AF$5),'1994 E Maize Soil VWC'!$F$2:$F$4000)</f>
        <v>0.2653757398114468</v>
      </c>
      <c r="AG94" s="4" t="e" cm="1">
        <f t="array" ref="AG94">_xlfn.XLOOKUP(1,('1994 E Maize Soil VWC'!$C$2:$C$4000=$AA94)*('1994 E Maize Soil VWC'!$D$2:$D$4000=$AB94)*('1994 E Maize Soil VWC'!$E$2:$E$4000=AG$5),'1994 E Maize Soil VWC'!$F$2:$F$4000)</f>
        <v>#N/A</v>
      </c>
      <c r="AH94" s="4" t="e" cm="1">
        <f t="array" ref="AH94">_xlfn.XLOOKUP(1,('1994 E Maize Soil VWC'!$C$2:$C$4000=$AA94)*('1994 E Maize Soil VWC'!$D$2:$D$4000=$AB94)*('1994 E Maize Soil VWC'!$E$2:$E$4000=AH$5),'1994 E Maize Soil VWC'!$F$2:$F$4000)</f>
        <v>#N/A</v>
      </c>
      <c r="AI94" s="4" cm="1">
        <f t="array" ref="AI94">_xlfn.XLOOKUP(1,('1994 E Maize Soil VWC'!$C$2:$C$4000=$AA94)*('1994 E Maize Soil VWC'!$D$2:$D$4000=$AB94)*('1994 E Maize Soil VWC'!$E$2:$E$4000=AI$5),'1994 E Maize Soil VWC'!$F$2:$F$4000)</f>
        <v>0.26550764430999924</v>
      </c>
      <c r="AJ94" s="4" cm="1">
        <f t="array" ref="AJ94">_xlfn.XLOOKUP(1,('1994 E Maize Soil VWC'!$C$2:$C$4000=$AA94)*('1994 E Maize Soil VWC'!$D$2:$D$4000=$AB94)*('1994 E Maize Soil VWC'!$E$2:$E$4000=AJ$5),'1994 E Maize Soil VWC'!$F$2:$F$4000)</f>
        <v>0.25793632609308881</v>
      </c>
      <c r="AK94" s="4" cm="1">
        <f t="array" ref="AK94">_xlfn.XLOOKUP(1,('1994 E Maize Soil VWC'!$C$2:$C$4000=$AA94)*('1994 E Maize Soil VWC'!$D$2:$D$4000=$AB94)*('1994 E Maize Soil VWC'!$E$2:$E$4000=AK$5),'1994 E Maize Soil VWC'!$F$2:$F$4000)</f>
        <v>0.25748785079801051</v>
      </c>
      <c r="AL94" s="4" cm="1">
        <f t="array" ref="AL94">_xlfn.XLOOKUP(1,('1994 E Maize Soil VWC'!$C$2:$C$4000=$AA94)*('1994 E Maize Soil VWC'!$D$2:$D$4000=$AB94)*('1994 E Maize Soil VWC'!$E$2:$E$4000=AL$5),'1994 E Maize Soil VWC'!$F$2:$F$4000)</f>
        <v>0.26432050382302724</v>
      </c>
      <c r="AM94" s="4" t="e" cm="1">
        <f t="array" ref="AM94">_xlfn.XLOOKUP(1,('1994 E Maize Soil VWC'!$C$2:$C$4000=$AA94)*('1994 E Maize Soil VWC'!$D$2:$D$4000=$AB94)*('1994 E Maize Soil VWC'!$E$2:$E$4000=AM$5),'1994 E Maize Soil VWC'!$F$2:$F$4000)</f>
        <v>#N/A</v>
      </c>
      <c r="AN94" s="4" t="e" cm="1">
        <f t="array" ref="AN94">_xlfn.XLOOKUP(1,('1994 E Maize Soil VWC'!$C$2:$C$4000=$AA94)*('1994 E Maize Soil VWC'!$D$2:$D$4000=$AB94)*('1994 E Maize Soil VWC'!$E$2:$E$4000=AN$5),'1994 E Maize Soil VWC'!$F$2:$F$4000)</f>
        <v>#N/A</v>
      </c>
    </row>
    <row r="95" spans="25:40" x14ac:dyDescent="0.25">
      <c r="AA95" s="19">
        <f t="shared" si="12"/>
        <v>34544</v>
      </c>
      <c r="AB95" s="4">
        <f t="shared" si="13"/>
        <v>230</v>
      </c>
      <c r="AC95" s="4" cm="1">
        <f t="array" ref="AC95">_xlfn.XLOOKUP(1,('1994 E Maize Soil VWC'!$C$2:$C$4000=$AA95)*('1994 E Maize Soil VWC'!$D$2:$D$4000=$AB95)*('1994 E Maize Soil VWC'!$E$2:$E$4000=AC$5),'1994 E Maize Soil VWC'!$F$2:$F$4000)</f>
        <v>0.17541687179867863</v>
      </c>
      <c r="AD95" s="4" cm="1">
        <f t="array" ref="AD95">_xlfn.XLOOKUP(1,('1994 E Maize Soil VWC'!$C$2:$C$4000=$AA95)*('1994 E Maize Soil VWC'!$D$2:$D$4000=$AB95)*('1994 E Maize Soil VWC'!$E$2:$E$4000=AD$5),'1994 E Maize Soil VWC'!$F$2:$F$4000)</f>
        <v>0.23414075455422761</v>
      </c>
      <c r="AE95" s="4" cm="1">
        <f t="array" ref="AE95">_xlfn.XLOOKUP(1,('1994 E Maize Soil VWC'!$C$2:$C$4000=$AA95)*('1994 E Maize Soil VWC'!$D$2:$D$4000=$AB95)*('1994 E Maize Soil VWC'!$E$2:$E$4000=AE$5),'1994 E Maize Soil VWC'!$F$2:$F$4000)</f>
        <v>0.24026112328706106</v>
      </c>
      <c r="AF95" s="4" cm="1">
        <f t="array" ref="AF95">_xlfn.XLOOKUP(1,('1994 E Maize Soil VWC'!$C$2:$C$4000=$AA95)*('1994 E Maize Soil VWC'!$D$2:$D$4000=$AB95)*('1994 E Maize Soil VWC'!$E$2:$E$4000=AF$5),'1994 E Maize Soil VWC'!$F$2:$F$4000)</f>
        <v>0.26310698243634473</v>
      </c>
      <c r="AG95" s="4" t="e" cm="1">
        <f t="array" ref="AG95">_xlfn.XLOOKUP(1,('1994 E Maize Soil VWC'!$C$2:$C$4000=$AA95)*('1994 E Maize Soil VWC'!$D$2:$D$4000=$AB95)*('1994 E Maize Soil VWC'!$E$2:$E$4000=AG$5),'1994 E Maize Soil VWC'!$F$2:$F$4000)</f>
        <v>#N/A</v>
      </c>
      <c r="AH95" s="4" t="e" cm="1">
        <f t="array" ref="AH95">_xlfn.XLOOKUP(1,('1994 E Maize Soil VWC'!$C$2:$C$4000=$AA95)*('1994 E Maize Soil VWC'!$D$2:$D$4000=$AB95)*('1994 E Maize Soil VWC'!$E$2:$E$4000=AH$5),'1994 E Maize Soil VWC'!$F$2:$F$4000)</f>
        <v>#N/A</v>
      </c>
      <c r="AI95" s="4" cm="1">
        <f t="array" ref="AI95">_xlfn.XLOOKUP(1,('1994 E Maize Soil VWC'!$C$2:$C$4000=$AA95)*('1994 E Maize Soil VWC'!$D$2:$D$4000=$AB95)*('1994 E Maize Soil VWC'!$E$2:$E$4000=AI$5),'1994 E Maize Soil VWC'!$F$2:$F$4000)</f>
        <v>0.25941365647687625</v>
      </c>
      <c r="AJ95" s="4" cm="1">
        <f t="array" ref="AJ95">_xlfn.XLOOKUP(1,('1994 E Maize Soil VWC'!$C$2:$C$4000=$AA95)*('1994 E Maize Soil VWC'!$D$2:$D$4000=$AB95)*('1994 E Maize Soil VWC'!$E$2:$E$4000=AJ$5),'1994 E Maize Soil VWC'!$F$2:$F$4000)</f>
        <v>0.25453319003043573</v>
      </c>
      <c r="AK95" s="4" cm="1">
        <f t="array" ref="AK95">_xlfn.XLOOKUP(1,('1994 E Maize Soil VWC'!$C$2:$C$4000=$AA95)*('1994 E Maize Soil VWC'!$D$2:$D$4000=$AB95)*('1994 E Maize Soil VWC'!$E$2:$E$4000=AK$5),'1994 E Maize Soil VWC'!$F$2:$F$4000)</f>
        <v>0.25326690684433223</v>
      </c>
      <c r="AL95" s="4" cm="1">
        <f t="array" ref="AL95">_xlfn.XLOOKUP(1,('1994 E Maize Soil VWC'!$C$2:$C$4000=$AA95)*('1994 E Maize Soil VWC'!$D$2:$D$4000=$AB95)*('1994 E Maize Soil VWC'!$E$2:$E$4000=AL$5),'1994 E Maize Soil VWC'!$F$2:$F$4000)</f>
        <v>0.26123393855689997</v>
      </c>
      <c r="AM95" s="4" t="e" cm="1">
        <f t="array" ref="AM95">_xlfn.XLOOKUP(1,('1994 E Maize Soil VWC'!$C$2:$C$4000=$AA95)*('1994 E Maize Soil VWC'!$D$2:$D$4000=$AB95)*('1994 E Maize Soil VWC'!$E$2:$E$4000=AM$5),'1994 E Maize Soil VWC'!$F$2:$F$4000)</f>
        <v>#N/A</v>
      </c>
      <c r="AN95" s="4" t="e" cm="1">
        <f t="array" ref="AN95">_xlfn.XLOOKUP(1,('1994 E Maize Soil VWC'!$C$2:$C$4000=$AA95)*('1994 E Maize Soil VWC'!$D$2:$D$4000=$AB95)*('1994 E Maize Soil VWC'!$E$2:$E$4000=AN$5),'1994 E Maize Soil VWC'!$F$2:$F$4000)</f>
        <v>#N/A</v>
      </c>
    </row>
    <row r="96" spans="25:40" x14ac:dyDescent="0.25">
      <c r="AA96" s="19"/>
    </row>
    <row r="97" spans="25:40" x14ac:dyDescent="0.25">
      <c r="Y97" s="4">
        <f>Y84</f>
        <v>1994</v>
      </c>
      <c r="Z97" s="4">
        <v>223</v>
      </c>
      <c r="AA97" s="19">
        <f>DATE(Y97,1,Z97)</f>
        <v>34557</v>
      </c>
      <c r="AB97" s="4">
        <v>10</v>
      </c>
      <c r="AC97" s="4" cm="1">
        <f t="array" ref="AC97">_xlfn.XLOOKUP(1,('1994 E Maize Soil VWC'!$C$2:$C$4000=$AA97)*('1994 E Maize Soil VWC'!$D$2:$D$4000=$AB97)*('1994 E Maize Soil VWC'!$E$2:$E$4000=AC$5),'1994 E Maize Soil VWC'!$F$2:$F$4000)</f>
        <v>0.31049155975577164</v>
      </c>
      <c r="AD97" s="4" cm="1">
        <f t="array" ref="AD97">_xlfn.XLOOKUP(1,('1994 E Maize Soil VWC'!$C$2:$C$4000=$AA97)*('1994 E Maize Soil VWC'!$D$2:$D$4000=$AB97)*('1994 E Maize Soil VWC'!$E$2:$E$4000=AD$5),'1994 E Maize Soil VWC'!$F$2:$F$4000)</f>
        <v>0.27845187714868974</v>
      </c>
      <c r="AE97" s="4" cm="1">
        <f t="array" ref="AE97">_xlfn.XLOOKUP(1,('1994 E Maize Soil VWC'!$C$2:$C$4000=$AA97)*('1994 E Maize Soil VWC'!$D$2:$D$4000=$AB97)*('1994 E Maize Soil VWC'!$E$2:$E$4000=AE$5),'1994 E Maize Soil VWC'!$F$2:$F$4000)</f>
        <v>0.29085069891396326</v>
      </c>
      <c r="AF97" s="4" cm="1">
        <f t="array" ref="AF97">_xlfn.XLOOKUP(1,('1994 E Maize Soil VWC'!$C$2:$C$4000=$AA97)*('1994 E Maize Soil VWC'!$D$2:$D$4000=$AB97)*('1994 E Maize Soil VWC'!$E$2:$E$4000=AF$5),'1994 E Maize Soil VWC'!$F$2:$F$4000)</f>
        <v>0.31240774130131393</v>
      </c>
      <c r="AG97" s="4" cm="1">
        <f t="array" ref="AG97">_xlfn.XLOOKUP(1,('1994 E Maize Soil VWC'!$C$2:$C$4000=$AA97)*('1994 E Maize Soil VWC'!$D$2:$D$4000=$AB97)*('1994 E Maize Soil VWC'!$E$2:$E$4000=AG$5),'1994 E Maize Soil VWC'!$F$2:$F$4000)</f>
        <v>0.30860355735060502</v>
      </c>
      <c r="AH97" s="4" cm="1">
        <f t="array" ref="AH97">_xlfn.XLOOKUP(1,('1994 E Maize Soil VWC'!$C$2:$C$4000=$AA97)*('1994 E Maize Soil VWC'!$D$2:$D$4000=$AB97)*('1994 E Maize Soil VWC'!$E$2:$E$4000=AH$5),'1994 E Maize Soil VWC'!$F$2:$F$4000)</f>
        <v>0.27312601961769728</v>
      </c>
      <c r="AI97" s="4" cm="1">
        <f t="array" ref="AI97">_xlfn.XLOOKUP(1,('1994 E Maize Soil VWC'!$C$2:$C$4000=$AA97)*('1994 E Maize Soil VWC'!$D$2:$D$4000=$AB97)*('1994 E Maize Soil VWC'!$E$2:$E$4000=AI$5),'1994 E Maize Soil VWC'!$F$2:$F$4000)</f>
        <v>0.27800101090267981</v>
      </c>
      <c r="AJ97" s="4" t="e" cm="1">
        <f t="array" ref="AJ97">_xlfn.XLOOKUP(1,('1994 E Maize Soil VWC'!$C$2:$C$4000=$AA97)*('1994 E Maize Soil VWC'!$D$2:$D$4000=$AB97)*('1994 E Maize Soil VWC'!$E$2:$E$4000=AJ$5),'1994 E Maize Soil VWC'!$F$2:$F$4000)</f>
        <v>#N/A</v>
      </c>
      <c r="AK97" s="4" cm="1">
        <f t="array" ref="AK97">_xlfn.XLOOKUP(1,('1994 E Maize Soil VWC'!$C$2:$C$4000=$AA97)*('1994 E Maize Soil VWC'!$D$2:$D$4000=$AB97)*('1994 E Maize Soil VWC'!$E$2:$E$4000=AK$5),'1994 E Maize Soil VWC'!$F$2:$F$4000)</f>
        <v>0.2916397148444807</v>
      </c>
      <c r="AL97" s="4" cm="1">
        <f t="array" ref="AL97">_xlfn.XLOOKUP(1,('1994 E Maize Soil VWC'!$C$2:$C$4000=$AA97)*('1994 E Maize Soil VWC'!$D$2:$D$4000=$AB97)*('1994 E Maize Soil VWC'!$E$2:$E$4000=AL$5),'1994 E Maize Soil VWC'!$F$2:$F$4000)</f>
        <v>0.29606383988345331</v>
      </c>
      <c r="AM97" s="4" cm="1">
        <f t="array" ref="AM97">_xlfn.XLOOKUP(1,('1994 E Maize Soil VWC'!$C$2:$C$4000=$AA97)*('1994 E Maize Soil VWC'!$D$2:$D$4000=$AB97)*('1994 E Maize Soil VWC'!$E$2:$E$4000=AM$5),'1994 E Maize Soil VWC'!$F$2:$F$4000)</f>
        <v>0.28625749903273695</v>
      </c>
      <c r="AN97" s="4" cm="1">
        <f t="array" ref="AN97">_xlfn.XLOOKUP(1,('1994 E Maize Soil VWC'!$C$2:$C$4000=$AA97)*('1994 E Maize Soil VWC'!$D$2:$D$4000=$AB97)*('1994 E Maize Soil VWC'!$E$2:$E$4000=AN$5),'1994 E Maize Soil VWC'!$F$2:$F$4000)</f>
        <v>0.2652922185932744</v>
      </c>
    </row>
    <row r="98" spans="25:40" x14ac:dyDescent="0.25">
      <c r="AA98" s="19">
        <f t="shared" ref="AA98:AA108" si="14">AA97</f>
        <v>34557</v>
      </c>
      <c r="AB98" s="4">
        <f t="shared" ref="AB98:AB108" si="15">AB97+20</f>
        <v>30</v>
      </c>
      <c r="AC98" s="4" cm="1">
        <f t="array" ref="AC98">_xlfn.XLOOKUP(1,('1994 E Maize Soil VWC'!$C$2:$C$4000=$AA98)*('1994 E Maize Soil VWC'!$D$2:$D$4000=$AB98)*('1994 E Maize Soil VWC'!$E$2:$E$4000=AC$5),'1994 E Maize Soil VWC'!$F$2:$F$4000)</f>
        <v>0.24907607861950359</v>
      </c>
      <c r="AD98" s="4" cm="1">
        <f t="array" ref="AD98">_xlfn.XLOOKUP(1,('1994 E Maize Soil VWC'!$C$2:$C$4000=$AA98)*('1994 E Maize Soil VWC'!$D$2:$D$4000=$AB98)*('1994 E Maize Soil VWC'!$E$2:$E$4000=AD$5),'1994 E Maize Soil VWC'!$F$2:$F$4000)</f>
        <v>0.21244593118798399</v>
      </c>
      <c r="AE98" s="4" cm="1">
        <f t="array" ref="AE98">_xlfn.XLOOKUP(1,('1994 E Maize Soil VWC'!$C$2:$C$4000=$AA98)*('1994 E Maize Soil VWC'!$D$2:$D$4000=$AB98)*('1994 E Maize Soil VWC'!$E$2:$E$4000=AE$5),'1994 E Maize Soil VWC'!$F$2:$F$4000)</f>
        <v>0.22662118613070048</v>
      </c>
      <c r="AF98" s="4" cm="1">
        <f t="array" ref="AF98">_xlfn.XLOOKUP(1,('1994 E Maize Soil VWC'!$C$2:$C$4000=$AA98)*('1994 E Maize Soil VWC'!$D$2:$D$4000=$AB98)*('1994 E Maize Soil VWC'!$E$2:$E$4000=AF$5),'1994 E Maize Soil VWC'!$F$2:$F$4000)</f>
        <v>0.25126679983792344</v>
      </c>
      <c r="AG98" s="4" cm="1">
        <f t="array" ref="AG98">_xlfn.XLOOKUP(1,('1994 E Maize Soil VWC'!$C$2:$C$4000=$AA98)*('1994 E Maize Soil VWC'!$D$2:$D$4000=$AB98)*('1994 E Maize Soil VWC'!$E$2:$E$4000=AG$5),'1994 E Maize Soil VWC'!$F$2:$F$4000)</f>
        <v>0.24691757388958996</v>
      </c>
      <c r="AH98" s="4" cm="1">
        <f t="array" ref="AH98">_xlfn.XLOOKUP(1,('1994 E Maize Soil VWC'!$C$2:$C$4000=$AA98)*('1994 E Maize Soil VWC'!$D$2:$D$4000=$AB98)*('1994 E Maize Soil VWC'!$E$2:$E$4000=AH$5),'1994 E Maize Soil VWC'!$F$2:$F$4000)</f>
        <v>0.20635701486031721</v>
      </c>
      <c r="AI98" s="4" cm="1">
        <f t="array" ref="AI98">_xlfn.XLOOKUP(1,('1994 E Maize Soil VWC'!$C$2:$C$4000=$AA98)*('1994 E Maize Soil VWC'!$D$2:$D$4000=$AB98)*('1994 E Maize Soil VWC'!$E$2:$E$4000=AI$5),'1994 E Maize Soil VWC'!$F$2:$F$4000)</f>
        <v>0.21193046737188526</v>
      </c>
      <c r="AJ98" s="4" t="e" cm="1">
        <f t="array" ref="AJ98">_xlfn.XLOOKUP(1,('1994 E Maize Soil VWC'!$C$2:$C$4000=$AA98)*('1994 E Maize Soil VWC'!$D$2:$D$4000=$AB98)*('1994 E Maize Soil VWC'!$E$2:$E$4000=AJ$5),'1994 E Maize Soil VWC'!$F$2:$F$4000)</f>
        <v>#N/A</v>
      </c>
      <c r="AK98" s="4" cm="1">
        <f t="array" ref="AK98">_xlfn.XLOOKUP(1,('1994 E Maize Soil VWC'!$C$2:$C$4000=$AA98)*('1994 E Maize Soil VWC'!$D$2:$D$4000=$AB98)*('1994 E Maize Soil VWC'!$E$2:$E$4000=AK$5),'1994 E Maize Soil VWC'!$F$2:$F$4000)</f>
        <v>0.22752324780887334</v>
      </c>
      <c r="AL98" s="4" cm="1">
        <f t="array" ref="AL98">_xlfn.XLOOKUP(1,('1994 E Maize Soil VWC'!$C$2:$C$4000=$AA98)*('1994 E Maize Soil VWC'!$D$2:$D$4000=$AB98)*('1994 E Maize Soil VWC'!$E$2:$E$4000=AL$5),'1994 E Maize Soil VWC'!$F$2:$F$4000)</f>
        <v>0.23258123650434265</v>
      </c>
      <c r="AM98" s="4" cm="1">
        <f t="array" ref="AM98">_xlfn.XLOOKUP(1,('1994 E Maize Soil VWC'!$C$2:$C$4000=$AA98)*('1994 E Maize Soil VWC'!$D$2:$D$4000=$AB98)*('1994 E Maize Soil VWC'!$E$2:$E$4000=AM$5),'1994 E Maize Soil VWC'!$F$2:$F$4000)</f>
        <v>0.22136989850419414</v>
      </c>
      <c r="AN98" s="4" cm="1">
        <f t="array" ref="AN98">_xlfn.XLOOKUP(1,('1994 E Maize Soil VWC'!$C$2:$C$4000=$AA98)*('1994 E Maize Soil VWC'!$D$2:$D$4000=$AB98)*('1994 E Maize Soil VWC'!$E$2:$E$4000=AN$5),'1994 E Maize Soil VWC'!$F$2:$F$4000)</f>
        <v>0.19740083105560086</v>
      </c>
    </row>
    <row r="99" spans="25:40" x14ac:dyDescent="0.25">
      <c r="AA99" s="19">
        <f t="shared" si="14"/>
        <v>34557</v>
      </c>
      <c r="AB99" s="4">
        <f t="shared" si="15"/>
        <v>50</v>
      </c>
      <c r="AC99" s="4" cm="1">
        <f t="array" ref="AC99">_xlfn.XLOOKUP(1,('1994 E Maize Soil VWC'!$C$2:$C$4000=$AA99)*('1994 E Maize Soil VWC'!$D$2:$D$4000=$AB99)*('1994 E Maize Soil VWC'!$E$2:$E$4000=AC$5),'1994 E Maize Soil VWC'!$F$2:$F$4000)</f>
        <v>0.30149230541904831</v>
      </c>
      <c r="AD99" s="4" cm="1">
        <f t="array" ref="AD99">_xlfn.XLOOKUP(1,('1994 E Maize Soil VWC'!$C$2:$C$4000=$AA99)*('1994 E Maize Soil VWC'!$D$2:$D$4000=$AB99)*('1994 E Maize Soil VWC'!$E$2:$E$4000=AD$5),'1994 E Maize Soil VWC'!$F$2:$F$4000)</f>
        <v>0.27478483644743029</v>
      </c>
      <c r="AE99" s="4" cm="1">
        <f t="array" ref="AE99">_xlfn.XLOOKUP(1,('1994 E Maize Soil VWC'!$C$2:$C$4000=$AA99)*('1994 E Maize Soil VWC'!$D$2:$D$4000=$AB99)*('1994 E Maize Soil VWC'!$E$2:$E$4000=AE$5),'1994 E Maize Soil VWC'!$F$2:$F$4000)</f>
        <v>0.30075132618340628</v>
      </c>
      <c r="AF99" s="4" cm="1">
        <f t="array" ref="AF99">_xlfn.XLOOKUP(1,('1994 E Maize Soil VWC'!$C$2:$C$4000=$AA99)*('1994 E Maize Soil VWC'!$D$2:$D$4000=$AB99)*('1994 E Maize Soil VWC'!$E$2:$E$4000=AF$5),'1994 E Maize Soil VWC'!$F$2:$F$4000)</f>
        <v>0.28850906055106029</v>
      </c>
      <c r="AG99" s="4" cm="1">
        <f t="array" ref="AG99">_xlfn.XLOOKUP(1,('1994 E Maize Soil VWC'!$C$2:$C$4000=$AA99)*('1994 E Maize Soil VWC'!$D$2:$D$4000=$AB99)*('1994 E Maize Soil VWC'!$E$2:$E$4000=AG$5),'1994 E Maize Soil VWC'!$F$2:$F$4000)</f>
        <v>0.2726263317175166</v>
      </c>
      <c r="AH99" s="4" cm="1">
        <f t="array" ref="AH99">_xlfn.XLOOKUP(1,('1994 E Maize Soil VWC'!$C$2:$C$4000=$AA99)*('1994 E Maize Soil VWC'!$D$2:$D$4000=$AB99)*('1994 E Maize Soil VWC'!$E$2:$E$4000=AH$5),'1994 E Maize Soil VWC'!$F$2:$F$4000)</f>
        <v>0.26582865264271394</v>
      </c>
      <c r="AI99" s="4" cm="1">
        <f t="array" ref="AI99">_xlfn.XLOOKUP(1,('1994 E Maize Soil VWC'!$C$2:$C$4000=$AA99)*('1994 E Maize Soil VWC'!$D$2:$D$4000=$AB99)*('1994 E Maize Soil VWC'!$E$2:$E$4000=AI$5),'1994 E Maize Soil VWC'!$F$2:$F$4000)</f>
        <v>0.29862503794199885</v>
      </c>
      <c r="AJ99" s="4" t="e" cm="1">
        <f t="array" ref="AJ99">_xlfn.XLOOKUP(1,('1994 E Maize Soil VWC'!$C$2:$C$4000=$AA99)*('1994 E Maize Soil VWC'!$D$2:$D$4000=$AB99)*('1994 E Maize Soil VWC'!$E$2:$E$4000=AJ$5),'1994 E Maize Soil VWC'!$F$2:$F$4000)</f>
        <v>#N/A</v>
      </c>
      <c r="AK99" s="4" cm="1">
        <f t="array" ref="AK99">_xlfn.XLOOKUP(1,('1994 E Maize Soil VWC'!$C$2:$C$4000=$AA99)*('1994 E Maize Soil VWC'!$D$2:$D$4000=$AB99)*('1994 E Maize Soil VWC'!$E$2:$E$4000=AK$5),'1994 E Maize Soil VWC'!$F$2:$F$4000)</f>
        <v>0.28090596926360328</v>
      </c>
      <c r="AL99" s="4" cm="1">
        <f t="array" ref="AL99">_xlfn.XLOOKUP(1,('1994 E Maize Soil VWC'!$C$2:$C$4000=$AA99)*('1994 E Maize Soil VWC'!$D$2:$D$4000=$AB99)*('1994 E Maize Soil VWC'!$E$2:$E$4000=AL$5),'1994 E Maize Soil VWC'!$F$2:$F$4000)</f>
        <v>0.28734926696483803</v>
      </c>
      <c r="AM99" s="4" cm="1">
        <f t="array" ref="AM99">_xlfn.XLOOKUP(1,('1994 E Maize Soil VWC'!$C$2:$C$4000=$AA99)*('1994 E Maize Soil VWC'!$D$2:$D$4000=$AB99)*('1994 E Maize Soil VWC'!$E$2:$E$4000=AM$5),'1994 E Maize Soil VWC'!$F$2:$F$4000)</f>
        <v>0.28180803094177609</v>
      </c>
      <c r="AN99" s="4" cm="1">
        <f t="array" ref="AN99">_xlfn.XLOOKUP(1,('1994 E Maize Soil VWC'!$C$2:$C$4000=$AA99)*('1994 E Maize Soil VWC'!$D$2:$D$4000=$AB99)*('1994 E Maize Soil VWC'!$E$2:$E$4000=AN$5),'1994 E Maize Soil VWC'!$F$2:$F$4000)</f>
        <v>0.29076421474649244</v>
      </c>
    </row>
    <row r="100" spans="25:40" x14ac:dyDescent="0.25">
      <c r="AA100" s="19">
        <f t="shared" si="14"/>
        <v>34557</v>
      </c>
      <c r="AB100" s="4">
        <f t="shared" si="15"/>
        <v>70</v>
      </c>
      <c r="AC100" s="4" cm="1">
        <f t="array" ref="AC100">_xlfn.XLOOKUP(1,('1994 E Maize Soil VWC'!$C$2:$C$4000=$AA100)*('1994 E Maize Soil VWC'!$D$2:$D$4000=$AB100)*('1994 E Maize Soil VWC'!$E$2:$E$4000=AC$5),'1994 E Maize Soil VWC'!$F$2:$F$4000)</f>
        <v>0.29195622482122086</v>
      </c>
      <c r="AD100" s="4" cm="1">
        <f t="array" ref="AD100">_xlfn.XLOOKUP(1,('1994 E Maize Soil VWC'!$C$2:$C$4000=$AA100)*('1994 E Maize Soil VWC'!$D$2:$D$4000=$AB100)*('1994 E Maize Soil VWC'!$E$2:$E$4000=AD$5),'1994 E Maize Soil VWC'!$F$2:$F$4000)</f>
        <v>0.23992659588375026</v>
      </c>
      <c r="AE100" s="4" cm="1">
        <f t="array" ref="AE100">_xlfn.XLOOKUP(1,('1994 E Maize Soil VWC'!$C$2:$C$4000=$AA100)*('1994 E Maize Soil VWC'!$D$2:$D$4000=$AB100)*('1994 E Maize Soil VWC'!$E$2:$E$4000=AE$5),'1994 E Maize Soil VWC'!$F$2:$F$4000)</f>
        <v>0.29698199702818401</v>
      </c>
      <c r="AF100" s="4" cm="1">
        <f t="array" ref="AF100">_xlfn.XLOOKUP(1,('1994 E Maize Soil VWC'!$C$2:$C$4000=$AA100)*('1994 E Maize Soil VWC'!$D$2:$D$4000=$AB100)*('1994 E Maize Soil VWC'!$E$2:$E$4000=AF$5),'1994 E Maize Soil VWC'!$F$2:$F$4000)</f>
        <v>0.28483638086135649</v>
      </c>
      <c r="AG100" s="4" cm="1">
        <f t="array" ref="AG100">_xlfn.XLOOKUP(1,('1994 E Maize Soil VWC'!$C$2:$C$4000=$AA100)*('1994 E Maize Soil VWC'!$D$2:$D$4000=$AB100)*('1994 E Maize Soil VWC'!$E$2:$E$4000=AG$5),'1994 E Maize Soil VWC'!$F$2:$F$4000)</f>
        <v>0.24665984198154056</v>
      </c>
      <c r="AH100" s="4" cm="1">
        <f t="array" ref="AH100">_xlfn.XLOOKUP(1,('1994 E Maize Soil VWC'!$C$2:$C$4000=$AA100)*('1994 E Maize Soil VWC'!$D$2:$D$4000=$AB100)*('1994 E Maize Soil VWC'!$E$2:$E$4000=AH$5),'1994 E Maize Soil VWC'!$F$2:$F$4000)</f>
        <v>0.26154385967139282</v>
      </c>
      <c r="AI100" s="4" cm="1">
        <f t="array" ref="AI100">_xlfn.XLOOKUP(1,('1994 E Maize Soil VWC'!$C$2:$C$4000=$AA100)*('1994 E Maize Soil VWC'!$D$2:$D$4000=$AB100)*('1994 E Maize Soil VWC'!$E$2:$E$4000=AI$5),'1994 E Maize Soil VWC'!$F$2:$F$4000)</f>
        <v>0.29997813045925814</v>
      </c>
      <c r="AJ100" s="4" t="e" cm="1">
        <f t="array" ref="AJ100">_xlfn.XLOOKUP(1,('1994 E Maize Soil VWC'!$C$2:$C$4000=$AA100)*('1994 E Maize Soil VWC'!$D$2:$D$4000=$AB100)*('1994 E Maize Soil VWC'!$E$2:$E$4000=AJ$5),'1994 E Maize Soil VWC'!$F$2:$F$4000)</f>
        <v>#N/A</v>
      </c>
      <c r="AK100" s="4" cm="1">
        <f t="array" ref="AK100">_xlfn.XLOOKUP(1,('1994 E Maize Soil VWC'!$C$2:$C$4000=$AA100)*('1994 E Maize Soil VWC'!$D$2:$D$4000=$AB100)*('1994 E Maize Soil VWC'!$E$2:$E$4000=AK$5),'1994 E Maize Soil VWC'!$F$2:$F$4000)</f>
        <v>0.29437246145918389</v>
      </c>
      <c r="AL100" s="4" cm="1">
        <f t="array" ref="AL100">_xlfn.XLOOKUP(1,('1994 E Maize Soil VWC'!$C$2:$C$4000=$AA100)*('1994 E Maize Soil VWC'!$D$2:$D$4000=$AB100)*('1994 E Maize Soil VWC'!$E$2:$E$4000=AL$5),'1994 E Maize Soil VWC'!$F$2:$F$4000)</f>
        <v>0.28093818575210944</v>
      </c>
      <c r="AM100" s="4" cm="1">
        <f t="array" ref="AM100">_xlfn.XLOOKUP(1,('1994 E Maize Soil VWC'!$C$2:$C$4000=$AA100)*('1994 E Maize Soil VWC'!$D$2:$D$4000=$AB100)*('1994 E Maize Soil VWC'!$E$2:$E$4000=AM$5),'1994 E Maize Soil VWC'!$F$2:$F$4000)</f>
        <v>0.28490081383836879</v>
      </c>
      <c r="AN100" s="4" cm="1">
        <f t="array" ref="AN100">_xlfn.XLOOKUP(1,('1994 E Maize Soil VWC'!$C$2:$C$4000=$AA100)*('1994 E Maize Soil VWC'!$D$2:$D$4000=$AB100)*('1994 E Maize Soil VWC'!$E$2:$E$4000=AN$5),'1994 E Maize Soil VWC'!$F$2:$F$4000)</f>
        <v>0.29102194665454179</v>
      </c>
    </row>
    <row r="101" spans="25:40" x14ac:dyDescent="0.25">
      <c r="AA101" s="19">
        <f t="shared" si="14"/>
        <v>34557</v>
      </c>
      <c r="AB101" s="4">
        <f t="shared" si="15"/>
        <v>90</v>
      </c>
      <c r="AC101" s="4" cm="1">
        <f t="array" ref="AC101">_xlfn.XLOOKUP(1,('1994 E Maize Soil VWC'!$C$2:$C$4000=$AA101)*('1994 E Maize Soil VWC'!$D$2:$D$4000=$AB101)*('1994 E Maize Soil VWC'!$E$2:$E$4000=AC$5),'1994 E Maize Soil VWC'!$F$2:$F$4000)</f>
        <v>0.29881833687303588</v>
      </c>
      <c r="AD101" s="4" cm="1">
        <f t="array" ref="AD101">_xlfn.XLOOKUP(1,('1994 E Maize Soil VWC'!$C$2:$C$4000=$AA101)*('1994 E Maize Soil VWC'!$D$2:$D$4000=$AB101)*('1994 E Maize Soil VWC'!$E$2:$E$4000=AD$5),'1994 E Maize Soil VWC'!$F$2:$F$4000)</f>
        <v>0.21682737362482368</v>
      </c>
      <c r="AE101" s="4" cm="1">
        <f t="array" ref="AE101">_xlfn.XLOOKUP(1,('1994 E Maize Soil VWC'!$C$2:$C$4000=$AA101)*('1994 E Maize Soil VWC'!$D$2:$D$4000=$AB101)*('1994 E Maize Soil VWC'!$E$2:$E$4000=AE$5),'1994 E Maize Soil VWC'!$F$2:$F$4000)</f>
        <v>0.29936601717764083</v>
      </c>
      <c r="AF101" s="4" cm="1">
        <f t="array" ref="AF101">_xlfn.XLOOKUP(1,('1994 E Maize Soil VWC'!$C$2:$C$4000=$AA101)*('1994 E Maize Soil VWC'!$D$2:$D$4000=$AB101)*('1994 E Maize Soil VWC'!$E$2:$E$4000=AF$5),'1994 E Maize Soil VWC'!$F$2:$F$4000)</f>
        <v>0.28209797933833169</v>
      </c>
      <c r="AG101" s="4" cm="1">
        <f t="array" ref="AG101">_xlfn.XLOOKUP(1,('1994 E Maize Soil VWC'!$C$2:$C$4000=$AA101)*('1994 E Maize Soil VWC'!$D$2:$D$4000=$AB101)*('1994 E Maize Soil VWC'!$E$2:$E$4000=AG$5),'1994 E Maize Soil VWC'!$F$2:$F$4000)</f>
        <v>0.21180160141786059</v>
      </c>
      <c r="AH101" s="4" cm="1">
        <f t="array" ref="AH101">_xlfn.XLOOKUP(1,('1994 E Maize Soil VWC'!$C$2:$C$4000=$AA101)*('1994 E Maize Soil VWC'!$D$2:$D$4000=$AB101)*('1994 E Maize Soil VWC'!$E$2:$E$4000=AH$5),'1994 E Maize Soil VWC'!$F$2:$F$4000)</f>
        <v>0.2597397363150471</v>
      </c>
      <c r="AI101" s="4" cm="1">
        <f t="array" ref="AI101">_xlfn.XLOOKUP(1,('1994 E Maize Soil VWC'!$C$2:$C$4000=$AA101)*('1994 E Maize Soil VWC'!$D$2:$D$4000=$AB101)*('1994 E Maize Soil VWC'!$E$2:$E$4000=AI$5),'1994 E Maize Soil VWC'!$F$2:$F$4000)</f>
        <v>0.29733637840175192</v>
      </c>
      <c r="AJ101" s="4" t="e" cm="1">
        <f t="array" ref="AJ101">_xlfn.XLOOKUP(1,('1994 E Maize Soil VWC'!$C$2:$C$4000=$AA101)*('1994 E Maize Soil VWC'!$D$2:$D$4000=$AB101)*('1994 E Maize Soil VWC'!$E$2:$E$4000=AJ$5),'1994 E Maize Soil VWC'!$F$2:$F$4000)</f>
        <v>#N/A</v>
      </c>
      <c r="AK101" s="4" cm="1">
        <f t="array" ref="AK101">_xlfn.XLOOKUP(1,('1994 E Maize Soil VWC'!$C$2:$C$4000=$AA101)*('1994 E Maize Soil VWC'!$D$2:$D$4000=$AB101)*('1994 E Maize Soil VWC'!$E$2:$E$4000=AK$5),'1994 E Maize Soil VWC'!$F$2:$F$4000)</f>
        <v>0.29962374908569023</v>
      </c>
      <c r="AL101" s="4" cm="1">
        <f t="array" ref="AL101">_xlfn.XLOOKUP(1,('1994 E Maize Soil VWC'!$C$2:$C$4000=$AA101)*('1994 E Maize Soil VWC'!$D$2:$D$4000=$AB101)*('1994 E Maize Soil VWC'!$E$2:$E$4000=AL$5),'1994 E Maize Soil VWC'!$F$2:$F$4000)</f>
        <v>0.27910184590725751</v>
      </c>
      <c r="AM101" s="4" cm="1">
        <f t="array" ref="AM101">_xlfn.XLOOKUP(1,('1994 E Maize Soil VWC'!$C$2:$C$4000=$AA101)*('1994 E Maize Soil VWC'!$D$2:$D$4000=$AB101)*('1994 E Maize Soil VWC'!$E$2:$E$4000=AM$5),'1994 E Maize Soil VWC'!$F$2:$F$4000)</f>
        <v>0.29772297626382599</v>
      </c>
      <c r="AN101" s="4" cm="1">
        <f t="array" ref="AN101">_xlfn.XLOOKUP(1,('1994 E Maize Soil VWC'!$C$2:$C$4000=$AA101)*('1994 E Maize Soil VWC'!$D$2:$D$4000=$AB101)*('1994 E Maize Soil VWC'!$E$2:$E$4000=AN$5),'1994 E Maize Soil VWC'!$F$2:$F$4000)</f>
        <v>0.30348972770643107</v>
      </c>
    </row>
    <row r="102" spans="25:40" x14ac:dyDescent="0.25">
      <c r="AA102" s="19">
        <f t="shared" si="14"/>
        <v>34557</v>
      </c>
      <c r="AB102" s="4">
        <f t="shared" si="15"/>
        <v>110</v>
      </c>
      <c r="AC102" s="4" cm="1">
        <f t="array" ref="AC102">_xlfn.XLOOKUP(1,('1994 E Maize Soil VWC'!$C$2:$C$4000=$AA102)*('1994 E Maize Soil VWC'!$D$2:$D$4000=$AB102)*('1994 E Maize Soil VWC'!$E$2:$E$4000=AC$5),'1994 E Maize Soil VWC'!$F$2:$F$4000)</f>
        <v>0.29736859489025808</v>
      </c>
      <c r="AD102" s="4" cm="1">
        <f t="array" ref="AD102">_xlfn.XLOOKUP(1,('1994 E Maize Soil VWC'!$C$2:$C$4000=$AA102)*('1994 E Maize Soil VWC'!$D$2:$D$4000=$AB102)*('1994 E Maize Soil VWC'!$E$2:$E$4000=AD$5),'1994 E Maize Soil VWC'!$F$2:$F$4000)</f>
        <v>0.23760700871130574</v>
      </c>
      <c r="AE102" s="4" cm="1">
        <f t="array" ref="AE102">_xlfn.XLOOKUP(1,('1994 E Maize Soil VWC'!$C$2:$C$4000=$AA102)*('1994 E Maize Soil VWC'!$D$2:$D$4000=$AB102)*('1994 E Maize Soil VWC'!$E$2:$E$4000=AE$5),'1994 E Maize Soil VWC'!$F$2:$F$4000)</f>
        <v>0.29453354390171477</v>
      </c>
      <c r="AF102" s="4" cm="1">
        <f t="array" ref="AF102">_xlfn.XLOOKUP(1,('1994 E Maize Soil VWC'!$C$2:$C$4000=$AA102)*('1994 E Maize Soil VWC'!$D$2:$D$4000=$AB102)*('1994 E Maize Soil VWC'!$E$2:$E$4000=AF$5),'1994 E Maize Soil VWC'!$F$2:$F$4000)</f>
        <v>0.29124746207408503</v>
      </c>
      <c r="AG102" s="4" cm="1">
        <f t="array" ref="AG102">_xlfn.XLOOKUP(1,('1994 E Maize Soil VWC'!$C$2:$C$4000=$AA102)*('1994 E Maize Soil VWC'!$D$2:$D$4000=$AB102)*('1994 E Maize Soil VWC'!$E$2:$E$4000=AG$5),'1994 E Maize Soil VWC'!$F$2:$F$4000)</f>
        <v>0.23174360780318209</v>
      </c>
      <c r="AH102" s="4" cm="1">
        <f t="array" ref="AH102">_xlfn.XLOOKUP(1,('1994 E Maize Soil VWC'!$C$2:$C$4000=$AA102)*('1994 E Maize Soil VWC'!$D$2:$D$4000=$AB102)*('1994 E Maize Soil VWC'!$E$2:$E$4000=AH$5),'1994 E Maize Soil VWC'!$F$2:$F$4000)</f>
        <v>0.26834153874619548</v>
      </c>
      <c r="AI102" s="4" cm="1">
        <f t="array" ref="AI102">_xlfn.XLOOKUP(1,('1994 E Maize Soil VWC'!$C$2:$C$4000=$AA102)*('1994 E Maize Soil VWC'!$D$2:$D$4000=$AB102)*('1994 E Maize Soil VWC'!$E$2:$E$4000=AI$5),'1994 E Maize Soil VWC'!$F$2:$F$4000)</f>
        <v>0.30703354144211015</v>
      </c>
      <c r="AJ102" s="4" t="e" cm="1">
        <f t="array" ref="AJ102">_xlfn.XLOOKUP(1,('1994 E Maize Soil VWC'!$C$2:$C$4000=$AA102)*('1994 E Maize Soil VWC'!$D$2:$D$4000=$AB102)*('1994 E Maize Soil VWC'!$E$2:$E$4000=AJ$5),'1994 E Maize Soil VWC'!$F$2:$F$4000)</f>
        <v>#N/A</v>
      </c>
      <c r="AK102" s="4" cm="1">
        <f t="array" ref="AK102">_xlfn.XLOOKUP(1,('1994 E Maize Soil VWC'!$C$2:$C$4000=$AA102)*('1994 E Maize Soil VWC'!$D$2:$D$4000=$AB102)*('1994 E Maize Soil VWC'!$E$2:$E$4000=AK$5),'1994 E Maize Soil VWC'!$F$2:$F$4000)</f>
        <v>0.29711086298220868</v>
      </c>
      <c r="AL102" s="4" cm="1">
        <f t="array" ref="AL102">_xlfn.XLOOKUP(1,('1994 E Maize Soil VWC'!$C$2:$C$4000=$AA102)*('1994 E Maize Soil VWC'!$D$2:$D$4000=$AB102)*('1994 E Maize Soil VWC'!$E$2:$E$4000=AL$5),'1994 E Maize Soil VWC'!$F$2:$F$4000)</f>
        <v>0.25680803586098527</v>
      </c>
      <c r="AM102" s="4" cm="1">
        <f t="array" ref="AM102">_xlfn.XLOOKUP(1,('1994 E Maize Soil VWC'!$C$2:$C$4000=$AA102)*('1994 E Maize Soil VWC'!$D$2:$D$4000=$AB102)*('1994 E Maize Soil VWC'!$E$2:$E$4000=AM$5),'1994 E Maize Soil VWC'!$F$2:$F$4000)</f>
        <v>0.29562890451092472</v>
      </c>
      <c r="AN102" s="4" cm="1">
        <f t="array" ref="AN102">_xlfn.XLOOKUP(1,('1994 E Maize Soil VWC'!$C$2:$C$4000=$AA102)*('1994 E Maize Soil VWC'!$D$2:$D$4000=$AB102)*('1994 E Maize Soil VWC'!$E$2:$E$4000=AN$5),'1994 E Maize Soil VWC'!$F$2:$F$4000)</f>
        <v>0.29665983214312219</v>
      </c>
    </row>
    <row r="103" spans="25:40" x14ac:dyDescent="0.25">
      <c r="AA103" s="19">
        <f t="shared" si="14"/>
        <v>34557</v>
      </c>
      <c r="AB103" s="4">
        <f t="shared" si="15"/>
        <v>130</v>
      </c>
      <c r="AC103" s="4" cm="1">
        <f t="array" ref="AC103">_xlfn.XLOOKUP(1,('1994 E Maize Soil VWC'!$C$2:$C$4000=$AA103)*('1994 E Maize Soil VWC'!$D$2:$D$4000=$AB103)*('1994 E Maize Soil VWC'!$E$2:$E$4000=AC$5),'1994 E Maize Soil VWC'!$F$2:$F$4000)</f>
        <v>0.27004515906020338</v>
      </c>
      <c r="AD103" s="4" cm="1">
        <f t="array" ref="AD103">_xlfn.XLOOKUP(1,('1994 E Maize Soil VWC'!$C$2:$C$4000=$AA103)*('1994 E Maize Soil VWC'!$D$2:$D$4000=$AB103)*('1994 E Maize Soil VWC'!$E$2:$E$4000=AD$5),'1994 E Maize Soil VWC'!$F$2:$F$4000)</f>
        <v>0.21158508530175932</v>
      </c>
      <c r="AE103" s="4" cm="1">
        <f t="array" ref="AE103">_xlfn.XLOOKUP(1,('1994 E Maize Soil VWC'!$C$2:$C$4000=$AA103)*('1994 E Maize Soil VWC'!$D$2:$D$4000=$AB103)*('1994 E Maize Soil VWC'!$E$2:$E$4000=AE$5),'1994 E Maize Soil VWC'!$F$2:$F$4000)</f>
        <v>0.27447715021156555</v>
      </c>
      <c r="AF103" s="4" cm="1">
        <f t="array" ref="AF103">_xlfn.XLOOKUP(1,('1994 E Maize Soil VWC'!$C$2:$C$4000=$AA103)*('1994 E Maize Soil VWC'!$D$2:$D$4000=$AB103)*('1994 E Maize Soil VWC'!$E$2:$E$4000=AF$5),'1994 E Maize Soil VWC'!$F$2:$F$4000)</f>
        <v>0.26603526230420904</v>
      </c>
      <c r="AG103" s="4" cm="1">
        <f t="array" ref="AG103">_xlfn.XLOOKUP(1,('1994 E Maize Soil VWC'!$C$2:$C$4000=$AA103)*('1994 E Maize Soil VWC'!$D$2:$D$4000=$AB103)*('1994 E Maize Soil VWC'!$E$2:$E$4000=AG$5),'1994 E Maize Soil VWC'!$F$2:$F$4000)</f>
        <v>0.22200554068740253</v>
      </c>
      <c r="AH103" s="4" cm="1">
        <f t="array" ref="AH103">_xlfn.XLOOKUP(1,('1994 E Maize Soil VWC'!$C$2:$C$4000=$AA103)*('1994 E Maize Soil VWC'!$D$2:$D$4000=$AB103)*('1994 E Maize Soil VWC'!$E$2:$E$4000=AH$5),'1994 E Maize Soil VWC'!$F$2:$F$4000)</f>
        <v>0.24268816606042609</v>
      </c>
      <c r="AI103" s="4" cm="1">
        <f t="array" ref="AI103">_xlfn.XLOOKUP(1,('1994 E Maize Soil VWC'!$C$2:$C$4000=$AA103)*('1994 E Maize Soil VWC'!$D$2:$D$4000=$AB103)*('1994 E Maize Soil VWC'!$E$2:$E$4000=AI$5),'1994 E Maize Soil VWC'!$F$2:$F$4000)</f>
        <v>0.27814409527132355</v>
      </c>
      <c r="AJ103" s="4" t="e" cm="1">
        <f t="array" ref="AJ103">_xlfn.XLOOKUP(1,('1994 E Maize Soil VWC'!$C$2:$C$4000=$AA103)*('1994 E Maize Soil VWC'!$D$2:$D$4000=$AB103)*('1994 E Maize Soil VWC'!$E$2:$E$4000=AJ$5),'1994 E Maize Soil VWC'!$F$2:$F$4000)</f>
        <v>#N/A</v>
      </c>
      <c r="AK103" s="4" cm="1">
        <f t="array" ref="AK103">_xlfn.XLOOKUP(1,('1994 E Maize Soil VWC'!$C$2:$C$4000=$AA103)*('1994 E Maize Soil VWC'!$D$2:$D$4000=$AB103)*('1994 E Maize Soil VWC'!$E$2:$E$4000=AK$5),'1994 E Maize Soil VWC'!$F$2:$F$4000)</f>
        <v>0.30333785449484074</v>
      </c>
      <c r="AL103" s="4" cm="1">
        <f t="array" ref="AL103">_xlfn.XLOOKUP(1,('1994 E Maize Soil VWC'!$C$2:$C$4000=$AA103)*('1994 E Maize Soil VWC'!$D$2:$D$4000=$AB103)*('1994 E Maize Soil VWC'!$E$2:$E$4000=AL$5),'1994 E Maize Soil VWC'!$F$2:$F$4000)</f>
        <v>0.24872939209412809</v>
      </c>
      <c r="AM103" s="4" cm="1">
        <f t="array" ref="AM103">_xlfn.XLOOKUP(1,('1994 E Maize Soil VWC'!$C$2:$C$4000=$AA103)*('1994 E Maize Soil VWC'!$D$2:$D$4000=$AB103)*('1994 E Maize Soil VWC'!$E$2:$E$4000=AM$5),'1994 E Maize Soil VWC'!$F$2:$F$4000)</f>
        <v>0.27347467602256698</v>
      </c>
      <c r="AN103" s="4" cm="1">
        <f t="array" ref="AN103">_xlfn.XLOOKUP(1,('1994 E Maize Soil VWC'!$C$2:$C$4000=$AA103)*('1994 E Maize Soil VWC'!$D$2:$D$4000=$AB103)*('1994 E Maize Soil VWC'!$E$2:$E$4000=AN$5),'1994 E Maize Soil VWC'!$F$2:$F$4000)</f>
        <v>0.2805183762452676</v>
      </c>
    </row>
    <row r="104" spans="25:40" x14ac:dyDescent="0.25">
      <c r="AA104" s="19">
        <f t="shared" si="14"/>
        <v>34557</v>
      </c>
      <c r="AB104" s="4">
        <f t="shared" si="15"/>
        <v>150</v>
      </c>
      <c r="AC104" s="4" cm="1">
        <f t="array" ref="AC104">_xlfn.XLOOKUP(1,('1994 E Maize Soil VWC'!$C$2:$C$4000=$AA104)*('1994 E Maize Soil VWC'!$D$2:$D$4000=$AB104)*('1994 E Maize Soil VWC'!$E$2:$E$4000=AC$5),'1994 E Maize Soil VWC'!$F$2:$F$4000)</f>
        <v>0.27310534342662013</v>
      </c>
      <c r="AD104" s="4" cm="1">
        <f t="array" ref="AD104">_xlfn.XLOOKUP(1,('1994 E Maize Soil VWC'!$C$2:$C$4000=$AA104)*('1994 E Maize Soil VWC'!$D$2:$D$4000=$AB104)*('1994 E Maize Soil VWC'!$E$2:$E$4000=AD$5),'1994 E Maize Soil VWC'!$F$2:$F$4000)</f>
        <v>0.18465018669734987</v>
      </c>
      <c r="AE104" s="4" cm="1">
        <f t="array" ref="AE104">_xlfn.XLOOKUP(1,('1994 E Maize Soil VWC'!$C$2:$C$4000=$AA104)*('1994 E Maize Soil VWC'!$D$2:$D$4000=$AB104)*('1994 E Maize Soil VWC'!$E$2:$E$4000=AE$5),'1994 E Maize Soil VWC'!$F$2:$F$4000)</f>
        <v>0.29307568450746041</v>
      </c>
      <c r="AF104" s="4" cm="1">
        <f t="array" ref="AF104">_xlfn.XLOOKUP(1,('1994 E Maize Soil VWC'!$C$2:$C$4000=$AA104)*('1994 E Maize Soil VWC'!$D$2:$D$4000=$AB104)*('1994 E Maize Soil VWC'!$E$2:$E$4000=AF$5),'1994 E Maize Soil VWC'!$F$2:$F$4000)</f>
        <v>0.28125704143716129</v>
      </c>
      <c r="AG104" s="4" cm="1">
        <f t="array" ref="AG104">_xlfn.XLOOKUP(1,('1994 E Maize Soil VWC'!$C$2:$C$4000=$AA104)*('1994 E Maize Soil VWC'!$D$2:$D$4000=$AB104)*('1994 E Maize Soil VWC'!$E$2:$E$4000=AG$5),'1994 E Maize Soil VWC'!$F$2:$F$4000)</f>
        <v>0.26442602742186916</v>
      </c>
      <c r="AH104" s="4" cm="1">
        <f t="array" ref="AH104">_xlfn.XLOOKUP(1,('1994 E Maize Soil VWC'!$C$2:$C$4000=$AA104)*('1994 E Maize Soil VWC'!$D$2:$D$4000=$AB104)*('1994 E Maize Soil VWC'!$E$2:$E$4000=AH$5),'1994 E Maize Soil VWC'!$F$2:$F$4000)</f>
        <v>0.27613914689332636</v>
      </c>
      <c r="AI104" s="4" cm="1">
        <f t="array" ref="AI104">_xlfn.XLOOKUP(1,('1994 E Maize Soil VWC'!$C$2:$C$4000=$AA104)*('1994 E Maize Soil VWC'!$D$2:$D$4000=$AB104)*('1994 E Maize Soil VWC'!$E$2:$E$4000=AI$5),'1994 E Maize Soil VWC'!$F$2:$F$4000)</f>
        <v>0.30059424092494991</v>
      </c>
      <c r="AJ104" s="4" t="e" cm="1">
        <f t="array" ref="AJ104">_xlfn.XLOOKUP(1,('1994 E Maize Soil VWC'!$C$2:$C$4000=$AA104)*('1994 E Maize Soil VWC'!$D$2:$D$4000=$AB104)*('1994 E Maize Soil VWC'!$E$2:$E$4000=AJ$5),'1994 E Maize Soil VWC'!$F$2:$F$4000)</f>
        <v>#N/A</v>
      </c>
      <c r="AK104" s="4" cm="1">
        <f t="array" ref="AK104">_xlfn.XLOOKUP(1,('1994 E Maize Soil VWC'!$C$2:$C$4000=$AA104)*('1994 E Maize Soil VWC'!$D$2:$D$4000=$AB104)*('1994 E Maize Soil VWC'!$E$2:$E$4000=AK$5),'1994 E Maize Soil VWC'!$F$2:$F$4000)</f>
        <v>0.29727024756142822</v>
      </c>
      <c r="AL104" s="4" cm="1">
        <f t="array" ref="AL104">_xlfn.XLOOKUP(1,('1994 E Maize Soil VWC'!$C$2:$C$4000=$AA104)*('1994 E Maize Soil VWC'!$D$2:$D$4000=$AB104)*('1994 E Maize Soil VWC'!$E$2:$E$4000=AL$5),'1994 E Maize Soil VWC'!$F$2:$F$4000)</f>
        <v>0.27959504475540048</v>
      </c>
      <c r="AM104" s="4" cm="1">
        <f t="array" ref="AM104">_xlfn.XLOOKUP(1,('1994 E Maize Soil VWC'!$C$2:$C$4000=$AA104)*('1994 E Maize Soil VWC'!$D$2:$D$4000=$AB104)*('1994 E Maize Soil VWC'!$E$2:$E$4000=AM$5),'1994 E Maize Soil VWC'!$F$2:$F$4000)</f>
        <v>0.31022326931927841</v>
      </c>
      <c r="AN104" s="4" cm="1">
        <f t="array" ref="AN104">_xlfn.XLOOKUP(1,('1994 E Maize Soil VWC'!$C$2:$C$4000=$AA104)*('1994 E Maize Soil VWC'!$D$2:$D$4000=$AB104)*('1994 E Maize Soil VWC'!$E$2:$E$4000=AN$5),'1994 E Maize Soil VWC'!$F$2:$F$4000)</f>
        <v>0.31977315501447551</v>
      </c>
    </row>
    <row r="105" spans="25:40" x14ac:dyDescent="0.25">
      <c r="AA105" s="19">
        <f t="shared" si="14"/>
        <v>34557</v>
      </c>
      <c r="AB105" s="4">
        <f t="shared" si="15"/>
        <v>170</v>
      </c>
      <c r="AC105" s="4" cm="1">
        <f t="array" ref="AC105">_xlfn.XLOOKUP(1,('1994 E Maize Soil VWC'!$C$2:$C$4000=$AA105)*('1994 E Maize Soil VWC'!$D$2:$D$4000=$AB105)*('1994 E Maize Soil VWC'!$E$2:$E$4000=AC$5),'1994 E Maize Soil VWC'!$F$2:$F$4000)</f>
        <v>0.24762139430628755</v>
      </c>
      <c r="AD105" s="4" cm="1">
        <f t="array" ref="AD105">_xlfn.XLOOKUP(1,('1994 E Maize Soil VWC'!$C$2:$C$4000=$AA105)*('1994 E Maize Soil VWC'!$D$2:$D$4000=$AB105)*('1994 E Maize Soil VWC'!$E$2:$E$4000=AD$5),'1994 E Maize Soil VWC'!$F$2:$F$4000)</f>
        <v>0.26334441053373908</v>
      </c>
      <c r="AE105" s="4" cm="1">
        <f t="array" ref="AE105">_xlfn.XLOOKUP(1,('1994 E Maize Soil VWC'!$C$2:$C$4000=$AA105)*('1994 E Maize Soil VWC'!$D$2:$D$4000=$AB105)*('1994 E Maize Soil VWC'!$E$2:$E$4000=AE$5),'1994 E Maize Soil VWC'!$F$2:$F$4000)</f>
        <v>0.27587533789622148</v>
      </c>
      <c r="AF105" s="4" cm="1">
        <f t="array" ref="AF105">_xlfn.XLOOKUP(1,('1994 E Maize Soil VWC'!$C$2:$C$4000=$AA105)*('1994 E Maize Soil VWC'!$D$2:$D$4000=$AB105)*('1994 E Maize Soil VWC'!$E$2:$E$4000=AF$5),'1994 E Maize Soil VWC'!$F$2:$F$4000)</f>
        <v>0.27685143118550959</v>
      </c>
      <c r="AG105" s="4" cm="1">
        <f t="array" ref="AG105">_xlfn.XLOOKUP(1,('1994 E Maize Soil VWC'!$C$2:$C$4000=$AA105)*('1994 E Maize Soil VWC'!$D$2:$D$4000=$AB105)*('1994 E Maize Soil VWC'!$E$2:$E$4000=AG$5),'1994 E Maize Soil VWC'!$F$2:$F$4000)</f>
        <v>0.25632709121074898</v>
      </c>
      <c r="AH105" s="4" cm="1">
        <f t="array" ref="AH105">_xlfn.XLOOKUP(1,('1994 E Maize Soil VWC'!$C$2:$C$4000=$AA105)*('1994 E Maize Soil VWC'!$D$2:$D$4000=$AB105)*('1994 E Maize Soil VWC'!$E$2:$E$4000=AH$5),'1994 E Maize Soil VWC'!$F$2:$F$4000)</f>
        <v>0.26664202299755024</v>
      </c>
      <c r="AI105" s="4" cm="1">
        <f t="array" ref="AI105">_xlfn.XLOOKUP(1,('1994 E Maize Soil VWC'!$C$2:$C$4000=$AA105)*('1994 E Maize Soil VWC'!$D$2:$D$4000=$AB105)*('1994 E Maize Soil VWC'!$E$2:$E$4000=AI$5),'1994 E Maize Soil VWC'!$F$2:$F$4000)</f>
        <v>0.28740379106970526</v>
      </c>
      <c r="AJ105" s="4" t="e" cm="1">
        <f t="array" ref="AJ105">_xlfn.XLOOKUP(1,('1994 E Maize Soil VWC'!$C$2:$C$4000=$AA105)*('1994 E Maize Soil VWC'!$D$2:$D$4000=$AB105)*('1994 E Maize Soil VWC'!$E$2:$E$4000=AJ$5),'1994 E Maize Soil VWC'!$F$2:$F$4000)</f>
        <v>#N/A</v>
      </c>
      <c r="AK105" s="4" cm="1">
        <f t="array" ref="AK105">_xlfn.XLOOKUP(1,('1994 E Maize Soil VWC'!$C$2:$C$4000=$AA105)*('1994 E Maize Soil VWC'!$D$2:$D$4000=$AB105)*('1994 E Maize Soil VWC'!$E$2:$E$4000=AK$5),'1994 E Maize Soil VWC'!$F$2:$F$4000)</f>
        <v>0.27555876709969562</v>
      </c>
      <c r="AL105" s="4" cm="1">
        <f t="array" ref="AL105">_xlfn.XLOOKUP(1,('1994 E Maize Soil VWC'!$C$2:$C$4000=$AA105)*('1994 E Maize Soil VWC'!$D$2:$D$4000=$AB105)*('1994 E Maize Soil VWC'!$E$2:$E$4000=AL$5),'1994 E Maize Soil VWC'!$F$2:$F$4000)</f>
        <v>0.26664202299755024</v>
      </c>
      <c r="AM105" s="4" cm="1">
        <f t="array" ref="AM105">_xlfn.XLOOKUP(1,('1994 E Maize Soil VWC'!$C$2:$C$4000=$AA105)*('1994 E Maize Soil VWC'!$D$2:$D$4000=$AB105)*('1994 E Maize Soil VWC'!$E$2:$E$4000=AM$5),'1994 E Maize Soil VWC'!$F$2:$F$4000)</f>
        <v>0.29745491385940165</v>
      </c>
      <c r="AN105" s="4" cm="1">
        <f t="array" ref="AN105">_xlfn.XLOOKUP(1,('1994 E Maize Soil VWC'!$C$2:$C$4000=$AA105)*('1994 E Maize Soil VWC'!$D$2:$D$4000=$AB105)*('1994 E Maize Soil VWC'!$E$2:$E$4000=AN$5),'1994 E Maize Soil VWC'!$F$2:$F$4000)</f>
        <v>0.29228425751614578</v>
      </c>
    </row>
    <row r="106" spans="25:40" x14ac:dyDescent="0.25">
      <c r="AA106" s="19">
        <f t="shared" si="14"/>
        <v>34557</v>
      </c>
      <c r="AB106" s="4">
        <f t="shared" si="15"/>
        <v>190</v>
      </c>
      <c r="AC106" s="4" cm="1">
        <f t="array" ref="AC106">_xlfn.XLOOKUP(1,('1994 E Maize Soil VWC'!$C$2:$C$4000=$AA106)*('1994 E Maize Soil VWC'!$D$2:$D$4000=$AB106)*('1994 E Maize Soil VWC'!$E$2:$E$4000=AC$5),'1994 E Maize Soil VWC'!$F$2:$F$4000)</f>
        <v>0.2165183135476208</v>
      </c>
      <c r="AD106" s="4" cm="1">
        <f t="array" ref="AD106">_xlfn.XLOOKUP(1,('1994 E Maize Soil VWC'!$C$2:$C$4000=$AA106)*('1994 E Maize Soil VWC'!$D$2:$D$4000=$AB106)*('1994 E Maize Soil VWC'!$E$2:$E$4000=AD$5),'1994 E Maize Soil VWC'!$F$2:$F$4000)</f>
        <v>0.26028422616732239</v>
      </c>
      <c r="AE106" s="4" cm="1">
        <f t="array" ref="AE106">_xlfn.XLOOKUP(1,('1994 E Maize Soil VWC'!$C$2:$C$4000=$AA106)*('1994 E Maize Soil VWC'!$D$2:$D$4000=$AB106)*('1994 E Maize Soil VWC'!$E$2:$E$4000=AE$5),'1994 E Maize Soil VWC'!$F$2:$F$4000)</f>
        <v>0.26339717233316007</v>
      </c>
      <c r="AF106" s="4" cm="1">
        <f t="array" ref="AF106">_xlfn.XLOOKUP(1,('1994 E Maize Soil VWC'!$C$2:$C$4000=$AA106)*('1994 E Maize Soil VWC'!$D$2:$D$4000=$AB106)*('1994 E Maize Soil VWC'!$E$2:$E$4000=AF$5),'1994 E Maize Soil VWC'!$F$2:$F$4000)</f>
        <v>0.27162801304283274</v>
      </c>
      <c r="AG106" s="4" cm="1">
        <f t="array" ref="AG106">_xlfn.XLOOKUP(1,('1994 E Maize Soil VWC'!$C$2:$C$4000=$AA106)*('1994 E Maize Soil VWC'!$D$2:$D$4000=$AB106)*('1994 E Maize Soil VWC'!$E$2:$E$4000=AG$5),'1994 E Maize Soil VWC'!$F$2:$F$4000)</f>
        <v>0.23229409157449332</v>
      </c>
      <c r="AH106" s="4" cm="1">
        <f t="array" ref="AH106">_xlfn.XLOOKUP(1,('1994 E Maize Soil VWC'!$C$2:$C$4000=$AA106)*('1994 E Maize Soil VWC'!$D$2:$D$4000=$AB106)*('1994 E Maize Soil VWC'!$E$2:$E$4000=AH$5),'1994 E Maize Soil VWC'!$F$2:$F$4000)</f>
        <v>0.26060079696384825</v>
      </c>
      <c r="AI106" s="4" cm="1">
        <f t="array" ref="AI106">_xlfn.XLOOKUP(1,('1994 E Maize Soil VWC'!$C$2:$C$4000=$AA106)*('1994 E Maize Soil VWC'!$D$2:$D$4000=$AB106)*('1994 E Maize Soil VWC'!$E$2:$E$4000=AI$5),'1994 E Maize Soil VWC'!$F$2:$F$4000)</f>
        <v>0.27524219630316976</v>
      </c>
      <c r="AJ106" s="4" t="e" cm="1">
        <f t="array" ref="AJ106">_xlfn.XLOOKUP(1,('1994 E Maize Soil VWC'!$C$2:$C$4000=$AA106)*('1994 E Maize Soil VWC'!$D$2:$D$4000=$AB106)*('1994 E Maize Soil VWC'!$E$2:$E$4000=AJ$5),'1994 E Maize Soil VWC'!$F$2:$F$4000)</f>
        <v>#N/A</v>
      </c>
      <c r="AK106" s="4" cm="1">
        <f t="array" ref="AK106">_xlfn.XLOOKUP(1,('1994 E Maize Soil VWC'!$C$2:$C$4000=$AA106)*('1994 E Maize Soil VWC'!$D$2:$D$4000=$AB106)*('1994 E Maize Soil VWC'!$E$2:$E$4000=AK$5),'1994 E Maize Soil VWC'!$F$2:$F$4000)</f>
        <v>0.26928011296859922</v>
      </c>
      <c r="AL106" s="4" cm="1">
        <f t="array" ref="AL106">_xlfn.XLOOKUP(1,('1994 E Maize Soil VWC'!$C$2:$C$4000=$AA106)*('1994 E Maize Soil VWC'!$D$2:$D$4000=$AB106)*('1994 E Maize Soil VWC'!$E$2:$E$4000=AL$5),'1994 E Maize Soil VWC'!$F$2:$F$4000)</f>
        <v>0.26476897911810554</v>
      </c>
      <c r="AM106" s="4" cm="1">
        <f t="array" ref="AM106">_xlfn.XLOOKUP(1,('1994 E Maize Soil VWC'!$C$2:$C$4000=$AA106)*('1994 E Maize Soil VWC'!$D$2:$D$4000=$AB106)*('1994 E Maize Soil VWC'!$E$2:$E$4000=AM$5),'1994 E Maize Soil VWC'!$F$2:$F$4000)</f>
        <v>0.30531642197312742</v>
      </c>
      <c r="AN106" s="4" cm="1">
        <f t="array" ref="AN106">_xlfn.XLOOKUP(1,('1994 E Maize Soil VWC'!$C$2:$C$4000=$AA106)*('1994 E Maize Soil VWC'!$D$2:$D$4000=$AB106)*('1994 E Maize Soil VWC'!$E$2:$E$4000=AN$5),'1994 E Maize Soil VWC'!$F$2:$F$4000)</f>
        <v>0.30940546142825326</v>
      </c>
    </row>
    <row r="107" spans="25:40" x14ac:dyDescent="0.25">
      <c r="AA107" s="19">
        <f t="shared" si="14"/>
        <v>34557</v>
      </c>
      <c r="AB107" s="4">
        <f t="shared" si="15"/>
        <v>210</v>
      </c>
      <c r="AC107" s="4" cm="1">
        <f t="array" ref="AC107">_xlfn.XLOOKUP(1,('1994 E Maize Soil VWC'!$C$2:$C$4000=$AA107)*('1994 E Maize Soil VWC'!$D$2:$D$4000=$AB107)*('1994 E Maize Soil VWC'!$E$2:$E$4000=AC$5),'1994 E Maize Soil VWC'!$F$2:$F$4000)</f>
        <v>0.18335752261153587</v>
      </c>
      <c r="AD107" s="4" cm="1">
        <f t="array" ref="AD107">_xlfn.XLOOKUP(1,('1994 E Maize Soil VWC'!$C$2:$C$4000=$AA107)*('1994 E Maize Soil VWC'!$D$2:$D$4000=$AB107)*('1994 E Maize Soil VWC'!$E$2:$E$4000=AD$5),'1994 E Maize Soil VWC'!$F$2:$F$4000)</f>
        <v>0.24952081908544277</v>
      </c>
      <c r="AE107" s="4" cm="1">
        <f t="array" ref="AE107">_xlfn.XLOOKUP(1,('1994 E Maize Soil VWC'!$C$2:$C$4000=$AA107)*('1994 E Maize Soil VWC'!$D$2:$D$4000=$AB107)*('1994 E Maize Soil VWC'!$E$2:$E$4000=AE$5),'1994 E Maize Soil VWC'!$F$2:$F$4000)</f>
        <v>0.24313664135550445</v>
      </c>
      <c r="AF107" s="4" cm="1">
        <f t="array" ref="AF107">_xlfn.XLOOKUP(1,('1994 E Maize Soil VWC'!$C$2:$C$4000=$AA107)*('1994 E Maize Soil VWC'!$D$2:$D$4000=$AB107)*('1994 E Maize Soil VWC'!$E$2:$E$4000=AF$5),'1994 E Maize Soil VWC'!$F$2:$F$4000)</f>
        <v>0.26447878922129014</v>
      </c>
      <c r="AG107" s="4" t="e" cm="1">
        <f t="array" ref="AG107">_xlfn.XLOOKUP(1,('1994 E Maize Soil VWC'!$C$2:$C$4000=$AA107)*('1994 E Maize Soil VWC'!$D$2:$D$4000=$AB107)*('1994 E Maize Soil VWC'!$E$2:$E$4000=AG$5),'1994 E Maize Soil VWC'!$F$2:$F$4000)</f>
        <v>#N/A</v>
      </c>
      <c r="AH107" s="4" t="e" cm="1">
        <f t="array" ref="AH107">_xlfn.XLOOKUP(1,('1994 E Maize Soil VWC'!$C$2:$C$4000=$AA107)*('1994 E Maize Soil VWC'!$D$2:$D$4000=$AB107)*('1994 E Maize Soil VWC'!$E$2:$E$4000=AH$5),'1994 E Maize Soil VWC'!$F$2:$F$4000)</f>
        <v>#N/A</v>
      </c>
      <c r="AI107" s="4" cm="1">
        <f t="array" ref="AI107">_xlfn.XLOOKUP(1,('1994 E Maize Soil VWC'!$C$2:$C$4000=$AA107)*('1994 E Maize Soil VWC'!$D$2:$D$4000=$AB107)*('1994 E Maize Soil VWC'!$E$2:$E$4000=AI$5),'1994 E Maize Soil VWC'!$F$2:$F$4000)</f>
        <v>0.27339553332343552</v>
      </c>
      <c r="AJ107" s="4" t="e" cm="1">
        <f t="array" ref="AJ107">_xlfn.XLOOKUP(1,('1994 E Maize Soil VWC'!$C$2:$C$4000=$AA107)*('1994 E Maize Soil VWC'!$D$2:$D$4000=$AB107)*('1994 E Maize Soil VWC'!$E$2:$E$4000=AJ$5),'1994 E Maize Soil VWC'!$F$2:$F$4000)</f>
        <v>#N/A</v>
      </c>
      <c r="AK107" s="4" cm="1">
        <f t="array" ref="AK107">_xlfn.XLOOKUP(1,('1994 E Maize Soil VWC'!$C$2:$C$4000=$AA107)*('1994 E Maize Soil VWC'!$D$2:$D$4000=$AB107)*('1994 E Maize Soil VWC'!$E$2:$E$4000=AK$5),'1994 E Maize Soil VWC'!$F$2:$F$4000)</f>
        <v>0.26519107351347337</v>
      </c>
      <c r="AL107" s="4" cm="1">
        <f t="array" ref="AL107">_xlfn.XLOOKUP(1,('1994 E Maize Soil VWC'!$C$2:$C$4000=$AA107)*('1994 E Maize Soil VWC'!$D$2:$D$4000=$AB107)*('1994 E Maize Soil VWC'!$E$2:$E$4000=AL$5),'1994 E Maize Soil VWC'!$F$2:$F$4000)</f>
        <v>0.26585059600623556</v>
      </c>
      <c r="AM107" s="4" t="e" cm="1">
        <f t="array" ref="AM107">_xlfn.XLOOKUP(1,('1994 E Maize Soil VWC'!$C$2:$C$4000=$AA107)*('1994 E Maize Soil VWC'!$D$2:$D$4000=$AB107)*('1994 E Maize Soil VWC'!$E$2:$E$4000=AM$5),'1994 E Maize Soil VWC'!$F$2:$F$4000)</f>
        <v>#N/A</v>
      </c>
      <c r="AN107" s="4" t="e" cm="1">
        <f t="array" ref="AN107">_xlfn.XLOOKUP(1,('1994 E Maize Soil VWC'!$C$2:$C$4000=$AA107)*('1994 E Maize Soil VWC'!$D$2:$D$4000=$AB107)*('1994 E Maize Soil VWC'!$E$2:$E$4000=AN$5),'1994 E Maize Soil VWC'!$F$2:$F$4000)</f>
        <v>#N/A</v>
      </c>
    </row>
    <row r="108" spans="25:40" x14ac:dyDescent="0.25">
      <c r="AA108" s="19">
        <f t="shared" si="14"/>
        <v>34557</v>
      </c>
      <c r="AB108" s="4">
        <f t="shared" si="15"/>
        <v>230</v>
      </c>
      <c r="AC108" s="4" cm="1">
        <f t="array" ref="AC108">_xlfn.XLOOKUP(1,('1994 E Maize Soil VWC'!$C$2:$C$4000=$AA108)*('1994 E Maize Soil VWC'!$D$2:$D$4000=$AB108)*('1994 E Maize Soil VWC'!$E$2:$E$4000=AC$5),'1994 E Maize Soil VWC'!$F$2:$F$4000)</f>
        <v>0.17826600896741146</v>
      </c>
      <c r="AD108" s="4" cm="1">
        <f t="array" ref="AD108">_xlfn.XLOOKUP(1,('1994 E Maize Soil VWC'!$C$2:$C$4000=$AA108)*('1994 E Maize Soil VWC'!$D$2:$D$4000=$AB108)*('1994 E Maize Soil VWC'!$E$2:$E$4000=AD$5),'1994 E Maize Soil VWC'!$F$2:$F$4000)</f>
        <v>0.23208304437680943</v>
      </c>
      <c r="AE108" s="4" cm="1">
        <f t="array" ref="AE108">_xlfn.XLOOKUP(1,('1994 E Maize Soil VWC'!$C$2:$C$4000=$AA108)*('1994 E Maize Soil VWC'!$D$2:$D$4000=$AB108)*('1994 E Maize Soil VWC'!$E$2:$E$4000=AE$5),'1994 E Maize Soil VWC'!$F$2:$F$4000)</f>
        <v>0.23915312549922052</v>
      </c>
      <c r="AF108" s="4" cm="1">
        <f t="array" ref="AF108">_xlfn.XLOOKUP(1,('1994 E Maize Soil VWC'!$C$2:$C$4000=$AA108)*('1994 E Maize Soil VWC'!$D$2:$D$4000=$AB108)*('1994 E Maize Soil VWC'!$E$2:$E$4000=AF$5),'1994 E Maize Soil VWC'!$F$2:$F$4000)</f>
        <v>0.25659090020785386</v>
      </c>
      <c r="AG108" s="4" t="e" cm="1">
        <f t="array" ref="AG108">_xlfn.XLOOKUP(1,('1994 E Maize Soil VWC'!$C$2:$C$4000=$AA108)*('1994 E Maize Soil VWC'!$D$2:$D$4000=$AB108)*('1994 E Maize Soil VWC'!$E$2:$E$4000=AG$5),'1994 E Maize Soil VWC'!$F$2:$F$4000)</f>
        <v>#N/A</v>
      </c>
      <c r="AH108" s="4" t="e" cm="1">
        <f t="array" ref="AH108">_xlfn.XLOOKUP(1,('1994 E Maize Soil VWC'!$C$2:$C$4000=$AA108)*('1994 E Maize Soil VWC'!$D$2:$D$4000=$AB108)*('1994 E Maize Soil VWC'!$E$2:$E$4000=AH$5),'1994 E Maize Soil VWC'!$F$2:$F$4000)</f>
        <v>#N/A</v>
      </c>
      <c r="AI108" s="4" cm="1">
        <f t="array" ref="AI108">_xlfn.XLOOKUP(1,('1994 E Maize Soil VWC'!$C$2:$C$4000=$AA108)*('1994 E Maize Soil VWC'!$D$2:$D$4000=$AB108)*('1994 E Maize Soil VWC'!$E$2:$E$4000=AI$5),'1994 E Maize Soil VWC'!$F$2:$F$4000)</f>
        <v>0.2659033578056566</v>
      </c>
      <c r="AJ108" s="4" t="e" cm="1">
        <f t="array" ref="AJ108">_xlfn.XLOOKUP(1,('1994 E Maize Soil VWC'!$C$2:$C$4000=$AA108)*('1994 E Maize Soil VWC'!$D$2:$D$4000=$AB108)*('1994 E Maize Soil VWC'!$E$2:$E$4000=AJ$5),'1994 E Maize Soil VWC'!$F$2:$F$4000)</f>
        <v>#N/A</v>
      </c>
      <c r="AK108" s="4" cm="1">
        <f t="array" ref="AK108">_xlfn.XLOOKUP(1,('1994 E Maize Soil VWC'!$C$2:$C$4000=$AA108)*('1994 E Maize Soil VWC'!$D$2:$D$4000=$AB108)*('1994 E Maize Soil VWC'!$E$2:$E$4000=AK$5),'1994 E Maize Soil VWC'!$F$2:$F$4000)</f>
        <v>0.26289593523866078</v>
      </c>
      <c r="AL108" s="4" cm="1">
        <f t="array" ref="AL108">_xlfn.XLOOKUP(1,('1994 E Maize Soil VWC'!$C$2:$C$4000=$AA108)*('1994 E Maize Soil VWC'!$D$2:$D$4000=$AB108)*('1994 E Maize Soil VWC'!$E$2:$E$4000=AL$5),'1994 E Maize Soil VWC'!$F$2:$F$4000)</f>
        <v>0.25930813287803428</v>
      </c>
      <c r="AM108" s="4" t="e" cm="1">
        <f t="array" ref="AM108">_xlfn.XLOOKUP(1,('1994 E Maize Soil VWC'!$C$2:$C$4000=$AA108)*('1994 E Maize Soil VWC'!$D$2:$D$4000=$AB108)*('1994 E Maize Soil VWC'!$E$2:$E$4000=AM$5),'1994 E Maize Soil VWC'!$F$2:$F$4000)</f>
        <v>#N/A</v>
      </c>
      <c r="AN108" s="4" t="e" cm="1">
        <f t="array" ref="AN108">_xlfn.XLOOKUP(1,('1994 E Maize Soil VWC'!$C$2:$C$4000=$AA108)*('1994 E Maize Soil VWC'!$D$2:$D$4000=$AB108)*('1994 E Maize Soil VWC'!$E$2:$E$4000=AN$5),'1994 E Maize Soil VWC'!$F$2:$F$4000)</f>
        <v>#N/A</v>
      </c>
    </row>
    <row r="109" spans="25:40" x14ac:dyDescent="0.25">
      <c r="AA109" s="19"/>
    </row>
    <row r="110" spans="25:40" x14ac:dyDescent="0.25">
      <c r="Y110" s="4">
        <f>Y97</f>
        <v>1994</v>
      </c>
      <c r="Z110" s="4">
        <v>237</v>
      </c>
      <c r="AA110" s="19">
        <f>DATE(Y110,1,Z110)</f>
        <v>34571</v>
      </c>
      <c r="AB110" s="4">
        <v>10</v>
      </c>
      <c r="AC110" s="4" cm="1">
        <f t="array" ref="AC110">_xlfn.XLOOKUP(1,('1994 E Maize Soil VWC'!$C$2:$C$4000=$AA110)*('1994 E Maize Soil VWC'!$D$2:$D$4000=$AB110)*('1994 E Maize Soil VWC'!$E$2:$E$4000=AC$5),'1994 E Maize Soil VWC'!$F$2:$F$4000)</f>
        <v>0.30107972687031398</v>
      </c>
      <c r="AD110" s="4" cm="1">
        <f t="array" ref="AD110">_xlfn.XLOOKUP(1,('1994 E Maize Soil VWC'!$C$2:$C$4000=$AA110)*('1994 E Maize Soil VWC'!$D$2:$D$4000=$AB110)*('1994 E Maize Soil VWC'!$E$2:$E$4000=AD$5),'1994 E Maize Soil VWC'!$F$2:$F$4000)</f>
        <v>0.25162533551109795</v>
      </c>
      <c r="AE110" s="4" cm="1">
        <f t="array" ref="AE110">_xlfn.XLOOKUP(1,('1994 E Maize Soil VWC'!$C$2:$C$4000=$AA110)*('1994 E Maize Soil VWC'!$D$2:$D$4000=$AB110)*('1994 E Maize Soil VWC'!$E$2:$E$4000=AE$5),'1994 E Maize Soil VWC'!$F$2:$F$4000)</f>
        <v>0.28594752848860516</v>
      </c>
      <c r="AF110" s="4" cm="1">
        <f t="array" ref="AF110">_xlfn.XLOOKUP(1,('1994 E Maize Soil VWC'!$C$2:$C$4000=$AA110)*('1994 E Maize Soil VWC'!$D$2:$D$4000=$AB110)*('1994 E Maize Soil VWC'!$E$2:$E$4000=AF$5),'1994 E Maize Soil VWC'!$F$2:$F$4000)</f>
        <v>0.30688462978769204</v>
      </c>
      <c r="AG110" s="4" cm="1">
        <f t="array" ref="AG110">_xlfn.XLOOKUP(1,('1994 E Maize Soil VWC'!$C$2:$C$4000=$AA110)*('1994 E Maize Soil VWC'!$D$2:$D$4000=$AB110)*('1994 E Maize Soil VWC'!$E$2:$E$4000=AG$5),'1994 E Maize Soil VWC'!$F$2:$F$4000)</f>
        <v>0.28363683897780412</v>
      </c>
      <c r="AH110" s="4" cm="1">
        <f t="array" ref="AH110">_xlfn.XLOOKUP(1,('1994 E Maize Soil VWC'!$C$2:$C$4000=$AA110)*('1994 E Maize Soil VWC'!$D$2:$D$4000=$AB110)*('1994 E Maize Soil VWC'!$E$2:$E$4000=AH$5),'1994 E Maize Soil VWC'!$F$2:$F$4000)</f>
        <v>0.25635943109420234</v>
      </c>
      <c r="AI110" s="4" cm="1">
        <f t="array" ref="AI110">_xlfn.XLOOKUP(1,('1994 E Maize Soil VWC'!$C$2:$C$4000=$AA110)*('1994 E Maize Soil VWC'!$D$2:$D$4000=$AB110)*('1994 E Maize Soil VWC'!$E$2:$E$4000=AI$5),'1994 E Maize Soil VWC'!$F$2:$F$4000)</f>
        <v>0.24604586571672482</v>
      </c>
      <c r="AJ110" s="4" cm="1">
        <f t="array" ref="AJ110">_xlfn.XLOOKUP(1,('1994 E Maize Soil VWC'!$C$2:$C$4000=$AA110)*('1994 E Maize Soil VWC'!$D$2:$D$4000=$AB110)*('1994 E Maize Soil VWC'!$E$2:$E$4000=AJ$5),'1994 E Maize Soil VWC'!$F$2:$F$4000)</f>
        <v>0.26114988495805802</v>
      </c>
      <c r="AK110" s="4" cm="1">
        <f t="array" ref="AK110">_xlfn.XLOOKUP(1,('1994 E Maize Soil VWC'!$C$2:$C$4000=$AA110)*('1994 E Maize Soil VWC'!$D$2:$D$4000=$AB110)*('1994 E Maize Soil VWC'!$E$2:$E$4000=AK$5),'1994 E Maize Soil VWC'!$F$2:$F$4000)</f>
        <v>0.24773661413926212</v>
      </c>
      <c r="AL110" s="4" cm="1">
        <f t="array" ref="AL110">_xlfn.XLOOKUP(1,('1994 E Maize Soil VWC'!$C$2:$C$4000=$AA110)*('1994 E Maize Soil VWC'!$D$2:$D$4000=$AB110)*('1994 E Maize Soil VWC'!$E$2:$E$4000=AL$5),'1994 E Maize Soil VWC'!$F$2:$F$4000)</f>
        <v>0.24908921287729197</v>
      </c>
      <c r="AM110" s="4" cm="1">
        <f t="array" ref="AM110">_xlfn.XLOOKUP(1,('1994 E Maize Soil VWC'!$C$2:$C$4000=$AA110)*('1994 E Maize Soil VWC'!$D$2:$D$4000=$AB110)*('1994 E Maize Soil VWC'!$E$2:$E$4000=AM$5),'1994 E Maize Soil VWC'!$F$2:$F$4000)</f>
        <v>0.24596132829559797</v>
      </c>
      <c r="AN110" s="4" cm="1">
        <f t="array" ref="AN110">_xlfn.XLOOKUP(1,('1994 E Maize Soil VWC'!$C$2:$C$4000=$AA110)*('1994 E Maize Soil VWC'!$D$2:$D$4000=$AB110)*('1994 E Maize Soil VWC'!$E$2:$E$4000=AN$5),'1994 E Maize Soil VWC'!$F$2:$F$4000)</f>
        <v>0.22750399134956573</v>
      </c>
    </row>
    <row r="111" spans="25:40" x14ac:dyDescent="0.25">
      <c r="AA111" s="19">
        <f t="shared" ref="AA111:AA121" si="16">AA110</f>
        <v>34571</v>
      </c>
      <c r="AB111" s="4">
        <f t="shared" ref="AB111:AB121" si="17">AB110+20</f>
        <v>30</v>
      </c>
      <c r="AC111" s="4" cm="1">
        <f t="array" ref="AC111">_xlfn.XLOOKUP(1,('1994 E Maize Soil VWC'!$C$2:$C$4000=$AA111)*('1994 E Maize Soil VWC'!$D$2:$D$4000=$AB111)*('1994 E Maize Soil VWC'!$E$2:$E$4000=AC$5),'1994 E Maize Soil VWC'!$F$2:$F$4000)</f>
        <v>0.2824201442233934</v>
      </c>
      <c r="AD111" s="4" cm="1">
        <f t="array" ref="AD111">_xlfn.XLOOKUP(1,('1994 E Maize Soil VWC'!$C$2:$C$4000=$AA111)*('1994 E Maize Soil VWC'!$D$2:$D$4000=$AB111)*('1994 E Maize Soil VWC'!$E$2:$E$4000=AD$5),'1994 E Maize Soil VWC'!$F$2:$F$4000)</f>
        <v>0.20332866494073687</v>
      </c>
      <c r="AE111" s="4" cm="1">
        <f t="array" ref="AE111">_xlfn.XLOOKUP(1,('1994 E Maize Soil VWC'!$C$2:$C$4000=$AA111)*('1994 E Maize Soil VWC'!$D$2:$D$4000=$AB111)*('1994 E Maize Soil VWC'!$E$2:$E$4000=AE$5),'1994 E Maize Soil VWC'!$F$2:$F$4000)</f>
        <v>0.27220751736693632</v>
      </c>
      <c r="AF111" s="4" cm="1">
        <f t="array" ref="AF111">_xlfn.XLOOKUP(1,('1994 E Maize Soil VWC'!$C$2:$C$4000=$AA111)*('1994 E Maize Soil VWC'!$D$2:$D$4000=$AB111)*('1994 E Maize Soil VWC'!$E$2:$E$4000=AF$5),'1994 E Maize Soil VWC'!$F$2:$F$4000)</f>
        <v>0.26979128072897335</v>
      </c>
      <c r="AG111" s="4" cm="1">
        <f t="array" ref="AG111">_xlfn.XLOOKUP(1,('1994 E Maize Soil VWC'!$C$2:$C$4000=$AA111)*('1994 E Maize Soil VWC'!$D$2:$D$4000=$AB111)*('1994 E Maize Soil VWC'!$E$2:$E$4000=AG$5),'1994 E Maize Soil VWC'!$F$2:$F$4000)</f>
        <v>0.27227195034394869</v>
      </c>
      <c r="AH111" s="4" cm="1">
        <f t="array" ref="AH111">_xlfn.XLOOKUP(1,('1994 E Maize Soil VWC'!$C$2:$C$4000=$AA111)*('1994 E Maize Soil VWC'!$D$2:$D$4000=$AB111)*('1994 E Maize Soil VWC'!$E$2:$E$4000=AH$5),'1994 E Maize Soil VWC'!$F$2:$F$4000)</f>
        <v>0.24562891434934297</v>
      </c>
      <c r="AI111" s="4" cm="1">
        <f t="array" ref="AI111">_xlfn.XLOOKUP(1,('1994 E Maize Soil VWC'!$C$2:$C$4000=$AA111)*('1994 E Maize Soil VWC'!$D$2:$D$4000=$AB111)*('1994 E Maize Soil VWC'!$E$2:$E$4000=AI$5),'1994 E Maize Soil VWC'!$F$2:$F$4000)</f>
        <v>0.21827711560760149</v>
      </c>
      <c r="AJ111" s="4" cm="1">
        <f t="array" ref="AJ111">_xlfn.XLOOKUP(1,('1994 E Maize Soil VWC'!$C$2:$C$4000=$AA111)*('1994 E Maize Soil VWC'!$D$2:$D$4000=$AB111)*('1994 E Maize Soil VWC'!$E$2:$E$4000=AJ$5),'1994 E Maize Soil VWC'!$F$2:$F$4000)</f>
        <v>0.24137633786652807</v>
      </c>
      <c r="AK111" s="4" cm="1">
        <f t="array" ref="AK111">_xlfn.XLOOKUP(1,('1994 E Maize Soil VWC'!$C$2:$C$4000=$AA111)*('1994 E Maize Soil VWC'!$D$2:$D$4000=$AB111)*('1994 E Maize Soil VWC'!$E$2:$E$4000=AK$5),'1994 E Maize Soil VWC'!$F$2:$F$4000)</f>
        <v>0.23744592626877492</v>
      </c>
      <c r="AL111" s="4" cm="1">
        <f t="array" ref="AL111">_xlfn.XLOOKUP(1,('1994 E Maize Soil VWC'!$C$2:$C$4000=$AA111)*('1994 E Maize Soil VWC'!$D$2:$D$4000=$AB111)*('1994 E Maize Soil VWC'!$E$2:$E$4000=AL$5),'1994 E Maize Soil VWC'!$F$2:$F$4000)</f>
        <v>0.23193690673421913</v>
      </c>
      <c r="AM111" s="4" cm="1">
        <f t="array" ref="AM111">_xlfn.XLOOKUP(1,('1994 E Maize Soil VWC'!$C$2:$C$4000=$AA111)*('1994 E Maize Soil VWC'!$D$2:$D$4000=$AB111)*('1994 E Maize Soil VWC'!$E$2:$E$4000=AM$5),'1994 E Maize Soil VWC'!$F$2:$F$4000)</f>
        <v>0.25252324288966416</v>
      </c>
      <c r="AN111" s="4" cm="1">
        <f t="array" ref="AN111">_xlfn.XLOOKUP(1,('1994 E Maize Soil VWC'!$C$2:$C$4000=$AA111)*('1994 E Maize Soil VWC'!$D$2:$D$4000=$AB111)*('1994 E Maize Soil VWC'!$E$2:$E$4000=AN$5),'1994 E Maize Soil VWC'!$F$2:$F$4000)</f>
        <v>0.24498458457921951</v>
      </c>
    </row>
    <row r="112" spans="25:40" x14ac:dyDescent="0.25">
      <c r="AA112" s="19">
        <f t="shared" si="16"/>
        <v>34571</v>
      </c>
      <c r="AB112" s="4">
        <f t="shared" si="17"/>
        <v>50</v>
      </c>
      <c r="AC112" s="4" cm="1">
        <f t="array" ref="AC112">_xlfn.XLOOKUP(1,('1994 E Maize Soil VWC'!$C$2:$C$4000=$AA112)*('1994 E Maize Soil VWC'!$D$2:$D$4000=$AB112)*('1994 E Maize Soil VWC'!$E$2:$E$4000=AC$5),'1994 E Maize Soil VWC'!$F$2:$F$4000)</f>
        <v>0.28705931856828243</v>
      </c>
      <c r="AD112" s="4" cm="1">
        <f t="array" ref="AD112">_xlfn.XLOOKUP(1,('1994 E Maize Soil VWC'!$C$2:$C$4000=$AA112)*('1994 E Maize Soil VWC'!$D$2:$D$4000=$AB112)*('1994 E Maize Soil VWC'!$E$2:$E$4000=AD$5),'1994 E Maize Soil VWC'!$F$2:$F$4000)</f>
        <v>0.24730417175166403</v>
      </c>
      <c r="AE112" s="4" cm="1">
        <f t="array" ref="AE112">_xlfn.XLOOKUP(1,('1994 E Maize Soil VWC'!$C$2:$C$4000=$AA112)*('1994 E Maize Soil VWC'!$D$2:$D$4000=$AB112)*('1994 E Maize Soil VWC'!$E$2:$E$4000=AE$5),'1994 E Maize Soil VWC'!$F$2:$F$4000)</f>
        <v>0.29540338909138147</v>
      </c>
      <c r="AF112" s="4" cm="1">
        <f t="array" ref="AF112">_xlfn.XLOOKUP(1,('1994 E Maize Soil VWC'!$C$2:$C$4000=$AA112)*('1994 E Maize Soil VWC'!$D$2:$D$4000=$AB112)*('1994 E Maize Soil VWC'!$E$2:$E$4000=AF$5),'1994 E Maize Soil VWC'!$F$2:$F$4000)</f>
        <v>0.28370880376364038</v>
      </c>
      <c r="AG112" s="4" cm="1">
        <f t="array" ref="AG112">_xlfn.XLOOKUP(1,('1994 E Maize Soil VWC'!$C$2:$C$4000=$AA112)*('1994 E Maize Soil VWC'!$D$2:$D$4000=$AB112)*('1994 E Maize Soil VWC'!$E$2:$E$4000=AG$5),'1994 E Maize Soil VWC'!$F$2:$F$4000)</f>
        <v>0.25616370609086181</v>
      </c>
      <c r="AH112" s="4" cm="1">
        <f t="array" ref="AH112">_xlfn.XLOOKUP(1,('1994 E Maize Soil VWC'!$C$2:$C$4000=$AA112)*('1994 E Maize Soil VWC'!$D$2:$D$4000=$AB112)*('1994 E Maize Soil VWC'!$E$2:$E$4000=AH$5),'1994 E Maize Soil VWC'!$F$2:$F$4000)</f>
        <v>0.23892788474005888</v>
      </c>
      <c r="AI112" s="4" cm="1">
        <f t="array" ref="AI112">_xlfn.XLOOKUP(1,('1994 E Maize Soil VWC'!$C$2:$C$4000=$AA112)*('1994 E Maize Soil VWC'!$D$2:$D$4000=$AB112)*('1994 E Maize Soil VWC'!$E$2:$E$4000=AI$5),'1994 E Maize Soil VWC'!$F$2:$F$4000)</f>
        <v>0.26872813660826955</v>
      </c>
      <c r="AJ112" s="4" cm="1">
        <f t="array" ref="AJ112">_xlfn.XLOOKUP(1,('1994 E Maize Soil VWC'!$C$2:$C$4000=$AA112)*('1994 E Maize Soil VWC'!$D$2:$D$4000=$AB112)*('1994 E Maize Soil VWC'!$E$2:$E$4000=AJ$5),'1994 E Maize Soil VWC'!$F$2:$F$4000)</f>
        <v>0.26537762180362756</v>
      </c>
      <c r="AK112" s="4" cm="1">
        <f t="array" ref="AK112">_xlfn.XLOOKUP(1,('1994 E Maize Soil VWC'!$C$2:$C$4000=$AA112)*('1994 E Maize Soil VWC'!$D$2:$D$4000=$AB112)*('1994 E Maize Soil VWC'!$E$2:$E$4000=AK$5),'1994 E Maize Soil VWC'!$F$2:$F$4000)</f>
        <v>0.24881834671145425</v>
      </c>
      <c r="AL112" s="4" cm="1">
        <f t="array" ref="AL112">_xlfn.XLOOKUP(1,('1994 E Maize Soil VWC'!$C$2:$C$4000=$AA112)*('1994 E Maize Soil VWC'!$D$2:$D$4000=$AB112)*('1994 E Maize Soil VWC'!$E$2:$E$4000=AL$5),'1994 E Maize Soil VWC'!$F$2:$F$4000)</f>
        <v>0.25419850029198526</v>
      </c>
      <c r="AM112" s="4" cm="1">
        <f t="array" ref="AM112">_xlfn.XLOOKUP(1,('1994 E Maize Soil VWC'!$C$2:$C$4000=$AA112)*('1994 E Maize Soil VWC'!$D$2:$D$4000=$AB112)*('1994 E Maize Soil VWC'!$E$2:$E$4000=AM$5),'1994 E Maize Soil VWC'!$F$2:$F$4000)</f>
        <v>0.24736860472867639</v>
      </c>
      <c r="AN112" s="4" cm="1">
        <f t="array" ref="AN112">_xlfn.XLOOKUP(1,('1994 E Maize Soil VWC'!$C$2:$C$4000=$AA112)*('1994 E Maize Soil VWC'!$D$2:$D$4000=$AB112)*('1994 E Maize Soil VWC'!$E$2:$E$4000=AN$5),'1994 E Maize Soil VWC'!$F$2:$F$4000)</f>
        <v>0.26080288043575084</v>
      </c>
    </row>
    <row r="113" spans="25:40" x14ac:dyDescent="0.25">
      <c r="AA113" s="19">
        <f t="shared" si="16"/>
        <v>34571</v>
      </c>
      <c r="AB113" s="4">
        <f t="shared" si="17"/>
        <v>70</v>
      </c>
      <c r="AC113" s="4" cm="1">
        <f t="array" ref="AC113">_xlfn.XLOOKUP(1,('1994 E Maize Soil VWC'!$C$2:$C$4000=$AA113)*('1994 E Maize Soil VWC'!$D$2:$D$4000=$AB113)*('1994 E Maize Soil VWC'!$E$2:$E$4000=AC$5),'1994 E Maize Soil VWC'!$F$2:$F$4000)</f>
        <v>0.28606060742459105</v>
      </c>
      <c r="AD113" s="4" cm="1">
        <f t="array" ref="AD113">_xlfn.XLOOKUP(1,('1994 E Maize Soil VWC'!$C$2:$C$4000=$AA113)*('1994 E Maize Soil VWC'!$D$2:$D$4000=$AB113)*('1994 E Maize Soil VWC'!$E$2:$E$4000=AD$5),'1994 E Maize Soil VWC'!$F$2:$F$4000)</f>
        <v>0.23499747314230562</v>
      </c>
      <c r="AE113" s="4" cm="1">
        <f t="array" ref="AE113">_xlfn.XLOOKUP(1,('1994 E Maize Soil VWC'!$C$2:$C$4000=$AA113)*('1994 E Maize Soil VWC'!$D$2:$D$4000=$AB113)*('1994 E Maize Soil VWC'!$E$2:$E$4000=AE$5),'1994 E Maize Soil VWC'!$F$2:$F$4000)</f>
        <v>0.29897941931556671</v>
      </c>
      <c r="AF113" s="4" cm="1">
        <f t="array" ref="AF113">_xlfn.XLOOKUP(1,('1994 E Maize Soil VWC'!$C$2:$C$4000=$AA113)*('1994 E Maize Soil VWC'!$D$2:$D$4000=$AB113)*('1994 E Maize Soil VWC'!$E$2:$E$4000=AF$5),'1994 E Maize Soil VWC'!$F$2:$F$4000)</f>
        <v>0.27272298118303512</v>
      </c>
      <c r="AG113" s="4" cm="1">
        <f t="array" ref="AG113">_xlfn.XLOOKUP(1,('1994 E Maize Soil VWC'!$C$2:$C$4000=$AA113)*('1994 E Maize Soil VWC'!$D$2:$D$4000=$AB113)*('1994 E Maize Soil VWC'!$E$2:$E$4000=AG$5),'1994 E Maize Soil VWC'!$F$2:$F$4000)</f>
        <v>0.24398587343552819</v>
      </c>
      <c r="AH113" s="4" cm="1">
        <f t="array" ref="AH113">_xlfn.XLOOKUP(1,('1994 E Maize Soil VWC'!$C$2:$C$4000=$AA113)*('1994 E Maize Soil VWC'!$D$2:$D$4000=$AB113)*('1994 E Maize Soil VWC'!$E$2:$E$4000=AH$5),'1994 E Maize Soil VWC'!$F$2:$F$4000)</f>
        <v>0.2345142258147131</v>
      </c>
      <c r="AI113" s="4" cm="1">
        <f t="array" ref="AI113">_xlfn.XLOOKUP(1,('1994 E Maize Soil VWC'!$C$2:$C$4000=$AA113)*('1994 E Maize Soil VWC'!$D$2:$D$4000=$AB113)*('1994 E Maize Soil VWC'!$E$2:$E$4000=AI$5),'1994 E Maize Soil VWC'!$F$2:$F$4000)</f>
        <v>0.27417272316581293</v>
      </c>
      <c r="AJ113" s="4" cm="1">
        <f t="array" ref="AJ113">_xlfn.XLOOKUP(1,('1994 E Maize Soil VWC'!$C$2:$C$4000=$AA113)*('1994 E Maize Soil VWC'!$D$2:$D$4000=$AB113)*('1994 E Maize Soil VWC'!$E$2:$E$4000=AJ$5),'1994 E Maize Soil VWC'!$F$2:$F$4000)</f>
        <v>0.27256189874050424</v>
      </c>
      <c r="AK113" s="4" cm="1">
        <f t="array" ref="AK113">_xlfn.XLOOKUP(1,('1994 E Maize Soil VWC'!$C$2:$C$4000=$AA113)*('1994 E Maize Soil VWC'!$D$2:$D$4000=$AB113)*('1994 E Maize Soil VWC'!$E$2:$E$4000=AK$5),'1994 E Maize Soil VWC'!$F$2:$F$4000)</f>
        <v>0.26019076715413358</v>
      </c>
      <c r="AL113" s="4" cm="1">
        <f t="array" ref="AL113">_xlfn.XLOOKUP(1,('1994 E Maize Soil VWC'!$C$2:$C$4000=$AA113)*('1994 E Maize Soil VWC'!$D$2:$D$4000=$AB113)*('1994 E Maize Soil VWC'!$E$2:$E$4000=AL$5),'1994 E Maize Soil VWC'!$F$2:$F$4000)</f>
        <v>0.24366370855046637</v>
      </c>
      <c r="AM113" s="4" cm="1">
        <f t="array" ref="AM113">_xlfn.XLOOKUP(1,('1994 E Maize Soil VWC'!$C$2:$C$4000=$AA113)*('1994 E Maize Soil VWC'!$D$2:$D$4000=$AB113)*('1994 E Maize Soil VWC'!$E$2:$E$4000=AM$5),'1994 E Maize Soil VWC'!$F$2:$F$4000)</f>
        <v>0.23770365817682426</v>
      </c>
      <c r="AN113" s="4" cm="1">
        <f t="array" ref="AN113">_xlfn.XLOOKUP(1,('1994 E Maize Soil VWC'!$C$2:$C$4000=$AA113)*('1994 E Maize Soil VWC'!$D$2:$D$4000=$AB113)*('1994 E Maize Soil VWC'!$E$2:$E$4000=AN$5),'1994 E Maize Soil VWC'!$F$2:$F$4000)</f>
        <v>0.26718174515997323</v>
      </c>
    </row>
    <row r="114" spans="25:40" x14ac:dyDescent="0.25">
      <c r="AA114" s="19">
        <f t="shared" si="16"/>
        <v>34571</v>
      </c>
      <c r="AB114" s="4">
        <f t="shared" si="17"/>
        <v>90</v>
      </c>
      <c r="AC114" s="4" cm="1">
        <f t="array" ref="AC114">_xlfn.XLOOKUP(1,('1994 E Maize Soil VWC'!$C$2:$C$4000=$AA114)*('1994 E Maize Soil VWC'!$D$2:$D$4000=$AB114)*('1994 E Maize Soil VWC'!$E$2:$E$4000=AC$5),'1994 E Maize Soil VWC'!$F$2:$F$4000)</f>
        <v>0.2855129271199861</v>
      </c>
      <c r="AD114" s="4" cm="1">
        <f t="array" ref="AD114">_xlfn.XLOOKUP(1,('1994 E Maize Soil VWC'!$C$2:$C$4000=$AA114)*('1994 E Maize Soil VWC'!$D$2:$D$4000=$AB114)*('1994 E Maize Soil VWC'!$E$2:$E$4000=AD$5),'1994 E Maize Soil VWC'!$F$2:$F$4000)</f>
        <v>0.21524876568802115</v>
      </c>
      <c r="AE114" s="4" cm="1">
        <f t="array" ref="AE114">_xlfn.XLOOKUP(1,('1994 E Maize Soil VWC'!$C$2:$C$4000=$AA114)*('1994 E Maize Soil VWC'!$D$2:$D$4000=$AB114)*('1994 E Maize Soil VWC'!$E$2:$E$4000=AE$5),'1994 E Maize Soil VWC'!$F$2:$F$4000)</f>
        <v>0.29604771886150488</v>
      </c>
      <c r="AF114" s="4" cm="1">
        <f t="array" ref="AF114">_xlfn.XLOOKUP(1,('1994 E Maize Soil VWC'!$C$2:$C$4000=$AA114)*('1994 E Maize Soil VWC'!$D$2:$D$4000=$AB114)*('1994 E Maize Soil VWC'!$E$2:$E$4000=AF$5),'1994 E Maize Soil VWC'!$F$2:$F$4000)</f>
        <v>0.27330287797614622</v>
      </c>
      <c r="AG114" s="4" cm="1">
        <f t="array" ref="AG114">_xlfn.XLOOKUP(1,('1994 E Maize Soil VWC'!$C$2:$C$4000=$AA114)*('1994 E Maize Soil VWC'!$D$2:$D$4000=$AB114)*('1994 E Maize Soil VWC'!$E$2:$E$4000=AG$5),'1994 E Maize Soil VWC'!$F$2:$F$4000)</f>
        <v>0.21518433271100879</v>
      </c>
      <c r="AH114" s="4" cm="1">
        <f t="array" ref="AH114">_xlfn.XLOOKUP(1,('1994 E Maize Soil VWC'!$C$2:$C$4000=$AA114)*('1994 E Maize Soil VWC'!$D$2:$D$4000=$AB114)*('1994 E Maize Soil VWC'!$E$2:$E$4000=AH$5),'1994 E Maize Soil VWC'!$F$2:$F$4000)</f>
        <v>0.2435348425964417</v>
      </c>
      <c r="AI114" s="4" cm="1">
        <f t="array" ref="AI114">_xlfn.XLOOKUP(1,('1994 E Maize Soil VWC'!$C$2:$C$4000=$AA114)*('1994 E Maize Soil VWC'!$D$2:$D$4000=$AB114)*('1994 E Maize Soil VWC'!$E$2:$E$4000=AI$5),'1994 E Maize Soil VWC'!$F$2:$F$4000)</f>
        <v>0.28200132987281318</v>
      </c>
      <c r="AJ114" s="4" cm="1">
        <f t="array" ref="AJ114">_xlfn.XLOOKUP(1,('1994 E Maize Soil VWC'!$C$2:$C$4000=$AA114)*('1994 E Maize Soil VWC'!$D$2:$D$4000=$AB114)*('1994 E Maize Soil VWC'!$E$2:$E$4000=AJ$5),'1994 E Maize Soil VWC'!$F$2:$F$4000)</f>
        <v>0.28238792773488725</v>
      </c>
      <c r="AK114" s="4" cm="1">
        <f t="array" ref="AK114">_xlfn.XLOOKUP(1,('1994 E Maize Soil VWC'!$C$2:$C$4000=$AA114)*('1994 E Maize Soil VWC'!$D$2:$D$4000=$AB114)*('1994 E Maize Soil VWC'!$E$2:$E$4000=AK$5),'1994 E Maize Soil VWC'!$F$2:$F$4000)</f>
        <v>0.26734282760250411</v>
      </c>
      <c r="AL114" s="4" cm="1">
        <f t="array" ref="AL114">_xlfn.XLOOKUP(1,('1994 E Maize Soil VWC'!$C$2:$C$4000=$AA114)*('1994 E Maize Soil VWC'!$D$2:$D$4000=$AB114)*('1994 E Maize Soil VWC'!$E$2:$E$4000=AL$5),'1994 E Maize Soil VWC'!$F$2:$F$4000)</f>
        <v>0.25255545937817037</v>
      </c>
      <c r="AM114" s="4" cm="1">
        <f t="array" ref="AM114">_xlfn.XLOOKUP(1,('1994 E Maize Soil VWC'!$C$2:$C$4000=$AA114)*('1994 E Maize Soil VWC'!$D$2:$D$4000=$AB114)*('1994 E Maize Soil VWC'!$E$2:$E$4000=AM$5),'1994 E Maize Soil VWC'!$F$2:$F$4000)</f>
        <v>0.25294205724024443</v>
      </c>
      <c r="AN114" s="4" cm="1">
        <f t="array" ref="AN114">_xlfn.XLOOKUP(1,('1994 E Maize Soil VWC'!$C$2:$C$4000=$AA114)*('1994 E Maize Soil VWC'!$D$2:$D$4000=$AB114)*('1994 E Maize Soil VWC'!$E$2:$E$4000=AN$5),'1994 E Maize Soil VWC'!$F$2:$F$4000)</f>
        <v>0.27761988743597354</v>
      </c>
    </row>
    <row r="115" spans="25:40" x14ac:dyDescent="0.25">
      <c r="AA115" s="19">
        <f t="shared" si="16"/>
        <v>34571</v>
      </c>
      <c r="AB115" s="4">
        <f t="shared" si="17"/>
        <v>110</v>
      </c>
      <c r="AC115" s="4" cm="1">
        <f t="array" ref="AC115">_xlfn.XLOOKUP(1,('1994 E Maize Soil VWC'!$C$2:$C$4000=$AA115)*('1994 E Maize Soil VWC'!$D$2:$D$4000=$AB115)*('1994 E Maize Soil VWC'!$E$2:$E$4000=AC$5),'1994 E Maize Soil VWC'!$F$2:$F$4000)</f>
        <v>0.29656318267760373</v>
      </c>
      <c r="AD115" s="4" cm="1">
        <f t="array" ref="AD115">_xlfn.XLOOKUP(1,('1994 E Maize Soil VWC'!$C$2:$C$4000=$AA115)*('1994 E Maize Soil VWC'!$D$2:$D$4000=$AB115)*('1994 E Maize Soil VWC'!$E$2:$E$4000=AD$5),'1994 E Maize Soil VWC'!$F$2:$F$4000)</f>
        <v>0.23196912322272534</v>
      </c>
      <c r="AE115" s="4" cm="1">
        <f t="array" ref="AE115">_xlfn.XLOOKUP(1,('1994 E Maize Soil VWC'!$C$2:$C$4000=$AA115)*('1994 E Maize Soil VWC'!$D$2:$D$4000=$AB115)*('1994 E Maize Soil VWC'!$E$2:$E$4000=AE$5),'1994 E Maize Soil VWC'!$F$2:$F$4000)</f>
        <v>0.29363148222354191</v>
      </c>
      <c r="AF115" s="4" cm="1">
        <f t="array" ref="AF115">_xlfn.XLOOKUP(1,('1994 E Maize Soil VWC'!$C$2:$C$4000=$AA115)*('1994 E Maize Soil VWC'!$D$2:$D$4000=$AB115)*('1994 E Maize Soil VWC'!$E$2:$E$4000=AF$5),'1994 E Maize Soil VWC'!$F$2:$F$4000)</f>
        <v>0.28267787613144285</v>
      </c>
      <c r="AG115" s="4" cm="1">
        <f t="array" ref="AG115">_xlfn.XLOOKUP(1,('1994 E Maize Soil VWC'!$C$2:$C$4000=$AA115)*('1994 E Maize Soil VWC'!$D$2:$D$4000=$AB115)*('1994 E Maize Soil VWC'!$E$2:$E$4000=AG$5),'1994 E Maize Soil VWC'!$F$2:$F$4000)</f>
        <v>0.23116371101007099</v>
      </c>
      <c r="AH115" s="4" cm="1">
        <f t="array" ref="AH115">_xlfn.XLOOKUP(1,('1994 E Maize Soil VWC'!$C$2:$C$4000=$AA115)*('1994 E Maize Soil VWC'!$D$2:$D$4000=$AB115)*('1994 E Maize Soil VWC'!$E$2:$E$4000=AH$5),'1994 E Maize Soil VWC'!$F$2:$F$4000)</f>
        <v>0.25703355128052852</v>
      </c>
      <c r="AI115" s="4" cm="1">
        <f t="array" ref="AI115">_xlfn.XLOOKUP(1,('1994 E Maize Soil VWC'!$C$2:$C$4000=$AA115)*('1994 E Maize Soil VWC'!$D$2:$D$4000=$AB115)*('1994 E Maize Soil VWC'!$E$2:$E$4000=AI$5),'1994 E Maize Soil VWC'!$F$2:$F$4000)</f>
        <v>0.29347039978101103</v>
      </c>
      <c r="AJ115" s="4" cm="1">
        <f t="array" ref="AJ115">_xlfn.XLOOKUP(1,('1994 E Maize Soil VWC'!$C$2:$C$4000=$AA115)*('1994 E Maize Soil VWC'!$D$2:$D$4000=$AB115)*('1994 E Maize Soil VWC'!$E$2:$E$4000=AJ$5),'1994 E Maize Soil VWC'!$F$2:$F$4000)</f>
        <v>0.29282607001088756</v>
      </c>
      <c r="AK115" s="4" cm="1">
        <f t="array" ref="AK115">_xlfn.XLOOKUP(1,('1994 E Maize Soil VWC'!$C$2:$C$4000=$AA115)*('1994 E Maize Soil VWC'!$D$2:$D$4000=$AB115)*('1994 E Maize Soil VWC'!$E$2:$E$4000=AK$5),'1994 E Maize Soil VWC'!$F$2:$F$4000)</f>
        <v>0.28093818575210944</v>
      </c>
      <c r="AL115" s="4" cm="1">
        <f t="array" ref="AL115">_xlfn.XLOOKUP(1,('1994 E Maize Soil VWC'!$C$2:$C$4000=$AA115)*('1994 E Maize Soil VWC'!$D$2:$D$4000=$AB115)*('1994 E Maize Soil VWC'!$E$2:$E$4000=AL$5),'1994 E Maize Soil VWC'!$F$2:$F$4000)</f>
        <v>0.25664695341845445</v>
      </c>
      <c r="AM115" s="4" cm="1">
        <f t="array" ref="AM115">_xlfn.XLOOKUP(1,('1994 E Maize Soil VWC'!$C$2:$C$4000=$AA115)*('1994 E Maize Soil VWC'!$D$2:$D$4000=$AB115)*('1994 E Maize Soil VWC'!$E$2:$E$4000=AM$5),'1994 E Maize Soil VWC'!$F$2:$F$4000)</f>
        <v>0.27858638209115877</v>
      </c>
      <c r="AN115" s="4" cm="1">
        <f t="array" ref="AN115">_xlfn.XLOOKUP(1,('1994 E Maize Soil VWC'!$C$2:$C$4000=$AA115)*('1994 E Maize Soil VWC'!$D$2:$D$4000=$AB115)*('1994 E Maize Soil VWC'!$E$2:$E$4000=AN$5),'1994 E Maize Soil VWC'!$F$2:$F$4000)</f>
        <v>0.29166627642466531</v>
      </c>
    </row>
    <row r="116" spans="25:40" x14ac:dyDescent="0.25">
      <c r="AA116" s="19">
        <f t="shared" si="16"/>
        <v>34571</v>
      </c>
      <c r="AB116" s="4">
        <f t="shared" si="17"/>
        <v>130</v>
      </c>
      <c r="AC116" s="4" cm="1">
        <f t="array" ref="AC116">_xlfn.XLOOKUP(1,('1994 E Maize Soil VWC'!$C$2:$C$4000=$AA116)*('1994 E Maize Soil VWC'!$D$2:$D$4000=$AB116)*('1994 E Maize Soil VWC'!$E$2:$E$4000=AC$5),'1994 E Maize Soil VWC'!$F$2:$F$4000)</f>
        <v>0.26695859379407616</v>
      </c>
      <c r="AD116" s="4" cm="1">
        <f t="array" ref="AD116">_xlfn.XLOOKUP(1,('1994 E Maize Soil VWC'!$C$2:$C$4000=$AA116)*('1994 E Maize Soil VWC'!$D$2:$D$4000=$AB116)*('1994 E Maize Soil VWC'!$E$2:$E$4000=AD$5),'1994 E Maize Soil VWC'!$F$2:$F$4000)</f>
        <v>0.21008137401826144</v>
      </c>
      <c r="AE116" s="4" cm="1">
        <f t="array" ref="AE116">_xlfn.XLOOKUP(1,('1994 E Maize Soil VWC'!$C$2:$C$4000=$AA116)*('1994 E Maize Soil VWC'!$D$2:$D$4000=$AB116)*('1994 E Maize Soil VWC'!$E$2:$E$4000=AE$5),'1994 E Maize Soil VWC'!$F$2:$F$4000)</f>
        <v>0.27727352558087742</v>
      </c>
      <c r="AF116" s="4" cm="1">
        <f t="array" ref="AF116">_xlfn.XLOOKUP(1,('1994 E Maize Soil VWC'!$C$2:$C$4000=$AA116)*('1994 E Maize Soil VWC'!$D$2:$D$4000=$AB116)*('1994 E Maize Soil VWC'!$E$2:$E$4000=AF$5),'1994 E Maize Soil VWC'!$F$2:$F$4000)</f>
        <v>0.26149774755400484</v>
      </c>
      <c r="AG116" s="4" cm="1">
        <f t="array" ref="AG116">_xlfn.XLOOKUP(1,('1994 E Maize Soil VWC'!$C$2:$C$4000=$AA116)*('1994 E Maize Soil VWC'!$D$2:$D$4000=$AB116)*('1994 E Maize Soil VWC'!$E$2:$E$4000=AG$5),'1994 E Maize Soil VWC'!$F$2:$F$4000)</f>
        <v>0.22226934968450746</v>
      </c>
      <c r="AH116" s="4" cm="1">
        <f t="array" ref="AH116">_xlfn.XLOOKUP(1,('1994 E Maize Soil VWC'!$C$2:$C$4000=$AA116)*('1994 E Maize Soil VWC'!$D$2:$D$4000=$AB116)*('1994 E Maize Soil VWC'!$E$2:$E$4000=AH$5),'1994 E Maize Soil VWC'!$F$2:$F$4000)</f>
        <v>0.23962798169400934</v>
      </c>
      <c r="AI116" s="4" cm="1">
        <f t="array" ref="AI116">_xlfn.XLOOKUP(1,('1994 E Maize Soil VWC'!$C$2:$C$4000=$AA116)*('1994 E Maize Soil VWC'!$D$2:$D$4000=$AB116)*('1994 E Maize Soil VWC'!$E$2:$E$4000=AI$5),'1994 E Maize Soil VWC'!$F$2:$F$4000)</f>
        <v>0.27352743782198796</v>
      </c>
      <c r="AJ116" s="4" cm="1">
        <f t="array" ref="AJ116">_xlfn.XLOOKUP(1,('1994 E Maize Soil VWC'!$C$2:$C$4000=$AA116)*('1994 E Maize Soil VWC'!$D$2:$D$4000=$AB116)*('1994 E Maize Soil VWC'!$E$2:$E$4000=AJ$5),'1994 E Maize Soil VWC'!$F$2:$F$4000)</f>
        <v>0.27650847948927321</v>
      </c>
      <c r="AK116" s="4" cm="1">
        <f t="array" ref="AK116">_xlfn.XLOOKUP(1,('1994 E Maize Soil VWC'!$C$2:$C$4000=$AA116)*('1994 E Maize Soil VWC'!$D$2:$D$4000=$AB116)*('1994 E Maize Soil VWC'!$E$2:$E$4000=AK$5),'1994 E Maize Soil VWC'!$F$2:$F$4000)</f>
        <v>0.29220511481701428</v>
      </c>
      <c r="AL116" s="4" cm="1">
        <f t="array" ref="AL116">_xlfn.XLOOKUP(1,('1994 E Maize Soil VWC'!$C$2:$C$4000=$AA116)*('1994 E Maize Soil VWC'!$D$2:$D$4000=$AB116)*('1994 E Maize Soil VWC'!$E$2:$E$4000=AL$5),'1994 E Maize Soil VWC'!$F$2:$F$4000)</f>
        <v>0.25007481797936304</v>
      </c>
      <c r="AM116" s="4" cm="1">
        <f t="array" ref="AM116">_xlfn.XLOOKUP(1,('1994 E Maize Soil VWC'!$C$2:$C$4000=$AA116)*('1994 E Maize Soil VWC'!$D$2:$D$4000=$AB116)*('1994 E Maize Soil VWC'!$E$2:$E$4000=AM$5),'1994 E Maize Soil VWC'!$F$2:$F$4000)</f>
        <v>0.268515066876995</v>
      </c>
      <c r="AN116" s="4" cm="1">
        <f t="array" ref="AN116">_xlfn.XLOOKUP(1,('1994 E Maize Soil VWC'!$C$2:$C$4000=$AA116)*('1994 E Maize Soil VWC'!$D$2:$D$4000=$AB116)*('1994 E Maize Soil VWC'!$E$2:$E$4000=AN$5),'1994 E Maize Soil VWC'!$F$2:$F$4000)</f>
        <v>0.28202208752876551</v>
      </c>
    </row>
    <row r="117" spans="25:40" x14ac:dyDescent="0.25">
      <c r="AA117" s="19">
        <f t="shared" si="16"/>
        <v>34571</v>
      </c>
      <c r="AB117" s="4">
        <f t="shared" si="17"/>
        <v>150</v>
      </c>
      <c r="AC117" s="4" cm="1">
        <f t="array" ref="AC117">_xlfn.XLOOKUP(1,('1994 E Maize Soil VWC'!$C$2:$C$4000=$AA117)*('1994 E Maize Soil VWC'!$D$2:$D$4000=$AB117)*('1994 E Maize Soil VWC'!$E$2:$E$4000=AC$5),'1994 E Maize Soil VWC'!$F$2:$F$4000)</f>
        <v>0.27228753553559498</v>
      </c>
      <c r="AD117" s="4" cm="1">
        <f t="array" ref="AD117">_xlfn.XLOOKUP(1,('1994 E Maize Soil VWC'!$C$2:$C$4000=$AA117)*('1994 E Maize Soil VWC'!$D$2:$D$4000=$AB117)*('1994 E Maize Soil VWC'!$E$2:$E$4000=AD$5),'1994 E Maize Soil VWC'!$F$2:$F$4000)</f>
        <v>0.1846765675970603</v>
      </c>
      <c r="AE117" s="4" cm="1">
        <f t="array" ref="AE117">_xlfn.XLOOKUP(1,('1994 E Maize Soil VWC'!$C$2:$C$4000=$AA117)*('1994 E Maize Soil VWC'!$D$2:$D$4000=$AB117)*('1994 E Maize Soil VWC'!$E$2:$E$4000=AE$5),'1994 E Maize Soil VWC'!$F$2:$F$4000)</f>
        <v>0.29853653074753173</v>
      </c>
      <c r="AF117" s="4" cm="1">
        <f t="array" ref="AF117">_xlfn.XLOOKUP(1,('1994 E Maize Soil VWC'!$C$2:$C$4000=$AA117)*('1994 E Maize Soil VWC'!$D$2:$D$4000=$AB117)*('1994 E Maize Soil VWC'!$E$2:$E$4000=AF$5),'1994 E Maize Soil VWC'!$F$2:$F$4000)</f>
        <v>0.279621425655111</v>
      </c>
      <c r="AG117" s="4" cm="1">
        <f t="array" ref="AG117">_xlfn.XLOOKUP(1,('1994 E Maize Soil VWC'!$C$2:$C$4000=$AA117)*('1994 E Maize Soil VWC'!$D$2:$D$4000=$AB117)*('1994 E Maize Soil VWC'!$E$2:$E$4000=AG$5),'1994 E Maize Soil VWC'!$F$2:$F$4000)</f>
        <v>0.26371374312968598</v>
      </c>
      <c r="AH117" s="4" cm="1">
        <f t="array" ref="AH117">_xlfn.XLOOKUP(1,('1994 E Maize Soil VWC'!$C$2:$C$4000=$AA117)*('1994 E Maize Soil VWC'!$D$2:$D$4000=$AB117)*('1994 E Maize Soil VWC'!$E$2:$E$4000=AH$5),'1994 E Maize Soil VWC'!$F$2:$F$4000)</f>
        <v>0.2716543939425432</v>
      </c>
      <c r="AI117" s="4" cm="1">
        <f t="array" ref="AI117">_xlfn.XLOOKUP(1,('1994 E Maize Soil VWC'!$C$2:$C$4000=$AA117)*('1994 E Maize Soil VWC'!$D$2:$D$4000=$AB117)*('1994 E Maize Soil VWC'!$E$2:$E$4000=AI$5),'1994 E Maize Soil VWC'!$F$2:$F$4000)</f>
        <v>0.29486958568777372</v>
      </c>
      <c r="AJ117" s="4" cm="1">
        <f t="array" ref="AJ117">_xlfn.XLOOKUP(1,('1994 E Maize Soil VWC'!$C$2:$C$4000=$AA117)*('1994 E Maize Soil VWC'!$D$2:$D$4000=$AB117)*('1994 E Maize Soil VWC'!$E$2:$E$4000=AJ$5),'1994 E Maize Soil VWC'!$F$2:$F$4000)</f>
        <v>0.29120264062801571</v>
      </c>
      <c r="AK117" s="4" cm="1">
        <f t="array" ref="AK117">_xlfn.XLOOKUP(1,('1994 E Maize Soil VWC'!$C$2:$C$4000=$AA117)*('1994 E Maize Soil VWC'!$D$2:$D$4000=$AB117)*('1994 E Maize Soil VWC'!$E$2:$E$4000=AK$5),'1994 E Maize Soil VWC'!$F$2:$F$4000)</f>
        <v>0.28798417086333605</v>
      </c>
      <c r="AL117" s="4" cm="1">
        <f t="array" ref="AL117">_xlfn.XLOOKUP(1,('1994 E Maize Soil VWC'!$C$2:$C$4000=$AA117)*('1994 E Maize Soil VWC'!$D$2:$D$4000=$AB117)*('1994 E Maize Soil VWC'!$E$2:$E$4000=AL$5),'1994 E Maize Soil VWC'!$F$2:$F$4000)</f>
        <v>0.28415894040531509</v>
      </c>
      <c r="AM117" s="4" cm="1">
        <f t="array" ref="AM117">_xlfn.XLOOKUP(1,('1994 E Maize Soil VWC'!$C$2:$C$4000=$AA117)*('1994 E Maize Soil VWC'!$D$2:$D$4000=$AB117)*('1994 E Maize Soil VWC'!$E$2:$E$4000=AM$5),'1994 E Maize Soil VWC'!$F$2:$F$4000)</f>
        <v>0.3066354669586519</v>
      </c>
      <c r="AN117" s="4" cm="1">
        <f t="array" ref="AN117">_xlfn.XLOOKUP(1,('1994 E Maize Soil VWC'!$C$2:$C$4000=$AA117)*('1994 E Maize Soil VWC'!$D$2:$D$4000=$AB117)*('1994 E Maize Soil VWC'!$E$2:$E$4000=AN$5),'1994 E Maize Soil VWC'!$F$2:$F$4000)</f>
        <v>0.31159507610422388</v>
      </c>
    </row>
    <row r="118" spans="25:40" x14ac:dyDescent="0.25">
      <c r="AA118" s="19">
        <f t="shared" si="16"/>
        <v>34571</v>
      </c>
      <c r="AB118" s="4">
        <f t="shared" si="17"/>
        <v>170</v>
      </c>
      <c r="AC118" s="4" cm="1">
        <f t="array" ref="AC118">_xlfn.XLOOKUP(1,('1994 E Maize Soil VWC'!$C$2:$C$4000=$AA118)*('1994 E Maize Soil VWC'!$D$2:$D$4000=$AB118)*('1994 E Maize Soil VWC'!$E$2:$E$4000=AC$5),'1994 E Maize Soil VWC'!$F$2:$F$4000)</f>
        <v>0.2472520617103407</v>
      </c>
      <c r="AD118" s="4" cm="1">
        <f t="array" ref="AD118">_xlfn.XLOOKUP(1,('1994 E Maize Soil VWC'!$C$2:$C$4000=$AA118)*('1994 E Maize Soil VWC'!$D$2:$D$4000=$AB118)*('1994 E Maize Soil VWC'!$E$2:$E$4000=AD$5),'1994 E Maize Soil VWC'!$F$2:$F$4000)</f>
        <v>0.26371374312968598</v>
      </c>
      <c r="AE118" s="4" cm="1">
        <f t="array" ref="AE118">_xlfn.XLOOKUP(1,('1994 E Maize Soil VWC'!$C$2:$C$4000=$AA118)*('1994 E Maize Soil VWC'!$D$2:$D$4000=$AB118)*('1994 E Maize Soil VWC'!$E$2:$E$4000=AE$5),'1994 E Maize Soil VWC'!$F$2:$F$4000)</f>
        <v>0.27595448059535294</v>
      </c>
      <c r="AF118" s="4" cm="1">
        <f t="array" ref="AF118">_xlfn.XLOOKUP(1,('1994 E Maize Soil VWC'!$C$2:$C$4000=$AA118)*('1994 E Maize Soil VWC'!$D$2:$D$4000=$AB118)*('1994 E Maize Soil VWC'!$E$2:$E$4000=AF$5),'1994 E Maize Soil VWC'!$F$2:$F$4000)</f>
        <v>0.27218201193675301</v>
      </c>
      <c r="AG118" s="4" cm="1">
        <f t="array" ref="AG118">_xlfn.XLOOKUP(1,('1994 E Maize Soil VWC'!$C$2:$C$4000=$AA118)*('1994 E Maize Soil VWC'!$D$2:$D$4000=$AB118)*('1994 E Maize Soil VWC'!$E$2:$E$4000=AG$5),'1994 E Maize Soil VWC'!$F$2:$F$4000)</f>
        <v>0.25471785632840915</v>
      </c>
      <c r="AH118" s="4" cm="1">
        <f t="array" ref="AH118">_xlfn.XLOOKUP(1,('1994 E Maize Soil VWC'!$C$2:$C$4000=$AA118)*('1994 E Maize Soil VWC'!$D$2:$D$4000=$AB118)*('1994 E Maize Soil VWC'!$E$2:$E$4000=AH$5),'1994 E Maize Soil VWC'!$F$2:$F$4000)</f>
        <v>0.26775002078539079</v>
      </c>
      <c r="AI118" s="4" cm="1">
        <f t="array" ref="AI118">_xlfn.XLOOKUP(1,('1994 E Maize Soil VWC'!$C$2:$C$4000=$AA118)*('1994 E Maize Soil VWC'!$D$2:$D$4000=$AB118)*('1994 E Maize Soil VWC'!$E$2:$E$4000=AI$5),'1994 E Maize Soil VWC'!$F$2:$F$4000)</f>
        <v>0.28202208752876551</v>
      </c>
      <c r="AJ118" s="4" cm="1">
        <f t="array" ref="AJ118">_xlfn.XLOOKUP(1,('1994 E Maize Soil VWC'!$C$2:$C$4000=$AA118)*('1994 E Maize Soil VWC'!$D$2:$D$4000=$AB118)*('1994 E Maize Soil VWC'!$E$2:$E$4000=AJ$5),'1994 E Maize Soil VWC'!$F$2:$F$4000)</f>
        <v>0.2753741008017222</v>
      </c>
      <c r="AK118" s="4" cm="1">
        <f t="array" ref="AK118">_xlfn.XLOOKUP(1,('1994 E Maize Soil VWC'!$C$2:$C$4000=$AA118)*('1994 E Maize Soil VWC'!$D$2:$D$4000=$AB118)*('1994 E Maize Soil VWC'!$E$2:$E$4000=AK$5),'1994 E Maize Soil VWC'!$F$2:$F$4000)</f>
        <v>0.26986049276222995</v>
      </c>
      <c r="AL118" s="4" cm="1">
        <f t="array" ref="AL118">_xlfn.XLOOKUP(1,('1994 E Maize Soil VWC'!$C$2:$C$4000=$AA118)*('1994 E Maize Soil VWC'!$D$2:$D$4000=$AB118)*('1994 E Maize Soil VWC'!$E$2:$E$4000=AL$5),'1994 E Maize Soil VWC'!$F$2:$F$4000)</f>
        <v>0.26302783973721328</v>
      </c>
      <c r="AM118" s="4" cm="1">
        <f t="array" ref="AM118">_xlfn.XLOOKUP(1,('1994 E Maize Soil VWC'!$C$2:$C$4000=$AA118)*('1994 E Maize Soil VWC'!$D$2:$D$4000=$AB118)*('1994 E Maize Soil VWC'!$E$2:$E$4000=AM$5),'1994 E Maize Soil VWC'!$F$2:$F$4000)</f>
        <v>0.29049035633583253</v>
      </c>
      <c r="AN118" s="4" cm="1">
        <f t="array" ref="AN118">_xlfn.XLOOKUP(1,('1994 E Maize Soil VWC'!$C$2:$C$4000=$AA118)*('1994 E Maize Soil VWC'!$D$2:$D$4000=$AB118)*('1994 E Maize Soil VWC'!$E$2:$E$4000=AN$5),'1994 E Maize Soil VWC'!$F$2:$F$4000)</f>
        <v>0.29144006872541012</v>
      </c>
    </row>
    <row r="119" spans="25:40" x14ac:dyDescent="0.25">
      <c r="AA119" s="19">
        <f t="shared" si="16"/>
        <v>34571</v>
      </c>
      <c r="AB119" s="4">
        <f t="shared" si="17"/>
        <v>190</v>
      </c>
      <c r="AC119" s="4" cm="1">
        <f t="array" ref="AC119">_xlfn.XLOOKUP(1,('1994 E Maize Soil VWC'!$C$2:$C$4000=$AA119)*('1994 E Maize Soil VWC'!$D$2:$D$4000=$AB119)*('1994 E Maize Soil VWC'!$E$2:$E$4000=AC$5),'1994 E Maize Soil VWC'!$F$2:$F$4000)</f>
        <v>0.21417041347338728</v>
      </c>
      <c r="AD119" s="4" cm="1">
        <f t="array" ref="AD119">_xlfn.XLOOKUP(1,('1994 E Maize Soil VWC'!$C$2:$C$4000=$AA119)*('1994 E Maize Soil VWC'!$D$2:$D$4000=$AB119)*('1994 E Maize Soil VWC'!$E$2:$E$4000=AD$5),'1994 E Maize Soil VWC'!$F$2:$F$4000)</f>
        <v>0.26445240832157968</v>
      </c>
      <c r="AE119" s="4" cm="1">
        <f t="array" ref="AE119">_xlfn.XLOOKUP(1,('1994 E Maize Soil VWC'!$C$2:$C$4000=$AA119)*('1994 E Maize Soil VWC'!$D$2:$D$4000=$AB119)*('1994 E Maize Soil VWC'!$E$2:$E$4000=AE$5),'1994 E Maize Soil VWC'!$F$2:$F$4000)</f>
        <v>0.26859420957612645</v>
      </c>
      <c r="AF119" s="4" cm="1">
        <f t="array" ref="AF119">_xlfn.XLOOKUP(1,('1994 E Maize Soil VWC'!$C$2:$C$4000=$AA119)*('1994 E Maize Soil VWC'!$D$2:$D$4000=$AB119)*('1994 E Maize Soil VWC'!$E$2:$E$4000=AF$5),'1994 E Maize Soil VWC'!$F$2:$F$4000)</f>
        <v>0.27141696584514885</v>
      </c>
      <c r="AG119" s="4" cm="1">
        <f t="array" ref="AG119">_xlfn.XLOOKUP(1,('1994 E Maize Soil VWC'!$C$2:$C$4000=$AA119)*('1994 E Maize Soil VWC'!$D$2:$D$4000=$AB119)*('1994 E Maize Soil VWC'!$E$2:$E$4000=AG$5),'1994 E Maize Soil VWC'!$F$2:$F$4000)</f>
        <v>0.23300637586667655</v>
      </c>
      <c r="AH119" s="4" cm="1">
        <f t="array" ref="AH119">_xlfn.XLOOKUP(1,('1994 E Maize Soil VWC'!$C$2:$C$4000=$AA119)*('1994 E Maize Soil VWC'!$D$2:$D$4000=$AB119)*('1994 E Maize Soil VWC'!$E$2:$E$4000=AH$5),'1994 E Maize Soil VWC'!$F$2:$F$4000)</f>
        <v>0.25801546879222031</v>
      </c>
      <c r="AI119" s="4" cm="1">
        <f t="array" ref="AI119">_xlfn.XLOOKUP(1,('1994 E Maize Soil VWC'!$C$2:$C$4000=$AA119)*('1994 E Maize Soil VWC'!$D$2:$D$4000=$AB119)*('1994 E Maize Soil VWC'!$E$2:$E$4000=AI$5),'1994 E Maize Soil VWC'!$F$2:$F$4000)</f>
        <v>0.26711687919233906</v>
      </c>
      <c r="AJ119" s="4" cm="1">
        <f t="array" ref="AJ119">_xlfn.XLOOKUP(1,('1994 E Maize Soil VWC'!$C$2:$C$4000=$AA119)*('1994 E Maize Soil VWC'!$D$2:$D$4000=$AB119)*('1994 E Maize Soil VWC'!$E$2:$E$4000=AJ$5),'1994 E Maize Soil VWC'!$F$2:$F$4000)</f>
        <v>0.26592973870536707</v>
      </c>
      <c r="AK119" s="4" cm="1">
        <f t="array" ref="AK119">_xlfn.XLOOKUP(1,('1994 E Maize Soil VWC'!$C$2:$C$4000=$AA119)*('1994 E Maize Soil VWC'!$D$2:$D$4000=$AB119)*('1994 E Maize Soil VWC'!$E$2:$E$4000=AK$5),'1994 E Maize Soil VWC'!$F$2:$F$4000)</f>
        <v>0.26527021621260483</v>
      </c>
      <c r="AL119" s="4" cm="1">
        <f t="array" ref="AL119">_xlfn.XLOOKUP(1,('1994 E Maize Soil VWC'!$C$2:$C$4000=$AA119)*('1994 E Maize Soil VWC'!$D$2:$D$4000=$AB119)*('1994 E Maize Soil VWC'!$E$2:$E$4000=AL$5),'1994 E Maize Soil VWC'!$F$2:$F$4000)</f>
        <v>0.26943839836686212</v>
      </c>
      <c r="AM119" s="4" cm="1">
        <f t="array" ref="AM119">_xlfn.XLOOKUP(1,('1994 E Maize Soil VWC'!$C$2:$C$4000=$AA119)*('1994 E Maize Soil VWC'!$D$2:$D$4000=$AB119)*('1994 E Maize Soil VWC'!$E$2:$E$4000=AM$5),'1994 E Maize Soil VWC'!$F$2:$F$4000)</f>
        <v>0.30333785449484074</v>
      </c>
      <c r="AN119" s="4" cm="1">
        <f t="array" ref="AN119">_xlfn.XLOOKUP(1,('1994 E Maize Soil VWC'!$C$2:$C$4000=$AA119)*('1994 E Maize Soil VWC'!$D$2:$D$4000=$AB119)*('1994 E Maize Soil VWC'!$E$2:$E$4000=AN$5),'1994 E Maize Soil VWC'!$F$2:$F$4000)</f>
        <v>0.31228097949669659</v>
      </c>
    </row>
    <row r="120" spans="25:40" x14ac:dyDescent="0.25">
      <c r="AA120" s="19">
        <f t="shared" si="16"/>
        <v>34571</v>
      </c>
      <c r="AB120" s="4">
        <f t="shared" si="17"/>
        <v>210</v>
      </c>
      <c r="AC120" s="4" cm="1">
        <f t="array" ref="AC120">_xlfn.XLOOKUP(1,('1994 E Maize Soil VWC'!$C$2:$C$4000=$AA120)*('1994 E Maize Soil VWC'!$D$2:$D$4000=$AB120)*('1994 E Maize Soil VWC'!$E$2:$E$4000=AC$5),'1994 E Maize Soil VWC'!$F$2:$F$4000)</f>
        <v>0.18367409340806173</v>
      </c>
      <c r="AD120" s="4" cm="1">
        <f t="array" ref="AD120">_xlfn.XLOOKUP(1,('1994 E Maize Soil VWC'!$C$2:$C$4000=$AA120)*('1994 E Maize Soil VWC'!$D$2:$D$4000=$AB120)*('1994 E Maize Soil VWC'!$E$2:$E$4000=AD$5),'1994 E Maize Soil VWC'!$F$2:$F$4000)</f>
        <v>0.24693549091381484</v>
      </c>
      <c r="AE120" s="4" cm="1">
        <f t="array" ref="AE120">_xlfn.XLOOKUP(1,('1994 E Maize Soil VWC'!$C$2:$C$4000=$AA120)*('1994 E Maize Soil VWC'!$D$2:$D$4000=$AB120)*('1994 E Maize Soil VWC'!$E$2:$E$4000=AE$5),'1994 E Maize Soil VWC'!$F$2:$F$4000)</f>
        <v>0.24332130765347781</v>
      </c>
      <c r="AF120" s="4" cm="1">
        <f t="array" ref="AF120">_xlfn.XLOOKUP(1,('1994 E Maize Soil VWC'!$C$2:$C$4000=$AA120)*('1994 E Maize Soil VWC'!$D$2:$D$4000=$AB120)*('1994 E Maize Soil VWC'!$E$2:$E$4000=AF$5),'1994 E Maize Soil VWC'!$F$2:$F$4000)</f>
        <v>0.26339717233316007</v>
      </c>
      <c r="AG120" s="4" t="e" cm="1">
        <f t="array" ref="AG120">_xlfn.XLOOKUP(1,('1994 E Maize Soil VWC'!$C$2:$C$4000=$AA120)*('1994 E Maize Soil VWC'!$D$2:$D$4000=$AB120)*('1994 E Maize Soil VWC'!$E$2:$E$4000=AG$5),'1994 E Maize Soil VWC'!$F$2:$F$4000)</f>
        <v>#N/A</v>
      </c>
      <c r="AH120" s="4" t="e" cm="1">
        <f t="array" ref="AH120">_xlfn.XLOOKUP(1,('1994 E Maize Soil VWC'!$C$2:$C$4000=$AA120)*('1994 E Maize Soil VWC'!$D$2:$D$4000=$AB120)*('1994 E Maize Soil VWC'!$E$2:$E$4000=AH$5),'1994 E Maize Soil VWC'!$F$2:$F$4000)</f>
        <v>#N/A</v>
      </c>
      <c r="AI120" s="4" cm="1">
        <f t="array" ref="AI120">_xlfn.XLOOKUP(1,('1994 E Maize Soil VWC'!$C$2:$C$4000=$AA120)*('1994 E Maize Soil VWC'!$D$2:$D$4000=$AB120)*('1994 E Maize Soil VWC'!$E$2:$E$4000=AI$5),'1994 E Maize Soil VWC'!$F$2:$F$4000)</f>
        <v>0.26891078037265237</v>
      </c>
      <c r="AJ120" s="4" cm="1">
        <f t="array" ref="AJ120">_xlfn.XLOOKUP(1,('1994 E Maize Soil VWC'!$C$2:$C$4000=$AA120)*('1994 E Maize Soil VWC'!$D$2:$D$4000=$AB120)*('1994 E Maize Soil VWC'!$E$2:$E$4000=AJ$5),'1994 E Maize Soil VWC'!$F$2:$F$4000)</f>
        <v>0.25928175197832376</v>
      </c>
      <c r="AK120" s="4" cm="1">
        <f t="array" ref="AK120">_xlfn.XLOOKUP(1,('1994 E Maize Soil VWC'!$C$2:$C$4000=$AA120)*('1994 E Maize Soil VWC'!$D$2:$D$4000=$AB120)*('1994 E Maize Soil VWC'!$E$2:$E$4000=AK$5),'1994 E Maize Soil VWC'!$F$2:$F$4000)</f>
        <v>0.25878051488382448</v>
      </c>
      <c r="AL120" s="4" cm="1">
        <f t="array" ref="AL120">_xlfn.XLOOKUP(1,('1994 E Maize Soil VWC'!$C$2:$C$4000=$AA120)*('1994 E Maize Soil VWC'!$D$2:$D$4000=$AB120)*('1994 E Maize Soil VWC'!$E$2:$E$4000=AL$5),'1994 E Maize Soil VWC'!$F$2:$F$4000)</f>
        <v>0.26840954327815308</v>
      </c>
      <c r="AM120" s="4" t="e" cm="1">
        <f t="array" ref="AM120">_xlfn.XLOOKUP(1,('1994 E Maize Soil VWC'!$C$2:$C$4000=$AA120)*('1994 E Maize Soil VWC'!$D$2:$D$4000=$AB120)*('1994 E Maize Soil VWC'!$E$2:$E$4000=AM$5),'1994 E Maize Soil VWC'!$F$2:$F$4000)</f>
        <v>#N/A</v>
      </c>
      <c r="AN120" s="4" t="e" cm="1">
        <f t="array" ref="AN120">_xlfn.XLOOKUP(1,('1994 E Maize Soil VWC'!$C$2:$C$4000=$AA120)*('1994 E Maize Soil VWC'!$D$2:$D$4000=$AB120)*('1994 E Maize Soil VWC'!$E$2:$E$4000=AN$5),'1994 E Maize Soil VWC'!$F$2:$F$4000)</f>
        <v>#N/A</v>
      </c>
    </row>
    <row r="121" spans="25:40" x14ac:dyDescent="0.25">
      <c r="AA121" s="19">
        <f t="shared" si="16"/>
        <v>34571</v>
      </c>
      <c r="AB121" s="4">
        <f t="shared" si="17"/>
        <v>230</v>
      </c>
      <c r="AC121" s="4" cm="1">
        <f t="array" ref="AC121">_xlfn.XLOOKUP(1,('1994 E Maize Soil VWC'!$C$2:$C$4000=$AA121)*('1994 E Maize Soil VWC'!$D$2:$D$4000=$AB121)*('1994 E Maize Soil VWC'!$E$2:$E$4000=AC$5),'1994 E Maize Soil VWC'!$F$2:$F$4000)</f>
        <v>0.17966419665206737</v>
      </c>
      <c r="AD121" s="4" cm="1">
        <f t="array" ref="AD121">_xlfn.XLOOKUP(1,('1994 E Maize Soil VWC'!$C$2:$C$4000=$AA121)*('1994 E Maize Soil VWC'!$D$2:$D$4000=$AB121)*('1994 E Maize Soil VWC'!$E$2:$E$4000=AD$5),'1994 E Maize Soil VWC'!$F$2:$F$4000)</f>
        <v>0.23258428147130872</v>
      </c>
      <c r="AE121" s="4" cm="1">
        <f t="array" ref="AE121">_xlfn.XLOOKUP(1,('1994 E Maize Soil VWC'!$C$2:$C$4000=$AA121)*('1994 E Maize Soil VWC'!$D$2:$D$4000=$AB121)*('1994 E Maize Soil VWC'!$E$2:$E$4000=AE$5),'1994 E Maize Soil VWC'!$F$2:$F$4000)</f>
        <v>0.24334768855318833</v>
      </c>
      <c r="AF121" s="4" cm="1">
        <f t="array" ref="AF121">_xlfn.XLOOKUP(1,('1994 E Maize Soil VWC'!$C$2:$C$4000=$AA121)*('1994 E Maize Soil VWC'!$D$2:$D$4000=$AB121)*('1994 E Maize Soil VWC'!$E$2:$E$4000=AF$5),'1994 E Maize Soil VWC'!$F$2:$F$4000)</f>
        <v>0.25790994519337834</v>
      </c>
      <c r="AG121" s="4" t="e" cm="1">
        <f t="array" ref="AG121">_xlfn.XLOOKUP(1,('1994 E Maize Soil VWC'!$C$2:$C$4000=$AA121)*('1994 E Maize Soil VWC'!$D$2:$D$4000=$AB121)*('1994 E Maize Soil VWC'!$E$2:$E$4000=AG$5),'1994 E Maize Soil VWC'!$F$2:$F$4000)</f>
        <v>#N/A</v>
      </c>
      <c r="AH121" s="4" t="e" cm="1">
        <f t="array" ref="AH121">_xlfn.XLOOKUP(1,('1994 E Maize Soil VWC'!$C$2:$C$4000=$AA121)*('1994 E Maize Soil VWC'!$D$2:$D$4000=$AB121)*('1994 E Maize Soil VWC'!$E$2:$E$4000=AH$5),'1994 E Maize Soil VWC'!$F$2:$F$4000)</f>
        <v>#N/A</v>
      </c>
      <c r="AI121" s="4" cm="1">
        <f t="array" ref="AI121">_xlfn.XLOOKUP(1,('1994 E Maize Soil VWC'!$C$2:$C$4000=$AA121)*('1994 E Maize Soil VWC'!$D$2:$D$4000=$AB121)*('1994 E Maize Soil VWC'!$E$2:$E$4000=AI$5),'1994 E Maize Soil VWC'!$F$2:$F$4000)</f>
        <v>0.26126031945661049</v>
      </c>
      <c r="AJ121" s="4" cm="1">
        <f t="array" ref="AJ121">_xlfn.XLOOKUP(1,('1994 E Maize Soil VWC'!$C$2:$C$4000=$AA121)*('1994 E Maize Soil VWC'!$D$2:$D$4000=$AB121)*('1994 E Maize Soil VWC'!$E$2:$E$4000=AJ$5),'1994 E Maize Soil VWC'!$F$2:$F$4000)</f>
        <v>0.25693385190409024</v>
      </c>
      <c r="AK121" s="4" cm="1">
        <f t="array" ref="AK121">_xlfn.XLOOKUP(1,('1994 E Maize Soil VWC'!$C$2:$C$4000=$AA121)*('1994 E Maize Soil VWC'!$D$2:$D$4000=$AB121)*('1994 E Maize Soil VWC'!$E$2:$E$4000=AK$5),'1994 E Maize Soil VWC'!$F$2:$F$4000)</f>
        <v>0.25300309784722735</v>
      </c>
      <c r="AL121" s="4" cm="1">
        <f t="array" ref="AL121">_xlfn.XLOOKUP(1,('1994 E Maize Soil VWC'!$C$2:$C$4000=$AA121)*('1994 E Maize Soil VWC'!$D$2:$D$4000=$AB121)*('1994 E Maize Soil VWC'!$E$2:$E$4000=AL$5),'1994 E Maize Soil VWC'!$F$2:$F$4000)</f>
        <v>0.2612075576571895</v>
      </c>
      <c r="AM121" s="4" t="e" cm="1">
        <f t="array" ref="AM121">_xlfn.XLOOKUP(1,('1994 E Maize Soil VWC'!$C$2:$C$4000=$AA121)*('1994 E Maize Soil VWC'!$D$2:$D$4000=$AB121)*('1994 E Maize Soil VWC'!$E$2:$E$4000=AM$5),'1994 E Maize Soil VWC'!$F$2:$F$4000)</f>
        <v>#N/A</v>
      </c>
      <c r="AN121" s="4" t="e" cm="1">
        <f t="array" ref="AN121">_xlfn.XLOOKUP(1,('1994 E Maize Soil VWC'!$C$2:$C$4000=$AA121)*('1994 E Maize Soil VWC'!$D$2:$D$4000=$AB121)*('1994 E Maize Soil VWC'!$E$2:$E$4000=AN$5),'1994 E Maize Soil VWC'!$F$2:$F$4000)</f>
        <v>#N/A</v>
      </c>
    </row>
    <row r="122" spans="25:40" x14ac:dyDescent="0.25">
      <c r="AA122" s="19"/>
    </row>
    <row r="123" spans="25:40" x14ac:dyDescent="0.25">
      <c r="Y123" s="4">
        <f>Y110</f>
        <v>1994</v>
      </c>
      <c r="Z123" s="4">
        <v>257</v>
      </c>
      <c r="AA123" s="19">
        <f>DATE(Y123,1,Z123)</f>
        <v>34591</v>
      </c>
      <c r="AB123" s="4">
        <v>10</v>
      </c>
      <c r="AC123" s="4" cm="1">
        <f t="array" ref="AC123">_xlfn.XLOOKUP(1,('1994 E Maize Soil VWC'!$C$2:$C$4000=$AA123)*('1994 E Maize Soil VWC'!$D$2:$D$4000=$AB123)*('1994 E Maize Soil VWC'!$E$2:$E$4000=AC$5),'1994 E Maize Soil VWC'!$F$2:$F$4000)</f>
        <v>0.30620833041867712</v>
      </c>
      <c r="AD123" s="4" cm="1">
        <f t="array" ref="AD123">_xlfn.XLOOKUP(1,('1994 E Maize Soil VWC'!$C$2:$C$4000=$AA123)*('1994 E Maize Soil VWC'!$D$2:$D$4000=$AB123)*('1994 E Maize Soil VWC'!$E$2:$E$4000=AD$5),'1994 E Maize Soil VWC'!$F$2:$F$4000)</f>
        <v>0.296458347848712</v>
      </c>
      <c r="AE123" s="4" cm="1">
        <f t="array" ref="AE123">_xlfn.XLOOKUP(1,('1994 E Maize Soil VWC'!$C$2:$C$4000=$AA123)*('1994 E Maize Soil VWC'!$D$2:$D$4000=$AB123)*('1994 E Maize Soil VWC'!$E$2:$E$4000=AE$5),'1994 E Maize Soil VWC'!$F$2:$F$4000)</f>
        <v>0.27467587233835644</v>
      </c>
      <c r="AF123" s="4" cm="1">
        <f t="array" ref="AF123">_xlfn.XLOOKUP(1,('1994 E Maize Soil VWC'!$C$2:$C$4000=$AA123)*('1994 E Maize Soil VWC'!$D$2:$D$4000=$AB123)*('1994 E Maize Soil VWC'!$E$2:$E$4000=AF$5),'1994 E Maize Soil VWC'!$F$2:$F$4000)</f>
        <v>0.32618734094499291</v>
      </c>
      <c r="AG123" s="4" cm="1">
        <f t="array" ref="AG123">_xlfn.XLOOKUP(1,('1994 E Maize Soil VWC'!$C$2:$C$4000=$AA123)*('1994 E Maize Soil VWC'!$D$2:$D$4000=$AB123)*('1994 E Maize Soil VWC'!$E$2:$E$4000=AG$5),'1994 E Maize Soil VWC'!$F$2:$F$4000)</f>
        <v>0.34281303376660971</v>
      </c>
      <c r="AH123" s="4" cm="1">
        <f t="array" ref="AH123">_xlfn.XLOOKUP(1,('1994 E Maize Soil VWC'!$C$2:$C$4000=$AA123)*('1994 E Maize Soil VWC'!$D$2:$D$4000=$AB123)*('1994 E Maize Soil VWC'!$E$2:$E$4000=AH$5),'1994 E Maize Soil VWC'!$F$2:$F$4000)</f>
        <v>0.31798721109568701</v>
      </c>
      <c r="AI123" s="4" cm="1">
        <f t="array" ref="AI123">_xlfn.XLOOKUP(1,('1994 E Maize Soil VWC'!$C$2:$C$4000=$AA123)*('1994 E Maize Soil VWC'!$D$2:$D$4000=$AB123)*('1994 E Maize Soil VWC'!$E$2:$E$4000=AI$5),'1994 E Maize Soil VWC'!$F$2:$F$4000)</f>
        <v>0.30043160664167468</v>
      </c>
      <c r="AJ123" s="4" cm="1">
        <f t="array" ref="AJ123">_xlfn.XLOOKUP(1,('1994 E Maize Soil VWC'!$C$2:$C$4000=$AA123)*('1994 E Maize Soil VWC'!$D$2:$D$4000=$AB123)*('1994 E Maize Soil VWC'!$E$2:$E$4000=AJ$5),'1994 E Maize Soil VWC'!$F$2:$F$4000)</f>
        <v>0.31545108846188108</v>
      </c>
      <c r="AK123" s="4" cm="1">
        <f t="array" ref="AK123">_xlfn.XLOOKUP(1,('1994 E Maize Soil VWC'!$C$2:$C$4000=$AA123)*('1994 E Maize Soil VWC'!$D$2:$D$4000=$AB123)*('1994 E Maize Soil VWC'!$E$2:$E$4000=AK$5),'1994 E Maize Soil VWC'!$F$2:$F$4000)</f>
        <v>0.31232320388018703</v>
      </c>
      <c r="AL123" s="4" cm="1">
        <f t="array" ref="AL123">_xlfn.XLOOKUP(1,('1994 E Maize Soil VWC'!$C$2:$C$4000=$AA123)*('1994 E Maize Soil VWC'!$D$2:$D$4000=$AB123)*('1994 E Maize Soil VWC'!$E$2:$E$4000=AL$5),'1994 E Maize Soil VWC'!$F$2:$F$4000)</f>
        <v>0.30350313294261744</v>
      </c>
      <c r="AM123" s="4" cm="1">
        <f t="array" ref="AM123">_xlfn.XLOOKUP(1,('1994 E Maize Soil VWC'!$C$2:$C$4000=$AA123)*('1994 E Maize Soil VWC'!$D$2:$D$4000=$AB123)*('1994 E Maize Soil VWC'!$E$2:$E$4000=AM$5),'1994 E Maize Soil VWC'!$F$2:$F$4000)</f>
        <v>0.33055510770321428</v>
      </c>
      <c r="AN123" s="4" cm="1">
        <f t="array" ref="AN123">_xlfn.XLOOKUP(1,('1994 E Maize Soil VWC'!$C$2:$C$4000=$AA123)*('1994 E Maize Soil VWC'!$D$2:$D$4000=$AB123)*('1994 E Maize Soil VWC'!$E$2:$E$4000=AN$5),'1994 E Maize Soil VWC'!$F$2:$F$4000)</f>
        <v>0.33509194930368935</v>
      </c>
    </row>
    <row r="124" spans="25:40" x14ac:dyDescent="0.25">
      <c r="AA124" s="19">
        <f t="shared" ref="AA124:AA134" si="18">AA123</f>
        <v>34591</v>
      </c>
      <c r="AB124" s="4">
        <f t="shared" ref="AB124:AB134" si="19">AB123+20</f>
        <v>30</v>
      </c>
      <c r="AC124" s="4" cm="1">
        <f t="array" ref="AC124">_xlfn.XLOOKUP(1,('1994 E Maize Soil VWC'!$C$2:$C$4000=$AA124)*('1994 E Maize Soil VWC'!$D$2:$D$4000=$AB124)*('1994 E Maize Soil VWC'!$E$2:$E$4000=AC$5),'1994 E Maize Soil VWC'!$F$2:$F$4000)</f>
        <v>0.27629901140722041</v>
      </c>
      <c r="AD124" s="4" cm="1">
        <f t="array" ref="AD124">_xlfn.XLOOKUP(1,('1994 E Maize Soil VWC'!$C$2:$C$4000=$AA124)*('1994 E Maize Soil VWC'!$D$2:$D$4000=$AB124)*('1994 E Maize Soil VWC'!$E$2:$E$4000=AD$5),'1994 E Maize Soil VWC'!$F$2:$F$4000)</f>
        <v>0.23306448383193523</v>
      </c>
      <c r="AE124" s="4" cm="1">
        <f t="array" ref="AE124">_xlfn.XLOOKUP(1,('1994 E Maize Soil VWC'!$C$2:$C$4000=$AA124)*('1994 E Maize Soil VWC'!$D$2:$D$4000=$AB124)*('1994 E Maize Soil VWC'!$E$2:$E$4000=AE$5),'1994 E Maize Soil VWC'!$F$2:$F$4000)</f>
        <v>0.22984283498131786</v>
      </c>
      <c r="AF124" s="4" cm="1">
        <f t="array" ref="AF124">_xlfn.XLOOKUP(1,('1994 E Maize Soil VWC'!$C$2:$C$4000=$AA124)*('1994 E Maize Soil VWC'!$D$2:$D$4000=$AB124)*('1994 E Maize Soil VWC'!$E$2:$E$4000=AF$5),'1994 E Maize Soil VWC'!$F$2:$F$4000)</f>
        <v>0.26830932225768933</v>
      </c>
      <c r="AG124" s="4" cm="1">
        <f t="array" ref="AG124">_xlfn.XLOOKUP(1,('1994 E Maize Soil VWC'!$C$2:$C$4000=$AA124)*('1994 E Maize Soil VWC'!$D$2:$D$4000=$AB124)*('1994 E Maize Soil VWC'!$E$2:$E$4000=AG$5),'1994 E Maize Soil VWC'!$F$2:$F$4000)</f>
        <v>0.31760054967213519</v>
      </c>
      <c r="AH124" s="4" cm="1">
        <f t="array" ref="AH124">_xlfn.XLOOKUP(1,('1994 E Maize Soil VWC'!$C$2:$C$4000=$AA124)*('1994 E Maize Soil VWC'!$D$2:$D$4000=$AB124)*('1994 E Maize Soil VWC'!$E$2:$E$4000=AH$5),'1994 E Maize Soil VWC'!$F$2:$F$4000)</f>
        <v>0.29714307947071483</v>
      </c>
      <c r="AI124" s="4" cm="1">
        <f t="array" ref="AI124">_xlfn.XLOOKUP(1,('1994 E Maize Soil VWC'!$C$2:$C$4000=$AA124)*('1994 E Maize Soil VWC'!$D$2:$D$4000=$AB124)*('1994 E Maize Soil VWC'!$E$2:$E$4000=AI$5),'1994 E Maize Soil VWC'!$F$2:$F$4000)</f>
        <v>0.26524875584960278</v>
      </c>
      <c r="AJ124" s="4" cm="1">
        <f t="array" ref="AJ124">_xlfn.XLOOKUP(1,('1994 E Maize Soil VWC'!$C$2:$C$4000=$AA124)*('1994 E Maize Soil VWC'!$D$2:$D$4000=$AB124)*('1994 E Maize Soil VWC'!$E$2:$E$4000=AJ$5),'1994 E Maize Soil VWC'!$F$2:$F$4000)</f>
        <v>0.26950133233241774</v>
      </c>
      <c r="AK124" s="4" cm="1">
        <f t="array" ref="AK124">_xlfn.XLOOKUP(1,('1994 E Maize Soil VWC'!$C$2:$C$4000=$AA124)*('1994 E Maize Soil VWC'!$D$2:$D$4000=$AB124)*('1994 E Maize Soil VWC'!$E$2:$E$4000=AK$5),'1994 E Maize Soil VWC'!$F$2:$F$4000)</f>
        <v>0.300880192137431</v>
      </c>
      <c r="AL124" s="4" cm="1">
        <f t="array" ref="AL124">_xlfn.XLOOKUP(1,('1994 E Maize Soil VWC'!$C$2:$C$4000=$AA124)*('1994 E Maize Soil VWC'!$D$2:$D$4000=$AB124)*('1994 E Maize Soil VWC'!$E$2:$E$4000=AL$5),'1994 E Maize Soil VWC'!$F$2:$F$4000)</f>
        <v>0.24578999679187385</v>
      </c>
      <c r="AM124" s="4" cm="1">
        <f t="array" ref="AM124">_xlfn.XLOOKUP(1,('1994 E Maize Soil VWC'!$C$2:$C$4000=$AA124)*('1994 E Maize Soil VWC'!$D$2:$D$4000=$AB124)*('1994 E Maize Soil VWC'!$E$2:$E$4000=AM$5),'1994 E Maize Soil VWC'!$F$2:$F$4000)</f>
        <v>0.25700133479202236</v>
      </c>
      <c r="AN124" s="4" cm="1">
        <f t="array" ref="AN124">_xlfn.XLOOKUP(1,('1994 E Maize Soil VWC'!$C$2:$C$4000=$AA124)*('1994 E Maize Soil VWC'!$D$2:$D$4000=$AB124)*('1994 E Maize Soil VWC'!$E$2:$E$4000=AN$5),'1994 E Maize Soil VWC'!$F$2:$F$4000)</f>
        <v>0.2700812291255289</v>
      </c>
    </row>
    <row r="125" spans="25:40" x14ac:dyDescent="0.25">
      <c r="AA125" s="19">
        <f t="shared" si="18"/>
        <v>34591</v>
      </c>
      <c r="AB125" s="4">
        <f t="shared" si="19"/>
        <v>50</v>
      </c>
      <c r="AC125" s="4" cm="1">
        <f t="array" ref="AC125">_xlfn.XLOOKUP(1,('1994 E Maize Soil VWC'!$C$2:$C$4000=$AA125)*('1994 E Maize Soil VWC'!$D$2:$D$4000=$AB125)*('1994 E Maize Soil VWC'!$E$2:$E$4000=AC$5),'1994 E Maize Soil VWC'!$F$2:$F$4000)</f>
        <v>0.24521009999876275</v>
      </c>
      <c r="AD125" s="4" cm="1">
        <f t="array" ref="AD125">_xlfn.XLOOKUP(1,('1994 E Maize Soil VWC'!$C$2:$C$4000=$AA125)*('1994 E Maize Soil VWC'!$D$2:$D$4000=$AB125)*('1994 E Maize Soil VWC'!$E$2:$E$4000=AD$5),'1994 E Maize Soil VWC'!$F$2:$F$4000)</f>
        <v>0.2345142258147131</v>
      </c>
      <c r="AE125" s="4" cm="1">
        <f t="array" ref="AE125">_xlfn.XLOOKUP(1,('1994 E Maize Soil VWC'!$C$2:$C$4000=$AA125)*('1994 E Maize Soil VWC'!$D$2:$D$4000=$AB125)*('1994 E Maize Soil VWC'!$E$2:$E$4000=AE$5),'1994 E Maize Soil VWC'!$F$2:$F$4000)</f>
        <v>0.25616370609086181</v>
      </c>
      <c r="AF125" s="4" cm="1">
        <f t="array" ref="AF125">_xlfn.XLOOKUP(1,('1994 E Maize Soil VWC'!$C$2:$C$4000=$AA125)*('1994 E Maize Soil VWC'!$D$2:$D$4000=$AB125)*('1994 E Maize Soil VWC'!$E$2:$E$4000=AF$5),'1994 E Maize Soil VWC'!$F$2:$F$4000)</f>
        <v>0.24885056319996035</v>
      </c>
      <c r="AG125" s="4" cm="1">
        <f t="array" ref="AG125">_xlfn.XLOOKUP(1,('1994 E Maize Soil VWC'!$C$2:$C$4000=$AA125)*('1994 E Maize Soil VWC'!$D$2:$D$4000=$AB125)*('1994 E Maize Soil VWC'!$E$2:$E$4000=AG$5),'1994 E Maize Soil VWC'!$F$2:$F$4000)</f>
        <v>0.26083509692425699</v>
      </c>
      <c r="AH125" s="4" cm="1">
        <f t="array" ref="AH125">_xlfn.XLOOKUP(1,('1994 E Maize Soil VWC'!$C$2:$C$4000=$AA125)*('1994 E Maize Soil VWC'!$D$2:$D$4000=$AB125)*('1994 E Maize Soil VWC'!$E$2:$E$4000=AH$5),'1994 E Maize Soil VWC'!$F$2:$F$4000)</f>
        <v>0.22523587712493504</v>
      </c>
      <c r="AI125" s="4" cm="1">
        <f t="array" ref="AI125">_xlfn.XLOOKUP(1,('1994 E Maize Soil VWC'!$C$2:$C$4000=$AA125)*('1994 E Maize Soil VWC'!$D$2:$D$4000=$AB125)*('1994 E Maize Soil VWC'!$E$2:$E$4000=AI$5),'1994 E Maize Soil VWC'!$F$2:$F$4000)</f>
        <v>0.26135056074035584</v>
      </c>
      <c r="AJ125" s="4" cm="1">
        <f t="array" ref="AJ125">_xlfn.XLOOKUP(1,('1994 E Maize Soil VWC'!$C$2:$C$4000=$AA125)*('1994 E Maize Soil VWC'!$D$2:$D$4000=$AB125)*('1994 E Maize Soil VWC'!$E$2:$E$4000=AJ$5),'1994 E Maize Soil VWC'!$F$2:$F$4000)</f>
        <v>0.26428226119441761</v>
      </c>
      <c r="AK125" s="4" cm="1">
        <f t="array" ref="AK125">_xlfn.XLOOKUP(1,('1994 E Maize Soil VWC'!$C$2:$C$4000=$AA125)*('1994 E Maize Soil VWC'!$D$2:$D$4000=$AB125)*('1994 E Maize Soil VWC'!$E$2:$E$4000=AK$5),'1994 E Maize Soil VWC'!$F$2:$F$4000)</f>
        <v>0.2614472102058743</v>
      </c>
      <c r="AL125" s="4" cm="1">
        <f t="array" ref="AL125">_xlfn.XLOOKUP(1,('1994 E Maize Soil VWC'!$C$2:$C$4000=$AA125)*('1994 E Maize Soil VWC'!$D$2:$D$4000=$AB125)*('1994 E Maize Soil VWC'!$E$2:$E$4000=AL$5),'1994 E Maize Soil VWC'!$F$2:$F$4000)</f>
        <v>0.24279386336079972</v>
      </c>
      <c r="AM125" s="4" cm="1">
        <f t="array" ref="AM125">_xlfn.XLOOKUP(1,('1994 E Maize Soil VWC'!$C$2:$C$4000=$AA125)*('1994 E Maize Soil VWC'!$D$2:$D$4000=$AB125)*('1994 E Maize Soil VWC'!$E$2:$E$4000=AM$5),'1994 E Maize Soil VWC'!$F$2:$F$4000)</f>
        <v>0.24698200686660232</v>
      </c>
      <c r="AN125" s="4" cm="1">
        <f t="array" ref="AN125">_xlfn.XLOOKUP(1,('1994 E Maize Soil VWC'!$C$2:$C$4000=$AA125)*('1994 E Maize Soil VWC'!$D$2:$D$4000=$AB125)*('1994 E Maize Soil VWC'!$E$2:$E$4000=AN$5),'1994 E Maize Soil VWC'!$F$2:$F$4000)</f>
        <v>0.24524231648726891</v>
      </c>
    </row>
    <row r="126" spans="25:40" x14ac:dyDescent="0.25">
      <c r="AA126" s="19">
        <f t="shared" si="18"/>
        <v>34591</v>
      </c>
      <c r="AB126" s="4">
        <f t="shared" si="19"/>
        <v>70</v>
      </c>
      <c r="AC126" s="4" cm="1">
        <f t="array" ref="AC126">_xlfn.XLOOKUP(1,('1994 E Maize Soil VWC'!$C$2:$C$4000=$AA126)*('1994 E Maize Soil VWC'!$D$2:$D$4000=$AB126)*('1994 E Maize Soil VWC'!$E$2:$E$4000=AC$5),'1994 E Maize Soil VWC'!$F$2:$F$4000)</f>
        <v>0.24034541023433054</v>
      </c>
      <c r="AD126" s="4" cm="1">
        <f t="array" ref="AD126">_xlfn.XLOOKUP(1,('1994 E Maize Soil VWC'!$C$2:$C$4000=$AA126)*('1994 E Maize Soil VWC'!$D$2:$D$4000=$AB126)*('1994 E Maize Soil VWC'!$E$2:$E$4000=AD$5),'1994 E Maize Soil VWC'!$F$2:$F$4000)</f>
        <v>0.21992015652141639</v>
      </c>
      <c r="AE126" s="4" cm="1">
        <f t="array" ref="AE126">_xlfn.XLOOKUP(1,('1994 E Maize Soil VWC'!$C$2:$C$4000=$AA126)*('1994 E Maize Soil VWC'!$D$2:$D$4000=$AB126)*('1994 E Maize Soil VWC'!$E$2:$E$4000=AE$5),'1994 E Maize Soil VWC'!$F$2:$F$4000)</f>
        <v>0.26808380683814614</v>
      </c>
      <c r="AF126" s="4" cm="1">
        <f t="array" ref="AF126">_xlfn.XLOOKUP(1,('1994 E Maize Soil VWC'!$C$2:$C$4000=$AA126)*('1994 E Maize Soil VWC'!$D$2:$D$4000=$AB126)*('1994 E Maize Soil VWC'!$E$2:$E$4000=AF$5),'1994 E Maize Soil VWC'!$F$2:$F$4000)</f>
        <v>0.23167917482616973</v>
      </c>
      <c r="AG126" s="4" cm="1">
        <f t="array" ref="AG126">_xlfn.XLOOKUP(1,('1994 E Maize Soil VWC'!$C$2:$C$4000=$AA126)*('1994 E Maize Soil VWC'!$D$2:$D$4000=$AB126)*('1994 E Maize Soil VWC'!$E$2:$E$4000=AG$5),'1994 E Maize Soil VWC'!$F$2:$F$4000)</f>
        <v>0.22455933086630536</v>
      </c>
      <c r="AH126" s="4" cm="1">
        <f t="array" ref="AH126">_xlfn.XLOOKUP(1,('1994 E Maize Soil VWC'!$C$2:$C$4000=$AA126)*('1994 E Maize Soil VWC'!$D$2:$D$4000=$AB126)*('1994 E Maize Soil VWC'!$E$2:$E$4000=AH$5),'1994 E Maize Soil VWC'!$F$2:$F$4000)</f>
        <v>0.21321912691213218</v>
      </c>
      <c r="AI126" s="4" cm="1">
        <f t="array" ref="AI126">_xlfn.XLOOKUP(1,('1994 E Maize Soil VWC'!$C$2:$C$4000=$AA126)*('1994 E Maize Soil VWC'!$D$2:$D$4000=$AB126)*('1994 E Maize Soil VWC'!$E$2:$E$4000=AI$5),'1994 E Maize Soil VWC'!$F$2:$F$4000)</f>
        <v>0.25954643738401006</v>
      </c>
      <c r="AJ126" s="4" cm="1">
        <f t="array" ref="AJ126">_xlfn.XLOOKUP(1,('1994 E Maize Soil VWC'!$C$2:$C$4000=$AA126)*('1994 E Maize Soil VWC'!$D$2:$D$4000=$AB126)*('1994 E Maize Soil VWC'!$E$2:$E$4000=AJ$5),'1994 E Maize Soil VWC'!$F$2:$F$4000)</f>
        <v>0.26808380683814614</v>
      </c>
      <c r="AK126" s="4" cm="1">
        <f t="array" ref="AK126">_xlfn.XLOOKUP(1,('1994 E Maize Soil VWC'!$C$2:$C$4000=$AA126)*('1994 E Maize Soil VWC'!$D$2:$D$4000=$AB126)*('1994 E Maize Soil VWC'!$E$2:$E$4000=AK$5),'1994 E Maize Soil VWC'!$F$2:$F$4000)</f>
        <v>0.24446912076312072</v>
      </c>
      <c r="AL126" s="4" cm="1">
        <f t="array" ref="AL126">_xlfn.XLOOKUP(1,('1994 E Maize Soil VWC'!$C$2:$C$4000=$AA126)*('1994 E Maize Soil VWC'!$D$2:$D$4000=$AB126)*('1994 E Maize Soil VWC'!$E$2:$E$4000=AL$5),'1994 E Maize Soil VWC'!$F$2:$F$4000)</f>
        <v>0.23312891680894759</v>
      </c>
      <c r="AM126" s="4" cm="1">
        <f t="array" ref="AM126">_xlfn.XLOOKUP(1,('1994 E Maize Soil VWC'!$C$2:$C$4000=$AA126)*('1994 E Maize Soil VWC'!$D$2:$D$4000=$AB126)*('1994 E Maize Soil VWC'!$E$2:$E$4000=AM$5),'1994 E Maize Soil VWC'!$F$2:$F$4000)</f>
        <v>0.23019721635488577</v>
      </c>
      <c r="AN126" s="4" cm="1">
        <f t="array" ref="AN126">_xlfn.XLOOKUP(1,('1994 E Maize Soil VWC'!$C$2:$C$4000=$AA126)*('1994 E Maize Soil VWC'!$D$2:$D$4000=$AB126)*('1994 E Maize Soil VWC'!$E$2:$E$4000=AN$5),'1994 E Maize Soil VWC'!$F$2:$F$4000)</f>
        <v>0.25716241723455319</v>
      </c>
    </row>
    <row r="127" spans="25:40" x14ac:dyDescent="0.25">
      <c r="AA127" s="19">
        <f t="shared" si="18"/>
        <v>34591</v>
      </c>
      <c r="AB127" s="4">
        <f t="shared" si="19"/>
        <v>90</v>
      </c>
      <c r="AC127" s="4" cm="1">
        <f t="array" ref="AC127">_xlfn.XLOOKUP(1,('1994 E Maize Soil VWC'!$C$2:$C$4000=$AA127)*('1994 E Maize Soil VWC'!$D$2:$D$4000=$AB127)*('1994 E Maize Soil VWC'!$E$2:$E$4000=AC$5),'1994 E Maize Soil VWC'!$F$2:$F$4000)</f>
        <v>0.24846396533788628</v>
      </c>
      <c r="AD127" s="4" cm="1">
        <f t="array" ref="AD127">_xlfn.XLOOKUP(1,('1994 E Maize Soil VWC'!$C$2:$C$4000=$AA127)*('1994 E Maize Soil VWC'!$D$2:$D$4000=$AB127)*('1994 E Maize Soil VWC'!$E$2:$E$4000=AD$5),'1994 E Maize Soil VWC'!$F$2:$F$4000)</f>
        <v>0.21721397148689775</v>
      </c>
      <c r="AE127" s="4" cm="1">
        <f t="array" ref="AE127">_xlfn.XLOOKUP(1,('1994 E Maize Soil VWC'!$C$2:$C$4000=$AA127)*('1994 E Maize Soil VWC'!$D$2:$D$4000=$AB127)*('1994 E Maize Soil VWC'!$E$2:$E$4000=AE$5),'1994 E Maize Soil VWC'!$F$2:$F$4000)</f>
        <v>0.27472040347041787</v>
      </c>
      <c r="AF127" s="4" cm="1">
        <f t="array" ref="AF127">_xlfn.XLOOKUP(1,('1994 E Maize Soil VWC'!$C$2:$C$4000=$AA127)*('1994 E Maize Soil VWC'!$D$2:$D$4000=$AB127)*('1994 E Maize Soil VWC'!$E$2:$E$4000=AF$5),'1994 E Maize Soil VWC'!$F$2:$F$4000)</f>
        <v>0.23499747314230562</v>
      </c>
      <c r="AG127" s="4" cm="1">
        <f t="array" ref="AG127">_xlfn.XLOOKUP(1,('1994 E Maize Soil VWC'!$C$2:$C$4000=$AA127)*('1994 E Maize Soil VWC'!$D$2:$D$4000=$AB127)*('1994 E Maize Soil VWC'!$E$2:$E$4000=AG$5),'1994 E Maize Soil VWC'!$F$2:$F$4000)</f>
        <v>0.21660185820528044</v>
      </c>
      <c r="AH127" s="4" cm="1">
        <f t="array" ref="AH127">_xlfn.XLOOKUP(1,('1994 E Maize Soil VWC'!$C$2:$C$4000=$AA127)*('1994 E Maize Soil VWC'!$D$2:$D$4000=$AB127)*('1994 E Maize Soil VWC'!$E$2:$E$4000=AH$5),'1994 E Maize Soil VWC'!$F$2:$F$4000)</f>
        <v>0.22149876445821887</v>
      </c>
      <c r="AI127" s="4" cm="1">
        <f t="array" ref="AI127">_xlfn.XLOOKUP(1,('1994 E Maize Soil VWC'!$C$2:$C$4000=$AA127)*('1994 E Maize Soil VWC'!$D$2:$D$4000=$AB127)*('1994 E Maize Soil VWC'!$E$2:$E$4000=AI$5),'1994 E Maize Soil VWC'!$F$2:$F$4000)</f>
        <v>0.26466885905649168</v>
      </c>
      <c r="AJ127" s="4" cm="1">
        <f t="array" ref="AJ127">_xlfn.XLOOKUP(1,('1994 E Maize Soil VWC'!$C$2:$C$4000=$AA127)*('1994 E Maize Soil VWC'!$D$2:$D$4000=$AB127)*('1994 E Maize Soil VWC'!$E$2:$E$4000=AJ$5),'1994 E Maize Soil VWC'!$F$2:$F$4000)</f>
        <v>0.27581576407962777</v>
      </c>
      <c r="AK127" s="4" cm="1">
        <f t="array" ref="AK127">_xlfn.XLOOKUP(1,('1994 E Maize Soil VWC'!$C$2:$C$4000=$AA127)*('1994 E Maize Soil VWC'!$D$2:$D$4000=$AB127)*('1994 E Maize Soil VWC'!$E$2:$E$4000=AK$5),'1994 E Maize Soil VWC'!$F$2:$F$4000)</f>
        <v>0.25932092196446682</v>
      </c>
      <c r="AL127" s="4" cm="1">
        <f t="array" ref="AL127">_xlfn.XLOOKUP(1,('1994 E Maize Soil VWC'!$C$2:$C$4000=$AA127)*('1994 E Maize Soil VWC'!$D$2:$D$4000=$AB127)*('1994 E Maize Soil VWC'!$E$2:$E$4000=AL$5),'1994 E Maize Soil VWC'!$F$2:$F$4000)</f>
        <v>0.24292272931482439</v>
      </c>
      <c r="AM127" s="4" cm="1">
        <f t="array" ref="AM127">_xlfn.XLOOKUP(1,('1994 E Maize Soil VWC'!$C$2:$C$4000=$AA127)*('1994 E Maize Soil VWC'!$D$2:$D$4000=$AB127)*('1994 E Maize Soil VWC'!$E$2:$E$4000=AM$5),'1994 E Maize Soil VWC'!$F$2:$F$4000)</f>
        <v>0.24881834671145425</v>
      </c>
      <c r="AN127" s="4" cm="1">
        <f t="array" ref="AN127">_xlfn.XLOOKUP(1,('1994 E Maize Soil VWC'!$C$2:$C$4000=$AA127)*('1994 E Maize Soil VWC'!$D$2:$D$4000=$AB127)*('1994 E Maize Soil VWC'!$E$2:$E$4000=AN$5),'1994 E Maize Soil VWC'!$F$2:$F$4000)</f>
        <v>0.27536473324054139</v>
      </c>
    </row>
    <row r="128" spans="25:40" x14ac:dyDescent="0.25">
      <c r="AA128" s="19">
        <f t="shared" si="18"/>
        <v>34591</v>
      </c>
      <c r="AB128" s="4">
        <f t="shared" si="19"/>
        <v>110</v>
      </c>
      <c r="AC128" s="4" cm="1">
        <f t="array" ref="AC128">_xlfn.XLOOKUP(1,('1994 E Maize Soil VWC'!$C$2:$C$4000=$AA128)*('1994 E Maize Soil VWC'!$D$2:$D$4000=$AB128)*('1994 E Maize Soil VWC'!$E$2:$E$4000=AC$5),'1994 E Maize Soil VWC'!$F$2:$F$4000)</f>
        <v>0.27462375400489941</v>
      </c>
      <c r="AD128" s="4" cm="1">
        <f t="array" ref="AD128">_xlfn.XLOOKUP(1,('1994 E Maize Soil VWC'!$C$2:$C$4000=$AA128)*('1994 E Maize Soil VWC'!$D$2:$D$4000=$AB128)*('1994 E Maize Soil VWC'!$E$2:$E$4000=AD$5),'1994 E Maize Soil VWC'!$F$2:$F$4000)</f>
        <v>0.23097041207903396</v>
      </c>
      <c r="AE128" s="4" cm="1">
        <f t="array" ref="AE128">_xlfn.XLOOKUP(1,('1994 E Maize Soil VWC'!$C$2:$C$4000=$AA128)*('1994 E Maize Soil VWC'!$D$2:$D$4000=$AB128)*('1994 E Maize Soil VWC'!$E$2:$E$4000=AE$5),'1994 E Maize Soil VWC'!$F$2:$F$4000)</f>
        <v>0.28464308193031945</v>
      </c>
      <c r="AF128" s="4" cm="1">
        <f t="array" ref="AF128">_xlfn.XLOOKUP(1,('1994 E Maize Soil VWC'!$C$2:$C$4000=$AA128)*('1994 E Maize Soil VWC'!$D$2:$D$4000=$AB128)*('1994 E Maize Soil VWC'!$E$2:$E$4000=AF$5),'1994 E Maize Soil VWC'!$F$2:$F$4000)</f>
        <v>0.26937246637839307</v>
      </c>
      <c r="AG128" s="4" cm="1">
        <f t="array" ref="AG128">_xlfn.XLOOKUP(1,('1994 E Maize Soil VWC'!$C$2:$C$4000=$AA128)*('1994 E Maize Soil VWC'!$D$2:$D$4000=$AB128)*('1994 E Maize Soil VWC'!$E$2:$E$4000=AG$5),'1994 E Maize Soil VWC'!$F$2:$F$4000)</f>
        <v>0.22761989727439191</v>
      </c>
      <c r="AH128" s="4" cm="1">
        <f t="array" ref="AH128">_xlfn.XLOOKUP(1,('1994 E Maize Soil VWC'!$C$2:$C$4000=$AA128)*('1994 E Maize Soil VWC'!$D$2:$D$4000=$AB128)*('1994 E Maize Soil VWC'!$E$2:$E$4000=AH$5),'1994 E Maize Soil VWC'!$F$2:$F$4000)</f>
        <v>0.24862504778041716</v>
      </c>
      <c r="AI128" s="4" cm="1">
        <f t="array" ref="AI128">_xlfn.XLOOKUP(1,('1994 E Maize Soil VWC'!$C$2:$C$4000=$AA128)*('1994 E Maize Soil VWC'!$D$2:$D$4000=$AB128)*('1994 E Maize Soil VWC'!$E$2:$E$4000=AI$5),'1994 E Maize Soil VWC'!$F$2:$F$4000)</f>
        <v>0.29198844130972701</v>
      </c>
      <c r="AJ128" s="4" cm="1">
        <f t="array" ref="AJ128">_xlfn.XLOOKUP(1,('1994 E Maize Soil VWC'!$C$2:$C$4000=$AA128)*('1994 E Maize Soil VWC'!$D$2:$D$4000=$AB128)*('1994 E Maize Soil VWC'!$E$2:$E$4000=AJ$5),'1994 E Maize Soil VWC'!$F$2:$F$4000)</f>
        <v>0.28490081383836879</v>
      </c>
      <c r="AK128" s="4" cm="1">
        <f t="array" ref="AK128">_xlfn.XLOOKUP(1,('1994 E Maize Soil VWC'!$C$2:$C$4000=$AA128)*('1994 E Maize Soil VWC'!$D$2:$D$4000=$AB128)*('1994 E Maize Soil VWC'!$E$2:$E$4000=AK$5),'1994 E Maize Soil VWC'!$F$2:$F$4000)</f>
        <v>0.27117658973473874</v>
      </c>
      <c r="AL128" s="4" cm="1">
        <f t="array" ref="AL128">_xlfn.XLOOKUP(1,('1994 E Maize Soil VWC'!$C$2:$C$4000=$AA128)*('1994 E Maize Soil VWC'!$D$2:$D$4000=$AB128)*('1994 E Maize Soil VWC'!$E$2:$E$4000=AL$5),'1994 E Maize Soil VWC'!$F$2:$F$4000)</f>
        <v>0.25545494334372598</v>
      </c>
      <c r="AM128" s="4" cm="1">
        <f t="array" ref="AM128">_xlfn.XLOOKUP(1,('1994 E Maize Soil VWC'!$C$2:$C$4000=$AA128)*('1994 E Maize Soil VWC'!$D$2:$D$4000=$AB128)*('1994 E Maize Soil VWC'!$E$2:$E$4000=AM$5),'1994 E Maize Soil VWC'!$F$2:$F$4000)</f>
        <v>0.27623457843020804</v>
      </c>
      <c r="AN128" s="4" cm="1">
        <f t="array" ref="AN128">_xlfn.XLOOKUP(1,('1994 E Maize Soil VWC'!$C$2:$C$4000=$AA128)*('1994 E Maize Soil VWC'!$D$2:$D$4000=$AB128)*('1994 E Maize Soil VWC'!$E$2:$E$4000=AN$5),'1994 E Maize Soil VWC'!$F$2:$F$4000)</f>
        <v>0.29517787367183823</v>
      </c>
    </row>
    <row r="129" spans="25:40" x14ac:dyDescent="0.25">
      <c r="AA129" s="19">
        <f t="shared" si="18"/>
        <v>34591</v>
      </c>
      <c r="AB129" s="4">
        <f t="shared" si="19"/>
        <v>130</v>
      </c>
      <c r="AC129" s="4" cm="1">
        <f t="array" ref="AC129">_xlfn.XLOOKUP(1,('1994 E Maize Soil VWC'!$C$2:$C$4000=$AA129)*('1994 E Maize Soil VWC'!$D$2:$D$4000=$AB129)*('1994 E Maize Soil VWC'!$E$2:$E$4000=AC$5),'1994 E Maize Soil VWC'!$F$2:$F$4000)</f>
        <v>0.2623946981441615</v>
      </c>
      <c r="AD129" s="4" cm="1">
        <f t="array" ref="AD129">_xlfn.XLOOKUP(1,('1994 E Maize Soil VWC'!$C$2:$C$4000=$AA129)*('1994 E Maize Soil VWC'!$D$2:$D$4000=$AB129)*('1994 E Maize Soil VWC'!$E$2:$E$4000=AD$5),'1994 E Maize Soil VWC'!$F$2:$F$4000)</f>
        <v>0.2022462468042461</v>
      </c>
      <c r="AE129" s="4" cm="1">
        <f t="array" ref="AE129">_xlfn.XLOOKUP(1,('1994 E Maize Soil VWC'!$C$2:$C$4000=$AA129)*('1994 E Maize Soil VWC'!$D$2:$D$4000=$AB129)*('1994 E Maize Soil VWC'!$E$2:$E$4000=AE$5),'1994 E Maize Soil VWC'!$F$2:$F$4000)</f>
        <v>0.26938563656744113</v>
      </c>
      <c r="AF129" s="4" cm="1">
        <f t="array" ref="AF129">_xlfn.XLOOKUP(1,('1994 E Maize Soil VWC'!$C$2:$C$4000=$AA129)*('1994 E Maize Soil VWC'!$D$2:$D$4000=$AB129)*('1994 E Maize Soil VWC'!$E$2:$E$4000=AF$5),'1994 E Maize Soil VWC'!$F$2:$F$4000)</f>
        <v>0.25862222948556157</v>
      </c>
      <c r="AG129" s="4" cm="1">
        <f t="array" ref="AG129">_xlfn.XLOOKUP(1,('1994 E Maize Soil VWC'!$C$2:$C$4000=$AA129)*('1994 E Maize Soil VWC'!$D$2:$D$4000=$AB129)*('1994 E Maize Soil VWC'!$E$2:$E$4000=AG$5),'1994 E Maize Soil VWC'!$F$2:$F$4000)</f>
        <v>0.22667495993615916</v>
      </c>
      <c r="AH129" s="4" cm="1">
        <f t="array" ref="AH129">_xlfn.XLOOKUP(1,('1994 E Maize Soil VWC'!$C$2:$C$4000=$AA129)*('1994 E Maize Soil VWC'!$D$2:$D$4000=$AB129)*('1994 E Maize Soil VWC'!$E$2:$E$4000=AH$5),'1994 E Maize Soil VWC'!$F$2:$F$4000)</f>
        <v>0.23807150861109044</v>
      </c>
      <c r="AI129" s="4" cm="1">
        <f t="array" ref="AI129">_xlfn.XLOOKUP(1,('1994 E Maize Soil VWC'!$C$2:$C$4000=$AA129)*('1994 E Maize Soil VWC'!$D$2:$D$4000=$AB129)*('1994 E Maize Soil VWC'!$E$2:$E$4000=AI$5),'1994 E Maize Soil VWC'!$F$2:$F$4000)</f>
        <v>0.27078382425209707</v>
      </c>
      <c r="AJ129" s="4" cm="1">
        <f t="array" ref="AJ129">_xlfn.XLOOKUP(1,('1994 E Maize Soil VWC'!$C$2:$C$4000=$AA129)*('1994 E Maize Soil VWC'!$D$2:$D$4000=$AB129)*('1994 E Maize Soil VWC'!$E$2:$E$4000=AJ$5),'1994 E Maize Soil VWC'!$F$2:$F$4000)</f>
        <v>0.26653649939870833</v>
      </c>
      <c r="AK129" s="4" cm="1">
        <f t="array" ref="AK129">_xlfn.XLOOKUP(1,('1994 E Maize Soil VWC'!$C$2:$C$4000=$AA129)*('1994 E Maize Soil VWC'!$D$2:$D$4000=$AB129)*('1994 E Maize Soil VWC'!$E$2:$E$4000=AK$5),'1994 E Maize Soil VWC'!$F$2:$F$4000)</f>
        <v>0.28677064947665348</v>
      </c>
      <c r="AL129" s="4" cm="1">
        <f t="array" ref="AL129">_xlfn.XLOOKUP(1,('1994 E Maize Soil VWC'!$C$2:$C$4000=$AA129)*('1994 E Maize Soil VWC'!$D$2:$D$4000=$AB129)*('1994 E Maize Soil VWC'!$E$2:$E$4000=AL$5),'1994 E Maize Soil VWC'!$F$2:$F$4000)</f>
        <v>0.24640787291960509</v>
      </c>
      <c r="AM129" s="4" cm="1">
        <f t="array" ref="AM129">_xlfn.XLOOKUP(1,('1994 E Maize Soil VWC'!$C$2:$C$4000=$AA129)*('1994 E Maize Soil VWC'!$D$2:$D$4000=$AB129)*('1994 E Maize Soil VWC'!$E$2:$E$4000=AM$5),'1994 E Maize Soil VWC'!$F$2:$F$4000)</f>
        <v>0.2683567814787321</v>
      </c>
      <c r="AN129" s="4" cm="1">
        <f t="array" ref="AN129">_xlfn.XLOOKUP(1,('1994 E Maize Soil VWC'!$C$2:$C$4000=$AA129)*('1994 E Maize Soil VWC'!$D$2:$D$4000=$AB129)*('1994 E Maize Soil VWC'!$E$2:$E$4000=AN$5),'1994 E Maize Soil VWC'!$F$2:$F$4000)</f>
        <v>0.28500312919605075</v>
      </c>
    </row>
    <row r="130" spans="25:40" x14ac:dyDescent="0.25">
      <c r="AA130" s="19">
        <f t="shared" si="18"/>
        <v>34591</v>
      </c>
      <c r="AB130" s="4">
        <f t="shared" si="19"/>
        <v>150</v>
      </c>
      <c r="AC130" s="4" cm="1">
        <f t="array" ref="AC130">_xlfn.XLOOKUP(1,('1994 E Maize Soil VWC'!$C$2:$C$4000=$AA130)*('1994 E Maize Soil VWC'!$D$2:$D$4000=$AB130)*('1994 E Maize Soil VWC'!$E$2:$E$4000=AC$5),'1994 E Maize Soil VWC'!$F$2:$F$4000)</f>
        <v>0.27270962993096282</v>
      </c>
      <c r="AD130" s="4" cm="1">
        <f t="array" ref="AD130">_xlfn.XLOOKUP(1,('1994 E Maize Soil VWC'!$C$2:$C$4000=$AA130)*('1994 E Maize Soil VWC'!$D$2:$D$4000=$AB130)*('1994 E Maize Soil VWC'!$E$2:$E$4000=AD$5),'1994 E Maize Soil VWC'!$F$2:$F$4000)</f>
        <v>0.1842544732016925</v>
      </c>
      <c r="AE130" s="4" cm="1">
        <f t="array" ref="AE130">_xlfn.XLOOKUP(1,('1994 E Maize Soil VWC'!$C$2:$C$4000=$AA130)*('1994 E Maize Soil VWC'!$D$2:$D$4000=$AB130)*('1994 E Maize Soil VWC'!$E$2:$E$4000=AE$5),'1994 E Maize Soil VWC'!$F$2:$F$4000)</f>
        <v>0.29336587440427581</v>
      </c>
      <c r="AF130" s="4" cm="1">
        <f t="array" ref="AF130">_xlfn.XLOOKUP(1,('1994 E Maize Soil VWC'!$C$2:$C$4000=$AA130)*('1994 E Maize Soil VWC'!$D$2:$D$4000=$AB130)*('1994 E Maize Soil VWC'!$E$2:$E$4000=AF$5),'1994 E Maize Soil VWC'!$F$2:$F$4000)</f>
        <v>0.27505753000519628</v>
      </c>
      <c r="AG130" s="4" cm="1">
        <f t="array" ref="AG130">_xlfn.XLOOKUP(1,('1994 E Maize Soil VWC'!$C$2:$C$4000=$AA130)*('1994 E Maize Soil VWC'!$D$2:$D$4000=$AB130)*('1994 E Maize Soil VWC'!$E$2:$E$4000=AG$5),'1994 E Maize Soil VWC'!$F$2:$F$4000)</f>
        <v>0.26574507240739365</v>
      </c>
      <c r="AH130" s="4" cm="1">
        <f t="array" ref="AH130">_xlfn.XLOOKUP(1,('1994 E Maize Soil VWC'!$C$2:$C$4000=$AA130)*('1994 E Maize Soil VWC'!$D$2:$D$4000=$AB130)*('1994 E Maize Soil VWC'!$E$2:$E$4000=AH$5),'1994 E Maize Soil VWC'!$F$2:$F$4000)</f>
        <v>0.27405505581619771</v>
      </c>
      <c r="AI130" s="4" cm="1">
        <f t="array" ref="AI130">_xlfn.XLOOKUP(1,('1994 E Maize Soil VWC'!$C$2:$C$4000=$AA130)*('1994 E Maize Soil VWC'!$D$2:$D$4000=$AB130)*('1994 E Maize Soil VWC'!$E$2:$E$4000=AI$5),'1994 E Maize Soil VWC'!$F$2:$F$4000)</f>
        <v>0.28830074165986191</v>
      </c>
      <c r="AJ130" s="4" cm="1">
        <f t="array" ref="AJ130">_xlfn.XLOOKUP(1,('1994 E Maize Soil VWC'!$C$2:$C$4000=$AA130)*('1994 E Maize Soil VWC'!$D$2:$D$4000=$AB130)*('1994 E Maize Soil VWC'!$E$2:$E$4000=AJ$5),'1994 E Maize Soil VWC'!$F$2:$F$4000)</f>
        <v>0.28555712808997102</v>
      </c>
      <c r="AK130" s="4" cm="1">
        <f t="array" ref="AK130">_xlfn.XLOOKUP(1,('1994 E Maize Soil VWC'!$C$2:$C$4000=$AA130)*('1994 E Maize Soil VWC'!$D$2:$D$4000=$AB130)*('1994 E Maize Soil VWC'!$E$2:$E$4000=AK$5),'1994 E Maize Soil VWC'!$F$2:$F$4000)</f>
        <v>0.28513503369460319</v>
      </c>
      <c r="AL130" s="4" cm="1">
        <f t="array" ref="AL130">_xlfn.XLOOKUP(1,('1994 E Maize Soil VWC'!$C$2:$C$4000=$AA130)*('1994 E Maize Soil VWC'!$D$2:$D$4000=$AB130)*('1994 E Maize Soil VWC'!$E$2:$E$4000=AL$5),'1994 E Maize Soil VWC'!$F$2:$F$4000)</f>
        <v>0.28057113804468858</v>
      </c>
      <c r="AM130" s="4" cm="1">
        <f t="array" ref="AM130">_xlfn.XLOOKUP(1,('1994 E Maize Soil VWC'!$C$2:$C$4000=$AA130)*('1994 E Maize Soil VWC'!$D$2:$D$4000=$AB130)*('1994 E Maize Soil VWC'!$E$2:$E$4000=AM$5),'1994 E Maize Soil VWC'!$F$2:$F$4000)</f>
        <v>0.30761156024794001</v>
      </c>
      <c r="AN130" s="4" cm="1">
        <f t="array" ref="AN130">_xlfn.XLOOKUP(1,('1994 E Maize Soil VWC'!$C$2:$C$4000=$AA130)*('1994 E Maize Soil VWC'!$D$2:$D$4000=$AB130)*('1994 E Maize Soil VWC'!$E$2:$E$4000=AN$5),'1994 E Maize Soil VWC'!$F$2:$F$4000)</f>
        <v>0.31539392566253427</v>
      </c>
    </row>
    <row r="131" spans="25:40" x14ac:dyDescent="0.25">
      <c r="AA131" s="19">
        <f t="shared" si="18"/>
        <v>34591</v>
      </c>
      <c r="AB131" s="4">
        <f t="shared" si="19"/>
        <v>170</v>
      </c>
      <c r="AC131" s="4" cm="1">
        <f t="array" ref="AC131">_xlfn.XLOOKUP(1,('1994 E Maize Soil VWC'!$C$2:$C$4000=$AA131)*('1994 E Maize Soil VWC'!$D$2:$D$4000=$AB131)*('1994 E Maize Soil VWC'!$E$2:$E$4000=AC$5),'1994 E Maize Soil VWC'!$F$2:$F$4000)</f>
        <v>0.24163293007200654</v>
      </c>
      <c r="AD131" s="4" cm="1">
        <f t="array" ref="AD131">_xlfn.XLOOKUP(1,('1994 E Maize Soil VWC'!$C$2:$C$4000=$AA131)*('1994 E Maize Soil VWC'!$D$2:$D$4000=$AB131)*('1994 E Maize Soil VWC'!$E$2:$E$4000=AD$5),'1994 E Maize Soil VWC'!$F$2:$F$4000)</f>
        <v>0.2668003083958132</v>
      </c>
      <c r="AE131" s="4" cm="1">
        <f t="array" ref="AE131">_xlfn.XLOOKUP(1,('1994 E Maize Soil VWC'!$C$2:$C$4000=$AA131)*('1994 E Maize Soil VWC'!$D$2:$D$4000=$AB131)*('1994 E Maize Soil VWC'!$E$2:$E$4000=AE$5),'1994 E Maize Soil VWC'!$F$2:$F$4000)</f>
        <v>0.27687781208522011</v>
      </c>
      <c r="AF131" s="4" cm="1">
        <f t="array" ref="AF131">_xlfn.XLOOKUP(1,('1994 E Maize Soil VWC'!$C$2:$C$4000=$AA131)*('1994 E Maize Soil VWC'!$D$2:$D$4000=$AB131)*('1994 E Maize Soil VWC'!$E$2:$E$4000=AF$5),'1994 E Maize Soil VWC'!$F$2:$F$4000)</f>
        <v>0.27482010190780193</v>
      </c>
      <c r="AG131" s="4" cm="1">
        <f t="array" ref="AG131">_xlfn.XLOOKUP(1,('1994 E Maize Soil VWC'!$C$2:$C$4000=$AA131)*('1994 E Maize Soil VWC'!$D$2:$D$4000=$AB131)*('1994 E Maize Soil VWC'!$E$2:$E$4000=AG$5),'1994 E Maize Soil VWC'!$F$2:$F$4000)</f>
        <v>0.25482337992725113</v>
      </c>
      <c r="AH131" s="4" cm="1">
        <f t="array" ref="AH131">_xlfn.XLOOKUP(1,('1994 E Maize Soil VWC'!$C$2:$C$4000=$AA131)*('1994 E Maize Soil VWC'!$D$2:$D$4000=$AB131)*('1994 E Maize Soil VWC'!$E$2:$E$4000=AH$5),'1994 E Maize Soil VWC'!$F$2:$F$4000)</f>
        <v>0.26888439947294185</v>
      </c>
      <c r="AI131" s="4" cm="1">
        <f t="array" ref="AI131">_xlfn.XLOOKUP(1,('1994 E Maize Soil VWC'!$C$2:$C$4000=$AA131)*('1994 E Maize Soil VWC'!$D$2:$D$4000=$AB131)*('1994 E Maize Soil VWC'!$E$2:$E$4000=AI$5),'1994 E Maize Soil VWC'!$F$2:$F$4000)</f>
        <v>0.2780649525721921</v>
      </c>
      <c r="AJ131" s="4" cm="1">
        <f t="array" ref="AJ131">_xlfn.XLOOKUP(1,('1994 E Maize Soil VWC'!$C$2:$C$4000=$AA131)*('1994 E Maize Soil VWC'!$D$2:$D$4000=$AB131)*('1994 E Maize Soil VWC'!$E$2:$E$4000=AJ$5),'1994 E Maize Soil VWC'!$F$2:$F$4000)</f>
        <v>0.27212925013733202</v>
      </c>
      <c r="AK131" s="4" cm="1">
        <f t="array" ref="AK131">_xlfn.XLOOKUP(1,('1994 E Maize Soil VWC'!$C$2:$C$4000=$AA131)*('1994 E Maize Soil VWC'!$D$2:$D$4000=$AB131)*('1994 E Maize Soil VWC'!$E$2:$E$4000=AK$5),'1994 E Maize Soil VWC'!$F$2:$F$4000)</f>
        <v>0.26621992860218247</v>
      </c>
      <c r="AL131" s="4" cm="1">
        <f t="array" ref="AL131">_xlfn.XLOOKUP(1,('1994 E Maize Soil VWC'!$C$2:$C$4000=$AA131)*('1994 E Maize Soil VWC'!$D$2:$D$4000=$AB131)*('1994 E Maize Soil VWC'!$E$2:$E$4000=AL$5),'1994 E Maize Soil VWC'!$F$2:$F$4000)</f>
        <v>0.26653649939870833</v>
      </c>
      <c r="AM131" s="4" cm="1">
        <f t="array" ref="AM131">_xlfn.XLOOKUP(1,('1994 E Maize Soil VWC'!$C$2:$C$4000=$AA131)*('1994 E Maize Soil VWC'!$D$2:$D$4000=$AB131)*('1994 E Maize Soil VWC'!$E$2:$E$4000=AM$5),'1994 E Maize Soil VWC'!$F$2:$F$4000)</f>
        <v>0.28750931466854723</v>
      </c>
      <c r="AN131" s="4" cm="1">
        <f t="array" ref="AN131">_xlfn.XLOOKUP(1,('1994 E Maize Soil VWC'!$C$2:$C$4000=$AA131)*('1994 E Maize Soil VWC'!$D$2:$D$4000=$AB131)*('1994 E Maize Soil VWC'!$E$2:$E$4000=AN$5),'1994 E Maize Soil VWC'!$F$2:$F$4000)</f>
        <v>0.28822159896073041</v>
      </c>
    </row>
    <row r="132" spans="25:40" x14ac:dyDescent="0.25">
      <c r="AA132" s="19">
        <f t="shared" si="18"/>
        <v>34591</v>
      </c>
      <c r="AB132" s="4">
        <f t="shared" si="19"/>
        <v>190</v>
      </c>
      <c r="AC132" s="4" cm="1">
        <f t="array" ref="AC132">_xlfn.XLOOKUP(1,('1994 E Maize Soil VWC'!$C$2:$C$4000=$AA132)*('1994 E Maize Soil VWC'!$D$2:$D$4000=$AB132)*('1994 E Maize Soil VWC'!$E$2:$E$4000=AC$5),'1994 E Maize Soil VWC'!$F$2:$F$4000)</f>
        <v>0.21599069555341099</v>
      </c>
      <c r="AD132" s="4" cm="1">
        <f t="array" ref="AD132">_xlfn.XLOOKUP(1,('1994 E Maize Soil VWC'!$C$2:$C$4000=$AA132)*('1994 E Maize Soil VWC'!$D$2:$D$4000=$AB132)*('1994 E Maize Soil VWC'!$E$2:$E$4000=AD$5),'1994 E Maize Soil VWC'!$F$2:$F$4000)</f>
        <v>0.25812099239106229</v>
      </c>
      <c r="AE132" s="4" cm="1">
        <f t="array" ref="AE132">_xlfn.XLOOKUP(1,('1994 E Maize Soil VWC'!$C$2:$C$4000=$AA132)*('1994 E Maize Soil VWC'!$D$2:$D$4000=$AB132)*('1994 E Maize Soil VWC'!$E$2:$E$4000=AE$5),'1994 E Maize Soil VWC'!$F$2:$F$4000)</f>
        <v>0.26484812181723699</v>
      </c>
      <c r="AF132" s="4" cm="1">
        <f t="array" ref="AF132">_xlfn.XLOOKUP(1,('1994 E Maize Soil VWC'!$C$2:$C$4000=$AA132)*('1994 E Maize Soil VWC'!$D$2:$D$4000=$AB132)*('1994 E Maize Soil VWC'!$E$2:$E$4000=AF$5),'1994 E Maize Soil VWC'!$F$2:$F$4000)</f>
        <v>0.26970220736396699</v>
      </c>
      <c r="AG132" s="4" cm="1">
        <f t="array" ref="AG132">_xlfn.XLOOKUP(1,('1994 E Maize Soil VWC'!$C$2:$C$4000=$AA132)*('1994 E Maize Soil VWC'!$D$2:$D$4000=$AB132)*('1994 E Maize Soil VWC'!$E$2:$E$4000=AG$5),'1994 E Maize Soil VWC'!$F$2:$F$4000)</f>
        <v>0.2333757084626234</v>
      </c>
      <c r="AH132" s="4" cm="1">
        <f t="array" ref="AH132">_xlfn.XLOOKUP(1,('1994 E Maize Soil VWC'!$C$2:$C$4000=$AA132)*('1994 E Maize Soil VWC'!$D$2:$D$4000=$AB132)*('1994 E Maize Soil VWC'!$E$2:$E$4000=AH$5),'1994 E Maize Soil VWC'!$F$2:$F$4000)</f>
        <v>0.25954556097542864</v>
      </c>
      <c r="AI132" s="4" cm="1">
        <f t="array" ref="AI132">_xlfn.XLOOKUP(1,('1994 E Maize Soil VWC'!$C$2:$C$4000=$AA132)*('1994 E Maize Soil VWC'!$D$2:$D$4000=$AB132)*('1994 E Maize Soil VWC'!$E$2:$E$4000=AI$5),'1994 E Maize Soil VWC'!$F$2:$F$4000)</f>
        <v>0.26951754106599363</v>
      </c>
      <c r="AJ132" s="4" cm="1">
        <f t="array" ref="AJ132">_xlfn.XLOOKUP(1,('1994 E Maize Soil VWC'!$C$2:$C$4000=$AA132)*('1994 E Maize Soil VWC'!$D$2:$D$4000=$AB132)*('1994 E Maize Soil VWC'!$E$2:$E$4000=AJ$5),'1994 E Maize Soil VWC'!$F$2:$F$4000)</f>
        <v>0.26197260374879366</v>
      </c>
      <c r="AK132" s="4" cm="1">
        <f t="array" ref="AK132">_xlfn.XLOOKUP(1,('1994 E Maize Soil VWC'!$C$2:$C$4000=$AA132)*('1994 E Maize Soil VWC'!$D$2:$D$4000=$AB132)*('1994 E Maize Soil VWC'!$E$2:$E$4000=AK$5),'1994 E Maize Soil VWC'!$F$2:$F$4000)</f>
        <v>0.25999403627050699</v>
      </c>
      <c r="AL132" s="4" cm="1">
        <f t="array" ref="AL132">_xlfn.XLOOKUP(1,('1994 E Maize Soil VWC'!$C$2:$C$4000=$AA132)*('1994 E Maize Soil VWC'!$D$2:$D$4000=$AB132)*('1994 E Maize Soil VWC'!$E$2:$E$4000=AL$5),'1994 E Maize Soil VWC'!$F$2:$F$4000)</f>
        <v>0.26268488804097689</v>
      </c>
      <c r="AM132" s="4" cm="1">
        <f t="array" ref="AM132">_xlfn.XLOOKUP(1,('1994 E Maize Soil VWC'!$C$2:$C$4000=$AA132)*('1994 E Maize Soil VWC'!$D$2:$D$4000=$AB132)*('1994 E Maize Soil VWC'!$E$2:$E$4000=AM$5),'1994 E Maize Soil VWC'!$F$2:$F$4000)</f>
        <v>0.3000666229307401</v>
      </c>
      <c r="AN132" s="4" cm="1">
        <f t="array" ref="AN132">_xlfn.XLOOKUP(1,('1994 E Maize Soil VWC'!$C$2:$C$4000=$AA132)*('1994 E Maize Soil VWC'!$D$2:$D$4000=$AB132)*('1994 E Maize Soil VWC'!$E$2:$E$4000=AN$5),'1994 E Maize Soil VWC'!$F$2:$F$4000)</f>
        <v>0.31513011666542939</v>
      </c>
    </row>
    <row r="133" spans="25:40" x14ac:dyDescent="0.25">
      <c r="AA133" s="19">
        <f t="shared" si="18"/>
        <v>34591</v>
      </c>
      <c r="AB133" s="4">
        <f t="shared" si="19"/>
        <v>210</v>
      </c>
      <c r="AC133" s="4" cm="1">
        <f t="array" ref="AC133">_xlfn.XLOOKUP(1,('1994 E Maize Soil VWC'!$C$2:$C$4000=$AA133)*('1994 E Maize Soil VWC'!$D$2:$D$4000=$AB133)*('1994 E Maize Soil VWC'!$E$2:$E$4000=AC$5),'1994 E Maize Soil VWC'!$F$2:$F$4000)</f>
        <v>0.1816427641303541</v>
      </c>
      <c r="AD133" s="4" cm="1">
        <f t="array" ref="AD133">_xlfn.XLOOKUP(1,('1994 E Maize Soil VWC'!$C$2:$C$4000=$AA133)*('1994 E Maize Soil VWC'!$D$2:$D$4000=$AB133)*('1994 E Maize Soil VWC'!$E$2:$E$4000=AD$5),'1994 E Maize Soil VWC'!$F$2:$F$4000)</f>
        <v>0.2519478618588078</v>
      </c>
      <c r="AE133" s="4" cm="1">
        <f t="array" ref="AE133">_xlfn.XLOOKUP(1,('1994 E Maize Soil VWC'!$C$2:$C$4000=$AA133)*('1994 E Maize Soil VWC'!$D$2:$D$4000=$AB133)*('1994 E Maize Soil VWC'!$E$2:$E$4000=AE$5),'1994 E Maize Soil VWC'!$F$2:$F$4000)</f>
        <v>0.24516797063321205</v>
      </c>
      <c r="AF133" s="4" cm="1">
        <f t="array" ref="AF133">_xlfn.XLOOKUP(1,('1994 E Maize Soil VWC'!$C$2:$C$4000=$AA133)*('1994 E Maize Soil VWC'!$D$2:$D$4000=$AB133)*('1994 E Maize Soil VWC'!$E$2:$E$4000=AF$5),'1994 E Maize Soil VWC'!$F$2:$F$4000)</f>
        <v>0.26714326009204953</v>
      </c>
      <c r="AG133" s="4" t="e" cm="1">
        <f t="array" ref="AG133">_xlfn.XLOOKUP(1,('1994 E Maize Soil VWC'!$C$2:$C$4000=$AA133)*('1994 E Maize Soil VWC'!$D$2:$D$4000=$AB133)*('1994 E Maize Soil VWC'!$E$2:$E$4000=AG$5),'1994 E Maize Soil VWC'!$F$2:$F$4000)</f>
        <v>#N/A</v>
      </c>
      <c r="AH133" s="4" t="e" cm="1">
        <f t="array" ref="AH133">_xlfn.XLOOKUP(1,('1994 E Maize Soil VWC'!$C$2:$C$4000=$AA133)*('1994 E Maize Soil VWC'!$D$2:$D$4000=$AB133)*('1994 E Maize Soil VWC'!$E$2:$E$4000=AH$5),'1994 E Maize Soil VWC'!$F$2:$F$4000)</f>
        <v>#N/A</v>
      </c>
      <c r="AI133" s="4" cm="1">
        <f t="array" ref="AI133">_xlfn.XLOOKUP(1,('1994 E Maize Soil VWC'!$C$2:$C$4000=$AA133)*('1994 E Maize Soil VWC'!$D$2:$D$4000=$AB133)*('1994 E Maize Soil VWC'!$E$2:$E$4000=AI$5),'1994 E Maize Soil VWC'!$F$2:$F$4000)</f>
        <v>0.27128506134659636</v>
      </c>
      <c r="AJ133" s="4" cm="1">
        <f t="array" ref="AJ133">_xlfn.XLOOKUP(1,('1994 E Maize Soil VWC'!$C$2:$C$4000=$AA133)*('1994 E Maize Soil VWC'!$D$2:$D$4000=$AB133)*('1994 E Maize Soil VWC'!$E$2:$E$4000=AJ$5),'1994 E Maize Soil VWC'!$F$2:$F$4000)</f>
        <v>0.25289757424838544</v>
      </c>
      <c r="AK133" s="4" cm="1">
        <f t="array" ref="AK133">_xlfn.XLOOKUP(1,('1994 E Maize Soil VWC'!$C$2:$C$4000=$AA133)*('1994 E Maize Soil VWC'!$D$2:$D$4000=$AB133)*('1994 E Maize Soil VWC'!$E$2:$E$4000=AK$5),'1994 E Maize Soil VWC'!$F$2:$F$4000)</f>
        <v>0.2555356642194343</v>
      </c>
      <c r="AL133" s="4" cm="1">
        <f t="array" ref="AL133">_xlfn.XLOOKUP(1,('1994 E Maize Soil VWC'!$C$2:$C$4000=$AA133)*('1994 E Maize Soil VWC'!$D$2:$D$4000=$AB133)*('1994 E Maize Soil VWC'!$E$2:$E$4000=AL$5),'1994 E Maize Soil VWC'!$F$2:$F$4000)</f>
        <v>0.26540212071115732</v>
      </c>
      <c r="AM133" s="4" t="e" cm="1">
        <f t="array" ref="AM133">_xlfn.XLOOKUP(1,('1994 E Maize Soil VWC'!$C$2:$C$4000=$AA133)*('1994 E Maize Soil VWC'!$D$2:$D$4000=$AB133)*('1994 E Maize Soil VWC'!$E$2:$E$4000=AM$5),'1994 E Maize Soil VWC'!$F$2:$F$4000)</f>
        <v>#N/A</v>
      </c>
      <c r="AN133" s="4" t="e" cm="1">
        <f t="array" ref="AN133">_xlfn.XLOOKUP(1,('1994 E Maize Soil VWC'!$C$2:$C$4000=$AA133)*('1994 E Maize Soil VWC'!$D$2:$D$4000=$AB133)*('1994 E Maize Soil VWC'!$E$2:$E$4000=AN$5),'1994 E Maize Soil VWC'!$F$2:$F$4000)</f>
        <v>#N/A</v>
      </c>
    </row>
    <row r="134" spans="25:40" x14ac:dyDescent="0.25">
      <c r="AA134" s="19">
        <f t="shared" si="18"/>
        <v>34591</v>
      </c>
      <c r="AB134" s="4">
        <f t="shared" si="19"/>
        <v>230</v>
      </c>
      <c r="AC134" s="4" cm="1">
        <f t="array" ref="AC134">_xlfn.XLOOKUP(1,('1994 E Maize Soil VWC'!$C$2:$C$4000=$AA134)*('1994 E Maize Soil VWC'!$D$2:$D$4000=$AB134)*('1994 E Maize Soil VWC'!$E$2:$E$4000=AC$5),'1994 E Maize Soil VWC'!$F$2:$F$4000)</f>
        <v>0.17876724606191077</v>
      </c>
      <c r="AD134" s="4" cm="1">
        <f t="array" ref="AD134">_xlfn.XLOOKUP(1,('1994 E Maize Soil VWC'!$C$2:$C$4000=$AA134)*('1994 E Maize Soil VWC'!$D$2:$D$4000=$AB134)*('1994 E Maize Soil VWC'!$E$2:$E$4000=AD$5),'1994 E Maize Soil VWC'!$F$2:$F$4000)</f>
        <v>0.23548618043946257</v>
      </c>
      <c r="AE134" s="4" cm="1">
        <f t="array" ref="AE134">_xlfn.XLOOKUP(1,('1994 E Maize Soil VWC'!$C$2:$C$4000=$AA134)*('1994 E Maize Soil VWC'!$D$2:$D$4000=$AB134)*('1994 E Maize Soil VWC'!$E$2:$E$4000=AE$5),'1994 E Maize Soil VWC'!$F$2:$F$4000)</f>
        <v>0.23783408051369609</v>
      </c>
      <c r="AF134" s="4" cm="1">
        <f t="array" ref="AF134">_xlfn.XLOOKUP(1,('1994 E Maize Soil VWC'!$C$2:$C$4000=$AA134)*('1994 E Maize Soil VWC'!$D$2:$D$4000=$AB134)*('1994 E Maize Soil VWC'!$E$2:$E$4000=AF$5),'1994 E Maize Soil VWC'!$F$2:$F$4000)</f>
        <v>0.2559049968153812</v>
      </c>
      <c r="AG134" s="4" t="e" cm="1">
        <f t="array" ref="AG134">_xlfn.XLOOKUP(1,('1994 E Maize Soil VWC'!$C$2:$C$4000=$AA134)*('1994 E Maize Soil VWC'!$D$2:$D$4000=$AB134)*('1994 E Maize Soil VWC'!$E$2:$E$4000=AG$5),'1994 E Maize Soil VWC'!$F$2:$F$4000)</f>
        <v>#N/A</v>
      </c>
      <c r="AH134" s="4" t="e" cm="1">
        <f t="array" ref="AH134">_xlfn.XLOOKUP(1,('1994 E Maize Soil VWC'!$C$2:$C$4000=$AA134)*('1994 E Maize Soil VWC'!$D$2:$D$4000=$AB134)*('1994 E Maize Soil VWC'!$E$2:$E$4000=AH$5),'1994 E Maize Soil VWC'!$F$2:$F$4000)</f>
        <v>#N/A</v>
      </c>
      <c r="AI134" s="4" cm="1">
        <f t="array" ref="AI134">_xlfn.XLOOKUP(1,('1994 E Maize Soil VWC'!$C$2:$C$4000=$AA134)*('1994 E Maize Soil VWC'!$D$2:$D$4000=$AB134)*('1994 E Maize Soil VWC'!$E$2:$E$4000=AI$5),'1994 E Maize Soil VWC'!$F$2:$F$4000)</f>
        <v>0.26542850161086778</v>
      </c>
      <c r="AJ134" s="4" cm="1">
        <f t="array" ref="AJ134">_xlfn.XLOOKUP(1,('1994 E Maize Soil VWC'!$C$2:$C$4000=$AA134)*('1994 E Maize Soil VWC'!$D$2:$D$4000=$AB134)*('1994 E Maize Soil VWC'!$E$2:$E$4000=AJ$5),'1994 E Maize Soil VWC'!$F$2:$F$4000)</f>
        <v>0.25706575640264268</v>
      </c>
      <c r="AK134" s="4" cm="1">
        <f t="array" ref="AK134">_xlfn.XLOOKUP(1,('1994 E Maize Soil VWC'!$C$2:$C$4000=$AA134)*('1994 E Maize Soil VWC'!$D$2:$D$4000=$AB134)*('1994 E Maize Soil VWC'!$E$2:$E$4000=AK$5),'1994 E Maize Soil VWC'!$F$2:$F$4000)</f>
        <v>0.25305585964664834</v>
      </c>
      <c r="AL134" s="4" cm="1">
        <f t="array" ref="AL134">_xlfn.XLOOKUP(1,('1994 E Maize Soil VWC'!$C$2:$C$4000=$AA134)*('1994 E Maize Soil VWC'!$D$2:$D$4000=$AB134)*('1994 E Maize Soil VWC'!$E$2:$E$4000=AL$5),'1994 E Maize Soil VWC'!$F$2:$F$4000)</f>
        <v>0.25809461149135177</v>
      </c>
      <c r="AM134" s="4" t="e" cm="1">
        <f t="array" ref="AM134">_xlfn.XLOOKUP(1,('1994 E Maize Soil VWC'!$C$2:$C$4000=$AA134)*('1994 E Maize Soil VWC'!$D$2:$D$4000=$AB134)*('1994 E Maize Soil VWC'!$E$2:$E$4000=AM$5),'1994 E Maize Soil VWC'!$F$2:$F$4000)</f>
        <v>#N/A</v>
      </c>
      <c r="AN134" s="4" t="e" cm="1">
        <f t="array" ref="AN134">_xlfn.XLOOKUP(1,('1994 E Maize Soil VWC'!$C$2:$C$4000=$AA134)*('1994 E Maize Soil VWC'!$D$2:$D$4000=$AB134)*('1994 E Maize Soil VWC'!$E$2:$E$4000=AN$5),'1994 E Maize Soil VWC'!$F$2:$F$4000)</f>
        <v>#N/A</v>
      </c>
    </row>
    <row r="135" spans="25:40" x14ac:dyDescent="0.25">
      <c r="AA135" s="19"/>
    </row>
    <row r="136" spans="25:40" x14ac:dyDescent="0.25">
      <c r="Y136" s="4">
        <f>Y123</f>
        <v>1994</v>
      </c>
      <c r="Z136" s="4">
        <v>0</v>
      </c>
      <c r="AA136" s="19">
        <f>DATE(Y136,1,Z136)</f>
        <v>34334</v>
      </c>
      <c r="AB136" s="4">
        <v>10</v>
      </c>
      <c r="AC136" s="4" t="e" cm="1">
        <f t="array" ref="AC136">_xlfn.XLOOKUP(1,('1994 E Maize Soil VWC'!$C$2:$C$4000=$AA136)*('1994 E Maize Soil VWC'!$D$2:$D$4000=$AB136)*('1994 E Maize Soil VWC'!$E$2:$E$4000=AC$5),'1994 E Maize Soil VWC'!$F$2:$F$4000)</f>
        <v>#N/A</v>
      </c>
      <c r="AD136" s="4" t="e" cm="1">
        <f t="array" ref="AD136">_xlfn.XLOOKUP(1,('1994 E Maize Soil VWC'!$C$2:$C$4000=$AA136)*('1994 E Maize Soil VWC'!$D$2:$D$4000=$AB136)*('1994 E Maize Soil VWC'!$E$2:$E$4000=AD$5),'1994 E Maize Soil VWC'!$F$2:$F$4000)</f>
        <v>#N/A</v>
      </c>
      <c r="AE136" s="4" t="e" cm="1">
        <f t="array" ref="AE136">_xlfn.XLOOKUP(1,('1994 E Maize Soil VWC'!$C$2:$C$4000=$AA136)*('1994 E Maize Soil VWC'!$D$2:$D$4000=$AB136)*('1994 E Maize Soil VWC'!$E$2:$E$4000=AE$5),'1994 E Maize Soil VWC'!$F$2:$F$4000)</f>
        <v>#N/A</v>
      </c>
      <c r="AF136" s="4" t="e" cm="1">
        <f t="array" ref="AF136">_xlfn.XLOOKUP(1,('1994 E Maize Soil VWC'!$C$2:$C$4000=$AA136)*('1994 E Maize Soil VWC'!$D$2:$D$4000=$AB136)*('1994 E Maize Soil VWC'!$E$2:$E$4000=AF$5),'1994 E Maize Soil VWC'!$F$2:$F$4000)</f>
        <v>#N/A</v>
      </c>
      <c r="AG136" s="4" t="e" cm="1">
        <f t="array" ref="AG136">_xlfn.XLOOKUP(1,('1994 E Maize Soil VWC'!$C$2:$C$4000=$AA136)*('1994 E Maize Soil VWC'!$D$2:$D$4000=$AB136)*('1994 E Maize Soil VWC'!$E$2:$E$4000=AG$5),'1994 E Maize Soil VWC'!$F$2:$F$4000)</f>
        <v>#N/A</v>
      </c>
      <c r="AH136" s="4" t="e" cm="1">
        <f t="array" ref="AH136">_xlfn.XLOOKUP(1,('1994 E Maize Soil VWC'!$C$2:$C$4000=$AA136)*('1994 E Maize Soil VWC'!$D$2:$D$4000=$AB136)*('1994 E Maize Soil VWC'!$E$2:$E$4000=AH$5),'1994 E Maize Soil VWC'!$F$2:$F$4000)</f>
        <v>#N/A</v>
      </c>
      <c r="AI136" s="4" t="e" cm="1">
        <f t="array" ref="AI136">_xlfn.XLOOKUP(1,('1994 E Maize Soil VWC'!$C$2:$C$4000=$AA136)*('1994 E Maize Soil VWC'!$D$2:$D$4000=$AB136)*('1994 E Maize Soil VWC'!$E$2:$E$4000=AI$5),'1994 E Maize Soil VWC'!$F$2:$F$4000)</f>
        <v>#N/A</v>
      </c>
      <c r="AJ136" s="4" t="e" cm="1">
        <f t="array" ref="AJ136">_xlfn.XLOOKUP(1,('1994 E Maize Soil VWC'!$C$2:$C$4000=$AA136)*('1994 E Maize Soil VWC'!$D$2:$D$4000=$AB136)*('1994 E Maize Soil VWC'!$E$2:$E$4000=AJ$5),'1994 E Maize Soil VWC'!$F$2:$F$4000)</f>
        <v>#N/A</v>
      </c>
      <c r="AK136" s="4" t="e" cm="1">
        <f t="array" ref="AK136">_xlfn.XLOOKUP(1,('1994 E Maize Soil VWC'!$C$2:$C$4000=$AA136)*('1994 E Maize Soil VWC'!$D$2:$D$4000=$AB136)*('1994 E Maize Soil VWC'!$E$2:$E$4000=AK$5),'1994 E Maize Soil VWC'!$F$2:$F$4000)</f>
        <v>#N/A</v>
      </c>
      <c r="AL136" s="4" t="e" cm="1">
        <f t="array" ref="AL136">_xlfn.XLOOKUP(1,('1994 E Maize Soil VWC'!$C$2:$C$4000=$AA136)*('1994 E Maize Soil VWC'!$D$2:$D$4000=$AB136)*('1994 E Maize Soil VWC'!$E$2:$E$4000=AL$5),'1994 E Maize Soil VWC'!$F$2:$F$4000)</f>
        <v>#N/A</v>
      </c>
      <c r="AM136" s="4" t="e" cm="1">
        <f t="array" ref="AM136">_xlfn.XLOOKUP(1,('1994 E Maize Soil VWC'!$C$2:$C$4000=$AA136)*('1994 E Maize Soil VWC'!$D$2:$D$4000=$AB136)*('1994 E Maize Soil VWC'!$E$2:$E$4000=AM$5),'1994 E Maize Soil VWC'!$F$2:$F$4000)</f>
        <v>#N/A</v>
      </c>
      <c r="AN136" s="4" t="e" cm="1">
        <f t="array" ref="AN136">_xlfn.XLOOKUP(1,('1994 E Maize Soil VWC'!$C$2:$C$4000=$AA136)*('1994 E Maize Soil VWC'!$D$2:$D$4000=$AB136)*('1994 E Maize Soil VWC'!$E$2:$E$4000=AN$5),'1994 E Maize Soil VWC'!$F$2:$F$4000)</f>
        <v>#N/A</v>
      </c>
    </row>
    <row r="137" spans="25:40" x14ac:dyDescent="0.25">
      <c r="AA137" s="19">
        <f t="shared" ref="AA137:AA147" si="20">AA136</f>
        <v>34334</v>
      </c>
      <c r="AB137" s="4">
        <f t="shared" ref="AB137:AB147" si="21">AB136+20</f>
        <v>30</v>
      </c>
      <c r="AC137" s="4" t="e" cm="1">
        <f t="array" ref="AC137">_xlfn.XLOOKUP(1,('1994 E Maize Soil VWC'!$C$2:$C$4000=$AA137)*('1994 E Maize Soil VWC'!$D$2:$D$4000=$AB137)*('1994 E Maize Soil VWC'!$E$2:$E$4000=AC$5),'1994 E Maize Soil VWC'!$F$2:$F$4000)</f>
        <v>#N/A</v>
      </c>
      <c r="AD137" s="4" t="e" cm="1">
        <f t="array" ref="AD137">_xlfn.XLOOKUP(1,('1994 E Maize Soil VWC'!$C$2:$C$4000=$AA137)*('1994 E Maize Soil VWC'!$D$2:$D$4000=$AB137)*('1994 E Maize Soil VWC'!$E$2:$E$4000=AD$5),'1994 E Maize Soil VWC'!$F$2:$F$4000)</f>
        <v>#N/A</v>
      </c>
      <c r="AE137" s="4" t="e" cm="1">
        <f t="array" ref="AE137">_xlfn.XLOOKUP(1,('1994 E Maize Soil VWC'!$C$2:$C$4000=$AA137)*('1994 E Maize Soil VWC'!$D$2:$D$4000=$AB137)*('1994 E Maize Soil VWC'!$E$2:$E$4000=AE$5),'1994 E Maize Soil VWC'!$F$2:$F$4000)</f>
        <v>#N/A</v>
      </c>
      <c r="AF137" s="4" t="e" cm="1">
        <f t="array" ref="AF137">_xlfn.XLOOKUP(1,('1994 E Maize Soil VWC'!$C$2:$C$4000=$AA137)*('1994 E Maize Soil VWC'!$D$2:$D$4000=$AB137)*('1994 E Maize Soil VWC'!$E$2:$E$4000=AF$5),'1994 E Maize Soil VWC'!$F$2:$F$4000)</f>
        <v>#N/A</v>
      </c>
      <c r="AG137" s="4" t="e" cm="1">
        <f t="array" ref="AG137">_xlfn.XLOOKUP(1,('1994 E Maize Soil VWC'!$C$2:$C$4000=$AA137)*('1994 E Maize Soil VWC'!$D$2:$D$4000=$AB137)*('1994 E Maize Soil VWC'!$E$2:$E$4000=AG$5),'1994 E Maize Soil VWC'!$F$2:$F$4000)</f>
        <v>#N/A</v>
      </c>
      <c r="AH137" s="4" t="e" cm="1">
        <f t="array" ref="AH137">_xlfn.XLOOKUP(1,('1994 E Maize Soil VWC'!$C$2:$C$4000=$AA137)*('1994 E Maize Soil VWC'!$D$2:$D$4000=$AB137)*('1994 E Maize Soil VWC'!$E$2:$E$4000=AH$5),'1994 E Maize Soil VWC'!$F$2:$F$4000)</f>
        <v>#N/A</v>
      </c>
      <c r="AI137" s="4" t="e" cm="1">
        <f t="array" ref="AI137">_xlfn.XLOOKUP(1,('1994 E Maize Soil VWC'!$C$2:$C$4000=$AA137)*('1994 E Maize Soil VWC'!$D$2:$D$4000=$AB137)*('1994 E Maize Soil VWC'!$E$2:$E$4000=AI$5),'1994 E Maize Soil VWC'!$F$2:$F$4000)</f>
        <v>#N/A</v>
      </c>
      <c r="AJ137" s="4" t="e" cm="1">
        <f t="array" ref="AJ137">_xlfn.XLOOKUP(1,('1994 E Maize Soil VWC'!$C$2:$C$4000=$AA137)*('1994 E Maize Soil VWC'!$D$2:$D$4000=$AB137)*('1994 E Maize Soil VWC'!$E$2:$E$4000=AJ$5),'1994 E Maize Soil VWC'!$F$2:$F$4000)</f>
        <v>#N/A</v>
      </c>
      <c r="AK137" s="4" t="e" cm="1">
        <f t="array" ref="AK137">_xlfn.XLOOKUP(1,('1994 E Maize Soil VWC'!$C$2:$C$4000=$AA137)*('1994 E Maize Soil VWC'!$D$2:$D$4000=$AB137)*('1994 E Maize Soil VWC'!$E$2:$E$4000=AK$5),'1994 E Maize Soil VWC'!$F$2:$F$4000)</f>
        <v>#N/A</v>
      </c>
      <c r="AL137" s="4" t="e" cm="1">
        <f t="array" ref="AL137">_xlfn.XLOOKUP(1,('1994 E Maize Soil VWC'!$C$2:$C$4000=$AA137)*('1994 E Maize Soil VWC'!$D$2:$D$4000=$AB137)*('1994 E Maize Soil VWC'!$E$2:$E$4000=AL$5),'1994 E Maize Soil VWC'!$F$2:$F$4000)</f>
        <v>#N/A</v>
      </c>
      <c r="AM137" s="4" t="e" cm="1">
        <f t="array" ref="AM137">_xlfn.XLOOKUP(1,('1994 E Maize Soil VWC'!$C$2:$C$4000=$AA137)*('1994 E Maize Soil VWC'!$D$2:$D$4000=$AB137)*('1994 E Maize Soil VWC'!$E$2:$E$4000=AM$5),'1994 E Maize Soil VWC'!$F$2:$F$4000)</f>
        <v>#N/A</v>
      </c>
      <c r="AN137" s="4" t="e" cm="1">
        <f t="array" ref="AN137">_xlfn.XLOOKUP(1,('1994 E Maize Soil VWC'!$C$2:$C$4000=$AA137)*('1994 E Maize Soil VWC'!$D$2:$D$4000=$AB137)*('1994 E Maize Soil VWC'!$E$2:$E$4000=AN$5),'1994 E Maize Soil VWC'!$F$2:$F$4000)</f>
        <v>#N/A</v>
      </c>
    </row>
    <row r="138" spans="25:40" x14ac:dyDescent="0.25">
      <c r="AA138" s="19">
        <f t="shared" si="20"/>
        <v>34334</v>
      </c>
      <c r="AB138" s="4">
        <f t="shared" si="21"/>
        <v>50</v>
      </c>
      <c r="AC138" s="4" t="e" cm="1">
        <f t="array" ref="AC138">_xlfn.XLOOKUP(1,('1994 E Maize Soil VWC'!$C$2:$C$4000=$AA138)*('1994 E Maize Soil VWC'!$D$2:$D$4000=$AB138)*('1994 E Maize Soil VWC'!$E$2:$E$4000=AC$5),'1994 E Maize Soil VWC'!$F$2:$F$4000)</f>
        <v>#N/A</v>
      </c>
      <c r="AD138" s="4" t="e" cm="1">
        <f t="array" ref="AD138">_xlfn.XLOOKUP(1,('1994 E Maize Soil VWC'!$C$2:$C$4000=$AA138)*('1994 E Maize Soil VWC'!$D$2:$D$4000=$AB138)*('1994 E Maize Soil VWC'!$E$2:$E$4000=AD$5),'1994 E Maize Soil VWC'!$F$2:$F$4000)</f>
        <v>#N/A</v>
      </c>
      <c r="AE138" s="4" t="e" cm="1">
        <f t="array" ref="AE138">_xlfn.XLOOKUP(1,('1994 E Maize Soil VWC'!$C$2:$C$4000=$AA138)*('1994 E Maize Soil VWC'!$D$2:$D$4000=$AB138)*('1994 E Maize Soil VWC'!$E$2:$E$4000=AE$5),'1994 E Maize Soil VWC'!$F$2:$F$4000)</f>
        <v>#N/A</v>
      </c>
      <c r="AF138" s="4" t="e" cm="1">
        <f t="array" ref="AF138">_xlfn.XLOOKUP(1,('1994 E Maize Soil VWC'!$C$2:$C$4000=$AA138)*('1994 E Maize Soil VWC'!$D$2:$D$4000=$AB138)*('1994 E Maize Soil VWC'!$E$2:$E$4000=AF$5),'1994 E Maize Soil VWC'!$F$2:$F$4000)</f>
        <v>#N/A</v>
      </c>
      <c r="AG138" s="4" t="e" cm="1">
        <f t="array" ref="AG138">_xlfn.XLOOKUP(1,('1994 E Maize Soil VWC'!$C$2:$C$4000=$AA138)*('1994 E Maize Soil VWC'!$D$2:$D$4000=$AB138)*('1994 E Maize Soil VWC'!$E$2:$E$4000=AG$5),'1994 E Maize Soil VWC'!$F$2:$F$4000)</f>
        <v>#N/A</v>
      </c>
      <c r="AH138" s="4" t="e" cm="1">
        <f t="array" ref="AH138">_xlfn.XLOOKUP(1,('1994 E Maize Soil VWC'!$C$2:$C$4000=$AA138)*('1994 E Maize Soil VWC'!$D$2:$D$4000=$AB138)*('1994 E Maize Soil VWC'!$E$2:$E$4000=AH$5),'1994 E Maize Soil VWC'!$F$2:$F$4000)</f>
        <v>#N/A</v>
      </c>
      <c r="AI138" s="4" t="e" cm="1">
        <f t="array" ref="AI138">_xlfn.XLOOKUP(1,('1994 E Maize Soil VWC'!$C$2:$C$4000=$AA138)*('1994 E Maize Soil VWC'!$D$2:$D$4000=$AB138)*('1994 E Maize Soil VWC'!$E$2:$E$4000=AI$5),'1994 E Maize Soil VWC'!$F$2:$F$4000)</f>
        <v>#N/A</v>
      </c>
      <c r="AJ138" s="4" t="e" cm="1">
        <f t="array" ref="AJ138">_xlfn.XLOOKUP(1,('1994 E Maize Soil VWC'!$C$2:$C$4000=$AA138)*('1994 E Maize Soil VWC'!$D$2:$D$4000=$AB138)*('1994 E Maize Soil VWC'!$E$2:$E$4000=AJ$5),'1994 E Maize Soil VWC'!$F$2:$F$4000)</f>
        <v>#N/A</v>
      </c>
      <c r="AK138" s="4" t="e" cm="1">
        <f t="array" ref="AK138">_xlfn.XLOOKUP(1,('1994 E Maize Soil VWC'!$C$2:$C$4000=$AA138)*('1994 E Maize Soil VWC'!$D$2:$D$4000=$AB138)*('1994 E Maize Soil VWC'!$E$2:$E$4000=AK$5),'1994 E Maize Soil VWC'!$F$2:$F$4000)</f>
        <v>#N/A</v>
      </c>
      <c r="AL138" s="4" t="e" cm="1">
        <f t="array" ref="AL138">_xlfn.XLOOKUP(1,('1994 E Maize Soil VWC'!$C$2:$C$4000=$AA138)*('1994 E Maize Soil VWC'!$D$2:$D$4000=$AB138)*('1994 E Maize Soil VWC'!$E$2:$E$4000=AL$5),'1994 E Maize Soil VWC'!$F$2:$F$4000)</f>
        <v>#N/A</v>
      </c>
      <c r="AM138" s="4" t="e" cm="1">
        <f t="array" ref="AM138">_xlfn.XLOOKUP(1,('1994 E Maize Soil VWC'!$C$2:$C$4000=$AA138)*('1994 E Maize Soil VWC'!$D$2:$D$4000=$AB138)*('1994 E Maize Soil VWC'!$E$2:$E$4000=AM$5),'1994 E Maize Soil VWC'!$F$2:$F$4000)</f>
        <v>#N/A</v>
      </c>
      <c r="AN138" s="4" t="e" cm="1">
        <f t="array" ref="AN138">_xlfn.XLOOKUP(1,('1994 E Maize Soil VWC'!$C$2:$C$4000=$AA138)*('1994 E Maize Soil VWC'!$D$2:$D$4000=$AB138)*('1994 E Maize Soil VWC'!$E$2:$E$4000=AN$5),'1994 E Maize Soil VWC'!$F$2:$F$4000)</f>
        <v>#N/A</v>
      </c>
    </row>
    <row r="139" spans="25:40" x14ac:dyDescent="0.25">
      <c r="AA139" s="19">
        <f t="shared" si="20"/>
        <v>34334</v>
      </c>
      <c r="AB139" s="4">
        <f t="shared" si="21"/>
        <v>70</v>
      </c>
      <c r="AC139" s="4" t="e" cm="1">
        <f t="array" ref="AC139">_xlfn.XLOOKUP(1,('1994 E Maize Soil VWC'!$C$2:$C$4000=$AA139)*('1994 E Maize Soil VWC'!$D$2:$D$4000=$AB139)*('1994 E Maize Soil VWC'!$E$2:$E$4000=AC$5),'1994 E Maize Soil VWC'!$F$2:$F$4000)</f>
        <v>#N/A</v>
      </c>
      <c r="AD139" s="4" t="e" cm="1">
        <f t="array" ref="AD139">_xlfn.XLOOKUP(1,('1994 E Maize Soil VWC'!$C$2:$C$4000=$AA139)*('1994 E Maize Soil VWC'!$D$2:$D$4000=$AB139)*('1994 E Maize Soil VWC'!$E$2:$E$4000=AD$5),'1994 E Maize Soil VWC'!$F$2:$F$4000)</f>
        <v>#N/A</v>
      </c>
      <c r="AE139" s="4" t="e" cm="1">
        <f t="array" ref="AE139">_xlfn.XLOOKUP(1,('1994 E Maize Soil VWC'!$C$2:$C$4000=$AA139)*('1994 E Maize Soil VWC'!$D$2:$D$4000=$AB139)*('1994 E Maize Soil VWC'!$E$2:$E$4000=AE$5),'1994 E Maize Soil VWC'!$F$2:$F$4000)</f>
        <v>#N/A</v>
      </c>
      <c r="AF139" s="4" t="e" cm="1">
        <f t="array" ref="AF139">_xlfn.XLOOKUP(1,('1994 E Maize Soil VWC'!$C$2:$C$4000=$AA139)*('1994 E Maize Soil VWC'!$D$2:$D$4000=$AB139)*('1994 E Maize Soil VWC'!$E$2:$E$4000=AF$5),'1994 E Maize Soil VWC'!$F$2:$F$4000)</f>
        <v>#N/A</v>
      </c>
      <c r="AG139" s="4" t="e" cm="1">
        <f t="array" ref="AG139">_xlfn.XLOOKUP(1,('1994 E Maize Soil VWC'!$C$2:$C$4000=$AA139)*('1994 E Maize Soil VWC'!$D$2:$D$4000=$AB139)*('1994 E Maize Soil VWC'!$E$2:$E$4000=AG$5),'1994 E Maize Soil VWC'!$F$2:$F$4000)</f>
        <v>#N/A</v>
      </c>
      <c r="AH139" s="4" t="e" cm="1">
        <f t="array" ref="AH139">_xlfn.XLOOKUP(1,('1994 E Maize Soil VWC'!$C$2:$C$4000=$AA139)*('1994 E Maize Soil VWC'!$D$2:$D$4000=$AB139)*('1994 E Maize Soil VWC'!$E$2:$E$4000=AH$5),'1994 E Maize Soil VWC'!$F$2:$F$4000)</f>
        <v>#N/A</v>
      </c>
      <c r="AI139" s="4" t="e" cm="1">
        <f t="array" ref="AI139">_xlfn.XLOOKUP(1,('1994 E Maize Soil VWC'!$C$2:$C$4000=$AA139)*('1994 E Maize Soil VWC'!$D$2:$D$4000=$AB139)*('1994 E Maize Soil VWC'!$E$2:$E$4000=AI$5),'1994 E Maize Soil VWC'!$F$2:$F$4000)</f>
        <v>#N/A</v>
      </c>
      <c r="AJ139" s="4" t="e" cm="1">
        <f t="array" ref="AJ139">_xlfn.XLOOKUP(1,('1994 E Maize Soil VWC'!$C$2:$C$4000=$AA139)*('1994 E Maize Soil VWC'!$D$2:$D$4000=$AB139)*('1994 E Maize Soil VWC'!$E$2:$E$4000=AJ$5),'1994 E Maize Soil VWC'!$F$2:$F$4000)</f>
        <v>#N/A</v>
      </c>
      <c r="AK139" s="4" t="e" cm="1">
        <f t="array" ref="AK139">_xlfn.XLOOKUP(1,('1994 E Maize Soil VWC'!$C$2:$C$4000=$AA139)*('1994 E Maize Soil VWC'!$D$2:$D$4000=$AB139)*('1994 E Maize Soil VWC'!$E$2:$E$4000=AK$5),'1994 E Maize Soil VWC'!$F$2:$F$4000)</f>
        <v>#N/A</v>
      </c>
      <c r="AL139" s="4" t="e" cm="1">
        <f t="array" ref="AL139">_xlfn.XLOOKUP(1,('1994 E Maize Soil VWC'!$C$2:$C$4000=$AA139)*('1994 E Maize Soil VWC'!$D$2:$D$4000=$AB139)*('1994 E Maize Soil VWC'!$E$2:$E$4000=AL$5),'1994 E Maize Soil VWC'!$F$2:$F$4000)</f>
        <v>#N/A</v>
      </c>
      <c r="AM139" s="4" t="e" cm="1">
        <f t="array" ref="AM139">_xlfn.XLOOKUP(1,('1994 E Maize Soil VWC'!$C$2:$C$4000=$AA139)*('1994 E Maize Soil VWC'!$D$2:$D$4000=$AB139)*('1994 E Maize Soil VWC'!$E$2:$E$4000=AM$5),'1994 E Maize Soil VWC'!$F$2:$F$4000)</f>
        <v>#N/A</v>
      </c>
      <c r="AN139" s="4" t="e" cm="1">
        <f t="array" ref="AN139">_xlfn.XLOOKUP(1,('1994 E Maize Soil VWC'!$C$2:$C$4000=$AA139)*('1994 E Maize Soil VWC'!$D$2:$D$4000=$AB139)*('1994 E Maize Soil VWC'!$E$2:$E$4000=AN$5),'1994 E Maize Soil VWC'!$F$2:$F$4000)</f>
        <v>#N/A</v>
      </c>
    </row>
    <row r="140" spans="25:40" x14ac:dyDescent="0.25">
      <c r="AA140" s="19">
        <f t="shared" si="20"/>
        <v>34334</v>
      </c>
      <c r="AB140" s="4">
        <f t="shared" si="21"/>
        <v>90</v>
      </c>
      <c r="AC140" s="4" t="e" cm="1">
        <f t="array" ref="AC140">_xlfn.XLOOKUP(1,('1994 E Maize Soil VWC'!$C$2:$C$4000=$AA140)*('1994 E Maize Soil VWC'!$D$2:$D$4000=$AB140)*('1994 E Maize Soil VWC'!$E$2:$E$4000=AC$5),'1994 E Maize Soil VWC'!$F$2:$F$4000)</f>
        <v>#N/A</v>
      </c>
      <c r="AD140" s="4" t="e" cm="1">
        <f t="array" ref="AD140">_xlfn.XLOOKUP(1,('1994 E Maize Soil VWC'!$C$2:$C$4000=$AA140)*('1994 E Maize Soil VWC'!$D$2:$D$4000=$AB140)*('1994 E Maize Soil VWC'!$E$2:$E$4000=AD$5),'1994 E Maize Soil VWC'!$F$2:$F$4000)</f>
        <v>#N/A</v>
      </c>
      <c r="AE140" s="4" t="e" cm="1">
        <f t="array" ref="AE140">_xlfn.XLOOKUP(1,('1994 E Maize Soil VWC'!$C$2:$C$4000=$AA140)*('1994 E Maize Soil VWC'!$D$2:$D$4000=$AB140)*('1994 E Maize Soil VWC'!$E$2:$E$4000=AE$5),'1994 E Maize Soil VWC'!$F$2:$F$4000)</f>
        <v>#N/A</v>
      </c>
      <c r="AF140" s="4" t="e" cm="1">
        <f t="array" ref="AF140">_xlfn.XLOOKUP(1,('1994 E Maize Soil VWC'!$C$2:$C$4000=$AA140)*('1994 E Maize Soil VWC'!$D$2:$D$4000=$AB140)*('1994 E Maize Soil VWC'!$E$2:$E$4000=AF$5),'1994 E Maize Soil VWC'!$F$2:$F$4000)</f>
        <v>#N/A</v>
      </c>
      <c r="AG140" s="4" t="e" cm="1">
        <f t="array" ref="AG140">_xlfn.XLOOKUP(1,('1994 E Maize Soil VWC'!$C$2:$C$4000=$AA140)*('1994 E Maize Soil VWC'!$D$2:$D$4000=$AB140)*('1994 E Maize Soil VWC'!$E$2:$E$4000=AG$5),'1994 E Maize Soil VWC'!$F$2:$F$4000)</f>
        <v>#N/A</v>
      </c>
      <c r="AH140" s="4" t="e" cm="1">
        <f t="array" ref="AH140">_xlfn.XLOOKUP(1,('1994 E Maize Soil VWC'!$C$2:$C$4000=$AA140)*('1994 E Maize Soil VWC'!$D$2:$D$4000=$AB140)*('1994 E Maize Soil VWC'!$E$2:$E$4000=AH$5),'1994 E Maize Soil VWC'!$F$2:$F$4000)</f>
        <v>#N/A</v>
      </c>
      <c r="AI140" s="4" t="e" cm="1">
        <f t="array" ref="AI140">_xlfn.XLOOKUP(1,('1994 E Maize Soil VWC'!$C$2:$C$4000=$AA140)*('1994 E Maize Soil VWC'!$D$2:$D$4000=$AB140)*('1994 E Maize Soil VWC'!$E$2:$E$4000=AI$5),'1994 E Maize Soil VWC'!$F$2:$F$4000)</f>
        <v>#N/A</v>
      </c>
      <c r="AJ140" s="4" t="e" cm="1">
        <f t="array" ref="AJ140">_xlfn.XLOOKUP(1,('1994 E Maize Soil VWC'!$C$2:$C$4000=$AA140)*('1994 E Maize Soil VWC'!$D$2:$D$4000=$AB140)*('1994 E Maize Soil VWC'!$E$2:$E$4000=AJ$5),'1994 E Maize Soil VWC'!$F$2:$F$4000)</f>
        <v>#N/A</v>
      </c>
      <c r="AK140" s="4" t="e" cm="1">
        <f t="array" ref="AK140">_xlfn.XLOOKUP(1,('1994 E Maize Soil VWC'!$C$2:$C$4000=$AA140)*('1994 E Maize Soil VWC'!$D$2:$D$4000=$AB140)*('1994 E Maize Soil VWC'!$E$2:$E$4000=AK$5),'1994 E Maize Soil VWC'!$F$2:$F$4000)</f>
        <v>#N/A</v>
      </c>
      <c r="AL140" s="4" t="e" cm="1">
        <f t="array" ref="AL140">_xlfn.XLOOKUP(1,('1994 E Maize Soil VWC'!$C$2:$C$4000=$AA140)*('1994 E Maize Soil VWC'!$D$2:$D$4000=$AB140)*('1994 E Maize Soil VWC'!$E$2:$E$4000=AL$5),'1994 E Maize Soil VWC'!$F$2:$F$4000)</f>
        <v>#N/A</v>
      </c>
      <c r="AM140" s="4" t="e" cm="1">
        <f t="array" ref="AM140">_xlfn.XLOOKUP(1,('1994 E Maize Soil VWC'!$C$2:$C$4000=$AA140)*('1994 E Maize Soil VWC'!$D$2:$D$4000=$AB140)*('1994 E Maize Soil VWC'!$E$2:$E$4000=AM$5),'1994 E Maize Soil VWC'!$F$2:$F$4000)</f>
        <v>#N/A</v>
      </c>
      <c r="AN140" s="4" t="e" cm="1">
        <f t="array" ref="AN140">_xlfn.XLOOKUP(1,('1994 E Maize Soil VWC'!$C$2:$C$4000=$AA140)*('1994 E Maize Soil VWC'!$D$2:$D$4000=$AB140)*('1994 E Maize Soil VWC'!$E$2:$E$4000=AN$5),'1994 E Maize Soil VWC'!$F$2:$F$4000)</f>
        <v>#N/A</v>
      </c>
    </row>
    <row r="141" spans="25:40" x14ac:dyDescent="0.25">
      <c r="AA141" s="19">
        <f t="shared" si="20"/>
        <v>34334</v>
      </c>
      <c r="AB141" s="4">
        <f t="shared" si="21"/>
        <v>110</v>
      </c>
      <c r="AC141" s="4" t="e" cm="1">
        <f t="array" ref="AC141">_xlfn.XLOOKUP(1,('1994 E Maize Soil VWC'!$C$2:$C$4000=$AA141)*('1994 E Maize Soil VWC'!$D$2:$D$4000=$AB141)*('1994 E Maize Soil VWC'!$E$2:$E$4000=AC$5),'1994 E Maize Soil VWC'!$F$2:$F$4000)</f>
        <v>#N/A</v>
      </c>
      <c r="AD141" s="4" t="e" cm="1">
        <f t="array" ref="AD141">_xlfn.XLOOKUP(1,('1994 E Maize Soil VWC'!$C$2:$C$4000=$AA141)*('1994 E Maize Soil VWC'!$D$2:$D$4000=$AB141)*('1994 E Maize Soil VWC'!$E$2:$E$4000=AD$5),'1994 E Maize Soil VWC'!$F$2:$F$4000)</f>
        <v>#N/A</v>
      </c>
      <c r="AE141" s="4" t="e" cm="1">
        <f t="array" ref="AE141">_xlfn.XLOOKUP(1,('1994 E Maize Soil VWC'!$C$2:$C$4000=$AA141)*('1994 E Maize Soil VWC'!$D$2:$D$4000=$AB141)*('1994 E Maize Soil VWC'!$E$2:$E$4000=AE$5),'1994 E Maize Soil VWC'!$F$2:$F$4000)</f>
        <v>#N/A</v>
      </c>
      <c r="AF141" s="4" t="e" cm="1">
        <f t="array" ref="AF141">_xlfn.XLOOKUP(1,('1994 E Maize Soil VWC'!$C$2:$C$4000=$AA141)*('1994 E Maize Soil VWC'!$D$2:$D$4000=$AB141)*('1994 E Maize Soil VWC'!$E$2:$E$4000=AF$5),'1994 E Maize Soil VWC'!$F$2:$F$4000)</f>
        <v>#N/A</v>
      </c>
      <c r="AG141" s="4" t="e" cm="1">
        <f t="array" ref="AG141">_xlfn.XLOOKUP(1,('1994 E Maize Soil VWC'!$C$2:$C$4000=$AA141)*('1994 E Maize Soil VWC'!$D$2:$D$4000=$AB141)*('1994 E Maize Soil VWC'!$E$2:$E$4000=AG$5),'1994 E Maize Soil VWC'!$F$2:$F$4000)</f>
        <v>#N/A</v>
      </c>
      <c r="AH141" s="4" t="e" cm="1">
        <f t="array" ref="AH141">_xlfn.XLOOKUP(1,('1994 E Maize Soil VWC'!$C$2:$C$4000=$AA141)*('1994 E Maize Soil VWC'!$D$2:$D$4000=$AB141)*('1994 E Maize Soil VWC'!$E$2:$E$4000=AH$5),'1994 E Maize Soil VWC'!$F$2:$F$4000)</f>
        <v>#N/A</v>
      </c>
      <c r="AI141" s="4" t="e" cm="1">
        <f t="array" ref="AI141">_xlfn.XLOOKUP(1,('1994 E Maize Soil VWC'!$C$2:$C$4000=$AA141)*('1994 E Maize Soil VWC'!$D$2:$D$4000=$AB141)*('1994 E Maize Soil VWC'!$E$2:$E$4000=AI$5),'1994 E Maize Soil VWC'!$F$2:$F$4000)</f>
        <v>#N/A</v>
      </c>
      <c r="AJ141" s="4" t="e" cm="1">
        <f t="array" ref="AJ141">_xlfn.XLOOKUP(1,('1994 E Maize Soil VWC'!$C$2:$C$4000=$AA141)*('1994 E Maize Soil VWC'!$D$2:$D$4000=$AB141)*('1994 E Maize Soil VWC'!$E$2:$E$4000=AJ$5),'1994 E Maize Soil VWC'!$F$2:$F$4000)</f>
        <v>#N/A</v>
      </c>
      <c r="AK141" s="4" t="e" cm="1">
        <f t="array" ref="AK141">_xlfn.XLOOKUP(1,('1994 E Maize Soil VWC'!$C$2:$C$4000=$AA141)*('1994 E Maize Soil VWC'!$D$2:$D$4000=$AB141)*('1994 E Maize Soil VWC'!$E$2:$E$4000=AK$5),'1994 E Maize Soil VWC'!$F$2:$F$4000)</f>
        <v>#N/A</v>
      </c>
      <c r="AL141" s="4" t="e" cm="1">
        <f t="array" ref="AL141">_xlfn.XLOOKUP(1,('1994 E Maize Soil VWC'!$C$2:$C$4000=$AA141)*('1994 E Maize Soil VWC'!$D$2:$D$4000=$AB141)*('1994 E Maize Soil VWC'!$E$2:$E$4000=AL$5),'1994 E Maize Soil VWC'!$F$2:$F$4000)</f>
        <v>#N/A</v>
      </c>
      <c r="AM141" s="4" t="e" cm="1">
        <f t="array" ref="AM141">_xlfn.XLOOKUP(1,('1994 E Maize Soil VWC'!$C$2:$C$4000=$AA141)*('1994 E Maize Soil VWC'!$D$2:$D$4000=$AB141)*('1994 E Maize Soil VWC'!$E$2:$E$4000=AM$5),'1994 E Maize Soil VWC'!$F$2:$F$4000)</f>
        <v>#N/A</v>
      </c>
      <c r="AN141" s="4" t="e" cm="1">
        <f t="array" ref="AN141">_xlfn.XLOOKUP(1,('1994 E Maize Soil VWC'!$C$2:$C$4000=$AA141)*('1994 E Maize Soil VWC'!$D$2:$D$4000=$AB141)*('1994 E Maize Soil VWC'!$E$2:$E$4000=AN$5),'1994 E Maize Soil VWC'!$F$2:$F$4000)</f>
        <v>#N/A</v>
      </c>
    </row>
    <row r="142" spans="25:40" x14ac:dyDescent="0.25">
      <c r="AA142" s="19">
        <f t="shared" si="20"/>
        <v>34334</v>
      </c>
      <c r="AB142" s="4">
        <f t="shared" si="21"/>
        <v>130</v>
      </c>
      <c r="AC142" s="4" t="e" cm="1">
        <f t="array" ref="AC142">_xlfn.XLOOKUP(1,('1994 E Maize Soil VWC'!$C$2:$C$4000=$AA142)*('1994 E Maize Soil VWC'!$D$2:$D$4000=$AB142)*('1994 E Maize Soil VWC'!$E$2:$E$4000=AC$5),'1994 E Maize Soil VWC'!$F$2:$F$4000)</f>
        <v>#N/A</v>
      </c>
      <c r="AD142" s="4" t="e" cm="1">
        <f t="array" ref="AD142">_xlfn.XLOOKUP(1,('1994 E Maize Soil VWC'!$C$2:$C$4000=$AA142)*('1994 E Maize Soil VWC'!$D$2:$D$4000=$AB142)*('1994 E Maize Soil VWC'!$E$2:$E$4000=AD$5),'1994 E Maize Soil VWC'!$F$2:$F$4000)</f>
        <v>#N/A</v>
      </c>
      <c r="AE142" s="4" t="e" cm="1">
        <f t="array" ref="AE142">_xlfn.XLOOKUP(1,('1994 E Maize Soil VWC'!$C$2:$C$4000=$AA142)*('1994 E Maize Soil VWC'!$D$2:$D$4000=$AB142)*('1994 E Maize Soil VWC'!$E$2:$E$4000=AE$5),'1994 E Maize Soil VWC'!$F$2:$F$4000)</f>
        <v>#N/A</v>
      </c>
      <c r="AF142" s="4" t="e" cm="1">
        <f t="array" ref="AF142">_xlfn.XLOOKUP(1,('1994 E Maize Soil VWC'!$C$2:$C$4000=$AA142)*('1994 E Maize Soil VWC'!$D$2:$D$4000=$AB142)*('1994 E Maize Soil VWC'!$E$2:$E$4000=AF$5),'1994 E Maize Soil VWC'!$F$2:$F$4000)</f>
        <v>#N/A</v>
      </c>
      <c r="AG142" s="4" t="e" cm="1">
        <f t="array" ref="AG142">_xlfn.XLOOKUP(1,('1994 E Maize Soil VWC'!$C$2:$C$4000=$AA142)*('1994 E Maize Soil VWC'!$D$2:$D$4000=$AB142)*('1994 E Maize Soil VWC'!$E$2:$E$4000=AG$5),'1994 E Maize Soil VWC'!$F$2:$F$4000)</f>
        <v>#N/A</v>
      </c>
      <c r="AH142" s="4" t="e" cm="1">
        <f t="array" ref="AH142">_xlfn.XLOOKUP(1,('1994 E Maize Soil VWC'!$C$2:$C$4000=$AA142)*('1994 E Maize Soil VWC'!$D$2:$D$4000=$AB142)*('1994 E Maize Soil VWC'!$E$2:$E$4000=AH$5),'1994 E Maize Soil VWC'!$F$2:$F$4000)</f>
        <v>#N/A</v>
      </c>
      <c r="AI142" s="4" t="e" cm="1">
        <f t="array" ref="AI142">_xlfn.XLOOKUP(1,('1994 E Maize Soil VWC'!$C$2:$C$4000=$AA142)*('1994 E Maize Soil VWC'!$D$2:$D$4000=$AB142)*('1994 E Maize Soil VWC'!$E$2:$E$4000=AI$5),'1994 E Maize Soil VWC'!$F$2:$F$4000)</f>
        <v>#N/A</v>
      </c>
      <c r="AJ142" s="4" t="e" cm="1">
        <f t="array" ref="AJ142">_xlfn.XLOOKUP(1,('1994 E Maize Soil VWC'!$C$2:$C$4000=$AA142)*('1994 E Maize Soil VWC'!$D$2:$D$4000=$AB142)*('1994 E Maize Soil VWC'!$E$2:$E$4000=AJ$5),'1994 E Maize Soil VWC'!$F$2:$F$4000)</f>
        <v>#N/A</v>
      </c>
      <c r="AK142" s="4" t="e" cm="1">
        <f t="array" ref="AK142">_xlfn.XLOOKUP(1,('1994 E Maize Soil VWC'!$C$2:$C$4000=$AA142)*('1994 E Maize Soil VWC'!$D$2:$D$4000=$AB142)*('1994 E Maize Soil VWC'!$E$2:$E$4000=AK$5),'1994 E Maize Soil VWC'!$F$2:$F$4000)</f>
        <v>#N/A</v>
      </c>
      <c r="AL142" s="4" t="e" cm="1">
        <f t="array" ref="AL142">_xlfn.XLOOKUP(1,('1994 E Maize Soil VWC'!$C$2:$C$4000=$AA142)*('1994 E Maize Soil VWC'!$D$2:$D$4000=$AB142)*('1994 E Maize Soil VWC'!$E$2:$E$4000=AL$5),'1994 E Maize Soil VWC'!$F$2:$F$4000)</f>
        <v>#N/A</v>
      </c>
      <c r="AM142" s="4" t="e" cm="1">
        <f t="array" ref="AM142">_xlfn.XLOOKUP(1,('1994 E Maize Soil VWC'!$C$2:$C$4000=$AA142)*('1994 E Maize Soil VWC'!$D$2:$D$4000=$AB142)*('1994 E Maize Soil VWC'!$E$2:$E$4000=AM$5),'1994 E Maize Soil VWC'!$F$2:$F$4000)</f>
        <v>#N/A</v>
      </c>
      <c r="AN142" s="4" t="e" cm="1">
        <f t="array" ref="AN142">_xlfn.XLOOKUP(1,('1994 E Maize Soil VWC'!$C$2:$C$4000=$AA142)*('1994 E Maize Soil VWC'!$D$2:$D$4000=$AB142)*('1994 E Maize Soil VWC'!$E$2:$E$4000=AN$5),'1994 E Maize Soil VWC'!$F$2:$F$4000)</f>
        <v>#N/A</v>
      </c>
    </row>
    <row r="143" spans="25:40" x14ac:dyDescent="0.25">
      <c r="AA143" s="19">
        <f t="shared" si="20"/>
        <v>34334</v>
      </c>
      <c r="AB143" s="4">
        <f t="shared" si="21"/>
        <v>150</v>
      </c>
      <c r="AC143" s="4" t="e" cm="1">
        <f t="array" ref="AC143">_xlfn.XLOOKUP(1,('1994 E Maize Soil VWC'!$C$2:$C$4000=$AA143)*('1994 E Maize Soil VWC'!$D$2:$D$4000=$AB143)*('1994 E Maize Soil VWC'!$E$2:$E$4000=AC$5),'1994 E Maize Soil VWC'!$F$2:$F$4000)</f>
        <v>#N/A</v>
      </c>
      <c r="AD143" s="4" t="e" cm="1">
        <f t="array" ref="AD143">_xlfn.XLOOKUP(1,('1994 E Maize Soil VWC'!$C$2:$C$4000=$AA143)*('1994 E Maize Soil VWC'!$D$2:$D$4000=$AB143)*('1994 E Maize Soil VWC'!$E$2:$E$4000=AD$5),'1994 E Maize Soil VWC'!$F$2:$F$4000)</f>
        <v>#N/A</v>
      </c>
      <c r="AE143" s="4" t="e" cm="1">
        <f t="array" ref="AE143">_xlfn.XLOOKUP(1,('1994 E Maize Soil VWC'!$C$2:$C$4000=$AA143)*('1994 E Maize Soil VWC'!$D$2:$D$4000=$AB143)*('1994 E Maize Soil VWC'!$E$2:$E$4000=AE$5),'1994 E Maize Soil VWC'!$F$2:$F$4000)</f>
        <v>#N/A</v>
      </c>
      <c r="AF143" s="4" t="e" cm="1">
        <f t="array" ref="AF143">_xlfn.XLOOKUP(1,('1994 E Maize Soil VWC'!$C$2:$C$4000=$AA143)*('1994 E Maize Soil VWC'!$D$2:$D$4000=$AB143)*('1994 E Maize Soil VWC'!$E$2:$E$4000=AF$5),'1994 E Maize Soil VWC'!$F$2:$F$4000)</f>
        <v>#N/A</v>
      </c>
      <c r="AG143" s="4" t="e" cm="1">
        <f t="array" ref="AG143">_xlfn.XLOOKUP(1,('1994 E Maize Soil VWC'!$C$2:$C$4000=$AA143)*('1994 E Maize Soil VWC'!$D$2:$D$4000=$AB143)*('1994 E Maize Soil VWC'!$E$2:$E$4000=AG$5),'1994 E Maize Soil VWC'!$F$2:$F$4000)</f>
        <v>#N/A</v>
      </c>
      <c r="AH143" s="4" t="e" cm="1">
        <f t="array" ref="AH143">_xlfn.XLOOKUP(1,('1994 E Maize Soil VWC'!$C$2:$C$4000=$AA143)*('1994 E Maize Soil VWC'!$D$2:$D$4000=$AB143)*('1994 E Maize Soil VWC'!$E$2:$E$4000=AH$5),'1994 E Maize Soil VWC'!$F$2:$F$4000)</f>
        <v>#N/A</v>
      </c>
      <c r="AI143" s="4" t="e" cm="1">
        <f t="array" ref="AI143">_xlfn.XLOOKUP(1,('1994 E Maize Soil VWC'!$C$2:$C$4000=$AA143)*('1994 E Maize Soil VWC'!$D$2:$D$4000=$AB143)*('1994 E Maize Soil VWC'!$E$2:$E$4000=AI$5),'1994 E Maize Soil VWC'!$F$2:$F$4000)</f>
        <v>#N/A</v>
      </c>
      <c r="AJ143" s="4" t="e" cm="1">
        <f t="array" ref="AJ143">_xlfn.XLOOKUP(1,('1994 E Maize Soil VWC'!$C$2:$C$4000=$AA143)*('1994 E Maize Soil VWC'!$D$2:$D$4000=$AB143)*('1994 E Maize Soil VWC'!$E$2:$E$4000=AJ$5),'1994 E Maize Soil VWC'!$F$2:$F$4000)</f>
        <v>#N/A</v>
      </c>
      <c r="AK143" s="4" t="e" cm="1">
        <f t="array" ref="AK143">_xlfn.XLOOKUP(1,('1994 E Maize Soil VWC'!$C$2:$C$4000=$AA143)*('1994 E Maize Soil VWC'!$D$2:$D$4000=$AB143)*('1994 E Maize Soil VWC'!$E$2:$E$4000=AK$5),'1994 E Maize Soil VWC'!$F$2:$F$4000)</f>
        <v>#N/A</v>
      </c>
      <c r="AL143" s="4" t="e" cm="1">
        <f t="array" ref="AL143">_xlfn.XLOOKUP(1,('1994 E Maize Soil VWC'!$C$2:$C$4000=$AA143)*('1994 E Maize Soil VWC'!$D$2:$D$4000=$AB143)*('1994 E Maize Soil VWC'!$E$2:$E$4000=AL$5),'1994 E Maize Soil VWC'!$F$2:$F$4000)</f>
        <v>#N/A</v>
      </c>
      <c r="AM143" s="4" t="e" cm="1">
        <f t="array" ref="AM143">_xlfn.XLOOKUP(1,('1994 E Maize Soil VWC'!$C$2:$C$4000=$AA143)*('1994 E Maize Soil VWC'!$D$2:$D$4000=$AB143)*('1994 E Maize Soil VWC'!$E$2:$E$4000=AM$5),'1994 E Maize Soil VWC'!$F$2:$F$4000)</f>
        <v>#N/A</v>
      </c>
      <c r="AN143" s="4" t="e" cm="1">
        <f t="array" ref="AN143">_xlfn.XLOOKUP(1,('1994 E Maize Soil VWC'!$C$2:$C$4000=$AA143)*('1994 E Maize Soil VWC'!$D$2:$D$4000=$AB143)*('1994 E Maize Soil VWC'!$E$2:$E$4000=AN$5),'1994 E Maize Soil VWC'!$F$2:$F$4000)</f>
        <v>#N/A</v>
      </c>
    </row>
    <row r="144" spans="25:40" x14ac:dyDescent="0.25">
      <c r="AA144" s="19">
        <f t="shared" si="20"/>
        <v>34334</v>
      </c>
      <c r="AB144" s="4">
        <f t="shared" si="21"/>
        <v>170</v>
      </c>
      <c r="AC144" s="4" t="e" cm="1">
        <f t="array" ref="AC144">_xlfn.XLOOKUP(1,('1994 E Maize Soil VWC'!$C$2:$C$4000=$AA144)*('1994 E Maize Soil VWC'!$D$2:$D$4000=$AB144)*('1994 E Maize Soil VWC'!$E$2:$E$4000=AC$5),'1994 E Maize Soil VWC'!$F$2:$F$4000)</f>
        <v>#N/A</v>
      </c>
      <c r="AD144" s="4" t="e" cm="1">
        <f t="array" ref="AD144">_xlfn.XLOOKUP(1,('1994 E Maize Soil VWC'!$C$2:$C$4000=$AA144)*('1994 E Maize Soil VWC'!$D$2:$D$4000=$AB144)*('1994 E Maize Soil VWC'!$E$2:$E$4000=AD$5),'1994 E Maize Soil VWC'!$F$2:$F$4000)</f>
        <v>#N/A</v>
      </c>
      <c r="AE144" s="4" t="e" cm="1">
        <f t="array" ref="AE144">_xlfn.XLOOKUP(1,('1994 E Maize Soil VWC'!$C$2:$C$4000=$AA144)*('1994 E Maize Soil VWC'!$D$2:$D$4000=$AB144)*('1994 E Maize Soil VWC'!$E$2:$E$4000=AE$5),'1994 E Maize Soil VWC'!$F$2:$F$4000)</f>
        <v>#N/A</v>
      </c>
      <c r="AF144" s="4" t="e" cm="1">
        <f t="array" ref="AF144">_xlfn.XLOOKUP(1,('1994 E Maize Soil VWC'!$C$2:$C$4000=$AA144)*('1994 E Maize Soil VWC'!$D$2:$D$4000=$AB144)*('1994 E Maize Soil VWC'!$E$2:$E$4000=AF$5),'1994 E Maize Soil VWC'!$F$2:$F$4000)</f>
        <v>#N/A</v>
      </c>
      <c r="AG144" s="4" t="e" cm="1">
        <f t="array" ref="AG144">_xlfn.XLOOKUP(1,('1994 E Maize Soil VWC'!$C$2:$C$4000=$AA144)*('1994 E Maize Soil VWC'!$D$2:$D$4000=$AB144)*('1994 E Maize Soil VWC'!$E$2:$E$4000=AG$5),'1994 E Maize Soil VWC'!$F$2:$F$4000)</f>
        <v>#N/A</v>
      </c>
      <c r="AH144" s="4" t="e" cm="1">
        <f t="array" ref="AH144">_xlfn.XLOOKUP(1,('1994 E Maize Soil VWC'!$C$2:$C$4000=$AA144)*('1994 E Maize Soil VWC'!$D$2:$D$4000=$AB144)*('1994 E Maize Soil VWC'!$E$2:$E$4000=AH$5),'1994 E Maize Soil VWC'!$F$2:$F$4000)</f>
        <v>#N/A</v>
      </c>
      <c r="AI144" s="4" t="e" cm="1">
        <f t="array" ref="AI144">_xlfn.XLOOKUP(1,('1994 E Maize Soil VWC'!$C$2:$C$4000=$AA144)*('1994 E Maize Soil VWC'!$D$2:$D$4000=$AB144)*('1994 E Maize Soil VWC'!$E$2:$E$4000=AI$5),'1994 E Maize Soil VWC'!$F$2:$F$4000)</f>
        <v>#N/A</v>
      </c>
      <c r="AJ144" s="4" t="e" cm="1">
        <f t="array" ref="AJ144">_xlfn.XLOOKUP(1,('1994 E Maize Soil VWC'!$C$2:$C$4000=$AA144)*('1994 E Maize Soil VWC'!$D$2:$D$4000=$AB144)*('1994 E Maize Soil VWC'!$E$2:$E$4000=AJ$5),'1994 E Maize Soil VWC'!$F$2:$F$4000)</f>
        <v>#N/A</v>
      </c>
      <c r="AK144" s="4" t="e" cm="1">
        <f t="array" ref="AK144">_xlfn.XLOOKUP(1,('1994 E Maize Soil VWC'!$C$2:$C$4000=$AA144)*('1994 E Maize Soil VWC'!$D$2:$D$4000=$AB144)*('1994 E Maize Soil VWC'!$E$2:$E$4000=AK$5),'1994 E Maize Soil VWC'!$F$2:$F$4000)</f>
        <v>#N/A</v>
      </c>
      <c r="AL144" s="4" t="e" cm="1">
        <f t="array" ref="AL144">_xlfn.XLOOKUP(1,('1994 E Maize Soil VWC'!$C$2:$C$4000=$AA144)*('1994 E Maize Soil VWC'!$D$2:$D$4000=$AB144)*('1994 E Maize Soil VWC'!$E$2:$E$4000=AL$5),'1994 E Maize Soil VWC'!$F$2:$F$4000)</f>
        <v>#N/A</v>
      </c>
      <c r="AM144" s="4" t="e" cm="1">
        <f t="array" ref="AM144">_xlfn.XLOOKUP(1,('1994 E Maize Soil VWC'!$C$2:$C$4000=$AA144)*('1994 E Maize Soil VWC'!$D$2:$D$4000=$AB144)*('1994 E Maize Soil VWC'!$E$2:$E$4000=AM$5),'1994 E Maize Soil VWC'!$F$2:$F$4000)</f>
        <v>#N/A</v>
      </c>
      <c r="AN144" s="4" t="e" cm="1">
        <f t="array" ref="AN144">_xlfn.XLOOKUP(1,('1994 E Maize Soil VWC'!$C$2:$C$4000=$AA144)*('1994 E Maize Soil VWC'!$D$2:$D$4000=$AB144)*('1994 E Maize Soil VWC'!$E$2:$E$4000=AN$5),'1994 E Maize Soil VWC'!$F$2:$F$4000)</f>
        <v>#N/A</v>
      </c>
    </row>
    <row r="145" spans="25:40" x14ac:dyDescent="0.25">
      <c r="AA145" s="19">
        <f t="shared" si="20"/>
        <v>34334</v>
      </c>
      <c r="AB145" s="4">
        <f t="shared" si="21"/>
        <v>190</v>
      </c>
      <c r="AC145" s="4" t="e" cm="1">
        <f t="array" ref="AC145">_xlfn.XLOOKUP(1,('1994 E Maize Soil VWC'!$C$2:$C$4000=$AA145)*('1994 E Maize Soil VWC'!$D$2:$D$4000=$AB145)*('1994 E Maize Soil VWC'!$E$2:$E$4000=AC$5),'1994 E Maize Soil VWC'!$F$2:$F$4000)</f>
        <v>#N/A</v>
      </c>
      <c r="AD145" s="4" t="e" cm="1">
        <f t="array" ref="AD145">_xlfn.XLOOKUP(1,('1994 E Maize Soil VWC'!$C$2:$C$4000=$AA145)*('1994 E Maize Soil VWC'!$D$2:$D$4000=$AB145)*('1994 E Maize Soil VWC'!$E$2:$E$4000=AD$5),'1994 E Maize Soil VWC'!$F$2:$F$4000)</f>
        <v>#N/A</v>
      </c>
      <c r="AE145" s="4" t="e" cm="1">
        <f t="array" ref="AE145">_xlfn.XLOOKUP(1,('1994 E Maize Soil VWC'!$C$2:$C$4000=$AA145)*('1994 E Maize Soil VWC'!$D$2:$D$4000=$AB145)*('1994 E Maize Soil VWC'!$E$2:$E$4000=AE$5),'1994 E Maize Soil VWC'!$F$2:$F$4000)</f>
        <v>#N/A</v>
      </c>
      <c r="AF145" s="4" t="e" cm="1">
        <f t="array" ref="AF145">_xlfn.XLOOKUP(1,('1994 E Maize Soil VWC'!$C$2:$C$4000=$AA145)*('1994 E Maize Soil VWC'!$D$2:$D$4000=$AB145)*('1994 E Maize Soil VWC'!$E$2:$E$4000=AF$5),'1994 E Maize Soil VWC'!$F$2:$F$4000)</f>
        <v>#N/A</v>
      </c>
      <c r="AG145" s="4" t="e" cm="1">
        <f t="array" ref="AG145">_xlfn.XLOOKUP(1,('1994 E Maize Soil VWC'!$C$2:$C$4000=$AA145)*('1994 E Maize Soil VWC'!$D$2:$D$4000=$AB145)*('1994 E Maize Soil VWC'!$E$2:$E$4000=AG$5),'1994 E Maize Soil VWC'!$F$2:$F$4000)</f>
        <v>#N/A</v>
      </c>
      <c r="AH145" s="4" t="e" cm="1">
        <f t="array" ref="AH145">_xlfn.XLOOKUP(1,('1994 E Maize Soil VWC'!$C$2:$C$4000=$AA145)*('1994 E Maize Soil VWC'!$D$2:$D$4000=$AB145)*('1994 E Maize Soil VWC'!$E$2:$E$4000=AH$5),'1994 E Maize Soil VWC'!$F$2:$F$4000)</f>
        <v>#N/A</v>
      </c>
      <c r="AI145" s="4" t="e" cm="1">
        <f t="array" ref="AI145">_xlfn.XLOOKUP(1,('1994 E Maize Soil VWC'!$C$2:$C$4000=$AA145)*('1994 E Maize Soil VWC'!$D$2:$D$4000=$AB145)*('1994 E Maize Soil VWC'!$E$2:$E$4000=AI$5),'1994 E Maize Soil VWC'!$F$2:$F$4000)</f>
        <v>#N/A</v>
      </c>
      <c r="AJ145" s="4" t="e" cm="1">
        <f t="array" ref="AJ145">_xlfn.XLOOKUP(1,('1994 E Maize Soil VWC'!$C$2:$C$4000=$AA145)*('1994 E Maize Soil VWC'!$D$2:$D$4000=$AB145)*('1994 E Maize Soil VWC'!$E$2:$E$4000=AJ$5),'1994 E Maize Soil VWC'!$F$2:$F$4000)</f>
        <v>#N/A</v>
      </c>
      <c r="AK145" s="4" t="e" cm="1">
        <f t="array" ref="AK145">_xlfn.XLOOKUP(1,('1994 E Maize Soil VWC'!$C$2:$C$4000=$AA145)*('1994 E Maize Soil VWC'!$D$2:$D$4000=$AB145)*('1994 E Maize Soil VWC'!$E$2:$E$4000=AK$5),'1994 E Maize Soil VWC'!$F$2:$F$4000)</f>
        <v>#N/A</v>
      </c>
      <c r="AL145" s="4" t="e" cm="1">
        <f t="array" ref="AL145">_xlfn.XLOOKUP(1,('1994 E Maize Soil VWC'!$C$2:$C$4000=$AA145)*('1994 E Maize Soil VWC'!$D$2:$D$4000=$AB145)*('1994 E Maize Soil VWC'!$E$2:$E$4000=AL$5),'1994 E Maize Soil VWC'!$F$2:$F$4000)</f>
        <v>#N/A</v>
      </c>
      <c r="AM145" s="4" t="e" cm="1">
        <f t="array" ref="AM145">_xlfn.XLOOKUP(1,('1994 E Maize Soil VWC'!$C$2:$C$4000=$AA145)*('1994 E Maize Soil VWC'!$D$2:$D$4000=$AB145)*('1994 E Maize Soil VWC'!$E$2:$E$4000=AM$5),'1994 E Maize Soil VWC'!$F$2:$F$4000)</f>
        <v>#N/A</v>
      </c>
      <c r="AN145" s="4" t="e" cm="1">
        <f t="array" ref="AN145">_xlfn.XLOOKUP(1,('1994 E Maize Soil VWC'!$C$2:$C$4000=$AA145)*('1994 E Maize Soil VWC'!$D$2:$D$4000=$AB145)*('1994 E Maize Soil VWC'!$E$2:$E$4000=AN$5),'1994 E Maize Soil VWC'!$F$2:$F$4000)</f>
        <v>#N/A</v>
      </c>
    </row>
    <row r="146" spans="25:40" x14ac:dyDescent="0.25">
      <c r="AA146" s="19">
        <f t="shared" si="20"/>
        <v>34334</v>
      </c>
      <c r="AB146" s="4">
        <f t="shared" si="21"/>
        <v>210</v>
      </c>
      <c r="AC146" s="4" t="e" cm="1">
        <f t="array" ref="AC146">_xlfn.XLOOKUP(1,('1994 E Maize Soil VWC'!$C$2:$C$4000=$AA146)*('1994 E Maize Soil VWC'!$D$2:$D$4000=$AB146)*('1994 E Maize Soil VWC'!$E$2:$E$4000=AC$5),'1994 E Maize Soil VWC'!$F$2:$F$4000)</f>
        <v>#N/A</v>
      </c>
      <c r="AD146" s="4" t="e" cm="1">
        <f t="array" ref="AD146">_xlfn.XLOOKUP(1,('1994 E Maize Soil VWC'!$C$2:$C$4000=$AA146)*('1994 E Maize Soil VWC'!$D$2:$D$4000=$AB146)*('1994 E Maize Soil VWC'!$E$2:$E$4000=AD$5),'1994 E Maize Soil VWC'!$F$2:$F$4000)</f>
        <v>#N/A</v>
      </c>
      <c r="AE146" s="4" t="e" cm="1">
        <f t="array" ref="AE146">_xlfn.XLOOKUP(1,('1994 E Maize Soil VWC'!$C$2:$C$4000=$AA146)*('1994 E Maize Soil VWC'!$D$2:$D$4000=$AB146)*('1994 E Maize Soil VWC'!$E$2:$E$4000=AE$5),'1994 E Maize Soil VWC'!$F$2:$F$4000)</f>
        <v>#N/A</v>
      </c>
      <c r="AF146" s="4" t="e" cm="1">
        <f t="array" ref="AF146">_xlfn.XLOOKUP(1,('1994 E Maize Soil VWC'!$C$2:$C$4000=$AA146)*('1994 E Maize Soil VWC'!$D$2:$D$4000=$AB146)*('1994 E Maize Soil VWC'!$E$2:$E$4000=AF$5),'1994 E Maize Soil VWC'!$F$2:$F$4000)</f>
        <v>#N/A</v>
      </c>
      <c r="AG146" s="4" t="e" cm="1">
        <f t="array" ref="AG146">_xlfn.XLOOKUP(1,('1994 E Maize Soil VWC'!$C$2:$C$4000=$AA146)*('1994 E Maize Soil VWC'!$D$2:$D$4000=$AB146)*('1994 E Maize Soil VWC'!$E$2:$E$4000=AG$5),'1994 E Maize Soil VWC'!$F$2:$F$4000)</f>
        <v>#N/A</v>
      </c>
      <c r="AH146" s="4" t="e" cm="1">
        <f t="array" ref="AH146">_xlfn.XLOOKUP(1,('1994 E Maize Soil VWC'!$C$2:$C$4000=$AA146)*('1994 E Maize Soil VWC'!$D$2:$D$4000=$AB146)*('1994 E Maize Soil VWC'!$E$2:$E$4000=AH$5),'1994 E Maize Soil VWC'!$F$2:$F$4000)</f>
        <v>#N/A</v>
      </c>
      <c r="AI146" s="4" t="e" cm="1">
        <f t="array" ref="AI146">_xlfn.XLOOKUP(1,('1994 E Maize Soil VWC'!$C$2:$C$4000=$AA146)*('1994 E Maize Soil VWC'!$D$2:$D$4000=$AB146)*('1994 E Maize Soil VWC'!$E$2:$E$4000=AI$5),'1994 E Maize Soil VWC'!$F$2:$F$4000)</f>
        <v>#N/A</v>
      </c>
      <c r="AJ146" s="4" t="e" cm="1">
        <f t="array" ref="AJ146">_xlfn.XLOOKUP(1,('1994 E Maize Soil VWC'!$C$2:$C$4000=$AA146)*('1994 E Maize Soil VWC'!$D$2:$D$4000=$AB146)*('1994 E Maize Soil VWC'!$E$2:$E$4000=AJ$5),'1994 E Maize Soil VWC'!$F$2:$F$4000)</f>
        <v>#N/A</v>
      </c>
      <c r="AK146" s="4" t="e" cm="1">
        <f t="array" ref="AK146">_xlfn.XLOOKUP(1,('1994 E Maize Soil VWC'!$C$2:$C$4000=$AA146)*('1994 E Maize Soil VWC'!$D$2:$D$4000=$AB146)*('1994 E Maize Soil VWC'!$E$2:$E$4000=AK$5),'1994 E Maize Soil VWC'!$F$2:$F$4000)</f>
        <v>#N/A</v>
      </c>
      <c r="AL146" s="4" t="e" cm="1">
        <f t="array" ref="AL146">_xlfn.XLOOKUP(1,('1994 E Maize Soil VWC'!$C$2:$C$4000=$AA146)*('1994 E Maize Soil VWC'!$D$2:$D$4000=$AB146)*('1994 E Maize Soil VWC'!$E$2:$E$4000=AL$5),'1994 E Maize Soil VWC'!$F$2:$F$4000)</f>
        <v>#N/A</v>
      </c>
      <c r="AM146" s="4" t="e" cm="1">
        <f t="array" ref="AM146">_xlfn.XLOOKUP(1,('1994 E Maize Soil VWC'!$C$2:$C$4000=$AA146)*('1994 E Maize Soil VWC'!$D$2:$D$4000=$AB146)*('1994 E Maize Soil VWC'!$E$2:$E$4000=AM$5),'1994 E Maize Soil VWC'!$F$2:$F$4000)</f>
        <v>#N/A</v>
      </c>
      <c r="AN146" s="4" t="e" cm="1">
        <f t="array" ref="AN146">_xlfn.XLOOKUP(1,('1994 E Maize Soil VWC'!$C$2:$C$4000=$AA146)*('1994 E Maize Soil VWC'!$D$2:$D$4000=$AB146)*('1994 E Maize Soil VWC'!$E$2:$E$4000=AN$5),'1994 E Maize Soil VWC'!$F$2:$F$4000)</f>
        <v>#N/A</v>
      </c>
    </row>
    <row r="147" spans="25:40" x14ac:dyDescent="0.25">
      <c r="AA147" s="19">
        <f t="shared" si="20"/>
        <v>34334</v>
      </c>
      <c r="AB147" s="4">
        <f t="shared" si="21"/>
        <v>230</v>
      </c>
      <c r="AC147" s="4" t="e" cm="1">
        <f t="array" ref="AC147">_xlfn.XLOOKUP(1,('1994 E Maize Soil VWC'!$C$2:$C$4000=$AA147)*('1994 E Maize Soil VWC'!$D$2:$D$4000=$AB147)*('1994 E Maize Soil VWC'!$E$2:$E$4000=AC$5),'1994 E Maize Soil VWC'!$F$2:$F$4000)</f>
        <v>#N/A</v>
      </c>
      <c r="AD147" s="4" t="e" cm="1">
        <f t="array" ref="AD147">_xlfn.XLOOKUP(1,('1994 E Maize Soil VWC'!$C$2:$C$4000=$AA147)*('1994 E Maize Soil VWC'!$D$2:$D$4000=$AB147)*('1994 E Maize Soil VWC'!$E$2:$E$4000=AD$5),'1994 E Maize Soil VWC'!$F$2:$F$4000)</f>
        <v>#N/A</v>
      </c>
      <c r="AE147" s="4" t="e" cm="1">
        <f t="array" ref="AE147">_xlfn.XLOOKUP(1,('1994 E Maize Soil VWC'!$C$2:$C$4000=$AA147)*('1994 E Maize Soil VWC'!$D$2:$D$4000=$AB147)*('1994 E Maize Soil VWC'!$E$2:$E$4000=AE$5),'1994 E Maize Soil VWC'!$F$2:$F$4000)</f>
        <v>#N/A</v>
      </c>
      <c r="AF147" s="4" t="e" cm="1">
        <f t="array" ref="AF147">_xlfn.XLOOKUP(1,('1994 E Maize Soil VWC'!$C$2:$C$4000=$AA147)*('1994 E Maize Soil VWC'!$D$2:$D$4000=$AB147)*('1994 E Maize Soil VWC'!$E$2:$E$4000=AF$5),'1994 E Maize Soil VWC'!$F$2:$F$4000)</f>
        <v>#N/A</v>
      </c>
      <c r="AG147" s="4" t="e" cm="1">
        <f t="array" ref="AG147">_xlfn.XLOOKUP(1,('1994 E Maize Soil VWC'!$C$2:$C$4000=$AA147)*('1994 E Maize Soil VWC'!$D$2:$D$4000=$AB147)*('1994 E Maize Soil VWC'!$E$2:$E$4000=AG$5),'1994 E Maize Soil VWC'!$F$2:$F$4000)</f>
        <v>#N/A</v>
      </c>
      <c r="AH147" s="4" t="e" cm="1">
        <f t="array" ref="AH147">_xlfn.XLOOKUP(1,('1994 E Maize Soil VWC'!$C$2:$C$4000=$AA147)*('1994 E Maize Soil VWC'!$D$2:$D$4000=$AB147)*('1994 E Maize Soil VWC'!$E$2:$E$4000=AH$5),'1994 E Maize Soil VWC'!$F$2:$F$4000)</f>
        <v>#N/A</v>
      </c>
      <c r="AI147" s="4" t="e" cm="1">
        <f t="array" ref="AI147">_xlfn.XLOOKUP(1,('1994 E Maize Soil VWC'!$C$2:$C$4000=$AA147)*('1994 E Maize Soil VWC'!$D$2:$D$4000=$AB147)*('1994 E Maize Soil VWC'!$E$2:$E$4000=AI$5),'1994 E Maize Soil VWC'!$F$2:$F$4000)</f>
        <v>#N/A</v>
      </c>
      <c r="AJ147" s="4" t="e" cm="1">
        <f t="array" ref="AJ147">_xlfn.XLOOKUP(1,('1994 E Maize Soil VWC'!$C$2:$C$4000=$AA147)*('1994 E Maize Soil VWC'!$D$2:$D$4000=$AB147)*('1994 E Maize Soil VWC'!$E$2:$E$4000=AJ$5),'1994 E Maize Soil VWC'!$F$2:$F$4000)</f>
        <v>#N/A</v>
      </c>
      <c r="AK147" s="4" t="e" cm="1">
        <f t="array" ref="AK147">_xlfn.XLOOKUP(1,('1994 E Maize Soil VWC'!$C$2:$C$4000=$AA147)*('1994 E Maize Soil VWC'!$D$2:$D$4000=$AB147)*('1994 E Maize Soil VWC'!$E$2:$E$4000=AK$5),'1994 E Maize Soil VWC'!$F$2:$F$4000)</f>
        <v>#N/A</v>
      </c>
      <c r="AL147" s="4" t="e" cm="1">
        <f t="array" ref="AL147">_xlfn.XLOOKUP(1,('1994 E Maize Soil VWC'!$C$2:$C$4000=$AA147)*('1994 E Maize Soil VWC'!$D$2:$D$4000=$AB147)*('1994 E Maize Soil VWC'!$E$2:$E$4000=AL$5),'1994 E Maize Soil VWC'!$F$2:$F$4000)</f>
        <v>#N/A</v>
      </c>
      <c r="AM147" s="4" t="e" cm="1">
        <f t="array" ref="AM147">_xlfn.XLOOKUP(1,('1994 E Maize Soil VWC'!$C$2:$C$4000=$AA147)*('1994 E Maize Soil VWC'!$D$2:$D$4000=$AB147)*('1994 E Maize Soil VWC'!$E$2:$E$4000=AM$5),'1994 E Maize Soil VWC'!$F$2:$F$4000)</f>
        <v>#N/A</v>
      </c>
      <c r="AN147" s="4" t="e" cm="1">
        <f t="array" ref="AN147">_xlfn.XLOOKUP(1,('1994 E Maize Soil VWC'!$C$2:$C$4000=$AA147)*('1994 E Maize Soil VWC'!$D$2:$D$4000=$AB147)*('1994 E Maize Soil VWC'!$E$2:$E$4000=AN$5),'1994 E Maize Soil VWC'!$F$2:$F$4000)</f>
        <v>#N/A</v>
      </c>
    </row>
    <row r="148" spans="25:40" x14ac:dyDescent="0.25">
      <c r="AA148" s="19"/>
    </row>
    <row r="149" spans="25:40" x14ac:dyDescent="0.25">
      <c r="Y149" s="4">
        <f>Y136</f>
        <v>1994</v>
      </c>
      <c r="Z149" s="4">
        <v>0</v>
      </c>
      <c r="AA149" s="19">
        <f>DATE(Y149,1,Z149)</f>
        <v>34334</v>
      </c>
      <c r="AB149" s="4">
        <v>10</v>
      </c>
      <c r="AC149" s="4" t="e" cm="1">
        <f t="array" ref="AC149">_xlfn.XLOOKUP(1,('1994 E Maize Soil VWC'!$C$2:$C$4000=$AA149)*('1994 E Maize Soil VWC'!$D$2:$D$4000=$AB149)*('1994 E Maize Soil VWC'!$E$2:$E$4000=AC$5),'1994 E Maize Soil VWC'!$F$2:$F$4000)</f>
        <v>#N/A</v>
      </c>
      <c r="AD149" s="4" t="e" cm="1">
        <f t="array" ref="AD149">_xlfn.XLOOKUP(1,('1994 E Maize Soil VWC'!$C$2:$C$4000=$AA149)*('1994 E Maize Soil VWC'!$D$2:$D$4000=$AB149)*('1994 E Maize Soil VWC'!$E$2:$E$4000=AD$5),'1994 E Maize Soil VWC'!$F$2:$F$4000)</f>
        <v>#N/A</v>
      </c>
      <c r="AE149" s="4" t="e" cm="1">
        <f t="array" ref="AE149">_xlfn.XLOOKUP(1,('1994 E Maize Soil VWC'!$C$2:$C$4000=$AA149)*('1994 E Maize Soil VWC'!$D$2:$D$4000=$AB149)*('1994 E Maize Soil VWC'!$E$2:$E$4000=AE$5),'1994 E Maize Soil VWC'!$F$2:$F$4000)</f>
        <v>#N/A</v>
      </c>
      <c r="AF149" s="4" t="e" cm="1">
        <f t="array" ref="AF149">_xlfn.XLOOKUP(1,('1994 E Maize Soil VWC'!$C$2:$C$4000=$AA149)*('1994 E Maize Soil VWC'!$D$2:$D$4000=$AB149)*('1994 E Maize Soil VWC'!$E$2:$E$4000=AF$5),'1994 E Maize Soil VWC'!$F$2:$F$4000)</f>
        <v>#N/A</v>
      </c>
      <c r="AG149" s="4" t="e" cm="1">
        <f t="array" ref="AG149">_xlfn.XLOOKUP(1,('1994 E Maize Soil VWC'!$C$2:$C$4000=$AA149)*('1994 E Maize Soil VWC'!$D$2:$D$4000=$AB149)*('1994 E Maize Soil VWC'!$E$2:$E$4000=AG$5),'1994 E Maize Soil VWC'!$F$2:$F$4000)</f>
        <v>#N/A</v>
      </c>
      <c r="AH149" s="4" t="e" cm="1">
        <f t="array" ref="AH149">_xlfn.XLOOKUP(1,('1994 E Maize Soil VWC'!$C$2:$C$4000=$AA149)*('1994 E Maize Soil VWC'!$D$2:$D$4000=$AB149)*('1994 E Maize Soil VWC'!$E$2:$E$4000=AH$5),'1994 E Maize Soil VWC'!$F$2:$F$4000)</f>
        <v>#N/A</v>
      </c>
      <c r="AI149" s="4" t="e" cm="1">
        <f t="array" ref="AI149">_xlfn.XLOOKUP(1,('1994 E Maize Soil VWC'!$C$2:$C$4000=$AA149)*('1994 E Maize Soil VWC'!$D$2:$D$4000=$AB149)*('1994 E Maize Soil VWC'!$E$2:$E$4000=AI$5),'1994 E Maize Soil VWC'!$F$2:$F$4000)</f>
        <v>#N/A</v>
      </c>
      <c r="AJ149" s="4" t="e" cm="1">
        <f t="array" ref="AJ149">_xlfn.XLOOKUP(1,('1994 E Maize Soil VWC'!$C$2:$C$4000=$AA149)*('1994 E Maize Soil VWC'!$D$2:$D$4000=$AB149)*('1994 E Maize Soil VWC'!$E$2:$E$4000=AJ$5),'1994 E Maize Soil VWC'!$F$2:$F$4000)</f>
        <v>#N/A</v>
      </c>
      <c r="AK149" s="4" t="e" cm="1">
        <f t="array" ref="AK149">_xlfn.XLOOKUP(1,('1994 E Maize Soil VWC'!$C$2:$C$4000=$AA149)*('1994 E Maize Soil VWC'!$D$2:$D$4000=$AB149)*('1994 E Maize Soil VWC'!$E$2:$E$4000=AK$5),'1994 E Maize Soil VWC'!$F$2:$F$4000)</f>
        <v>#N/A</v>
      </c>
      <c r="AL149" s="4" t="e" cm="1">
        <f t="array" ref="AL149">_xlfn.XLOOKUP(1,('1994 E Maize Soil VWC'!$C$2:$C$4000=$AA149)*('1994 E Maize Soil VWC'!$D$2:$D$4000=$AB149)*('1994 E Maize Soil VWC'!$E$2:$E$4000=AL$5),'1994 E Maize Soil VWC'!$F$2:$F$4000)</f>
        <v>#N/A</v>
      </c>
      <c r="AM149" s="4" t="e" cm="1">
        <f t="array" ref="AM149">_xlfn.XLOOKUP(1,('1994 E Maize Soil VWC'!$C$2:$C$4000=$AA149)*('1994 E Maize Soil VWC'!$D$2:$D$4000=$AB149)*('1994 E Maize Soil VWC'!$E$2:$E$4000=AM$5),'1994 E Maize Soil VWC'!$F$2:$F$4000)</f>
        <v>#N/A</v>
      </c>
      <c r="AN149" s="4" t="e" cm="1">
        <f t="array" ref="AN149">_xlfn.XLOOKUP(1,('1994 E Maize Soil VWC'!$C$2:$C$4000=$AA149)*('1994 E Maize Soil VWC'!$D$2:$D$4000=$AB149)*('1994 E Maize Soil VWC'!$E$2:$E$4000=AN$5),'1994 E Maize Soil VWC'!$F$2:$F$4000)</f>
        <v>#N/A</v>
      </c>
    </row>
    <row r="150" spans="25:40" x14ac:dyDescent="0.25">
      <c r="AA150" s="19">
        <f t="shared" ref="AA150:AA160" si="22">AA149</f>
        <v>34334</v>
      </c>
      <c r="AB150" s="4">
        <f t="shared" ref="AB150:AB160" si="23">AB149+20</f>
        <v>30</v>
      </c>
      <c r="AC150" s="4" t="e" cm="1">
        <f t="array" ref="AC150">_xlfn.XLOOKUP(1,('1994 E Maize Soil VWC'!$C$2:$C$4000=$AA150)*('1994 E Maize Soil VWC'!$D$2:$D$4000=$AB150)*('1994 E Maize Soil VWC'!$E$2:$E$4000=AC$5),'1994 E Maize Soil VWC'!$F$2:$F$4000)</f>
        <v>#N/A</v>
      </c>
      <c r="AD150" s="4" t="e" cm="1">
        <f t="array" ref="AD150">_xlfn.XLOOKUP(1,('1994 E Maize Soil VWC'!$C$2:$C$4000=$AA150)*('1994 E Maize Soil VWC'!$D$2:$D$4000=$AB150)*('1994 E Maize Soil VWC'!$E$2:$E$4000=AD$5),'1994 E Maize Soil VWC'!$F$2:$F$4000)</f>
        <v>#N/A</v>
      </c>
      <c r="AE150" s="4" t="e" cm="1">
        <f t="array" ref="AE150">_xlfn.XLOOKUP(1,('1994 E Maize Soil VWC'!$C$2:$C$4000=$AA150)*('1994 E Maize Soil VWC'!$D$2:$D$4000=$AB150)*('1994 E Maize Soil VWC'!$E$2:$E$4000=AE$5),'1994 E Maize Soil VWC'!$F$2:$F$4000)</f>
        <v>#N/A</v>
      </c>
      <c r="AF150" s="4" t="e" cm="1">
        <f t="array" ref="AF150">_xlfn.XLOOKUP(1,('1994 E Maize Soil VWC'!$C$2:$C$4000=$AA150)*('1994 E Maize Soil VWC'!$D$2:$D$4000=$AB150)*('1994 E Maize Soil VWC'!$E$2:$E$4000=AF$5),'1994 E Maize Soil VWC'!$F$2:$F$4000)</f>
        <v>#N/A</v>
      </c>
      <c r="AG150" s="4" t="e" cm="1">
        <f t="array" ref="AG150">_xlfn.XLOOKUP(1,('1994 E Maize Soil VWC'!$C$2:$C$4000=$AA150)*('1994 E Maize Soil VWC'!$D$2:$D$4000=$AB150)*('1994 E Maize Soil VWC'!$E$2:$E$4000=AG$5),'1994 E Maize Soil VWC'!$F$2:$F$4000)</f>
        <v>#N/A</v>
      </c>
      <c r="AH150" s="4" t="e" cm="1">
        <f t="array" ref="AH150">_xlfn.XLOOKUP(1,('1994 E Maize Soil VWC'!$C$2:$C$4000=$AA150)*('1994 E Maize Soil VWC'!$D$2:$D$4000=$AB150)*('1994 E Maize Soil VWC'!$E$2:$E$4000=AH$5),'1994 E Maize Soil VWC'!$F$2:$F$4000)</f>
        <v>#N/A</v>
      </c>
      <c r="AI150" s="4" t="e" cm="1">
        <f t="array" ref="AI150">_xlfn.XLOOKUP(1,('1994 E Maize Soil VWC'!$C$2:$C$4000=$AA150)*('1994 E Maize Soil VWC'!$D$2:$D$4000=$AB150)*('1994 E Maize Soil VWC'!$E$2:$E$4000=AI$5),'1994 E Maize Soil VWC'!$F$2:$F$4000)</f>
        <v>#N/A</v>
      </c>
      <c r="AJ150" s="4" t="e" cm="1">
        <f t="array" ref="AJ150">_xlfn.XLOOKUP(1,('1994 E Maize Soil VWC'!$C$2:$C$4000=$AA150)*('1994 E Maize Soil VWC'!$D$2:$D$4000=$AB150)*('1994 E Maize Soil VWC'!$E$2:$E$4000=AJ$5),'1994 E Maize Soil VWC'!$F$2:$F$4000)</f>
        <v>#N/A</v>
      </c>
      <c r="AK150" s="4" t="e" cm="1">
        <f t="array" ref="AK150">_xlfn.XLOOKUP(1,('1994 E Maize Soil VWC'!$C$2:$C$4000=$AA150)*('1994 E Maize Soil VWC'!$D$2:$D$4000=$AB150)*('1994 E Maize Soil VWC'!$E$2:$E$4000=AK$5),'1994 E Maize Soil VWC'!$F$2:$F$4000)</f>
        <v>#N/A</v>
      </c>
      <c r="AL150" s="4" t="e" cm="1">
        <f t="array" ref="AL150">_xlfn.XLOOKUP(1,('1994 E Maize Soil VWC'!$C$2:$C$4000=$AA150)*('1994 E Maize Soil VWC'!$D$2:$D$4000=$AB150)*('1994 E Maize Soil VWC'!$E$2:$E$4000=AL$5),'1994 E Maize Soil VWC'!$F$2:$F$4000)</f>
        <v>#N/A</v>
      </c>
      <c r="AM150" s="4" t="e" cm="1">
        <f t="array" ref="AM150">_xlfn.XLOOKUP(1,('1994 E Maize Soil VWC'!$C$2:$C$4000=$AA150)*('1994 E Maize Soil VWC'!$D$2:$D$4000=$AB150)*('1994 E Maize Soil VWC'!$E$2:$E$4000=AM$5),'1994 E Maize Soil VWC'!$F$2:$F$4000)</f>
        <v>#N/A</v>
      </c>
      <c r="AN150" s="4" t="e" cm="1">
        <f t="array" ref="AN150">_xlfn.XLOOKUP(1,('1994 E Maize Soil VWC'!$C$2:$C$4000=$AA150)*('1994 E Maize Soil VWC'!$D$2:$D$4000=$AB150)*('1994 E Maize Soil VWC'!$E$2:$E$4000=AN$5),'1994 E Maize Soil VWC'!$F$2:$F$4000)</f>
        <v>#N/A</v>
      </c>
    </row>
    <row r="151" spans="25:40" x14ac:dyDescent="0.25">
      <c r="AA151" s="19">
        <f t="shared" si="22"/>
        <v>34334</v>
      </c>
      <c r="AB151" s="4">
        <f t="shared" si="23"/>
        <v>50</v>
      </c>
      <c r="AC151" s="4" t="e" cm="1">
        <f t="array" ref="AC151">_xlfn.XLOOKUP(1,('1994 E Maize Soil VWC'!$C$2:$C$4000=$AA151)*('1994 E Maize Soil VWC'!$D$2:$D$4000=$AB151)*('1994 E Maize Soil VWC'!$E$2:$E$4000=AC$5),'1994 E Maize Soil VWC'!$F$2:$F$4000)</f>
        <v>#N/A</v>
      </c>
      <c r="AD151" s="4" t="e" cm="1">
        <f t="array" ref="AD151">_xlfn.XLOOKUP(1,('1994 E Maize Soil VWC'!$C$2:$C$4000=$AA151)*('1994 E Maize Soil VWC'!$D$2:$D$4000=$AB151)*('1994 E Maize Soil VWC'!$E$2:$E$4000=AD$5),'1994 E Maize Soil VWC'!$F$2:$F$4000)</f>
        <v>#N/A</v>
      </c>
      <c r="AE151" s="4" t="e" cm="1">
        <f t="array" ref="AE151">_xlfn.XLOOKUP(1,('1994 E Maize Soil VWC'!$C$2:$C$4000=$AA151)*('1994 E Maize Soil VWC'!$D$2:$D$4000=$AB151)*('1994 E Maize Soil VWC'!$E$2:$E$4000=AE$5),'1994 E Maize Soil VWC'!$F$2:$F$4000)</f>
        <v>#N/A</v>
      </c>
      <c r="AF151" s="4" t="e" cm="1">
        <f t="array" ref="AF151">_xlfn.XLOOKUP(1,('1994 E Maize Soil VWC'!$C$2:$C$4000=$AA151)*('1994 E Maize Soil VWC'!$D$2:$D$4000=$AB151)*('1994 E Maize Soil VWC'!$E$2:$E$4000=AF$5),'1994 E Maize Soil VWC'!$F$2:$F$4000)</f>
        <v>#N/A</v>
      </c>
      <c r="AG151" s="4" t="e" cm="1">
        <f t="array" ref="AG151">_xlfn.XLOOKUP(1,('1994 E Maize Soil VWC'!$C$2:$C$4000=$AA151)*('1994 E Maize Soil VWC'!$D$2:$D$4000=$AB151)*('1994 E Maize Soil VWC'!$E$2:$E$4000=AG$5),'1994 E Maize Soil VWC'!$F$2:$F$4000)</f>
        <v>#N/A</v>
      </c>
      <c r="AH151" s="4" t="e" cm="1">
        <f t="array" ref="AH151">_xlfn.XLOOKUP(1,('1994 E Maize Soil VWC'!$C$2:$C$4000=$AA151)*('1994 E Maize Soil VWC'!$D$2:$D$4000=$AB151)*('1994 E Maize Soil VWC'!$E$2:$E$4000=AH$5),'1994 E Maize Soil VWC'!$F$2:$F$4000)</f>
        <v>#N/A</v>
      </c>
      <c r="AI151" s="4" t="e" cm="1">
        <f t="array" ref="AI151">_xlfn.XLOOKUP(1,('1994 E Maize Soil VWC'!$C$2:$C$4000=$AA151)*('1994 E Maize Soil VWC'!$D$2:$D$4000=$AB151)*('1994 E Maize Soil VWC'!$E$2:$E$4000=AI$5),'1994 E Maize Soil VWC'!$F$2:$F$4000)</f>
        <v>#N/A</v>
      </c>
      <c r="AJ151" s="4" t="e" cm="1">
        <f t="array" ref="AJ151">_xlfn.XLOOKUP(1,('1994 E Maize Soil VWC'!$C$2:$C$4000=$AA151)*('1994 E Maize Soil VWC'!$D$2:$D$4000=$AB151)*('1994 E Maize Soil VWC'!$E$2:$E$4000=AJ$5),'1994 E Maize Soil VWC'!$F$2:$F$4000)</f>
        <v>#N/A</v>
      </c>
      <c r="AK151" s="4" t="e" cm="1">
        <f t="array" ref="AK151">_xlfn.XLOOKUP(1,('1994 E Maize Soil VWC'!$C$2:$C$4000=$AA151)*('1994 E Maize Soil VWC'!$D$2:$D$4000=$AB151)*('1994 E Maize Soil VWC'!$E$2:$E$4000=AK$5),'1994 E Maize Soil VWC'!$F$2:$F$4000)</f>
        <v>#N/A</v>
      </c>
      <c r="AL151" s="4" t="e" cm="1">
        <f t="array" ref="AL151">_xlfn.XLOOKUP(1,('1994 E Maize Soil VWC'!$C$2:$C$4000=$AA151)*('1994 E Maize Soil VWC'!$D$2:$D$4000=$AB151)*('1994 E Maize Soil VWC'!$E$2:$E$4000=AL$5),'1994 E Maize Soil VWC'!$F$2:$F$4000)</f>
        <v>#N/A</v>
      </c>
      <c r="AM151" s="4" t="e" cm="1">
        <f t="array" ref="AM151">_xlfn.XLOOKUP(1,('1994 E Maize Soil VWC'!$C$2:$C$4000=$AA151)*('1994 E Maize Soil VWC'!$D$2:$D$4000=$AB151)*('1994 E Maize Soil VWC'!$E$2:$E$4000=AM$5),'1994 E Maize Soil VWC'!$F$2:$F$4000)</f>
        <v>#N/A</v>
      </c>
      <c r="AN151" s="4" t="e" cm="1">
        <f t="array" ref="AN151">_xlfn.XLOOKUP(1,('1994 E Maize Soil VWC'!$C$2:$C$4000=$AA151)*('1994 E Maize Soil VWC'!$D$2:$D$4000=$AB151)*('1994 E Maize Soil VWC'!$E$2:$E$4000=AN$5),'1994 E Maize Soil VWC'!$F$2:$F$4000)</f>
        <v>#N/A</v>
      </c>
    </row>
    <row r="152" spans="25:40" x14ac:dyDescent="0.25">
      <c r="AA152" s="19">
        <f t="shared" si="22"/>
        <v>34334</v>
      </c>
      <c r="AB152" s="4">
        <f t="shared" si="23"/>
        <v>70</v>
      </c>
      <c r="AC152" s="4" t="e" cm="1">
        <f t="array" ref="AC152">_xlfn.XLOOKUP(1,('1994 E Maize Soil VWC'!$C$2:$C$4000=$AA152)*('1994 E Maize Soil VWC'!$D$2:$D$4000=$AB152)*('1994 E Maize Soil VWC'!$E$2:$E$4000=AC$5),'1994 E Maize Soil VWC'!$F$2:$F$4000)</f>
        <v>#N/A</v>
      </c>
      <c r="AD152" s="4" t="e" cm="1">
        <f t="array" ref="AD152">_xlfn.XLOOKUP(1,('1994 E Maize Soil VWC'!$C$2:$C$4000=$AA152)*('1994 E Maize Soil VWC'!$D$2:$D$4000=$AB152)*('1994 E Maize Soil VWC'!$E$2:$E$4000=AD$5),'1994 E Maize Soil VWC'!$F$2:$F$4000)</f>
        <v>#N/A</v>
      </c>
      <c r="AE152" s="4" t="e" cm="1">
        <f t="array" ref="AE152">_xlfn.XLOOKUP(1,('1994 E Maize Soil VWC'!$C$2:$C$4000=$AA152)*('1994 E Maize Soil VWC'!$D$2:$D$4000=$AB152)*('1994 E Maize Soil VWC'!$E$2:$E$4000=AE$5),'1994 E Maize Soil VWC'!$F$2:$F$4000)</f>
        <v>#N/A</v>
      </c>
      <c r="AF152" s="4" t="e" cm="1">
        <f t="array" ref="AF152">_xlfn.XLOOKUP(1,('1994 E Maize Soil VWC'!$C$2:$C$4000=$AA152)*('1994 E Maize Soil VWC'!$D$2:$D$4000=$AB152)*('1994 E Maize Soil VWC'!$E$2:$E$4000=AF$5),'1994 E Maize Soil VWC'!$F$2:$F$4000)</f>
        <v>#N/A</v>
      </c>
      <c r="AG152" s="4" t="e" cm="1">
        <f t="array" ref="AG152">_xlfn.XLOOKUP(1,('1994 E Maize Soil VWC'!$C$2:$C$4000=$AA152)*('1994 E Maize Soil VWC'!$D$2:$D$4000=$AB152)*('1994 E Maize Soil VWC'!$E$2:$E$4000=AG$5),'1994 E Maize Soil VWC'!$F$2:$F$4000)</f>
        <v>#N/A</v>
      </c>
      <c r="AH152" s="4" t="e" cm="1">
        <f t="array" ref="AH152">_xlfn.XLOOKUP(1,('1994 E Maize Soil VWC'!$C$2:$C$4000=$AA152)*('1994 E Maize Soil VWC'!$D$2:$D$4000=$AB152)*('1994 E Maize Soil VWC'!$E$2:$E$4000=AH$5),'1994 E Maize Soil VWC'!$F$2:$F$4000)</f>
        <v>#N/A</v>
      </c>
      <c r="AI152" s="4" t="e" cm="1">
        <f t="array" ref="AI152">_xlfn.XLOOKUP(1,('1994 E Maize Soil VWC'!$C$2:$C$4000=$AA152)*('1994 E Maize Soil VWC'!$D$2:$D$4000=$AB152)*('1994 E Maize Soil VWC'!$E$2:$E$4000=AI$5),'1994 E Maize Soil VWC'!$F$2:$F$4000)</f>
        <v>#N/A</v>
      </c>
      <c r="AJ152" s="4" t="e" cm="1">
        <f t="array" ref="AJ152">_xlfn.XLOOKUP(1,('1994 E Maize Soil VWC'!$C$2:$C$4000=$AA152)*('1994 E Maize Soil VWC'!$D$2:$D$4000=$AB152)*('1994 E Maize Soil VWC'!$E$2:$E$4000=AJ$5),'1994 E Maize Soil VWC'!$F$2:$F$4000)</f>
        <v>#N/A</v>
      </c>
      <c r="AK152" s="4" t="e" cm="1">
        <f t="array" ref="AK152">_xlfn.XLOOKUP(1,('1994 E Maize Soil VWC'!$C$2:$C$4000=$AA152)*('1994 E Maize Soil VWC'!$D$2:$D$4000=$AB152)*('1994 E Maize Soil VWC'!$E$2:$E$4000=AK$5),'1994 E Maize Soil VWC'!$F$2:$F$4000)</f>
        <v>#N/A</v>
      </c>
      <c r="AL152" s="4" t="e" cm="1">
        <f t="array" ref="AL152">_xlfn.XLOOKUP(1,('1994 E Maize Soil VWC'!$C$2:$C$4000=$AA152)*('1994 E Maize Soil VWC'!$D$2:$D$4000=$AB152)*('1994 E Maize Soil VWC'!$E$2:$E$4000=AL$5),'1994 E Maize Soil VWC'!$F$2:$F$4000)</f>
        <v>#N/A</v>
      </c>
      <c r="AM152" s="4" t="e" cm="1">
        <f t="array" ref="AM152">_xlfn.XLOOKUP(1,('1994 E Maize Soil VWC'!$C$2:$C$4000=$AA152)*('1994 E Maize Soil VWC'!$D$2:$D$4000=$AB152)*('1994 E Maize Soil VWC'!$E$2:$E$4000=AM$5),'1994 E Maize Soil VWC'!$F$2:$F$4000)</f>
        <v>#N/A</v>
      </c>
      <c r="AN152" s="4" t="e" cm="1">
        <f t="array" ref="AN152">_xlfn.XLOOKUP(1,('1994 E Maize Soil VWC'!$C$2:$C$4000=$AA152)*('1994 E Maize Soil VWC'!$D$2:$D$4000=$AB152)*('1994 E Maize Soil VWC'!$E$2:$E$4000=AN$5),'1994 E Maize Soil VWC'!$F$2:$F$4000)</f>
        <v>#N/A</v>
      </c>
    </row>
    <row r="153" spans="25:40" x14ac:dyDescent="0.25">
      <c r="AA153" s="19">
        <f t="shared" si="22"/>
        <v>34334</v>
      </c>
      <c r="AB153" s="4">
        <f t="shared" si="23"/>
        <v>90</v>
      </c>
      <c r="AC153" s="4" t="e" cm="1">
        <f t="array" ref="AC153">_xlfn.XLOOKUP(1,('1994 E Maize Soil VWC'!$C$2:$C$4000=$AA153)*('1994 E Maize Soil VWC'!$D$2:$D$4000=$AB153)*('1994 E Maize Soil VWC'!$E$2:$E$4000=AC$5),'1994 E Maize Soil VWC'!$F$2:$F$4000)</f>
        <v>#N/A</v>
      </c>
      <c r="AD153" s="4" t="e" cm="1">
        <f t="array" ref="AD153">_xlfn.XLOOKUP(1,('1994 E Maize Soil VWC'!$C$2:$C$4000=$AA153)*('1994 E Maize Soil VWC'!$D$2:$D$4000=$AB153)*('1994 E Maize Soil VWC'!$E$2:$E$4000=AD$5),'1994 E Maize Soil VWC'!$F$2:$F$4000)</f>
        <v>#N/A</v>
      </c>
      <c r="AE153" s="4" t="e" cm="1">
        <f t="array" ref="AE153">_xlfn.XLOOKUP(1,('1994 E Maize Soil VWC'!$C$2:$C$4000=$AA153)*('1994 E Maize Soil VWC'!$D$2:$D$4000=$AB153)*('1994 E Maize Soil VWC'!$E$2:$E$4000=AE$5),'1994 E Maize Soil VWC'!$F$2:$F$4000)</f>
        <v>#N/A</v>
      </c>
      <c r="AF153" s="4" t="e" cm="1">
        <f t="array" ref="AF153">_xlfn.XLOOKUP(1,('1994 E Maize Soil VWC'!$C$2:$C$4000=$AA153)*('1994 E Maize Soil VWC'!$D$2:$D$4000=$AB153)*('1994 E Maize Soil VWC'!$E$2:$E$4000=AF$5),'1994 E Maize Soil VWC'!$F$2:$F$4000)</f>
        <v>#N/A</v>
      </c>
      <c r="AG153" s="4" t="e" cm="1">
        <f t="array" ref="AG153">_xlfn.XLOOKUP(1,('1994 E Maize Soil VWC'!$C$2:$C$4000=$AA153)*('1994 E Maize Soil VWC'!$D$2:$D$4000=$AB153)*('1994 E Maize Soil VWC'!$E$2:$E$4000=AG$5),'1994 E Maize Soil VWC'!$F$2:$F$4000)</f>
        <v>#N/A</v>
      </c>
      <c r="AH153" s="4" t="e" cm="1">
        <f t="array" ref="AH153">_xlfn.XLOOKUP(1,('1994 E Maize Soil VWC'!$C$2:$C$4000=$AA153)*('1994 E Maize Soil VWC'!$D$2:$D$4000=$AB153)*('1994 E Maize Soil VWC'!$E$2:$E$4000=AH$5),'1994 E Maize Soil VWC'!$F$2:$F$4000)</f>
        <v>#N/A</v>
      </c>
      <c r="AI153" s="4" t="e" cm="1">
        <f t="array" ref="AI153">_xlfn.XLOOKUP(1,('1994 E Maize Soil VWC'!$C$2:$C$4000=$AA153)*('1994 E Maize Soil VWC'!$D$2:$D$4000=$AB153)*('1994 E Maize Soil VWC'!$E$2:$E$4000=AI$5),'1994 E Maize Soil VWC'!$F$2:$F$4000)</f>
        <v>#N/A</v>
      </c>
      <c r="AJ153" s="4" t="e" cm="1">
        <f t="array" ref="AJ153">_xlfn.XLOOKUP(1,('1994 E Maize Soil VWC'!$C$2:$C$4000=$AA153)*('1994 E Maize Soil VWC'!$D$2:$D$4000=$AB153)*('1994 E Maize Soil VWC'!$E$2:$E$4000=AJ$5),'1994 E Maize Soil VWC'!$F$2:$F$4000)</f>
        <v>#N/A</v>
      </c>
      <c r="AK153" s="4" t="e" cm="1">
        <f t="array" ref="AK153">_xlfn.XLOOKUP(1,('1994 E Maize Soil VWC'!$C$2:$C$4000=$AA153)*('1994 E Maize Soil VWC'!$D$2:$D$4000=$AB153)*('1994 E Maize Soil VWC'!$E$2:$E$4000=AK$5),'1994 E Maize Soil VWC'!$F$2:$F$4000)</f>
        <v>#N/A</v>
      </c>
      <c r="AL153" s="4" t="e" cm="1">
        <f t="array" ref="AL153">_xlfn.XLOOKUP(1,('1994 E Maize Soil VWC'!$C$2:$C$4000=$AA153)*('1994 E Maize Soil VWC'!$D$2:$D$4000=$AB153)*('1994 E Maize Soil VWC'!$E$2:$E$4000=AL$5),'1994 E Maize Soil VWC'!$F$2:$F$4000)</f>
        <v>#N/A</v>
      </c>
      <c r="AM153" s="4" t="e" cm="1">
        <f t="array" ref="AM153">_xlfn.XLOOKUP(1,('1994 E Maize Soil VWC'!$C$2:$C$4000=$AA153)*('1994 E Maize Soil VWC'!$D$2:$D$4000=$AB153)*('1994 E Maize Soil VWC'!$E$2:$E$4000=AM$5),'1994 E Maize Soil VWC'!$F$2:$F$4000)</f>
        <v>#N/A</v>
      </c>
      <c r="AN153" s="4" t="e" cm="1">
        <f t="array" ref="AN153">_xlfn.XLOOKUP(1,('1994 E Maize Soil VWC'!$C$2:$C$4000=$AA153)*('1994 E Maize Soil VWC'!$D$2:$D$4000=$AB153)*('1994 E Maize Soil VWC'!$E$2:$E$4000=AN$5),'1994 E Maize Soil VWC'!$F$2:$F$4000)</f>
        <v>#N/A</v>
      </c>
    </row>
    <row r="154" spans="25:40" x14ac:dyDescent="0.25">
      <c r="AA154" s="19">
        <f t="shared" si="22"/>
        <v>34334</v>
      </c>
      <c r="AB154" s="4">
        <f t="shared" si="23"/>
        <v>110</v>
      </c>
      <c r="AC154" s="4" t="e" cm="1">
        <f t="array" ref="AC154">_xlfn.XLOOKUP(1,('1994 E Maize Soil VWC'!$C$2:$C$4000=$AA154)*('1994 E Maize Soil VWC'!$D$2:$D$4000=$AB154)*('1994 E Maize Soil VWC'!$E$2:$E$4000=AC$5),'1994 E Maize Soil VWC'!$F$2:$F$4000)</f>
        <v>#N/A</v>
      </c>
      <c r="AD154" s="4" t="e" cm="1">
        <f t="array" ref="AD154">_xlfn.XLOOKUP(1,('1994 E Maize Soil VWC'!$C$2:$C$4000=$AA154)*('1994 E Maize Soil VWC'!$D$2:$D$4000=$AB154)*('1994 E Maize Soil VWC'!$E$2:$E$4000=AD$5),'1994 E Maize Soil VWC'!$F$2:$F$4000)</f>
        <v>#N/A</v>
      </c>
      <c r="AE154" s="4" t="e" cm="1">
        <f t="array" ref="AE154">_xlfn.XLOOKUP(1,('1994 E Maize Soil VWC'!$C$2:$C$4000=$AA154)*('1994 E Maize Soil VWC'!$D$2:$D$4000=$AB154)*('1994 E Maize Soil VWC'!$E$2:$E$4000=AE$5),'1994 E Maize Soil VWC'!$F$2:$F$4000)</f>
        <v>#N/A</v>
      </c>
      <c r="AF154" s="4" t="e" cm="1">
        <f t="array" ref="AF154">_xlfn.XLOOKUP(1,('1994 E Maize Soil VWC'!$C$2:$C$4000=$AA154)*('1994 E Maize Soil VWC'!$D$2:$D$4000=$AB154)*('1994 E Maize Soil VWC'!$E$2:$E$4000=AF$5),'1994 E Maize Soil VWC'!$F$2:$F$4000)</f>
        <v>#N/A</v>
      </c>
      <c r="AG154" s="4" t="e" cm="1">
        <f t="array" ref="AG154">_xlfn.XLOOKUP(1,('1994 E Maize Soil VWC'!$C$2:$C$4000=$AA154)*('1994 E Maize Soil VWC'!$D$2:$D$4000=$AB154)*('1994 E Maize Soil VWC'!$E$2:$E$4000=AG$5),'1994 E Maize Soil VWC'!$F$2:$F$4000)</f>
        <v>#N/A</v>
      </c>
      <c r="AH154" s="4" t="e" cm="1">
        <f t="array" ref="AH154">_xlfn.XLOOKUP(1,('1994 E Maize Soil VWC'!$C$2:$C$4000=$AA154)*('1994 E Maize Soil VWC'!$D$2:$D$4000=$AB154)*('1994 E Maize Soil VWC'!$E$2:$E$4000=AH$5),'1994 E Maize Soil VWC'!$F$2:$F$4000)</f>
        <v>#N/A</v>
      </c>
      <c r="AI154" s="4" t="e" cm="1">
        <f t="array" ref="AI154">_xlfn.XLOOKUP(1,('1994 E Maize Soil VWC'!$C$2:$C$4000=$AA154)*('1994 E Maize Soil VWC'!$D$2:$D$4000=$AB154)*('1994 E Maize Soil VWC'!$E$2:$E$4000=AI$5),'1994 E Maize Soil VWC'!$F$2:$F$4000)</f>
        <v>#N/A</v>
      </c>
      <c r="AJ154" s="4" t="e" cm="1">
        <f t="array" ref="AJ154">_xlfn.XLOOKUP(1,('1994 E Maize Soil VWC'!$C$2:$C$4000=$AA154)*('1994 E Maize Soil VWC'!$D$2:$D$4000=$AB154)*('1994 E Maize Soil VWC'!$E$2:$E$4000=AJ$5),'1994 E Maize Soil VWC'!$F$2:$F$4000)</f>
        <v>#N/A</v>
      </c>
      <c r="AK154" s="4" t="e" cm="1">
        <f t="array" ref="AK154">_xlfn.XLOOKUP(1,('1994 E Maize Soil VWC'!$C$2:$C$4000=$AA154)*('1994 E Maize Soil VWC'!$D$2:$D$4000=$AB154)*('1994 E Maize Soil VWC'!$E$2:$E$4000=AK$5),'1994 E Maize Soil VWC'!$F$2:$F$4000)</f>
        <v>#N/A</v>
      </c>
      <c r="AL154" s="4" t="e" cm="1">
        <f t="array" ref="AL154">_xlfn.XLOOKUP(1,('1994 E Maize Soil VWC'!$C$2:$C$4000=$AA154)*('1994 E Maize Soil VWC'!$D$2:$D$4000=$AB154)*('1994 E Maize Soil VWC'!$E$2:$E$4000=AL$5),'1994 E Maize Soil VWC'!$F$2:$F$4000)</f>
        <v>#N/A</v>
      </c>
      <c r="AM154" s="4" t="e" cm="1">
        <f t="array" ref="AM154">_xlfn.XLOOKUP(1,('1994 E Maize Soil VWC'!$C$2:$C$4000=$AA154)*('1994 E Maize Soil VWC'!$D$2:$D$4000=$AB154)*('1994 E Maize Soil VWC'!$E$2:$E$4000=AM$5),'1994 E Maize Soil VWC'!$F$2:$F$4000)</f>
        <v>#N/A</v>
      </c>
      <c r="AN154" s="4" t="e" cm="1">
        <f t="array" ref="AN154">_xlfn.XLOOKUP(1,('1994 E Maize Soil VWC'!$C$2:$C$4000=$AA154)*('1994 E Maize Soil VWC'!$D$2:$D$4000=$AB154)*('1994 E Maize Soil VWC'!$E$2:$E$4000=AN$5),'1994 E Maize Soil VWC'!$F$2:$F$4000)</f>
        <v>#N/A</v>
      </c>
    </row>
    <row r="155" spans="25:40" x14ac:dyDescent="0.25">
      <c r="AA155" s="19">
        <f t="shared" si="22"/>
        <v>34334</v>
      </c>
      <c r="AB155" s="4">
        <f t="shared" si="23"/>
        <v>130</v>
      </c>
      <c r="AC155" s="4" t="e" cm="1">
        <f t="array" ref="AC155">_xlfn.XLOOKUP(1,('1994 E Maize Soil VWC'!$C$2:$C$4000=$AA155)*('1994 E Maize Soil VWC'!$D$2:$D$4000=$AB155)*('1994 E Maize Soil VWC'!$E$2:$E$4000=AC$5),'1994 E Maize Soil VWC'!$F$2:$F$4000)</f>
        <v>#N/A</v>
      </c>
      <c r="AD155" s="4" t="e" cm="1">
        <f t="array" ref="AD155">_xlfn.XLOOKUP(1,('1994 E Maize Soil VWC'!$C$2:$C$4000=$AA155)*('1994 E Maize Soil VWC'!$D$2:$D$4000=$AB155)*('1994 E Maize Soil VWC'!$E$2:$E$4000=AD$5),'1994 E Maize Soil VWC'!$F$2:$F$4000)</f>
        <v>#N/A</v>
      </c>
      <c r="AE155" s="4" t="e" cm="1">
        <f t="array" ref="AE155">_xlfn.XLOOKUP(1,('1994 E Maize Soil VWC'!$C$2:$C$4000=$AA155)*('1994 E Maize Soil VWC'!$D$2:$D$4000=$AB155)*('1994 E Maize Soil VWC'!$E$2:$E$4000=AE$5),'1994 E Maize Soil VWC'!$F$2:$F$4000)</f>
        <v>#N/A</v>
      </c>
      <c r="AF155" s="4" t="e" cm="1">
        <f t="array" ref="AF155">_xlfn.XLOOKUP(1,('1994 E Maize Soil VWC'!$C$2:$C$4000=$AA155)*('1994 E Maize Soil VWC'!$D$2:$D$4000=$AB155)*('1994 E Maize Soil VWC'!$E$2:$E$4000=AF$5),'1994 E Maize Soil VWC'!$F$2:$F$4000)</f>
        <v>#N/A</v>
      </c>
      <c r="AG155" s="4" t="e" cm="1">
        <f t="array" ref="AG155">_xlfn.XLOOKUP(1,('1994 E Maize Soil VWC'!$C$2:$C$4000=$AA155)*('1994 E Maize Soil VWC'!$D$2:$D$4000=$AB155)*('1994 E Maize Soil VWC'!$E$2:$E$4000=AG$5),'1994 E Maize Soil VWC'!$F$2:$F$4000)</f>
        <v>#N/A</v>
      </c>
      <c r="AH155" s="4" t="e" cm="1">
        <f t="array" ref="AH155">_xlfn.XLOOKUP(1,('1994 E Maize Soil VWC'!$C$2:$C$4000=$AA155)*('1994 E Maize Soil VWC'!$D$2:$D$4000=$AB155)*('1994 E Maize Soil VWC'!$E$2:$E$4000=AH$5),'1994 E Maize Soil VWC'!$F$2:$F$4000)</f>
        <v>#N/A</v>
      </c>
      <c r="AI155" s="4" t="e" cm="1">
        <f t="array" ref="AI155">_xlfn.XLOOKUP(1,('1994 E Maize Soil VWC'!$C$2:$C$4000=$AA155)*('1994 E Maize Soil VWC'!$D$2:$D$4000=$AB155)*('1994 E Maize Soil VWC'!$E$2:$E$4000=AI$5),'1994 E Maize Soil VWC'!$F$2:$F$4000)</f>
        <v>#N/A</v>
      </c>
      <c r="AJ155" s="4" t="e" cm="1">
        <f t="array" ref="AJ155">_xlfn.XLOOKUP(1,('1994 E Maize Soil VWC'!$C$2:$C$4000=$AA155)*('1994 E Maize Soil VWC'!$D$2:$D$4000=$AB155)*('1994 E Maize Soil VWC'!$E$2:$E$4000=AJ$5),'1994 E Maize Soil VWC'!$F$2:$F$4000)</f>
        <v>#N/A</v>
      </c>
      <c r="AK155" s="4" t="e" cm="1">
        <f t="array" ref="AK155">_xlfn.XLOOKUP(1,('1994 E Maize Soil VWC'!$C$2:$C$4000=$AA155)*('1994 E Maize Soil VWC'!$D$2:$D$4000=$AB155)*('1994 E Maize Soil VWC'!$E$2:$E$4000=AK$5),'1994 E Maize Soil VWC'!$F$2:$F$4000)</f>
        <v>#N/A</v>
      </c>
      <c r="AL155" s="4" t="e" cm="1">
        <f t="array" ref="AL155">_xlfn.XLOOKUP(1,('1994 E Maize Soil VWC'!$C$2:$C$4000=$AA155)*('1994 E Maize Soil VWC'!$D$2:$D$4000=$AB155)*('1994 E Maize Soil VWC'!$E$2:$E$4000=AL$5),'1994 E Maize Soil VWC'!$F$2:$F$4000)</f>
        <v>#N/A</v>
      </c>
      <c r="AM155" s="4" t="e" cm="1">
        <f t="array" ref="AM155">_xlfn.XLOOKUP(1,('1994 E Maize Soil VWC'!$C$2:$C$4000=$AA155)*('1994 E Maize Soil VWC'!$D$2:$D$4000=$AB155)*('1994 E Maize Soil VWC'!$E$2:$E$4000=AM$5),'1994 E Maize Soil VWC'!$F$2:$F$4000)</f>
        <v>#N/A</v>
      </c>
      <c r="AN155" s="4" t="e" cm="1">
        <f t="array" ref="AN155">_xlfn.XLOOKUP(1,('1994 E Maize Soil VWC'!$C$2:$C$4000=$AA155)*('1994 E Maize Soil VWC'!$D$2:$D$4000=$AB155)*('1994 E Maize Soil VWC'!$E$2:$E$4000=AN$5),'1994 E Maize Soil VWC'!$F$2:$F$4000)</f>
        <v>#N/A</v>
      </c>
    </row>
    <row r="156" spans="25:40" x14ac:dyDescent="0.25">
      <c r="AA156" s="19">
        <f t="shared" si="22"/>
        <v>34334</v>
      </c>
      <c r="AB156" s="4">
        <f t="shared" si="23"/>
        <v>150</v>
      </c>
      <c r="AC156" s="4" t="e" cm="1">
        <f t="array" ref="AC156">_xlfn.XLOOKUP(1,('1994 E Maize Soil VWC'!$C$2:$C$4000=$AA156)*('1994 E Maize Soil VWC'!$D$2:$D$4000=$AB156)*('1994 E Maize Soil VWC'!$E$2:$E$4000=AC$5),'1994 E Maize Soil VWC'!$F$2:$F$4000)</f>
        <v>#N/A</v>
      </c>
      <c r="AD156" s="4" t="e" cm="1">
        <f t="array" ref="AD156">_xlfn.XLOOKUP(1,('1994 E Maize Soil VWC'!$C$2:$C$4000=$AA156)*('1994 E Maize Soil VWC'!$D$2:$D$4000=$AB156)*('1994 E Maize Soil VWC'!$E$2:$E$4000=AD$5),'1994 E Maize Soil VWC'!$F$2:$F$4000)</f>
        <v>#N/A</v>
      </c>
      <c r="AE156" s="4" t="e" cm="1">
        <f t="array" ref="AE156">_xlfn.XLOOKUP(1,('1994 E Maize Soil VWC'!$C$2:$C$4000=$AA156)*('1994 E Maize Soil VWC'!$D$2:$D$4000=$AB156)*('1994 E Maize Soil VWC'!$E$2:$E$4000=AE$5),'1994 E Maize Soil VWC'!$F$2:$F$4000)</f>
        <v>#N/A</v>
      </c>
      <c r="AF156" s="4" t="e" cm="1">
        <f t="array" ref="AF156">_xlfn.XLOOKUP(1,('1994 E Maize Soil VWC'!$C$2:$C$4000=$AA156)*('1994 E Maize Soil VWC'!$D$2:$D$4000=$AB156)*('1994 E Maize Soil VWC'!$E$2:$E$4000=AF$5),'1994 E Maize Soil VWC'!$F$2:$F$4000)</f>
        <v>#N/A</v>
      </c>
      <c r="AG156" s="4" t="e" cm="1">
        <f t="array" ref="AG156">_xlfn.XLOOKUP(1,('1994 E Maize Soil VWC'!$C$2:$C$4000=$AA156)*('1994 E Maize Soil VWC'!$D$2:$D$4000=$AB156)*('1994 E Maize Soil VWC'!$E$2:$E$4000=AG$5),'1994 E Maize Soil VWC'!$F$2:$F$4000)</f>
        <v>#N/A</v>
      </c>
      <c r="AH156" s="4" t="e" cm="1">
        <f t="array" ref="AH156">_xlfn.XLOOKUP(1,('1994 E Maize Soil VWC'!$C$2:$C$4000=$AA156)*('1994 E Maize Soil VWC'!$D$2:$D$4000=$AB156)*('1994 E Maize Soil VWC'!$E$2:$E$4000=AH$5),'1994 E Maize Soil VWC'!$F$2:$F$4000)</f>
        <v>#N/A</v>
      </c>
      <c r="AI156" s="4" t="e" cm="1">
        <f t="array" ref="AI156">_xlfn.XLOOKUP(1,('1994 E Maize Soil VWC'!$C$2:$C$4000=$AA156)*('1994 E Maize Soil VWC'!$D$2:$D$4000=$AB156)*('1994 E Maize Soil VWC'!$E$2:$E$4000=AI$5),'1994 E Maize Soil VWC'!$F$2:$F$4000)</f>
        <v>#N/A</v>
      </c>
      <c r="AJ156" s="4" t="e" cm="1">
        <f t="array" ref="AJ156">_xlfn.XLOOKUP(1,('1994 E Maize Soil VWC'!$C$2:$C$4000=$AA156)*('1994 E Maize Soil VWC'!$D$2:$D$4000=$AB156)*('1994 E Maize Soil VWC'!$E$2:$E$4000=AJ$5),'1994 E Maize Soil VWC'!$F$2:$F$4000)</f>
        <v>#N/A</v>
      </c>
      <c r="AK156" s="4" t="e" cm="1">
        <f t="array" ref="AK156">_xlfn.XLOOKUP(1,('1994 E Maize Soil VWC'!$C$2:$C$4000=$AA156)*('1994 E Maize Soil VWC'!$D$2:$D$4000=$AB156)*('1994 E Maize Soil VWC'!$E$2:$E$4000=AK$5),'1994 E Maize Soil VWC'!$F$2:$F$4000)</f>
        <v>#N/A</v>
      </c>
      <c r="AL156" s="4" t="e" cm="1">
        <f t="array" ref="AL156">_xlfn.XLOOKUP(1,('1994 E Maize Soil VWC'!$C$2:$C$4000=$AA156)*('1994 E Maize Soil VWC'!$D$2:$D$4000=$AB156)*('1994 E Maize Soil VWC'!$E$2:$E$4000=AL$5),'1994 E Maize Soil VWC'!$F$2:$F$4000)</f>
        <v>#N/A</v>
      </c>
      <c r="AM156" s="4" t="e" cm="1">
        <f t="array" ref="AM156">_xlfn.XLOOKUP(1,('1994 E Maize Soil VWC'!$C$2:$C$4000=$AA156)*('1994 E Maize Soil VWC'!$D$2:$D$4000=$AB156)*('1994 E Maize Soil VWC'!$E$2:$E$4000=AM$5),'1994 E Maize Soil VWC'!$F$2:$F$4000)</f>
        <v>#N/A</v>
      </c>
      <c r="AN156" s="4" t="e" cm="1">
        <f t="array" ref="AN156">_xlfn.XLOOKUP(1,('1994 E Maize Soil VWC'!$C$2:$C$4000=$AA156)*('1994 E Maize Soil VWC'!$D$2:$D$4000=$AB156)*('1994 E Maize Soil VWC'!$E$2:$E$4000=AN$5),'1994 E Maize Soil VWC'!$F$2:$F$4000)</f>
        <v>#N/A</v>
      </c>
    </row>
    <row r="157" spans="25:40" x14ac:dyDescent="0.25">
      <c r="AA157" s="19">
        <f t="shared" si="22"/>
        <v>34334</v>
      </c>
      <c r="AB157" s="4">
        <f t="shared" si="23"/>
        <v>170</v>
      </c>
      <c r="AC157" s="4" t="e" cm="1">
        <f t="array" ref="AC157">_xlfn.XLOOKUP(1,('1994 E Maize Soil VWC'!$C$2:$C$4000=$AA157)*('1994 E Maize Soil VWC'!$D$2:$D$4000=$AB157)*('1994 E Maize Soil VWC'!$E$2:$E$4000=AC$5),'1994 E Maize Soil VWC'!$F$2:$F$4000)</f>
        <v>#N/A</v>
      </c>
      <c r="AD157" s="4" t="e" cm="1">
        <f t="array" ref="AD157">_xlfn.XLOOKUP(1,('1994 E Maize Soil VWC'!$C$2:$C$4000=$AA157)*('1994 E Maize Soil VWC'!$D$2:$D$4000=$AB157)*('1994 E Maize Soil VWC'!$E$2:$E$4000=AD$5),'1994 E Maize Soil VWC'!$F$2:$F$4000)</f>
        <v>#N/A</v>
      </c>
      <c r="AE157" s="4" t="e" cm="1">
        <f t="array" ref="AE157">_xlfn.XLOOKUP(1,('1994 E Maize Soil VWC'!$C$2:$C$4000=$AA157)*('1994 E Maize Soil VWC'!$D$2:$D$4000=$AB157)*('1994 E Maize Soil VWC'!$E$2:$E$4000=AE$5),'1994 E Maize Soil VWC'!$F$2:$F$4000)</f>
        <v>#N/A</v>
      </c>
      <c r="AF157" s="4" t="e" cm="1">
        <f t="array" ref="AF157">_xlfn.XLOOKUP(1,('1994 E Maize Soil VWC'!$C$2:$C$4000=$AA157)*('1994 E Maize Soil VWC'!$D$2:$D$4000=$AB157)*('1994 E Maize Soil VWC'!$E$2:$E$4000=AF$5),'1994 E Maize Soil VWC'!$F$2:$F$4000)</f>
        <v>#N/A</v>
      </c>
      <c r="AG157" s="4" t="e" cm="1">
        <f t="array" ref="AG157">_xlfn.XLOOKUP(1,('1994 E Maize Soil VWC'!$C$2:$C$4000=$AA157)*('1994 E Maize Soil VWC'!$D$2:$D$4000=$AB157)*('1994 E Maize Soil VWC'!$E$2:$E$4000=AG$5),'1994 E Maize Soil VWC'!$F$2:$F$4000)</f>
        <v>#N/A</v>
      </c>
      <c r="AH157" s="4" t="e" cm="1">
        <f t="array" ref="AH157">_xlfn.XLOOKUP(1,('1994 E Maize Soil VWC'!$C$2:$C$4000=$AA157)*('1994 E Maize Soil VWC'!$D$2:$D$4000=$AB157)*('1994 E Maize Soil VWC'!$E$2:$E$4000=AH$5),'1994 E Maize Soil VWC'!$F$2:$F$4000)</f>
        <v>#N/A</v>
      </c>
      <c r="AI157" s="4" t="e" cm="1">
        <f t="array" ref="AI157">_xlfn.XLOOKUP(1,('1994 E Maize Soil VWC'!$C$2:$C$4000=$AA157)*('1994 E Maize Soil VWC'!$D$2:$D$4000=$AB157)*('1994 E Maize Soil VWC'!$E$2:$E$4000=AI$5),'1994 E Maize Soil VWC'!$F$2:$F$4000)</f>
        <v>#N/A</v>
      </c>
      <c r="AJ157" s="4" t="e" cm="1">
        <f t="array" ref="AJ157">_xlfn.XLOOKUP(1,('1994 E Maize Soil VWC'!$C$2:$C$4000=$AA157)*('1994 E Maize Soil VWC'!$D$2:$D$4000=$AB157)*('1994 E Maize Soil VWC'!$E$2:$E$4000=AJ$5),'1994 E Maize Soil VWC'!$F$2:$F$4000)</f>
        <v>#N/A</v>
      </c>
      <c r="AK157" s="4" t="e" cm="1">
        <f t="array" ref="AK157">_xlfn.XLOOKUP(1,('1994 E Maize Soil VWC'!$C$2:$C$4000=$AA157)*('1994 E Maize Soil VWC'!$D$2:$D$4000=$AB157)*('1994 E Maize Soil VWC'!$E$2:$E$4000=AK$5),'1994 E Maize Soil VWC'!$F$2:$F$4000)</f>
        <v>#N/A</v>
      </c>
      <c r="AL157" s="4" t="e" cm="1">
        <f t="array" ref="AL157">_xlfn.XLOOKUP(1,('1994 E Maize Soil VWC'!$C$2:$C$4000=$AA157)*('1994 E Maize Soil VWC'!$D$2:$D$4000=$AB157)*('1994 E Maize Soil VWC'!$E$2:$E$4000=AL$5),'1994 E Maize Soil VWC'!$F$2:$F$4000)</f>
        <v>#N/A</v>
      </c>
      <c r="AM157" s="4" t="e" cm="1">
        <f t="array" ref="AM157">_xlfn.XLOOKUP(1,('1994 E Maize Soil VWC'!$C$2:$C$4000=$AA157)*('1994 E Maize Soil VWC'!$D$2:$D$4000=$AB157)*('1994 E Maize Soil VWC'!$E$2:$E$4000=AM$5),'1994 E Maize Soil VWC'!$F$2:$F$4000)</f>
        <v>#N/A</v>
      </c>
      <c r="AN157" s="4" t="e" cm="1">
        <f t="array" ref="AN157">_xlfn.XLOOKUP(1,('1994 E Maize Soil VWC'!$C$2:$C$4000=$AA157)*('1994 E Maize Soil VWC'!$D$2:$D$4000=$AB157)*('1994 E Maize Soil VWC'!$E$2:$E$4000=AN$5),'1994 E Maize Soil VWC'!$F$2:$F$4000)</f>
        <v>#N/A</v>
      </c>
    </row>
    <row r="158" spans="25:40" x14ac:dyDescent="0.25">
      <c r="AA158" s="19">
        <f t="shared" si="22"/>
        <v>34334</v>
      </c>
      <c r="AB158" s="4">
        <f t="shared" si="23"/>
        <v>190</v>
      </c>
      <c r="AC158" s="4" t="e" cm="1">
        <f t="array" ref="AC158">_xlfn.XLOOKUP(1,('1994 E Maize Soil VWC'!$C$2:$C$4000=$AA158)*('1994 E Maize Soil VWC'!$D$2:$D$4000=$AB158)*('1994 E Maize Soil VWC'!$E$2:$E$4000=AC$5),'1994 E Maize Soil VWC'!$F$2:$F$4000)</f>
        <v>#N/A</v>
      </c>
      <c r="AD158" s="4" t="e" cm="1">
        <f t="array" ref="AD158">_xlfn.XLOOKUP(1,('1994 E Maize Soil VWC'!$C$2:$C$4000=$AA158)*('1994 E Maize Soil VWC'!$D$2:$D$4000=$AB158)*('1994 E Maize Soil VWC'!$E$2:$E$4000=AD$5),'1994 E Maize Soil VWC'!$F$2:$F$4000)</f>
        <v>#N/A</v>
      </c>
      <c r="AE158" s="4" t="e" cm="1">
        <f t="array" ref="AE158">_xlfn.XLOOKUP(1,('1994 E Maize Soil VWC'!$C$2:$C$4000=$AA158)*('1994 E Maize Soil VWC'!$D$2:$D$4000=$AB158)*('1994 E Maize Soil VWC'!$E$2:$E$4000=AE$5),'1994 E Maize Soil VWC'!$F$2:$F$4000)</f>
        <v>#N/A</v>
      </c>
      <c r="AF158" s="4" t="e" cm="1">
        <f t="array" ref="AF158">_xlfn.XLOOKUP(1,('1994 E Maize Soil VWC'!$C$2:$C$4000=$AA158)*('1994 E Maize Soil VWC'!$D$2:$D$4000=$AB158)*('1994 E Maize Soil VWC'!$E$2:$E$4000=AF$5),'1994 E Maize Soil VWC'!$F$2:$F$4000)</f>
        <v>#N/A</v>
      </c>
      <c r="AG158" s="4" t="e" cm="1">
        <f t="array" ref="AG158">_xlfn.XLOOKUP(1,('1994 E Maize Soil VWC'!$C$2:$C$4000=$AA158)*('1994 E Maize Soil VWC'!$D$2:$D$4000=$AB158)*('1994 E Maize Soil VWC'!$E$2:$E$4000=AG$5),'1994 E Maize Soil VWC'!$F$2:$F$4000)</f>
        <v>#N/A</v>
      </c>
      <c r="AH158" s="4" t="e" cm="1">
        <f t="array" ref="AH158">_xlfn.XLOOKUP(1,('1994 E Maize Soil VWC'!$C$2:$C$4000=$AA158)*('1994 E Maize Soil VWC'!$D$2:$D$4000=$AB158)*('1994 E Maize Soil VWC'!$E$2:$E$4000=AH$5),'1994 E Maize Soil VWC'!$F$2:$F$4000)</f>
        <v>#N/A</v>
      </c>
      <c r="AI158" s="4" t="e" cm="1">
        <f t="array" ref="AI158">_xlfn.XLOOKUP(1,('1994 E Maize Soil VWC'!$C$2:$C$4000=$AA158)*('1994 E Maize Soil VWC'!$D$2:$D$4000=$AB158)*('1994 E Maize Soil VWC'!$E$2:$E$4000=AI$5),'1994 E Maize Soil VWC'!$F$2:$F$4000)</f>
        <v>#N/A</v>
      </c>
      <c r="AJ158" s="4" t="e" cm="1">
        <f t="array" ref="AJ158">_xlfn.XLOOKUP(1,('1994 E Maize Soil VWC'!$C$2:$C$4000=$AA158)*('1994 E Maize Soil VWC'!$D$2:$D$4000=$AB158)*('1994 E Maize Soil VWC'!$E$2:$E$4000=AJ$5),'1994 E Maize Soil VWC'!$F$2:$F$4000)</f>
        <v>#N/A</v>
      </c>
      <c r="AK158" s="4" t="e" cm="1">
        <f t="array" ref="AK158">_xlfn.XLOOKUP(1,('1994 E Maize Soil VWC'!$C$2:$C$4000=$AA158)*('1994 E Maize Soil VWC'!$D$2:$D$4000=$AB158)*('1994 E Maize Soil VWC'!$E$2:$E$4000=AK$5),'1994 E Maize Soil VWC'!$F$2:$F$4000)</f>
        <v>#N/A</v>
      </c>
      <c r="AL158" s="4" t="e" cm="1">
        <f t="array" ref="AL158">_xlfn.XLOOKUP(1,('1994 E Maize Soil VWC'!$C$2:$C$4000=$AA158)*('1994 E Maize Soil VWC'!$D$2:$D$4000=$AB158)*('1994 E Maize Soil VWC'!$E$2:$E$4000=AL$5),'1994 E Maize Soil VWC'!$F$2:$F$4000)</f>
        <v>#N/A</v>
      </c>
      <c r="AM158" s="4" t="e" cm="1">
        <f t="array" ref="AM158">_xlfn.XLOOKUP(1,('1994 E Maize Soil VWC'!$C$2:$C$4000=$AA158)*('1994 E Maize Soil VWC'!$D$2:$D$4000=$AB158)*('1994 E Maize Soil VWC'!$E$2:$E$4000=AM$5),'1994 E Maize Soil VWC'!$F$2:$F$4000)</f>
        <v>#N/A</v>
      </c>
      <c r="AN158" s="4" t="e" cm="1">
        <f t="array" ref="AN158">_xlfn.XLOOKUP(1,('1994 E Maize Soil VWC'!$C$2:$C$4000=$AA158)*('1994 E Maize Soil VWC'!$D$2:$D$4000=$AB158)*('1994 E Maize Soil VWC'!$E$2:$E$4000=AN$5),'1994 E Maize Soil VWC'!$F$2:$F$4000)</f>
        <v>#N/A</v>
      </c>
    </row>
    <row r="159" spans="25:40" x14ac:dyDescent="0.25">
      <c r="AA159" s="19">
        <f t="shared" si="22"/>
        <v>34334</v>
      </c>
      <c r="AB159" s="4">
        <f t="shared" si="23"/>
        <v>210</v>
      </c>
      <c r="AC159" s="4" t="e" cm="1">
        <f t="array" ref="AC159">_xlfn.XLOOKUP(1,('1994 E Maize Soil VWC'!$C$2:$C$4000=$AA159)*('1994 E Maize Soil VWC'!$D$2:$D$4000=$AB159)*('1994 E Maize Soil VWC'!$E$2:$E$4000=AC$5),'1994 E Maize Soil VWC'!$F$2:$F$4000)</f>
        <v>#N/A</v>
      </c>
      <c r="AD159" s="4" t="e" cm="1">
        <f t="array" ref="AD159">_xlfn.XLOOKUP(1,('1994 E Maize Soil VWC'!$C$2:$C$4000=$AA159)*('1994 E Maize Soil VWC'!$D$2:$D$4000=$AB159)*('1994 E Maize Soil VWC'!$E$2:$E$4000=AD$5),'1994 E Maize Soil VWC'!$F$2:$F$4000)</f>
        <v>#N/A</v>
      </c>
      <c r="AE159" s="4" t="e" cm="1">
        <f t="array" ref="AE159">_xlfn.XLOOKUP(1,('1994 E Maize Soil VWC'!$C$2:$C$4000=$AA159)*('1994 E Maize Soil VWC'!$D$2:$D$4000=$AB159)*('1994 E Maize Soil VWC'!$E$2:$E$4000=AE$5),'1994 E Maize Soil VWC'!$F$2:$F$4000)</f>
        <v>#N/A</v>
      </c>
      <c r="AF159" s="4" t="e" cm="1">
        <f t="array" ref="AF159">_xlfn.XLOOKUP(1,('1994 E Maize Soil VWC'!$C$2:$C$4000=$AA159)*('1994 E Maize Soil VWC'!$D$2:$D$4000=$AB159)*('1994 E Maize Soil VWC'!$E$2:$E$4000=AF$5),'1994 E Maize Soil VWC'!$F$2:$F$4000)</f>
        <v>#N/A</v>
      </c>
      <c r="AG159" s="4" t="e" cm="1">
        <f t="array" ref="AG159">_xlfn.XLOOKUP(1,('1994 E Maize Soil VWC'!$C$2:$C$4000=$AA159)*('1994 E Maize Soil VWC'!$D$2:$D$4000=$AB159)*('1994 E Maize Soil VWC'!$E$2:$E$4000=AG$5),'1994 E Maize Soil VWC'!$F$2:$F$4000)</f>
        <v>#N/A</v>
      </c>
      <c r="AH159" s="4" t="e" cm="1">
        <f t="array" ref="AH159">_xlfn.XLOOKUP(1,('1994 E Maize Soil VWC'!$C$2:$C$4000=$AA159)*('1994 E Maize Soil VWC'!$D$2:$D$4000=$AB159)*('1994 E Maize Soil VWC'!$E$2:$E$4000=AH$5),'1994 E Maize Soil VWC'!$F$2:$F$4000)</f>
        <v>#N/A</v>
      </c>
      <c r="AI159" s="4" t="e" cm="1">
        <f t="array" ref="AI159">_xlfn.XLOOKUP(1,('1994 E Maize Soil VWC'!$C$2:$C$4000=$AA159)*('1994 E Maize Soil VWC'!$D$2:$D$4000=$AB159)*('1994 E Maize Soil VWC'!$E$2:$E$4000=AI$5),'1994 E Maize Soil VWC'!$F$2:$F$4000)</f>
        <v>#N/A</v>
      </c>
      <c r="AJ159" s="4" t="e" cm="1">
        <f t="array" ref="AJ159">_xlfn.XLOOKUP(1,('1994 E Maize Soil VWC'!$C$2:$C$4000=$AA159)*('1994 E Maize Soil VWC'!$D$2:$D$4000=$AB159)*('1994 E Maize Soil VWC'!$E$2:$E$4000=AJ$5),'1994 E Maize Soil VWC'!$F$2:$F$4000)</f>
        <v>#N/A</v>
      </c>
      <c r="AK159" s="4" t="e" cm="1">
        <f t="array" ref="AK159">_xlfn.XLOOKUP(1,('1994 E Maize Soil VWC'!$C$2:$C$4000=$AA159)*('1994 E Maize Soil VWC'!$D$2:$D$4000=$AB159)*('1994 E Maize Soil VWC'!$E$2:$E$4000=AK$5),'1994 E Maize Soil VWC'!$F$2:$F$4000)</f>
        <v>#N/A</v>
      </c>
      <c r="AL159" s="4" t="e" cm="1">
        <f t="array" ref="AL159">_xlfn.XLOOKUP(1,('1994 E Maize Soil VWC'!$C$2:$C$4000=$AA159)*('1994 E Maize Soil VWC'!$D$2:$D$4000=$AB159)*('1994 E Maize Soil VWC'!$E$2:$E$4000=AL$5),'1994 E Maize Soil VWC'!$F$2:$F$4000)</f>
        <v>#N/A</v>
      </c>
      <c r="AM159" s="4" t="e" cm="1">
        <f t="array" ref="AM159">_xlfn.XLOOKUP(1,('1994 E Maize Soil VWC'!$C$2:$C$4000=$AA159)*('1994 E Maize Soil VWC'!$D$2:$D$4000=$AB159)*('1994 E Maize Soil VWC'!$E$2:$E$4000=AM$5),'1994 E Maize Soil VWC'!$F$2:$F$4000)</f>
        <v>#N/A</v>
      </c>
      <c r="AN159" s="4" t="e" cm="1">
        <f t="array" ref="AN159">_xlfn.XLOOKUP(1,('1994 E Maize Soil VWC'!$C$2:$C$4000=$AA159)*('1994 E Maize Soil VWC'!$D$2:$D$4000=$AB159)*('1994 E Maize Soil VWC'!$E$2:$E$4000=AN$5),'1994 E Maize Soil VWC'!$F$2:$F$4000)</f>
        <v>#N/A</v>
      </c>
    </row>
    <row r="160" spans="25:40" x14ac:dyDescent="0.25">
      <c r="AA160" s="19">
        <f t="shared" si="22"/>
        <v>34334</v>
      </c>
      <c r="AB160" s="4">
        <f t="shared" si="23"/>
        <v>230</v>
      </c>
      <c r="AC160" s="4" t="e" cm="1">
        <f t="array" ref="AC160">_xlfn.XLOOKUP(1,('1994 E Maize Soil VWC'!$C$2:$C$4000=$AA160)*('1994 E Maize Soil VWC'!$D$2:$D$4000=$AB160)*('1994 E Maize Soil VWC'!$E$2:$E$4000=AC$5),'1994 E Maize Soil VWC'!$F$2:$F$4000)</f>
        <v>#N/A</v>
      </c>
      <c r="AD160" s="4" t="e" cm="1">
        <f t="array" ref="AD160">_xlfn.XLOOKUP(1,('1994 E Maize Soil VWC'!$C$2:$C$4000=$AA160)*('1994 E Maize Soil VWC'!$D$2:$D$4000=$AB160)*('1994 E Maize Soil VWC'!$E$2:$E$4000=AD$5),'1994 E Maize Soil VWC'!$F$2:$F$4000)</f>
        <v>#N/A</v>
      </c>
      <c r="AE160" s="4" t="e" cm="1">
        <f t="array" ref="AE160">_xlfn.XLOOKUP(1,('1994 E Maize Soil VWC'!$C$2:$C$4000=$AA160)*('1994 E Maize Soil VWC'!$D$2:$D$4000=$AB160)*('1994 E Maize Soil VWC'!$E$2:$E$4000=AE$5),'1994 E Maize Soil VWC'!$F$2:$F$4000)</f>
        <v>#N/A</v>
      </c>
      <c r="AF160" s="4" t="e" cm="1">
        <f t="array" ref="AF160">_xlfn.XLOOKUP(1,('1994 E Maize Soil VWC'!$C$2:$C$4000=$AA160)*('1994 E Maize Soil VWC'!$D$2:$D$4000=$AB160)*('1994 E Maize Soil VWC'!$E$2:$E$4000=AF$5),'1994 E Maize Soil VWC'!$F$2:$F$4000)</f>
        <v>#N/A</v>
      </c>
      <c r="AG160" s="4" t="e" cm="1">
        <f t="array" ref="AG160">_xlfn.XLOOKUP(1,('1994 E Maize Soil VWC'!$C$2:$C$4000=$AA160)*('1994 E Maize Soil VWC'!$D$2:$D$4000=$AB160)*('1994 E Maize Soil VWC'!$E$2:$E$4000=AG$5),'1994 E Maize Soil VWC'!$F$2:$F$4000)</f>
        <v>#N/A</v>
      </c>
      <c r="AH160" s="4" t="e" cm="1">
        <f t="array" ref="AH160">_xlfn.XLOOKUP(1,('1994 E Maize Soil VWC'!$C$2:$C$4000=$AA160)*('1994 E Maize Soil VWC'!$D$2:$D$4000=$AB160)*('1994 E Maize Soil VWC'!$E$2:$E$4000=AH$5),'1994 E Maize Soil VWC'!$F$2:$F$4000)</f>
        <v>#N/A</v>
      </c>
      <c r="AI160" s="4" t="e" cm="1">
        <f t="array" ref="AI160">_xlfn.XLOOKUP(1,('1994 E Maize Soil VWC'!$C$2:$C$4000=$AA160)*('1994 E Maize Soil VWC'!$D$2:$D$4000=$AB160)*('1994 E Maize Soil VWC'!$E$2:$E$4000=AI$5),'1994 E Maize Soil VWC'!$F$2:$F$4000)</f>
        <v>#N/A</v>
      </c>
      <c r="AJ160" s="4" t="e" cm="1">
        <f t="array" ref="AJ160">_xlfn.XLOOKUP(1,('1994 E Maize Soil VWC'!$C$2:$C$4000=$AA160)*('1994 E Maize Soil VWC'!$D$2:$D$4000=$AB160)*('1994 E Maize Soil VWC'!$E$2:$E$4000=AJ$5),'1994 E Maize Soil VWC'!$F$2:$F$4000)</f>
        <v>#N/A</v>
      </c>
      <c r="AK160" s="4" t="e" cm="1">
        <f t="array" ref="AK160">_xlfn.XLOOKUP(1,('1994 E Maize Soil VWC'!$C$2:$C$4000=$AA160)*('1994 E Maize Soil VWC'!$D$2:$D$4000=$AB160)*('1994 E Maize Soil VWC'!$E$2:$E$4000=AK$5),'1994 E Maize Soil VWC'!$F$2:$F$4000)</f>
        <v>#N/A</v>
      </c>
      <c r="AL160" s="4" t="e" cm="1">
        <f t="array" ref="AL160">_xlfn.XLOOKUP(1,('1994 E Maize Soil VWC'!$C$2:$C$4000=$AA160)*('1994 E Maize Soil VWC'!$D$2:$D$4000=$AB160)*('1994 E Maize Soil VWC'!$E$2:$E$4000=AL$5),'1994 E Maize Soil VWC'!$F$2:$F$4000)</f>
        <v>#N/A</v>
      </c>
      <c r="AM160" s="4" t="e" cm="1">
        <f t="array" ref="AM160">_xlfn.XLOOKUP(1,('1994 E Maize Soil VWC'!$C$2:$C$4000=$AA160)*('1994 E Maize Soil VWC'!$D$2:$D$4000=$AB160)*('1994 E Maize Soil VWC'!$E$2:$E$4000=AM$5),'1994 E Maize Soil VWC'!$F$2:$F$4000)</f>
        <v>#N/A</v>
      </c>
      <c r="AN160" s="4" t="e" cm="1">
        <f t="array" ref="AN160">_xlfn.XLOOKUP(1,('1994 E Maize Soil VWC'!$C$2:$C$4000=$AA160)*('1994 E Maize Soil VWC'!$D$2:$D$4000=$AB160)*('1994 E Maize Soil VWC'!$E$2:$E$4000=AN$5),'1994 E Maize Soil VWC'!$F$2:$F$4000)</f>
        <v>#N/A</v>
      </c>
    </row>
    <row r="162" spans="25:40" x14ac:dyDescent="0.25">
      <c r="Y162" s="4">
        <f>Y149</f>
        <v>1994</v>
      </c>
      <c r="Z162" s="4">
        <v>0</v>
      </c>
      <c r="AA162" s="19">
        <f>DATE(Y162,1,Z162)</f>
        <v>34334</v>
      </c>
      <c r="AB162" s="4">
        <v>10</v>
      </c>
      <c r="AC162" s="4" t="e" cm="1">
        <f t="array" ref="AC162">_xlfn.XLOOKUP(1,('1994 E Maize Soil VWC'!$C$2:$C$4000=$AA162)*('1994 E Maize Soil VWC'!$D$2:$D$4000=$AB162)*('1994 E Maize Soil VWC'!$E$2:$E$4000=AC$5),'1994 E Maize Soil VWC'!$F$2:$F$4000)</f>
        <v>#N/A</v>
      </c>
      <c r="AD162" s="4" t="e" cm="1">
        <f t="array" ref="AD162">_xlfn.XLOOKUP(1,('1994 E Maize Soil VWC'!$C$2:$C$4000=$AA162)*('1994 E Maize Soil VWC'!$D$2:$D$4000=$AB162)*('1994 E Maize Soil VWC'!$E$2:$E$4000=AD$5),'1994 E Maize Soil VWC'!$F$2:$F$4000)</f>
        <v>#N/A</v>
      </c>
      <c r="AE162" s="4" t="e" cm="1">
        <f t="array" ref="AE162">_xlfn.XLOOKUP(1,('1994 E Maize Soil VWC'!$C$2:$C$4000=$AA162)*('1994 E Maize Soil VWC'!$D$2:$D$4000=$AB162)*('1994 E Maize Soil VWC'!$E$2:$E$4000=AE$5),'1994 E Maize Soil VWC'!$F$2:$F$4000)</f>
        <v>#N/A</v>
      </c>
      <c r="AF162" s="4" t="e" cm="1">
        <f t="array" ref="AF162">_xlfn.XLOOKUP(1,('1994 E Maize Soil VWC'!$C$2:$C$4000=$AA162)*('1994 E Maize Soil VWC'!$D$2:$D$4000=$AB162)*('1994 E Maize Soil VWC'!$E$2:$E$4000=AF$5),'1994 E Maize Soil VWC'!$F$2:$F$4000)</f>
        <v>#N/A</v>
      </c>
      <c r="AG162" s="4" t="e" cm="1">
        <f t="array" ref="AG162">_xlfn.XLOOKUP(1,('1994 E Maize Soil VWC'!$C$2:$C$4000=$AA162)*('1994 E Maize Soil VWC'!$D$2:$D$4000=$AB162)*('1994 E Maize Soil VWC'!$E$2:$E$4000=AG$5),'1994 E Maize Soil VWC'!$F$2:$F$4000)</f>
        <v>#N/A</v>
      </c>
      <c r="AH162" s="4" t="e" cm="1">
        <f t="array" ref="AH162">_xlfn.XLOOKUP(1,('1994 E Maize Soil VWC'!$C$2:$C$4000=$AA162)*('1994 E Maize Soil VWC'!$D$2:$D$4000=$AB162)*('1994 E Maize Soil VWC'!$E$2:$E$4000=AH$5),'1994 E Maize Soil VWC'!$F$2:$F$4000)</f>
        <v>#N/A</v>
      </c>
      <c r="AI162" s="4" t="e" cm="1">
        <f t="array" ref="AI162">_xlfn.XLOOKUP(1,('1994 E Maize Soil VWC'!$C$2:$C$4000=$AA162)*('1994 E Maize Soil VWC'!$D$2:$D$4000=$AB162)*('1994 E Maize Soil VWC'!$E$2:$E$4000=AI$5),'1994 E Maize Soil VWC'!$F$2:$F$4000)</f>
        <v>#N/A</v>
      </c>
      <c r="AJ162" s="4" t="e" cm="1">
        <f t="array" ref="AJ162">_xlfn.XLOOKUP(1,('1994 E Maize Soil VWC'!$C$2:$C$4000=$AA162)*('1994 E Maize Soil VWC'!$D$2:$D$4000=$AB162)*('1994 E Maize Soil VWC'!$E$2:$E$4000=AJ$5),'1994 E Maize Soil VWC'!$F$2:$F$4000)</f>
        <v>#N/A</v>
      </c>
      <c r="AK162" s="4" t="e" cm="1">
        <f t="array" ref="AK162">_xlfn.XLOOKUP(1,('1994 E Maize Soil VWC'!$C$2:$C$4000=$AA162)*('1994 E Maize Soil VWC'!$D$2:$D$4000=$AB162)*('1994 E Maize Soil VWC'!$E$2:$E$4000=AK$5),'1994 E Maize Soil VWC'!$F$2:$F$4000)</f>
        <v>#N/A</v>
      </c>
      <c r="AL162" s="4" t="e" cm="1">
        <f t="array" ref="AL162">_xlfn.XLOOKUP(1,('1994 E Maize Soil VWC'!$C$2:$C$4000=$AA162)*('1994 E Maize Soil VWC'!$D$2:$D$4000=$AB162)*('1994 E Maize Soil VWC'!$E$2:$E$4000=AL$5),'1994 E Maize Soil VWC'!$F$2:$F$4000)</f>
        <v>#N/A</v>
      </c>
      <c r="AM162" s="4" t="e" cm="1">
        <f t="array" ref="AM162">_xlfn.XLOOKUP(1,('1994 E Maize Soil VWC'!$C$2:$C$4000=$AA162)*('1994 E Maize Soil VWC'!$D$2:$D$4000=$AB162)*('1994 E Maize Soil VWC'!$E$2:$E$4000=AM$5),'1994 E Maize Soil VWC'!$F$2:$F$4000)</f>
        <v>#N/A</v>
      </c>
      <c r="AN162" s="4" t="e" cm="1">
        <f t="array" ref="AN162">_xlfn.XLOOKUP(1,('1994 E Maize Soil VWC'!$C$2:$C$4000=$AA162)*('1994 E Maize Soil VWC'!$D$2:$D$4000=$AB162)*('1994 E Maize Soil VWC'!$E$2:$E$4000=AN$5),'1994 E Maize Soil VWC'!$F$2:$F$4000)</f>
        <v>#N/A</v>
      </c>
    </row>
    <row r="163" spans="25:40" x14ac:dyDescent="0.25">
      <c r="AA163" s="19">
        <f t="shared" ref="AA163:AA173" si="24">AA162</f>
        <v>34334</v>
      </c>
      <c r="AB163" s="4">
        <f t="shared" ref="AB163:AB173" si="25">AB162+20</f>
        <v>30</v>
      </c>
      <c r="AC163" s="4" t="e" cm="1">
        <f t="array" ref="AC163">_xlfn.XLOOKUP(1,('1994 E Maize Soil VWC'!$C$2:$C$4000=$AA163)*('1994 E Maize Soil VWC'!$D$2:$D$4000=$AB163)*('1994 E Maize Soil VWC'!$E$2:$E$4000=AC$5),'1994 E Maize Soil VWC'!$F$2:$F$4000)</f>
        <v>#N/A</v>
      </c>
      <c r="AD163" s="4" t="e" cm="1">
        <f t="array" ref="AD163">_xlfn.XLOOKUP(1,('1994 E Maize Soil VWC'!$C$2:$C$4000=$AA163)*('1994 E Maize Soil VWC'!$D$2:$D$4000=$AB163)*('1994 E Maize Soil VWC'!$E$2:$E$4000=AD$5),'1994 E Maize Soil VWC'!$F$2:$F$4000)</f>
        <v>#N/A</v>
      </c>
      <c r="AE163" s="4" t="e" cm="1">
        <f t="array" ref="AE163">_xlfn.XLOOKUP(1,('1994 E Maize Soil VWC'!$C$2:$C$4000=$AA163)*('1994 E Maize Soil VWC'!$D$2:$D$4000=$AB163)*('1994 E Maize Soil VWC'!$E$2:$E$4000=AE$5),'1994 E Maize Soil VWC'!$F$2:$F$4000)</f>
        <v>#N/A</v>
      </c>
      <c r="AF163" s="4" t="e" cm="1">
        <f t="array" ref="AF163">_xlfn.XLOOKUP(1,('1994 E Maize Soil VWC'!$C$2:$C$4000=$AA163)*('1994 E Maize Soil VWC'!$D$2:$D$4000=$AB163)*('1994 E Maize Soil VWC'!$E$2:$E$4000=AF$5),'1994 E Maize Soil VWC'!$F$2:$F$4000)</f>
        <v>#N/A</v>
      </c>
      <c r="AG163" s="4" t="e" cm="1">
        <f t="array" ref="AG163">_xlfn.XLOOKUP(1,('1994 E Maize Soil VWC'!$C$2:$C$4000=$AA163)*('1994 E Maize Soil VWC'!$D$2:$D$4000=$AB163)*('1994 E Maize Soil VWC'!$E$2:$E$4000=AG$5),'1994 E Maize Soil VWC'!$F$2:$F$4000)</f>
        <v>#N/A</v>
      </c>
      <c r="AH163" s="4" t="e" cm="1">
        <f t="array" ref="AH163">_xlfn.XLOOKUP(1,('1994 E Maize Soil VWC'!$C$2:$C$4000=$AA163)*('1994 E Maize Soil VWC'!$D$2:$D$4000=$AB163)*('1994 E Maize Soil VWC'!$E$2:$E$4000=AH$5),'1994 E Maize Soil VWC'!$F$2:$F$4000)</f>
        <v>#N/A</v>
      </c>
      <c r="AI163" s="4" t="e" cm="1">
        <f t="array" ref="AI163">_xlfn.XLOOKUP(1,('1994 E Maize Soil VWC'!$C$2:$C$4000=$AA163)*('1994 E Maize Soil VWC'!$D$2:$D$4000=$AB163)*('1994 E Maize Soil VWC'!$E$2:$E$4000=AI$5),'1994 E Maize Soil VWC'!$F$2:$F$4000)</f>
        <v>#N/A</v>
      </c>
      <c r="AJ163" s="4" t="e" cm="1">
        <f t="array" ref="AJ163">_xlfn.XLOOKUP(1,('1994 E Maize Soil VWC'!$C$2:$C$4000=$AA163)*('1994 E Maize Soil VWC'!$D$2:$D$4000=$AB163)*('1994 E Maize Soil VWC'!$E$2:$E$4000=AJ$5),'1994 E Maize Soil VWC'!$F$2:$F$4000)</f>
        <v>#N/A</v>
      </c>
      <c r="AK163" s="4" t="e" cm="1">
        <f t="array" ref="AK163">_xlfn.XLOOKUP(1,('1994 E Maize Soil VWC'!$C$2:$C$4000=$AA163)*('1994 E Maize Soil VWC'!$D$2:$D$4000=$AB163)*('1994 E Maize Soil VWC'!$E$2:$E$4000=AK$5),'1994 E Maize Soil VWC'!$F$2:$F$4000)</f>
        <v>#N/A</v>
      </c>
      <c r="AL163" s="4" t="e" cm="1">
        <f t="array" ref="AL163">_xlfn.XLOOKUP(1,('1994 E Maize Soil VWC'!$C$2:$C$4000=$AA163)*('1994 E Maize Soil VWC'!$D$2:$D$4000=$AB163)*('1994 E Maize Soil VWC'!$E$2:$E$4000=AL$5),'1994 E Maize Soil VWC'!$F$2:$F$4000)</f>
        <v>#N/A</v>
      </c>
      <c r="AM163" s="4" t="e" cm="1">
        <f t="array" ref="AM163">_xlfn.XLOOKUP(1,('1994 E Maize Soil VWC'!$C$2:$C$4000=$AA163)*('1994 E Maize Soil VWC'!$D$2:$D$4000=$AB163)*('1994 E Maize Soil VWC'!$E$2:$E$4000=AM$5),'1994 E Maize Soil VWC'!$F$2:$F$4000)</f>
        <v>#N/A</v>
      </c>
      <c r="AN163" s="4" t="e" cm="1">
        <f t="array" ref="AN163">_xlfn.XLOOKUP(1,('1994 E Maize Soil VWC'!$C$2:$C$4000=$AA163)*('1994 E Maize Soil VWC'!$D$2:$D$4000=$AB163)*('1994 E Maize Soil VWC'!$E$2:$E$4000=AN$5),'1994 E Maize Soil VWC'!$F$2:$F$4000)</f>
        <v>#N/A</v>
      </c>
    </row>
    <row r="164" spans="25:40" x14ac:dyDescent="0.25">
      <c r="AA164" s="19">
        <f t="shared" si="24"/>
        <v>34334</v>
      </c>
      <c r="AB164" s="4">
        <f t="shared" si="25"/>
        <v>50</v>
      </c>
      <c r="AC164" s="4" t="e" cm="1">
        <f t="array" ref="AC164">_xlfn.XLOOKUP(1,('1994 E Maize Soil VWC'!$C$2:$C$4000=$AA164)*('1994 E Maize Soil VWC'!$D$2:$D$4000=$AB164)*('1994 E Maize Soil VWC'!$E$2:$E$4000=AC$5),'1994 E Maize Soil VWC'!$F$2:$F$4000)</f>
        <v>#N/A</v>
      </c>
      <c r="AD164" s="4" t="e" cm="1">
        <f t="array" ref="AD164">_xlfn.XLOOKUP(1,('1994 E Maize Soil VWC'!$C$2:$C$4000=$AA164)*('1994 E Maize Soil VWC'!$D$2:$D$4000=$AB164)*('1994 E Maize Soil VWC'!$E$2:$E$4000=AD$5),'1994 E Maize Soil VWC'!$F$2:$F$4000)</f>
        <v>#N/A</v>
      </c>
      <c r="AE164" s="4" t="e" cm="1">
        <f t="array" ref="AE164">_xlfn.XLOOKUP(1,('1994 E Maize Soil VWC'!$C$2:$C$4000=$AA164)*('1994 E Maize Soil VWC'!$D$2:$D$4000=$AB164)*('1994 E Maize Soil VWC'!$E$2:$E$4000=AE$5),'1994 E Maize Soil VWC'!$F$2:$F$4000)</f>
        <v>#N/A</v>
      </c>
      <c r="AF164" s="4" t="e" cm="1">
        <f t="array" ref="AF164">_xlfn.XLOOKUP(1,('1994 E Maize Soil VWC'!$C$2:$C$4000=$AA164)*('1994 E Maize Soil VWC'!$D$2:$D$4000=$AB164)*('1994 E Maize Soil VWC'!$E$2:$E$4000=AF$5),'1994 E Maize Soil VWC'!$F$2:$F$4000)</f>
        <v>#N/A</v>
      </c>
      <c r="AG164" s="4" t="e" cm="1">
        <f t="array" ref="AG164">_xlfn.XLOOKUP(1,('1994 E Maize Soil VWC'!$C$2:$C$4000=$AA164)*('1994 E Maize Soil VWC'!$D$2:$D$4000=$AB164)*('1994 E Maize Soil VWC'!$E$2:$E$4000=AG$5),'1994 E Maize Soil VWC'!$F$2:$F$4000)</f>
        <v>#N/A</v>
      </c>
      <c r="AH164" s="4" t="e" cm="1">
        <f t="array" ref="AH164">_xlfn.XLOOKUP(1,('1994 E Maize Soil VWC'!$C$2:$C$4000=$AA164)*('1994 E Maize Soil VWC'!$D$2:$D$4000=$AB164)*('1994 E Maize Soil VWC'!$E$2:$E$4000=AH$5),'1994 E Maize Soil VWC'!$F$2:$F$4000)</f>
        <v>#N/A</v>
      </c>
      <c r="AI164" s="4" t="e" cm="1">
        <f t="array" ref="AI164">_xlfn.XLOOKUP(1,('1994 E Maize Soil VWC'!$C$2:$C$4000=$AA164)*('1994 E Maize Soil VWC'!$D$2:$D$4000=$AB164)*('1994 E Maize Soil VWC'!$E$2:$E$4000=AI$5),'1994 E Maize Soil VWC'!$F$2:$F$4000)</f>
        <v>#N/A</v>
      </c>
      <c r="AJ164" s="4" t="e" cm="1">
        <f t="array" ref="AJ164">_xlfn.XLOOKUP(1,('1994 E Maize Soil VWC'!$C$2:$C$4000=$AA164)*('1994 E Maize Soil VWC'!$D$2:$D$4000=$AB164)*('1994 E Maize Soil VWC'!$E$2:$E$4000=AJ$5),'1994 E Maize Soil VWC'!$F$2:$F$4000)</f>
        <v>#N/A</v>
      </c>
      <c r="AK164" s="4" t="e" cm="1">
        <f t="array" ref="AK164">_xlfn.XLOOKUP(1,('1994 E Maize Soil VWC'!$C$2:$C$4000=$AA164)*('1994 E Maize Soil VWC'!$D$2:$D$4000=$AB164)*('1994 E Maize Soil VWC'!$E$2:$E$4000=AK$5),'1994 E Maize Soil VWC'!$F$2:$F$4000)</f>
        <v>#N/A</v>
      </c>
      <c r="AL164" s="4" t="e" cm="1">
        <f t="array" ref="AL164">_xlfn.XLOOKUP(1,('1994 E Maize Soil VWC'!$C$2:$C$4000=$AA164)*('1994 E Maize Soil VWC'!$D$2:$D$4000=$AB164)*('1994 E Maize Soil VWC'!$E$2:$E$4000=AL$5),'1994 E Maize Soil VWC'!$F$2:$F$4000)</f>
        <v>#N/A</v>
      </c>
      <c r="AM164" s="4" t="e" cm="1">
        <f t="array" ref="AM164">_xlfn.XLOOKUP(1,('1994 E Maize Soil VWC'!$C$2:$C$4000=$AA164)*('1994 E Maize Soil VWC'!$D$2:$D$4000=$AB164)*('1994 E Maize Soil VWC'!$E$2:$E$4000=AM$5),'1994 E Maize Soil VWC'!$F$2:$F$4000)</f>
        <v>#N/A</v>
      </c>
      <c r="AN164" s="4" t="e" cm="1">
        <f t="array" ref="AN164">_xlfn.XLOOKUP(1,('1994 E Maize Soil VWC'!$C$2:$C$4000=$AA164)*('1994 E Maize Soil VWC'!$D$2:$D$4000=$AB164)*('1994 E Maize Soil VWC'!$E$2:$E$4000=AN$5),'1994 E Maize Soil VWC'!$F$2:$F$4000)</f>
        <v>#N/A</v>
      </c>
    </row>
    <row r="165" spans="25:40" x14ac:dyDescent="0.25">
      <c r="AA165" s="19">
        <f t="shared" si="24"/>
        <v>34334</v>
      </c>
      <c r="AB165" s="4">
        <f t="shared" si="25"/>
        <v>70</v>
      </c>
      <c r="AC165" s="4" t="e" cm="1">
        <f t="array" ref="AC165">_xlfn.XLOOKUP(1,('1994 E Maize Soil VWC'!$C$2:$C$4000=$AA165)*('1994 E Maize Soil VWC'!$D$2:$D$4000=$AB165)*('1994 E Maize Soil VWC'!$E$2:$E$4000=AC$5),'1994 E Maize Soil VWC'!$F$2:$F$4000)</f>
        <v>#N/A</v>
      </c>
      <c r="AD165" s="4" t="e" cm="1">
        <f t="array" ref="AD165">_xlfn.XLOOKUP(1,('1994 E Maize Soil VWC'!$C$2:$C$4000=$AA165)*('1994 E Maize Soil VWC'!$D$2:$D$4000=$AB165)*('1994 E Maize Soil VWC'!$E$2:$E$4000=AD$5),'1994 E Maize Soil VWC'!$F$2:$F$4000)</f>
        <v>#N/A</v>
      </c>
      <c r="AE165" s="4" t="e" cm="1">
        <f t="array" ref="AE165">_xlfn.XLOOKUP(1,('1994 E Maize Soil VWC'!$C$2:$C$4000=$AA165)*('1994 E Maize Soil VWC'!$D$2:$D$4000=$AB165)*('1994 E Maize Soil VWC'!$E$2:$E$4000=AE$5),'1994 E Maize Soil VWC'!$F$2:$F$4000)</f>
        <v>#N/A</v>
      </c>
      <c r="AF165" s="4" t="e" cm="1">
        <f t="array" ref="AF165">_xlfn.XLOOKUP(1,('1994 E Maize Soil VWC'!$C$2:$C$4000=$AA165)*('1994 E Maize Soil VWC'!$D$2:$D$4000=$AB165)*('1994 E Maize Soil VWC'!$E$2:$E$4000=AF$5),'1994 E Maize Soil VWC'!$F$2:$F$4000)</f>
        <v>#N/A</v>
      </c>
      <c r="AG165" s="4" t="e" cm="1">
        <f t="array" ref="AG165">_xlfn.XLOOKUP(1,('1994 E Maize Soil VWC'!$C$2:$C$4000=$AA165)*('1994 E Maize Soil VWC'!$D$2:$D$4000=$AB165)*('1994 E Maize Soil VWC'!$E$2:$E$4000=AG$5),'1994 E Maize Soil VWC'!$F$2:$F$4000)</f>
        <v>#N/A</v>
      </c>
      <c r="AH165" s="4" t="e" cm="1">
        <f t="array" ref="AH165">_xlfn.XLOOKUP(1,('1994 E Maize Soil VWC'!$C$2:$C$4000=$AA165)*('1994 E Maize Soil VWC'!$D$2:$D$4000=$AB165)*('1994 E Maize Soil VWC'!$E$2:$E$4000=AH$5),'1994 E Maize Soil VWC'!$F$2:$F$4000)</f>
        <v>#N/A</v>
      </c>
      <c r="AI165" s="4" t="e" cm="1">
        <f t="array" ref="AI165">_xlfn.XLOOKUP(1,('1994 E Maize Soil VWC'!$C$2:$C$4000=$AA165)*('1994 E Maize Soil VWC'!$D$2:$D$4000=$AB165)*('1994 E Maize Soil VWC'!$E$2:$E$4000=AI$5),'1994 E Maize Soil VWC'!$F$2:$F$4000)</f>
        <v>#N/A</v>
      </c>
      <c r="AJ165" s="4" t="e" cm="1">
        <f t="array" ref="AJ165">_xlfn.XLOOKUP(1,('1994 E Maize Soil VWC'!$C$2:$C$4000=$AA165)*('1994 E Maize Soil VWC'!$D$2:$D$4000=$AB165)*('1994 E Maize Soil VWC'!$E$2:$E$4000=AJ$5),'1994 E Maize Soil VWC'!$F$2:$F$4000)</f>
        <v>#N/A</v>
      </c>
      <c r="AK165" s="4" t="e" cm="1">
        <f t="array" ref="AK165">_xlfn.XLOOKUP(1,('1994 E Maize Soil VWC'!$C$2:$C$4000=$AA165)*('1994 E Maize Soil VWC'!$D$2:$D$4000=$AB165)*('1994 E Maize Soil VWC'!$E$2:$E$4000=AK$5),'1994 E Maize Soil VWC'!$F$2:$F$4000)</f>
        <v>#N/A</v>
      </c>
      <c r="AL165" s="4" t="e" cm="1">
        <f t="array" ref="AL165">_xlfn.XLOOKUP(1,('1994 E Maize Soil VWC'!$C$2:$C$4000=$AA165)*('1994 E Maize Soil VWC'!$D$2:$D$4000=$AB165)*('1994 E Maize Soil VWC'!$E$2:$E$4000=AL$5),'1994 E Maize Soil VWC'!$F$2:$F$4000)</f>
        <v>#N/A</v>
      </c>
      <c r="AM165" s="4" t="e" cm="1">
        <f t="array" ref="AM165">_xlfn.XLOOKUP(1,('1994 E Maize Soil VWC'!$C$2:$C$4000=$AA165)*('1994 E Maize Soil VWC'!$D$2:$D$4000=$AB165)*('1994 E Maize Soil VWC'!$E$2:$E$4000=AM$5),'1994 E Maize Soil VWC'!$F$2:$F$4000)</f>
        <v>#N/A</v>
      </c>
      <c r="AN165" s="4" t="e" cm="1">
        <f t="array" ref="AN165">_xlfn.XLOOKUP(1,('1994 E Maize Soil VWC'!$C$2:$C$4000=$AA165)*('1994 E Maize Soil VWC'!$D$2:$D$4000=$AB165)*('1994 E Maize Soil VWC'!$E$2:$E$4000=AN$5),'1994 E Maize Soil VWC'!$F$2:$F$4000)</f>
        <v>#N/A</v>
      </c>
    </row>
    <row r="166" spans="25:40" x14ac:dyDescent="0.25">
      <c r="AA166" s="19">
        <f t="shared" si="24"/>
        <v>34334</v>
      </c>
      <c r="AB166" s="4">
        <f t="shared" si="25"/>
        <v>90</v>
      </c>
      <c r="AC166" s="4" t="e" cm="1">
        <f t="array" ref="AC166">_xlfn.XLOOKUP(1,('1994 E Maize Soil VWC'!$C$2:$C$4000=$AA166)*('1994 E Maize Soil VWC'!$D$2:$D$4000=$AB166)*('1994 E Maize Soil VWC'!$E$2:$E$4000=AC$5),'1994 E Maize Soil VWC'!$F$2:$F$4000)</f>
        <v>#N/A</v>
      </c>
      <c r="AD166" s="4" t="e" cm="1">
        <f t="array" ref="AD166">_xlfn.XLOOKUP(1,('1994 E Maize Soil VWC'!$C$2:$C$4000=$AA166)*('1994 E Maize Soil VWC'!$D$2:$D$4000=$AB166)*('1994 E Maize Soil VWC'!$E$2:$E$4000=AD$5),'1994 E Maize Soil VWC'!$F$2:$F$4000)</f>
        <v>#N/A</v>
      </c>
      <c r="AE166" s="4" t="e" cm="1">
        <f t="array" ref="AE166">_xlfn.XLOOKUP(1,('1994 E Maize Soil VWC'!$C$2:$C$4000=$AA166)*('1994 E Maize Soil VWC'!$D$2:$D$4000=$AB166)*('1994 E Maize Soil VWC'!$E$2:$E$4000=AE$5),'1994 E Maize Soil VWC'!$F$2:$F$4000)</f>
        <v>#N/A</v>
      </c>
      <c r="AF166" s="4" t="e" cm="1">
        <f t="array" ref="AF166">_xlfn.XLOOKUP(1,('1994 E Maize Soil VWC'!$C$2:$C$4000=$AA166)*('1994 E Maize Soil VWC'!$D$2:$D$4000=$AB166)*('1994 E Maize Soil VWC'!$E$2:$E$4000=AF$5),'1994 E Maize Soil VWC'!$F$2:$F$4000)</f>
        <v>#N/A</v>
      </c>
      <c r="AG166" s="4" t="e" cm="1">
        <f t="array" ref="AG166">_xlfn.XLOOKUP(1,('1994 E Maize Soil VWC'!$C$2:$C$4000=$AA166)*('1994 E Maize Soil VWC'!$D$2:$D$4000=$AB166)*('1994 E Maize Soil VWC'!$E$2:$E$4000=AG$5),'1994 E Maize Soil VWC'!$F$2:$F$4000)</f>
        <v>#N/A</v>
      </c>
      <c r="AH166" s="4" t="e" cm="1">
        <f t="array" ref="AH166">_xlfn.XLOOKUP(1,('1994 E Maize Soil VWC'!$C$2:$C$4000=$AA166)*('1994 E Maize Soil VWC'!$D$2:$D$4000=$AB166)*('1994 E Maize Soil VWC'!$E$2:$E$4000=AH$5),'1994 E Maize Soil VWC'!$F$2:$F$4000)</f>
        <v>#N/A</v>
      </c>
      <c r="AI166" s="4" t="e" cm="1">
        <f t="array" ref="AI166">_xlfn.XLOOKUP(1,('1994 E Maize Soil VWC'!$C$2:$C$4000=$AA166)*('1994 E Maize Soil VWC'!$D$2:$D$4000=$AB166)*('1994 E Maize Soil VWC'!$E$2:$E$4000=AI$5),'1994 E Maize Soil VWC'!$F$2:$F$4000)</f>
        <v>#N/A</v>
      </c>
      <c r="AJ166" s="4" t="e" cm="1">
        <f t="array" ref="AJ166">_xlfn.XLOOKUP(1,('1994 E Maize Soil VWC'!$C$2:$C$4000=$AA166)*('1994 E Maize Soil VWC'!$D$2:$D$4000=$AB166)*('1994 E Maize Soil VWC'!$E$2:$E$4000=AJ$5),'1994 E Maize Soil VWC'!$F$2:$F$4000)</f>
        <v>#N/A</v>
      </c>
      <c r="AK166" s="4" t="e" cm="1">
        <f t="array" ref="AK166">_xlfn.XLOOKUP(1,('1994 E Maize Soil VWC'!$C$2:$C$4000=$AA166)*('1994 E Maize Soil VWC'!$D$2:$D$4000=$AB166)*('1994 E Maize Soil VWC'!$E$2:$E$4000=AK$5),'1994 E Maize Soil VWC'!$F$2:$F$4000)</f>
        <v>#N/A</v>
      </c>
      <c r="AL166" s="4" t="e" cm="1">
        <f t="array" ref="AL166">_xlfn.XLOOKUP(1,('1994 E Maize Soil VWC'!$C$2:$C$4000=$AA166)*('1994 E Maize Soil VWC'!$D$2:$D$4000=$AB166)*('1994 E Maize Soil VWC'!$E$2:$E$4000=AL$5),'1994 E Maize Soil VWC'!$F$2:$F$4000)</f>
        <v>#N/A</v>
      </c>
      <c r="AM166" s="4" t="e" cm="1">
        <f t="array" ref="AM166">_xlfn.XLOOKUP(1,('1994 E Maize Soil VWC'!$C$2:$C$4000=$AA166)*('1994 E Maize Soil VWC'!$D$2:$D$4000=$AB166)*('1994 E Maize Soil VWC'!$E$2:$E$4000=AM$5),'1994 E Maize Soil VWC'!$F$2:$F$4000)</f>
        <v>#N/A</v>
      </c>
      <c r="AN166" s="4" t="e" cm="1">
        <f t="array" ref="AN166">_xlfn.XLOOKUP(1,('1994 E Maize Soil VWC'!$C$2:$C$4000=$AA166)*('1994 E Maize Soil VWC'!$D$2:$D$4000=$AB166)*('1994 E Maize Soil VWC'!$E$2:$E$4000=AN$5),'1994 E Maize Soil VWC'!$F$2:$F$4000)</f>
        <v>#N/A</v>
      </c>
    </row>
    <row r="167" spans="25:40" x14ac:dyDescent="0.25">
      <c r="AA167" s="19">
        <f t="shared" si="24"/>
        <v>34334</v>
      </c>
      <c r="AB167" s="4">
        <f t="shared" si="25"/>
        <v>110</v>
      </c>
      <c r="AC167" s="4" t="e" cm="1">
        <f t="array" ref="AC167">_xlfn.XLOOKUP(1,('1994 E Maize Soil VWC'!$C$2:$C$4000=$AA167)*('1994 E Maize Soil VWC'!$D$2:$D$4000=$AB167)*('1994 E Maize Soil VWC'!$E$2:$E$4000=AC$5),'1994 E Maize Soil VWC'!$F$2:$F$4000)</f>
        <v>#N/A</v>
      </c>
      <c r="AD167" s="4" t="e" cm="1">
        <f t="array" ref="AD167">_xlfn.XLOOKUP(1,('1994 E Maize Soil VWC'!$C$2:$C$4000=$AA167)*('1994 E Maize Soil VWC'!$D$2:$D$4000=$AB167)*('1994 E Maize Soil VWC'!$E$2:$E$4000=AD$5),'1994 E Maize Soil VWC'!$F$2:$F$4000)</f>
        <v>#N/A</v>
      </c>
      <c r="AE167" s="4" t="e" cm="1">
        <f t="array" ref="AE167">_xlfn.XLOOKUP(1,('1994 E Maize Soil VWC'!$C$2:$C$4000=$AA167)*('1994 E Maize Soil VWC'!$D$2:$D$4000=$AB167)*('1994 E Maize Soil VWC'!$E$2:$E$4000=AE$5),'1994 E Maize Soil VWC'!$F$2:$F$4000)</f>
        <v>#N/A</v>
      </c>
      <c r="AF167" s="4" t="e" cm="1">
        <f t="array" ref="AF167">_xlfn.XLOOKUP(1,('1994 E Maize Soil VWC'!$C$2:$C$4000=$AA167)*('1994 E Maize Soil VWC'!$D$2:$D$4000=$AB167)*('1994 E Maize Soil VWC'!$E$2:$E$4000=AF$5),'1994 E Maize Soil VWC'!$F$2:$F$4000)</f>
        <v>#N/A</v>
      </c>
      <c r="AG167" s="4" t="e" cm="1">
        <f t="array" ref="AG167">_xlfn.XLOOKUP(1,('1994 E Maize Soil VWC'!$C$2:$C$4000=$AA167)*('1994 E Maize Soil VWC'!$D$2:$D$4000=$AB167)*('1994 E Maize Soil VWC'!$E$2:$E$4000=AG$5),'1994 E Maize Soil VWC'!$F$2:$F$4000)</f>
        <v>#N/A</v>
      </c>
      <c r="AH167" s="4" t="e" cm="1">
        <f t="array" ref="AH167">_xlfn.XLOOKUP(1,('1994 E Maize Soil VWC'!$C$2:$C$4000=$AA167)*('1994 E Maize Soil VWC'!$D$2:$D$4000=$AB167)*('1994 E Maize Soil VWC'!$E$2:$E$4000=AH$5),'1994 E Maize Soil VWC'!$F$2:$F$4000)</f>
        <v>#N/A</v>
      </c>
      <c r="AI167" s="4" t="e" cm="1">
        <f t="array" ref="AI167">_xlfn.XLOOKUP(1,('1994 E Maize Soil VWC'!$C$2:$C$4000=$AA167)*('1994 E Maize Soil VWC'!$D$2:$D$4000=$AB167)*('1994 E Maize Soil VWC'!$E$2:$E$4000=AI$5),'1994 E Maize Soil VWC'!$F$2:$F$4000)</f>
        <v>#N/A</v>
      </c>
      <c r="AJ167" s="4" t="e" cm="1">
        <f t="array" ref="AJ167">_xlfn.XLOOKUP(1,('1994 E Maize Soil VWC'!$C$2:$C$4000=$AA167)*('1994 E Maize Soil VWC'!$D$2:$D$4000=$AB167)*('1994 E Maize Soil VWC'!$E$2:$E$4000=AJ$5),'1994 E Maize Soil VWC'!$F$2:$F$4000)</f>
        <v>#N/A</v>
      </c>
      <c r="AK167" s="4" t="e" cm="1">
        <f t="array" ref="AK167">_xlfn.XLOOKUP(1,('1994 E Maize Soil VWC'!$C$2:$C$4000=$AA167)*('1994 E Maize Soil VWC'!$D$2:$D$4000=$AB167)*('1994 E Maize Soil VWC'!$E$2:$E$4000=AK$5),'1994 E Maize Soil VWC'!$F$2:$F$4000)</f>
        <v>#N/A</v>
      </c>
      <c r="AL167" s="4" t="e" cm="1">
        <f t="array" ref="AL167">_xlfn.XLOOKUP(1,('1994 E Maize Soil VWC'!$C$2:$C$4000=$AA167)*('1994 E Maize Soil VWC'!$D$2:$D$4000=$AB167)*('1994 E Maize Soil VWC'!$E$2:$E$4000=AL$5),'1994 E Maize Soil VWC'!$F$2:$F$4000)</f>
        <v>#N/A</v>
      </c>
      <c r="AM167" s="4" t="e" cm="1">
        <f t="array" ref="AM167">_xlfn.XLOOKUP(1,('1994 E Maize Soil VWC'!$C$2:$C$4000=$AA167)*('1994 E Maize Soil VWC'!$D$2:$D$4000=$AB167)*('1994 E Maize Soil VWC'!$E$2:$E$4000=AM$5),'1994 E Maize Soil VWC'!$F$2:$F$4000)</f>
        <v>#N/A</v>
      </c>
      <c r="AN167" s="4" t="e" cm="1">
        <f t="array" ref="AN167">_xlfn.XLOOKUP(1,('1994 E Maize Soil VWC'!$C$2:$C$4000=$AA167)*('1994 E Maize Soil VWC'!$D$2:$D$4000=$AB167)*('1994 E Maize Soil VWC'!$E$2:$E$4000=AN$5),'1994 E Maize Soil VWC'!$F$2:$F$4000)</f>
        <v>#N/A</v>
      </c>
    </row>
    <row r="168" spans="25:40" x14ac:dyDescent="0.25">
      <c r="AA168" s="19">
        <f t="shared" si="24"/>
        <v>34334</v>
      </c>
      <c r="AB168" s="4">
        <f t="shared" si="25"/>
        <v>130</v>
      </c>
      <c r="AC168" s="4" t="e" cm="1">
        <f t="array" ref="AC168">_xlfn.XLOOKUP(1,('1994 E Maize Soil VWC'!$C$2:$C$4000=$AA168)*('1994 E Maize Soil VWC'!$D$2:$D$4000=$AB168)*('1994 E Maize Soil VWC'!$E$2:$E$4000=AC$5),'1994 E Maize Soil VWC'!$F$2:$F$4000)</f>
        <v>#N/A</v>
      </c>
      <c r="AD168" s="4" t="e" cm="1">
        <f t="array" ref="AD168">_xlfn.XLOOKUP(1,('1994 E Maize Soil VWC'!$C$2:$C$4000=$AA168)*('1994 E Maize Soil VWC'!$D$2:$D$4000=$AB168)*('1994 E Maize Soil VWC'!$E$2:$E$4000=AD$5),'1994 E Maize Soil VWC'!$F$2:$F$4000)</f>
        <v>#N/A</v>
      </c>
      <c r="AE168" s="4" t="e" cm="1">
        <f t="array" ref="AE168">_xlfn.XLOOKUP(1,('1994 E Maize Soil VWC'!$C$2:$C$4000=$AA168)*('1994 E Maize Soil VWC'!$D$2:$D$4000=$AB168)*('1994 E Maize Soil VWC'!$E$2:$E$4000=AE$5),'1994 E Maize Soil VWC'!$F$2:$F$4000)</f>
        <v>#N/A</v>
      </c>
      <c r="AF168" s="4" t="e" cm="1">
        <f t="array" ref="AF168">_xlfn.XLOOKUP(1,('1994 E Maize Soil VWC'!$C$2:$C$4000=$AA168)*('1994 E Maize Soil VWC'!$D$2:$D$4000=$AB168)*('1994 E Maize Soil VWC'!$E$2:$E$4000=AF$5),'1994 E Maize Soil VWC'!$F$2:$F$4000)</f>
        <v>#N/A</v>
      </c>
      <c r="AG168" s="4" t="e" cm="1">
        <f t="array" ref="AG168">_xlfn.XLOOKUP(1,('1994 E Maize Soil VWC'!$C$2:$C$4000=$AA168)*('1994 E Maize Soil VWC'!$D$2:$D$4000=$AB168)*('1994 E Maize Soil VWC'!$E$2:$E$4000=AG$5),'1994 E Maize Soil VWC'!$F$2:$F$4000)</f>
        <v>#N/A</v>
      </c>
      <c r="AH168" s="4" t="e" cm="1">
        <f t="array" ref="AH168">_xlfn.XLOOKUP(1,('1994 E Maize Soil VWC'!$C$2:$C$4000=$AA168)*('1994 E Maize Soil VWC'!$D$2:$D$4000=$AB168)*('1994 E Maize Soil VWC'!$E$2:$E$4000=AH$5),'1994 E Maize Soil VWC'!$F$2:$F$4000)</f>
        <v>#N/A</v>
      </c>
      <c r="AI168" s="4" t="e" cm="1">
        <f t="array" ref="AI168">_xlfn.XLOOKUP(1,('1994 E Maize Soil VWC'!$C$2:$C$4000=$AA168)*('1994 E Maize Soil VWC'!$D$2:$D$4000=$AB168)*('1994 E Maize Soil VWC'!$E$2:$E$4000=AI$5),'1994 E Maize Soil VWC'!$F$2:$F$4000)</f>
        <v>#N/A</v>
      </c>
      <c r="AJ168" s="4" t="e" cm="1">
        <f t="array" ref="AJ168">_xlfn.XLOOKUP(1,('1994 E Maize Soil VWC'!$C$2:$C$4000=$AA168)*('1994 E Maize Soil VWC'!$D$2:$D$4000=$AB168)*('1994 E Maize Soil VWC'!$E$2:$E$4000=AJ$5),'1994 E Maize Soil VWC'!$F$2:$F$4000)</f>
        <v>#N/A</v>
      </c>
      <c r="AK168" s="4" t="e" cm="1">
        <f t="array" ref="AK168">_xlfn.XLOOKUP(1,('1994 E Maize Soil VWC'!$C$2:$C$4000=$AA168)*('1994 E Maize Soil VWC'!$D$2:$D$4000=$AB168)*('1994 E Maize Soil VWC'!$E$2:$E$4000=AK$5),'1994 E Maize Soil VWC'!$F$2:$F$4000)</f>
        <v>#N/A</v>
      </c>
      <c r="AL168" s="4" t="e" cm="1">
        <f t="array" ref="AL168">_xlfn.XLOOKUP(1,('1994 E Maize Soil VWC'!$C$2:$C$4000=$AA168)*('1994 E Maize Soil VWC'!$D$2:$D$4000=$AB168)*('1994 E Maize Soil VWC'!$E$2:$E$4000=AL$5),'1994 E Maize Soil VWC'!$F$2:$F$4000)</f>
        <v>#N/A</v>
      </c>
      <c r="AM168" s="4" t="e" cm="1">
        <f t="array" ref="AM168">_xlfn.XLOOKUP(1,('1994 E Maize Soil VWC'!$C$2:$C$4000=$AA168)*('1994 E Maize Soil VWC'!$D$2:$D$4000=$AB168)*('1994 E Maize Soil VWC'!$E$2:$E$4000=AM$5),'1994 E Maize Soil VWC'!$F$2:$F$4000)</f>
        <v>#N/A</v>
      </c>
      <c r="AN168" s="4" t="e" cm="1">
        <f t="array" ref="AN168">_xlfn.XLOOKUP(1,('1994 E Maize Soil VWC'!$C$2:$C$4000=$AA168)*('1994 E Maize Soil VWC'!$D$2:$D$4000=$AB168)*('1994 E Maize Soil VWC'!$E$2:$E$4000=AN$5),'1994 E Maize Soil VWC'!$F$2:$F$4000)</f>
        <v>#N/A</v>
      </c>
    </row>
    <row r="169" spans="25:40" x14ac:dyDescent="0.25">
      <c r="AA169" s="19">
        <f t="shared" si="24"/>
        <v>34334</v>
      </c>
      <c r="AB169" s="4">
        <f t="shared" si="25"/>
        <v>150</v>
      </c>
      <c r="AC169" s="4" t="e" cm="1">
        <f t="array" ref="AC169">_xlfn.XLOOKUP(1,('1994 E Maize Soil VWC'!$C$2:$C$4000=$AA169)*('1994 E Maize Soil VWC'!$D$2:$D$4000=$AB169)*('1994 E Maize Soil VWC'!$E$2:$E$4000=AC$5),'1994 E Maize Soil VWC'!$F$2:$F$4000)</f>
        <v>#N/A</v>
      </c>
      <c r="AD169" s="4" t="e" cm="1">
        <f t="array" ref="AD169">_xlfn.XLOOKUP(1,('1994 E Maize Soil VWC'!$C$2:$C$4000=$AA169)*('1994 E Maize Soil VWC'!$D$2:$D$4000=$AB169)*('1994 E Maize Soil VWC'!$E$2:$E$4000=AD$5),'1994 E Maize Soil VWC'!$F$2:$F$4000)</f>
        <v>#N/A</v>
      </c>
      <c r="AE169" s="4" t="e" cm="1">
        <f t="array" ref="AE169">_xlfn.XLOOKUP(1,('1994 E Maize Soil VWC'!$C$2:$C$4000=$AA169)*('1994 E Maize Soil VWC'!$D$2:$D$4000=$AB169)*('1994 E Maize Soil VWC'!$E$2:$E$4000=AE$5),'1994 E Maize Soil VWC'!$F$2:$F$4000)</f>
        <v>#N/A</v>
      </c>
      <c r="AF169" s="4" t="e" cm="1">
        <f t="array" ref="AF169">_xlfn.XLOOKUP(1,('1994 E Maize Soil VWC'!$C$2:$C$4000=$AA169)*('1994 E Maize Soil VWC'!$D$2:$D$4000=$AB169)*('1994 E Maize Soil VWC'!$E$2:$E$4000=AF$5),'1994 E Maize Soil VWC'!$F$2:$F$4000)</f>
        <v>#N/A</v>
      </c>
      <c r="AG169" s="4" t="e" cm="1">
        <f t="array" ref="AG169">_xlfn.XLOOKUP(1,('1994 E Maize Soil VWC'!$C$2:$C$4000=$AA169)*('1994 E Maize Soil VWC'!$D$2:$D$4000=$AB169)*('1994 E Maize Soil VWC'!$E$2:$E$4000=AG$5),'1994 E Maize Soil VWC'!$F$2:$F$4000)</f>
        <v>#N/A</v>
      </c>
      <c r="AH169" s="4" t="e" cm="1">
        <f t="array" ref="AH169">_xlfn.XLOOKUP(1,('1994 E Maize Soil VWC'!$C$2:$C$4000=$AA169)*('1994 E Maize Soil VWC'!$D$2:$D$4000=$AB169)*('1994 E Maize Soil VWC'!$E$2:$E$4000=AH$5),'1994 E Maize Soil VWC'!$F$2:$F$4000)</f>
        <v>#N/A</v>
      </c>
      <c r="AI169" s="4" t="e" cm="1">
        <f t="array" ref="AI169">_xlfn.XLOOKUP(1,('1994 E Maize Soil VWC'!$C$2:$C$4000=$AA169)*('1994 E Maize Soil VWC'!$D$2:$D$4000=$AB169)*('1994 E Maize Soil VWC'!$E$2:$E$4000=AI$5),'1994 E Maize Soil VWC'!$F$2:$F$4000)</f>
        <v>#N/A</v>
      </c>
      <c r="AJ169" s="4" t="e" cm="1">
        <f t="array" ref="AJ169">_xlfn.XLOOKUP(1,('1994 E Maize Soil VWC'!$C$2:$C$4000=$AA169)*('1994 E Maize Soil VWC'!$D$2:$D$4000=$AB169)*('1994 E Maize Soil VWC'!$E$2:$E$4000=AJ$5),'1994 E Maize Soil VWC'!$F$2:$F$4000)</f>
        <v>#N/A</v>
      </c>
      <c r="AK169" s="4" t="e" cm="1">
        <f t="array" ref="AK169">_xlfn.XLOOKUP(1,('1994 E Maize Soil VWC'!$C$2:$C$4000=$AA169)*('1994 E Maize Soil VWC'!$D$2:$D$4000=$AB169)*('1994 E Maize Soil VWC'!$E$2:$E$4000=AK$5),'1994 E Maize Soil VWC'!$F$2:$F$4000)</f>
        <v>#N/A</v>
      </c>
      <c r="AL169" s="4" t="e" cm="1">
        <f t="array" ref="AL169">_xlfn.XLOOKUP(1,('1994 E Maize Soil VWC'!$C$2:$C$4000=$AA169)*('1994 E Maize Soil VWC'!$D$2:$D$4000=$AB169)*('1994 E Maize Soil VWC'!$E$2:$E$4000=AL$5),'1994 E Maize Soil VWC'!$F$2:$F$4000)</f>
        <v>#N/A</v>
      </c>
      <c r="AM169" s="4" t="e" cm="1">
        <f t="array" ref="AM169">_xlfn.XLOOKUP(1,('1994 E Maize Soil VWC'!$C$2:$C$4000=$AA169)*('1994 E Maize Soil VWC'!$D$2:$D$4000=$AB169)*('1994 E Maize Soil VWC'!$E$2:$E$4000=AM$5),'1994 E Maize Soil VWC'!$F$2:$F$4000)</f>
        <v>#N/A</v>
      </c>
      <c r="AN169" s="4" t="e" cm="1">
        <f t="array" ref="AN169">_xlfn.XLOOKUP(1,('1994 E Maize Soil VWC'!$C$2:$C$4000=$AA169)*('1994 E Maize Soil VWC'!$D$2:$D$4000=$AB169)*('1994 E Maize Soil VWC'!$E$2:$E$4000=AN$5),'1994 E Maize Soil VWC'!$F$2:$F$4000)</f>
        <v>#N/A</v>
      </c>
    </row>
    <row r="170" spans="25:40" x14ac:dyDescent="0.25">
      <c r="AA170" s="19">
        <f t="shared" si="24"/>
        <v>34334</v>
      </c>
      <c r="AB170" s="4">
        <f t="shared" si="25"/>
        <v>170</v>
      </c>
      <c r="AC170" s="4" t="e" cm="1">
        <f t="array" ref="AC170">_xlfn.XLOOKUP(1,('1994 E Maize Soil VWC'!$C$2:$C$4000=$AA170)*('1994 E Maize Soil VWC'!$D$2:$D$4000=$AB170)*('1994 E Maize Soil VWC'!$E$2:$E$4000=AC$5),'1994 E Maize Soil VWC'!$F$2:$F$4000)</f>
        <v>#N/A</v>
      </c>
      <c r="AD170" s="4" t="e" cm="1">
        <f t="array" ref="AD170">_xlfn.XLOOKUP(1,('1994 E Maize Soil VWC'!$C$2:$C$4000=$AA170)*('1994 E Maize Soil VWC'!$D$2:$D$4000=$AB170)*('1994 E Maize Soil VWC'!$E$2:$E$4000=AD$5),'1994 E Maize Soil VWC'!$F$2:$F$4000)</f>
        <v>#N/A</v>
      </c>
      <c r="AE170" s="4" t="e" cm="1">
        <f t="array" ref="AE170">_xlfn.XLOOKUP(1,('1994 E Maize Soil VWC'!$C$2:$C$4000=$AA170)*('1994 E Maize Soil VWC'!$D$2:$D$4000=$AB170)*('1994 E Maize Soil VWC'!$E$2:$E$4000=AE$5),'1994 E Maize Soil VWC'!$F$2:$F$4000)</f>
        <v>#N/A</v>
      </c>
      <c r="AF170" s="4" t="e" cm="1">
        <f t="array" ref="AF170">_xlfn.XLOOKUP(1,('1994 E Maize Soil VWC'!$C$2:$C$4000=$AA170)*('1994 E Maize Soil VWC'!$D$2:$D$4000=$AB170)*('1994 E Maize Soil VWC'!$E$2:$E$4000=AF$5),'1994 E Maize Soil VWC'!$F$2:$F$4000)</f>
        <v>#N/A</v>
      </c>
      <c r="AG170" s="4" t="e" cm="1">
        <f t="array" ref="AG170">_xlfn.XLOOKUP(1,('1994 E Maize Soil VWC'!$C$2:$C$4000=$AA170)*('1994 E Maize Soil VWC'!$D$2:$D$4000=$AB170)*('1994 E Maize Soil VWC'!$E$2:$E$4000=AG$5),'1994 E Maize Soil VWC'!$F$2:$F$4000)</f>
        <v>#N/A</v>
      </c>
      <c r="AH170" s="4" t="e" cm="1">
        <f t="array" ref="AH170">_xlfn.XLOOKUP(1,('1994 E Maize Soil VWC'!$C$2:$C$4000=$AA170)*('1994 E Maize Soil VWC'!$D$2:$D$4000=$AB170)*('1994 E Maize Soil VWC'!$E$2:$E$4000=AH$5),'1994 E Maize Soil VWC'!$F$2:$F$4000)</f>
        <v>#N/A</v>
      </c>
      <c r="AI170" s="4" t="e" cm="1">
        <f t="array" ref="AI170">_xlfn.XLOOKUP(1,('1994 E Maize Soil VWC'!$C$2:$C$4000=$AA170)*('1994 E Maize Soil VWC'!$D$2:$D$4000=$AB170)*('1994 E Maize Soil VWC'!$E$2:$E$4000=AI$5),'1994 E Maize Soil VWC'!$F$2:$F$4000)</f>
        <v>#N/A</v>
      </c>
      <c r="AJ170" s="4" t="e" cm="1">
        <f t="array" ref="AJ170">_xlfn.XLOOKUP(1,('1994 E Maize Soil VWC'!$C$2:$C$4000=$AA170)*('1994 E Maize Soil VWC'!$D$2:$D$4000=$AB170)*('1994 E Maize Soil VWC'!$E$2:$E$4000=AJ$5),'1994 E Maize Soil VWC'!$F$2:$F$4000)</f>
        <v>#N/A</v>
      </c>
      <c r="AK170" s="4" t="e" cm="1">
        <f t="array" ref="AK170">_xlfn.XLOOKUP(1,('1994 E Maize Soil VWC'!$C$2:$C$4000=$AA170)*('1994 E Maize Soil VWC'!$D$2:$D$4000=$AB170)*('1994 E Maize Soil VWC'!$E$2:$E$4000=AK$5),'1994 E Maize Soil VWC'!$F$2:$F$4000)</f>
        <v>#N/A</v>
      </c>
      <c r="AL170" s="4" t="e" cm="1">
        <f t="array" ref="AL170">_xlfn.XLOOKUP(1,('1994 E Maize Soil VWC'!$C$2:$C$4000=$AA170)*('1994 E Maize Soil VWC'!$D$2:$D$4000=$AB170)*('1994 E Maize Soil VWC'!$E$2:$E$4000=AL$5),'1994 E Maize Soil VWC'!$F$2:$F$4000)</f>
        <v>#N/A</v>
      </c>
      <c r="AM170" s="4" t="e" cm="1">
        <f t="array" ref="AM170">_xlfn.XLOOKUP(1,('1994 E Maize Soil VWC'!$C$2:$C$4000=$AA170)*('1994 E Maize Soil VWC'!$D$2:$D$4000=$AB170)*('1994 E Maize Soil VWC'!$E$2:$E$4000=AM$5),'1994 E Maize Soil VWC'!$F$2:$F$4000)</f>
        <v>#N/A</v>
      </c>
      <c r="AN170" s="4" t="e" cm="1">
        <f t="array" ref="AN170">_xlfn.XLOOKUP(1,('1994 E Maize Soil VWC'!$C$2:$C$4000=$AA170)*('1994 E Maize Soil VWC'!$D$2:$D$4000=$AB170)*('1994 E Maize Soil VWC'!$E$2:$E$4000=AN$5),'1994 E Maize Soil VWC'!$F$2:$F$4000)</f>
        <v>#N/A</v>
      </c>
    </row>
    <row r="171" spans="25:40" x14ac:dyDescent="0.25">
      <c r="AA171" s="19">
        <f t="shared" si="24"/>
        <v>34334</v>
      </c>
      <c r="AB171" s="4">
        <f t="shared" si="25"/>
        <v>190</v>
      </c>
      <c r="AC171" s="4" t="e" cm="1">
        <f t="array" ref="AC171">_xlfn.XLOOKUP(1,('1994 E Maize Soil VWC'!$C$2:$C$4000=$AA171)*('1994 E Maize Soil VWC'!$D$2:$D$4000=$AB171)*('1994 E Maize Soil VWC'!$E$2:$E$4000=AC$5),'1994 E Maize Soil VWC'!$F$2:$F$4000)</f>
        <v>#N/A</v>
      </c>
      <c r="AD171" s="4" t="e" cm="1">
        <f t="array" ref="AD171">_xlfn.XLOOKUP(1,('1994 E Maize Soil VWC'!$C$2:$C$4000=$AA171)*('1994 E Maize Soil VWC'!$D$2:$D$4000=$AB171)*('1994 E Maize Soil VWC'!$E$2:$E$4000=AD$5),'1994 E Maize Soil VWC'!$F$2:$F$4000)</f>
        <v>#N/A</v>
      </c>
      <c r="AE171" s="4" t="e" cm="1">
        <f t="array" ref="AE171">_xlfn.XLOOKUP(1,('1994 E Maize Soil VWC'!$C$2:$C$4000=$AA171)*('1994 E Maize Soil VWC'!$D$2:$D$4000=$AB171)*('1994 E Maize Soil VWC'!$E$2:$E$4000=AE$5),'1994 E Maize Soil VWC'!$F$2:$F$4000)</f>
        <v>#N/A</v>
      </c>
      <c r="AF171" s="4" t="e" cm="1">
        <f t="array" ref="AF171">_xlfn.XLOOKUP(1,('1994 E Maize Soil VWC'!$C$2:$C$4000=$AA171)*('1994 E Maize Soil VWC'!$D$2:$D$4000=$AB171)*('1994 E Maize Soil VWC'!$E$2:$E$4000=AF$5),'1994 E Maize Soil VWC'!$F$2:$F$4000)</f>
        <v>#N/A</v>
      </c>
      <c r="AG171" s="4" t="e" cm="1">
        <f t="array" ref="AG171">_xlfn.XLOOKUP(1,('1994 E Maize Soil VWC'!$C$2:$C$4000=$AA171)*('1994 E Maize Soil VWC'!$D$2:$D$4000=$AB171)*('1994 E Maize Soil VWC'!$E$2:$E$4000=AG$5),'1994 E Maize Soil VWC'!$F$2:$F$4000)</f>
        <v>#N/A</v>
      </c>
      <c r="AH171" s="4" t="e" cm="1">
        <f t="array" ref="AH171">_xlfn.XLOOKUP(1,('1994 E Maize Soil VWC'!$C$2:$C$4000=$AA171)*('1994 E Maize Soil VWC'!$D$2:$D$4000=$AB171)*('1994 E Maize Soil VWC'!$E$2:$E$4000=AH$5),'1994 E Maize Soil VWC'!$F$2:$F$4000)</f>
        <v>#N/A</v>
      </c>
      <c r="AI171" s="4" t="e" cm="1">
        <f t="array" ref="AI171">_xlfn.XLOOKUP(1,('1994 E Maize Soil VWC'!$C$2:$C$4000=$AA171)*('1994 E Maize Soil VWC'!$D$2:$D$4000=$AB171)*('1994 E Maize Soil VWC'!$E$2:$E$4000=AI$5),'1994 E Maize Soil VWC'!$F$2:$F$4000)</f>
        <v>#N/A</v>
      </c>
      <c r="AJ171" s="4" t="e" cm="1">
        <f t="array" ref="AJ171">_xlfn.XLOOKUP(1,('1994 E Maize Soil VWC'!$C$2:$C$4000=$AA171)*('1994 E Maize Soil VWC'!$D$2:$D$4000=$AB171)*('1994 E Maize Soil VWC'!$E$2:$E$4000=AJ$5),'1994 E Maize Soil VWC'!$F$2:$F$4000)</f>
        <v>#N/A</v>
      </c>
      <c r="AK171" s="4" t="e" cm="1">
        <f t="array" ref="AK171">_xlfn.XLOOKUP(1,('1994 E Maize Soil VWC'!$C$2:$C$4000=$AA171)*('1994 E Maize Soil VWC'!$D$2:$D$4000=$AB171)*('1994 E Maize Soil VWC'!$E$2:$E$4000=AK$5),'1994 E Maize Soil VWC'!$F$2:$F$4000)</f>
        <v>#N/A</v>
      </c>
      <c r="AL171" s="4" t="e" cm="1">
        <f t="array" ref="AL171">_xlfn.XLOOKUP(1,('1994 E Maize Soil VWC'!$C$2:$C$4000=$AA171)*('1994 E Maize Soil VWC'!$D$2:$D$4000=$AB171)*('1994 E Maize Soil VWC'!$E$2:$E$4000=AL$5),'1994 E Maize Soil VWC'!$F$2:$F$4000)</f>
        <v>#N/A</v>
      </c>
      <c r="AM171" s="4" t="e" cm="1">
        <f t="array" ref="AM171">_xlfn.XLOOKUP(1,('1994 E Maize Soil VWC'!$C$2:$C$4000=$AA171)*('1994 E Maize Soil VWC'!$D$2:$D$4000=$AB171)*('1994 E Maize Soil VWC'!$E$2:$E$4000=AM$5),'1994 E Maize Soil VWC'!$F$2:$F$4000)</f>
        <v>#N/A</v>
      </c>
      <c r="AN171" s="4" t="e" cm="1">
        <f t="array" ref="AN171">_xlfn.XLOOKUP(1,('1994 E Maize Soil VWC'!$C$2:$C$4000=$AA171)*('1994 E Maize Soil VWC'!$D$2:$D$4000=$AB171)*('1994 E Maize Soil VWC'!$E$2:$E$4000=AN$5),'1994 E Maize Soil VWC'!$F$2:$F$4000)</f>
        <v>#N/A</v>
      </c>
    </row>
    <row r="172" spans="25:40" x14ac:dyDescent="0.25">
      <c r="AA172" s="19">
        <f t="shared" si="24"/>
        <v>34334</v>
      </c>
      <c r="AB172" s="4">
        <f t="shared" si="25"/>
        <v>210</v>
      </c>
      <c r="AC172" s="4" t="e" cm="1">
        <f t="array" ref="AC172">_xlfn.XLOOKUP(1,('1994 E Maize Soil VWC'!$C$2:$C$4000=$AA172)*('1994 E Maize Soil VWC'!$D$2:$D$4000=$AB172)*('1994 E Maize Soil VWC'!$E$2:$E$4000=AC$5),'1994 E Maize Soil VWC'!$F$2:$F$4000)</f>
        <v>#N/A</v>
      </c>
      <c r="AD172" s="4" t="e" cm="1">
        <f t="array" ref="AD172">_xlfn.XLOOKUP(1,('1994 E Maize Soil VWC'!$C$2:$C$4000=$AA172)*('1994 E Maize Soil VWC'!$D$2:$D$4000=$AB172)*('1994 E Maize Soil VWC'!$E$2:$E$4000=AD$5),'1994 E Maize Soil VWC'!$F$2:$F$4000)</f>
        <v>#N/A</v>
      </c>
      <c r="AE172" s="4" t="e" cm="1">
        <f t="array" ref="AE172">_xlfn.XLOOKUP(1,('1994 E Maize Soil VWC'!$C$2:$C$4000=$AA172)*('1994 E Maize Soil VWC'!$D$2:$D$4000=$AB172)*('1994 E Maize Soil VWC'!$E$2:$E$4000=AE$5),'1994 E Maize Soil VWC'!$F$2:$F$4000)</f>
        <v>#N/A</v>
      </c>
      <c r="AF172" s="4" t="e" cm="1">
        <f t="array" ref="AF172">_xlfn.XLOOKUP(1,('1994 E Maize Soil VWC'!$C$2:$C$4000=$AA172)*('1994 E Maize Soil VWC'!$D$2:$D$4000=$AB172)*('1994 E Maize Soil VWC'!$E$2:$E$4000=AF$5),'1994 E Maize Soil VWC'!$F$2:$F$4000)</f>
        <v>#N/A</v>
      </c>
      <c r="AG172" s="4" t="e" cm="1">
        <f t="array" ref="AG172">_xlfn.XLOOKUP(1,('1994 E Maize Soil VWC'!$C$2:$C$4000=$AA172)*('1994 E Maize Soil VWC'!$D$2:$D$4000=$AB172)*('1994 E Maize Soil VWC'!$E$2:$E$4000=AG$5),'1994 E Maize Soil VWC'!$F$2:$F$4000)</f>
        <v>#N/A</v>
      </c>
      <c r="AH172" s="4" t="e" cm="1">
        <f t="array" ref="AH172">_xlfn.XLOOKUP(1,('1994 E Maize Soil VWC'!$C$2:$C$4000=$AA172)*('1994 E Maize Soil VWC'!$D$2:$D$4000=$AB172)*('1994 E Maize Soil VWC'!$E$2:$E$4000=AH$5),'1994 E Maize Soil VWC'!$F$2:$F$4000)</f>
        <v>#N/A</v>
      </c>
      <c r="AI172" s="4" t="e" cm="1">
        <f t="array" ref="AI172">_xlfn.XLOOKUP(1,('1994 E Maize Soil VWC'!$C$2:$C$4000=$AA172)*('1994 E Maize Soil VWC'!$D$2:$D$4000=$AB172)*('1994 E Maize Soil VWC'!$E$2:$E$4000=AI$5),'1994 E Maize Soil VWC'!$F$2:$F$4000)</f>
        <v>#N/A</v>
      </c>
      <c r="AJ172" s="4" t="e" cm="1">
        <f t="array" ref="AJ172">_xlfn.XLOOKUP(1,('1994 E Maize Soil VWC'!$C$2:$C$4000=$AA172)*('1994 E Maize Soil VWC'!$D$2:$D$4000=$AB172)*('1994 E Maize Soil VWC'!$E$2:$E$4000=AJ$5),'1994 E Maize Soil VWC'!$F$2:$F$4000)</f>
        <v>#N/A</v>
      </c>
      <c r="AK172" s="4" t="e" cm="1">
        <f t="array" ref="AK172">_xlfn.XLOOKUP(1,('1994 E Maize Soil VWC'!$C$2:$C$4000=$AA172)*('1994 E Maize Soil VWC'!$D$2:$D$4000=$AB172)*('1994 E Maize Soil VWC'!$E$2:$E$4000=AK$5),'1994 E Maize Soil VWC'!$F$2:$F$4000)</f>
        <v>#N/A</v>
      </c>
      <c r="AL172" s="4" t="e" cm="1">
        <f t="array" ref="AL172">_xlfn.XLOOKUP(1,('1994 E Maize Soil VWC'!$C$2:$C$4000=$AA172)*('1994 E Maize Soil VWC'!$D$2:$D$4000=$AB172)*('1994 E Maize Soil VWC'!$E$2:$E$4000=AL$5),'1994 E Maize Soil VWC'!$F$2:$F$4000)</f>
        <v>#N/A</v>
      </c>
      <c r="AM172" s="4" t="e" cm="1">
        <f t="array" ref="AM172">_xlfn.XLOOKUP(1,('1994 E Maize Soil VWC'!$C$2:$C$4000=$AA172)*('1994 E Maize Soil VWC'!$D$2:$D$4000=$AB172)*('1994 E Maize Soil VWC'!$E$2:$E$4000=AM$5),'1994 E Maize Soil VWC'!$F$2:$F$4000)</f>
        <v>#N/A</v>
      </c>
      <c r="AN172" s="4" t="e" cm="1">
        <f t="array" ref="AN172">_xlfn.XLOOKUP(1,('1994 E Maize Soil VWC'!$C$2:$C$4000=$AA172)*('1994 E Maize Soil VWC'!$D$2:$D$4000=$AB172)*('1994 E Maize Soil VWC'!$E$2:$E$4000=AN$5),'1994 E Maize Soil VWC'!$F$2:$F$4000)</f>
        <v>#N/A</v>
      </c>
    </row>
    <row r="173" spans="25:40" x14ac:dyDescent="0.25">
      <c r="AA173" s="19">
        <f t="shared" si="24"/>
        <v>34334</v>
      </c>
      <c r="AB173" s="4">
        <f t="shared" si="25"/>
        <v>230</v>
      </c>
      <c r="AC173" s="4" t="e" cm="1">
        <f t="array" ref="AC173">_xlfn.XLOOKUP(1,('1994 E Maize Soil VWC'!$C$2:$C$4000=$AA173)*('1994 E Maize Soil VWC'!$D$2:$D$4000=$AB173)*('1994 E Maize Soil VWC'!$E$2:$E$4000=AC$5),'1994 E Maize Soil VWC'!$F$2:$F$4000)</f>
        <v>#N/A</v>
      </c>
      <c r="AD173" s="4" t="e" cm="1">
        <f t="array" ref="AD173">_xlfn.XLOOKUP(1,('1994 E Maize Soil VWC'!$C$2:$C$4000=$AA173)*('1994 E Maize Soil VWC'!$D$2:$D$4000=$AB173)*('1994 E Maize Soil VWC'!$E$2:$E$4000=AD$5),'1994 E Maize Soil VWC'!$F$2:$F$4000)</f>
        <v>#N/A</v>
      </c>
      <c r="AE173" s="4" t="e" cm="1">
        <f t="array" ref="AE173">_xlfn.XLOOKUP(1,('1994 E Maize Soil VWC'!$C$2:$C$4000=$AA173)*('1994 E Maize Soil VWC'!$D$2:$D$4000=$AB173)*('1994 E Maize Soil VWC'!$E$2:$E$4000=AE$5),'1994 E Maize Soil VWC'!$F$2:$F$4000)</f>
        <v>#N/A</v>
      </c>
      <c r="AF173" s="4" t="e" cm="1">
        <f t="array" ref="AF173">_xlfn.XLOOKUP(1,('1994 E Maize Soil VWC'!$C$2:$C$4000=$AA173)*('1994 E Maize Soil VWC'!$D$2:$D$4000=$AB173)*('1994 E Maize Soil VWC'!$E$2:$E$4000=AF$5),'1994 E Maize Soil VWC'!$F$2:$F$4000)</f>
        <v>#N/A</v>
      </c>
      <c r="AG173" s="4" t="e" cm="1">
        <f t="array" ref="AG173">_xlfn.XLOOKUP(1,('1994 E Maize Soil VWC'!$C$2:$C$4000=$AA173)*('1994 E Maize Soil VWC'!$D$2:$D$4000=$AB173)*('1994 E Maize Soil VWC'!$E$2:$E$4000=AG$5),'1994 E Maize Soil VWC'!$F$2:$F$4000)</f>
        <v>#N/A</v>
      </c>
      <c r="AH173" s="4" t="e" cm="1">
        <f t="array" ref="AH173">_xlfn.XLOOKUP(1,('1994 E Maize Soil VWC'!$C$2:$C$4000=$AA173)*('1994 E Maize Soil VWC'!$D$2:$D$4000=$AB173)*('1994 E Maize Soil VWC'!$E$2:$E$4000=AH$5),'1994 E Maize Soil VWC'!$F$2:$F$4000)</f>
        <v>#N/A</v>
      </c>
      <c r="AI173" s="4" t="e" cm="1">
        <f t="array" ref="AI173">_xlfn.XLOOKUP(1,('1994 E Maize Soil VWC'!$C$2:$C$4000=$AA173)*('1994 E Maize Soil VWC'!$D$2:$D$4000=$AB173)*('1994 E Maize Soil VWC'!$E$2:$E$4000=AI$5),'1994 E Maize Soil VWC'!$F$2:$F$4000)</f>
        <v>#N/A</v>
      </c>
      <c r="AJ173" s="4" t="e" cm="1">
        <f t="array" ref="AJ173">_xlfn.XLOOKUP(1,('1994 E Maize Soil VWC'!$C$2:$C$4000=$AA173)*('1994 E Maize Soil VWC'!$D$2:$D$4000=$AB173)*('1994 E Maize Soil VWC'!$E$2:$E$4000=AJ$5),'1994 E Maize Soil VWC'!$F$2:$F$4000)</f>
        <v>#N/A</v>
      </c>
      <c r="AK173" s="4" t="e" cm="1">
        <f t="array" ref="AK173">_xlfn.XLOOKUP(1,('1994 E Maize Soil VWC'!$C$2:$C$4000=$AA173)*('1994 E Maize Soil VWC'!$D$2:$D$4000=$AB173)*('1994 E Maize Soil VWC'!$E$2:$E$4000=AK$5),'1994 E Maize Soil VWC'!$F$2:$F$4000)</f>
        <v>#N/A</v>
      </c>
      <c r="AL173" s="4" t="e" cm="1">
        <f t="array" ref="AL173">_xlfn.XLOOKUP(1,('1994 E Maize Soil VWC'!$C$2:$C$4000=$AA173)*('1994 E Maize Soil VWC'!$D$2:$D$4000=$AB173)*('1994 E Maize Soil VWC'!$E$2:$E$4000=AL$5),'1994 E Maize Soil VWC'!$F$2:$F$4000)</f>
        <v>#N/A</v>
      </c>
      <c r="AM173" s="4" t="e" cm="1">
        <f t="array" ref="AM173">_xlfn.XLOOKUP(1,('1994 E Maize Soil VWC'!$C$2:$C$4000=$AA173)*('1994 E Maize Soil VWC'!$D$2:$D$4000=$AB173)*('1994 E Maize Soil VWC'!$E$2:$E$4000=AM$5),'1994 E Maize Soil VWC'!$F$2:$F$4000)</f>
        <v>#N/A</v>
      </c>
      <c r="AN173" s="4" t="e" cm="1">
        <f t="array" ref="AN173">_xlfn.XLOOKUP(1,('1994 E Maize Soil VWC'!$C$2:$C$4000=$AA173)*('1994 E Maize Soil VWC'!$D$2:$D$4000=$AB173)*('1994 E Maize Soil VWC'!$E$2:$E$4000=AN$5),'1994 E Maize Soil VWC'!$F$2:$F$4000)</f>
        <v>#N/A</v>
      </c>
    </row>
    <row r="175" spans="25:40" x14ac:dyDescent="0.25">
      <c r="Y175" s="4">
        <f>Y162</f>
        <v>1994</v>
      </c>
      <c r="Z175" s="4">
        <v>0</v>
      </c>
      <c r="AA175" s="19">
        <f>DATE(Y175,1,Z175)</f>
        <v>34334</v>
      </c>
      <c r="AB175" s="4">
        <v>10</v>
      </c>
      <c r="AC175" s="4" t="e" cm="1">
        <f t="array" ref="AC175">_xlfn.XLOOKUP(1,('1994 E Maize Soil VWC'!$C$2:$C$4000=$AA175)*('1994 E Maize Soil VWC'!$D$2:$D$4000=$AB175)*('1994 E Maize Soil VWC'!$E$2:$E$4000=AC$5),'1994 E Maize Soil VWC'!$F$2:$F$4000)</f>
        <v>#N/A</v>
      </c>
      <c r="AD175" s="4" t="e" cm="1">
        <f t="array" ref="AD175">_xlfn.XLOOKUP(1,('1994 E Maize Soil VWC'!$C$2:$C$4000=$AA175)*('1994 E Maize Soil VWC'!$D$2:$D$4000=$AB175)*('1994 E Maize Soil VWC'!$E$2:$E$4000=AD$5),'1994 E Maize Soil VWC'!$F$2:$F$4000)</f>
        <v>#N/A</v>
      </c>
      <c r="AE175" s="4" t="e" cm="1">
        <f t="array" ref="AE175">_xlfn.XLOOKUP(1,('1994 E Maize Soil VWC'!$C$2:$C$4000=$AA175)*('1994 E Maize Soil VWC'!$D$2:$D$4000=$AB175)*('1994 E Maize Soil VWC'!$E$2:$E$4000=AE$5),'1994 E Maize Soil VWC'!$F$2:$F$4000)</f>
        <v>#N/A</v>
      </c>
      <c r="AF175" s="4" t="e" cm="1">
        <f t="array" ref="AF175">_xlfn.XLOOKUP(1,('1994 E Maize Soil VWC'!$C$2:$C$4000=$AA175)*('1994 E Maize Soil VWC'!$D$2:$D$4000=$AB175)*('1994 E Maize Soil VWC'!$E$2:$E$4000=AF$5),'1994 E Maize Soil VWC'!$F$2:$F$4000)</f>
        <v>#N/A</v>
      </c>
      <c r="AG175" s="4" t="e" cm="1">
        <f t="array" ref="AG175">_xlfn.XLOOKUP(1,('1994 E Maize Soil VWC'!$C$2:$C$4000=$AA175)*('1994 E Maize Soil VWC'!$D$2:$D$4000=$AB175)*('1994 E Maize Soil VWC'!$E$2:$E$4000=AG$5),'1994 E Maize Soil VWC'!$F$2:$F$4000)</f>
        <v>#N/A</v>
      </c>
      <c r="AH175" s="4" t="e" cm="1">
        <f t="array" ref="AH175">_xlfn.XLOOKUP(1,('1994 E Maize Soil VWC'!$C$2:$C$4000=$AA175)*('1994 E Maize Soil VWC'!$D$2:$D$4000=$AB175)*('1994 E Maize Soil VWC'!$E$2:$E$4000=AH$5),'1994 E Maize Soil VWC'!$F$2:$F$4000)</f>
        <v>#N/A</v>
      </c>
      <c r="AI175" s="4" t="e" cm="1">
        <f t="array" ref="AI175">_xlfn.XLOOKUP(1,('1994 E Maize Soil VWC'!$C$2:$C$4000=$AA175)*('1994 E Maize Soil VWC'!$D$2:$D$4000=$AB175)*('1994 E Maize Soil VWC'!$E$2:$E$4000=AI$5),'1994 E Maize Soil VWC'!$F$2:$F$4000)</f>
        <v>#N/A</v>
      </c>
      <c r="AJ175" s="4" t="e" cm="1">
        <f t="array" ref="AJ175">_xlfn.XLOOKUP(1,('1994 E Maize Soil VWC'!$C$2:$C$4000=$AA175)*('1994 E Maize Soil VWC'!$D$2:$D$4000=$AB175)*('1994 E Maize Soil VWC'!$E$2:$E$4000=AJ$5),'1994 E Maize Soil VWC'!$F$2:$F$4000)</f>
        <v>#N/A</v>
      </c>
      <c r="AK175" s="4" t="e" cm="1">
        <f t="array" ref="AK175">_xlfn.XLOOKUP(1,('1994 E Maize Soil VWC'!$C$2:$C$4000=$AA175)*('1994 E Maize Soil VWC'!$D$2:$D$4000=$AB175)*('1994 E Maize Soil VWC'!$E$2:$E$4000=AK$5),'1994 E Maize Soil VWC'!$F$2:$F$4000)</f>
        <v>#N/A</v>
      </c>
      <c r="AL175" s="4" t="e" cm="1">
        <f t="array" ref="AL175">_xlfn.XLOOKUP(1,('1994 E Maize Soil VWC'!$C$2:$C$4000=$AA175)*('1994 E Maize Soil VWC'!$D$2:$D$4000=$AB175)*('1994 E Maize Soil VWC'!$E$2:$E$4000=AL$5),'1994 E Maize Soil VWC'!$F$2:$F$4000)</f>
        <v>#N/A</v>
      </c>
      <c r="AM175" s="4" t="e" cm="1">
        <f t="array" ref="AM175">_xlfn.XLOOKUP(1,('1994 E Maize Soil VWC'!$C$2:$C$4000=$AA175)*('1994 E Maize Soil VWC'!$D$2:$D$4000=$AB175)*('1994 E Maize Soil VWC'!$E$2:$E$4000=AM$5),'1994 E Maize Soil VWC'!$F$2:$F$4000)</f>
        <v>#N/A</v>
      </c>
      <c r="AN175" s="4" t="e" cm="1">
        <f t="array" ref="AN175">_xlfn.XLOOKUP(1,('1994 E Maize Soil VWC'!$C$2:$C$4000=$AA175)*('1994 E Maize Soil VWC'!$D$2:$D$4000=$AB175)*('1994 E Maize Soil VWC'!$E$2:$E$4000=AN$5),'1994 E Maize Soil VWC'!$F$2:$F$4000)</f>
        <v>#N/A</v>
      </c>
    </row>
    <row r="176" spans="25:40" x14ac:dyDescent="0.25">
      <c r="AA176" s="19">
        <f t="shared" ref="AA176:AA186" si="26">AA175</f>
        <v>34334</v>
      </c>
      <c r="AB176" s="4">
        <f t="shared" ref="AB176:AB186" si="27">AB175+20</f>
        <v>30</v>
      </c>
      <c r="AC176" s="4" t="e" cm="1">
        <f t="array" ref="AC176">_xlfn.XLOOKUP(1,('1994 E Maize Soil VWC'!$C$2:$C$4000=$AA176)*('1994 E Maize Soil VWC'!$D$2:$D$4000=$AB176)*('1994 E Maize Soil VWC'!$E$2:$E$4000=AC$5),'1994 E Maize Soil VWC'!$F$2:$F$4000)</f>
        <v>#N/A</v>
      </c>
      <c r="AD176" s="4" t="e" cm="1">
        <f t="array" ref="AD176">_xlfn.XLOOKUP(1,('1994 E Maize Soil VWC'!$C$2:$C$4000=$AA176)*('1994 E Maize Soil VWC'!$D$2:$D$4000=$AB176)*('1994 E Maize Soil VWC'!$E$2:$E$4000=AD$5),'1994 E Maize Soil VWC'!$F$2:$F$4000)</f>
        <v>#N/A</v>
      </c>
      <c r="AE176" s="4" t="e" cm="1">
        <f t="array" ref="AE176">_xlfn.XLOOKUP(1,('1994 E Maize Soil VWC'!$C$2:$C$4000=$AA176)*('1994 E Maize Soil VWC'!$D$2:$D$4000=$AB176)*('1994 E Maize Soil VWC'!$E$2:$E$4000=AE$5),'1994 E Maize Soil VWC'!$F$2:$F$4000)</f>
        <v>#N/A</v>
      </c>
      <c r="AF176" s="4" t="e" cm="1">
        <f t="array" ref="AF176">_xlfn.XLOOKUP(1,('1994 E Maize Soil VWC'!$C$2:$C$4000=$AA176)*('1994 E Maize Soil VWC'!$D$2:$D$4000=$AB176)*('1994 E Maize Soil VWC'!$E$2:$E$4000=AF$5),'1994 E Maize Soil VWC'!$F$2:$F$4000)</f>
        <v>#N/A</v>
      </c>
      <c r="AG176" s="4" t="e" cm="1">
        <f t="array" ref="AG176">_xlfn.XLOOKUP(1,('1994 E Maize Soil VWC'!$C$2:$C$4000=$AA176)*('1994 E Maize Soil VWC'!$D$2:$D$4000=$AB176)*('1994 E Maize Soil VWC'!$E$2:$E$4000=AG$5),'1994 E Maize Soil VWC'!$F$2:$F$4000)</f>
        <v>#N/A</v>
      </c>
      <c r="AH176" s="4" t="e" cm="1">
        <f t="array" ref="AH176">_xlfn.XLOOKUP(1,('1994 E Maize Soil VWC'!$C$2:$C$4000=$AA176)*('1994 E Maize Soil VWC'!$D$2:$D$4000=$AB176)*('1994 E Maize Soil VWC'!$E$2:$E$4000=AH$5),'1994 E Maize Soil VWC'!$F$2:$F$4000)</f>
        <v>#N/A</v>
      </c>
      <c r="AI176" s="4" t="e" cm="1">
        <f t="array" ref="AI176">_xlfn.XLOOKUP(1,('1994 E Maize Soil VWC'!$C$2:$C$4000=$AA176)*('1994 E Maize Soil VWC'!$D$2:$D$4000=$AB176)*('1994 E Maize Soil VWC'!$E$2:$E$4000=AI$5),'1994 E Maize Soil VWC'!$F$2:$F$4000)</f>
        <v>#N/A</v>
      </c>
      <c r="AJ176" s="4" t="e" cm="1">
        <f t="array" ref="AJ176">_xlfn.XLOOKUP(1,('1994 E Maize Soil VWC'!$C$2:$C$4000=$AA176)*('1994 E Maize Soil VWC'!$D$2:$D$4000=$AB176)*('1994 E Maize Soil VWC'!$E$2:$E$4000=AJ$5),'1994 E Maize Soil VWC'!$F$2:$F$4000)</f>
        <v>#N/A</v>
      </c>
      <c r="AK176" s="4" t="e" cm="1">
        <f t="array" ref="AK176">_xlfn.XLOOKUP(1,('1994 E Maize Soil VWC'!$C$2:$C$4000=$AA176)*('1994 E Maize Soil VWC'!$D$2:$D$4000=$AB176)*('1994 E Maize Soil VWC'!$E$2:$E$4000=AK$5),'1994 E Maize Soil VWC'!$F$2:$F$4000)</f>
        <v>#N/A</v>
      </c>
      <c r="AL176" s="4" t="e" cm="1">
        <f t="array" ref="AL176">_xlfn.XLOOKUP(1,('1994 E Maize Soil VWC'!$C$2:$C$4000=$AA176)*('1994 E Maize Soil VWC'!$D$2:$D$4000=$AB176)*('1994 E Maize Soil VWC'!$E$2:$E$4000=AL$5),'1994 E Maize Soil VWC'!$F$2:$F$4000)</f>
        <v>#N/A</v>
      </c>
      <c r="AM176" s="4" t="e" cm="1">
        <f t="array" ref="AM176">_xlfn.XLOOKUP(1,('1994 E Maize Soil VWC'!$C$2:$C$4000=$AA176)*('1994 E Maize Soil VWC'!$D$2:$D$4000=$AB176)*('1994 E Maize Soil VWC'!$E$2:$E$4000=AM$5),'1994 E Maize Soil VWC'!$F$2:$F$4000)</f>
        <v>#N/A</v>
      </c>
      <c r="AN176" s="4" t="e" cm="1">
        <f t="array" ref="AN176">_xlfn.XLOOKUP(1,('1994 E Maize Soil VWC'!$C$2:$C$4000=$AA176)*('1994 E Maize Soil VWC'!$D$2:$D$4000=$AB176)*('1994 E Maize Soil VWC'!$E$2:$E$4000=AN$5),'1994 E Maize Soil VWC'!$F$2:$F$4000)</f>
        <v>#N/A</v>
      </c>
    </row>
    <row r="177" spans="25:40" x14ac:dyDescent="0.25">
      <c r="AA177" s="19">
        <f t="shared" si="26"/>
        <v>34334</v>
      </c>
      <c r="AB177" s="4">
        <f t="shared" si="27"/>
        <v>50</v>
      </c>
      <c r="AC177" s="4" t="e" cm="1">
        <f t="array" ref="AC177">_xlfn.XLOOKUP(1,('1994 E Maize Soil VWC'!$C$2:$C$4000=$AA177)*('1994 E Maize Soil VWC'!$D$2:$D$4000=$AB177)*('1994 E Maize Soil VWC'!$E$2:$E$4000=AC$5),'1994 E Maize Soil VWC'!$F$2:$F$4000)</f>
        <v>#N/A</v>
      </c>
      <c r="AD177" s="4" t="e" cm="1">
        <f t="array" ref="AD177">_xlfn.XLOOKUP(1,('1994 E Maize Soil VWC'!$C$2:$C$4000=$AA177)*('1994 E Maize Soil VWC'!$D$2:$D$4000=$AB177)*('1994 E Maize Soil VWC'!$E$2:$E$4000=AD$5),'1994 E Maize Soil VWC'!$F$2:$F$4000)</f>
        <v>#N/A</v>
      </c>
      <c r="AE177" s="4" t="e" cm="1">
        <f t="array" ref="AE177">_xlfn.XLOOKUP(1,('1994 E Maize Soil VWC'!$C$2:$C$4000=$AA177)*('1994 E Maize Soil VWC'!$D$2:$D$4000=$AB177)*('1994 E Maize Soil VWC'!$E$2:$E$4000=AE$5),'1994 E Maize Soil VWC'!$F$2:$F$4000)</f>
        <v>#N/A</v>
      </c>
      <c r="AF177" s="4" t="e" cm="1">
        <f t="array" ref="AF177">_xlfn.XLOOKUP(1,('1994 E Maize Soil VWC'!$C$2:$C$4000=$AA177)*('1994 E Maize Soil VWC'!$D$2:$D$4000=$AB177)*('1994 E Maize Soil VWC'!$E$2:$E$4000=AF$5),'1994 E Maize Soil VWC'!$F$2:$F$4000)</f>
        <v>#N/A</v>
      </c>
      <c r="AG177" s="4" t="e" cm="1">
        <f t="array" ref="AG177">_xlfn.XLOOKUP(1,('1994 E Maize Soil VWC'!$C$2:$C$4000=$AA177)*('1994 E Maize Soil VWC'!$D$2:$D$4000=$AB177)*('1994 E Maize Soil VWC'!$E$2:$E$4000=AG$5),'1994 E Maize Soil VWC'!$F$2:$F$4000)</f>
        <v>#N/A</v>
      </c>
      <c r="AH177" s="4" t="e" cm="1">
        <f t="array" ref="AH177">_xlfn.XLOOKUP(1,('1994 E Maize Soil VWC'!$C$2:$C$4000=$AA177)*('1994 E Maize Soil VWC'!$D$2:$D$4000=$AB177)*('1994 E Maize Soil VWC'!$E$2:$E$4000=AH$5),'1994 E Maize Soil VWC'!$F$2:$F$4000)</f>
        <v>#N/A</v>
      </c>
      <c r="AI177" s="4" t="e" cm="1">
        <f t="array" ref="AI177">_xlfn.XLOOKUP(1,('1994 E Maize Soil VWC'!$C$2:$C$4000=$AA177)*('1994 E Maize Soil VWC'!$D$2:$D$4000=$AB177)*('1994 E Maize Soil VWC'!$E$2:$E$4000=AI$5),'1994 E Maize Soil VWC'!$F$2:$F$4000)</f>
        <v>#N/A</v>
      </c>
      <c r="AJ177" s="4" t="e" cm="1">
        <f t="array" ref="AJ177">_xlfn.XLOOKUP(1,('1994 E Maize Soil VWC'!$C$2:$C$4000=$AA177)*('1994 E Maize Soil VWC'!$D$2:$D$4000=$AB177)*('1994 E Maize Soil VWC'!$E$2:$E$4000=AJ$5),'1994 E Maize Soil VWC'!$F$2:$F$4000)</f>
        <v>#N/A</v>
      </c>
      <c r="AK177" s="4" t="e" cm="1">
        <f t="array" ref="AK177">_xlfn.XLOOKUP(1,('1994 E Maize Soil VWC'!$C$2:$C$4000=$AA177)*('1994 E Maize Soil VWC'!$D$2:$D$4000=$AB177)*('1994 E Maize Soil VWC'!$E$2:$E$4000=AK$5),'1994 E Maize Soil VWC'!$F$2:$F$4000)</f>
        <v>#N/A</v>
      </c>
      <c r="AL177" s="4" t="e" cm="1">
        <f t="array" ref="AL177">_xlfn.XLOOKUP(1,('1994 E Maize Soil VWC'!$C$2:$C$4000=$AA177)*('1994 E Maize Soil VWC'!$D$2:$D$4000=$AB177)*('1994 E Maize Soil VWC'!$E$2:$E$4000=AL$5),'1994 E Maize Soil VWC'!$F$2:$F$4000)</f>
        <v>#N/A</v>
      </c>
      <c r="AM177" s="4" t="e" cm="1">
        <f t="array" ref="AM177">_xlfn.XLOOKUP(1,('1994 E Maize Soil VWC'!$C$2:$C$4000=$AA177)*('1994 E Maize Soil VWC'!$D$2:$D$4000=$AB177)*('1994 E Maize Soil VWC'!$E$2:$E$4000=AM$5),'1994 E Maize Soil VWC'!$F$2:$F$4000)</f>
        <v>#N/A</v>
      </c>
      <c r="AN177" s="4" t="e" cm="1">
        <f t="array" ref="AN177">_xlfn.XLOOKUP(1,('1994 E Maize Soil VWC'!$C$2:$C$4000=$AA177)*('1994 E Maize Soil VWC'!$D$2:$D$4000=$AB177)*('1994 E Maize Soil VWC'!$E$2:$E$4000=AN$5),'1994 E Maize Soil VWC'!$F$2:$F$4000)</f>
        <v>#N/A</v>
      </c>
    </row>
    <row r="178" spans="25:40" x14ac:dyDescent="0.25">
      <c r="AA178" s="19">
        <f t="shared" si="26"/>
        <v>34334</v>
      </c>
      <c r="AB178" s="4">
        <f t="shared" si="27"/>
        <v>70</v>
      </c>
      <c r="AC178" s="4" t="e" cm="1">
        <f t="array" ref="AC178">_xlfn.XLOOKUP(1,('1994 E Maize Soil VWC'!$C$2:$C$4000=$AA178)*('1994 E Maize Soil VWC'!$D$2:$D$4000=$AB178)*('1994 E Maize Soil VWC'!$E$2:$E$4000=AC$5),'1994 E Maize Soil VWC'!$F$2:$F$4000)</f>
        <v>#N/A</v>
      </c>
      <c r="AD178" s="4" t="e" cm="1">
        <f t="array" ref="AD178">_xlfn.XLOOKUP(1,('1994 E Maize Soil VWC'!$C$2:$C$4000=$AA178)*('1994 E Maize Soil VWC'!$D$2:$D$4000=$AB178)*('1994 E Maize Soil VWC'!$E$2:$E$4000=AD$5),'1994 E Maize Soil VWC'!$F$2:$F$4000)</f>
        <v>#N/A</v>
      </c>
      <c r="AE178" s="4" t="e" cm="1">
        <f t="array" ref="AE178">_xlfn.XLOOKUP(1,('1994 E Maize Soil VWC'!$C$2:$C$4000=$AA178)*('1994 E Maize Soil VWC'!$D$2:$D$4000=$AB178)*('1994 E Maize Soil VWC'!$E$2:$E$4000=AE$5),'1994 E Maize Soil VWC'!$F$2:$F$4000)</f>
        <v>#N/A</v>
      </c>
      <c r="AF178" s="4" t="e" cm="1">
        <f t="array" ref="AF178">_xlfn.XLOOKUP(1,('1994 E Maize Soil VWC'!$C$2:$C$4000=$AA178)*('1994 E Maize Soil VWC'!$D$2:$D$4000=$AB178)*('1994 E Maize Soil VWC'!$E$2:$E$4000=AF$5),'1994 E Maize Soil VWC'!$F$2:$F$4000)</f>
        <v>#N/A</v>
      </c>
      <c r="AG178" s="4" t="e" cm="1">
        <f t="array" ref="AG178">_xlfn.XLOOKUP(1,('1994 E Maize Soil VWC'!$C$2:$C$4000=$AA178)*('1994 E Maize Soil VWC'!$D$2:$D$4000=$AB178)*('1994 E Maize Soil VWC'!$E$2:$E$4000=AG$5),'1994 E Maize Soil VWC'!$F$2:$F$4000)</f>
        <v>#N/A</v>
      </c>
      <c r="AH178" s="4" t="e" cm="1">
        <f t="array" ref="AH178">_xlfn.XLOOKUP(1,('1994 E Maize Soil VWC'!$C$2:$C$4000=$AA178)*('1994 E Maize Soil VWC'!$D$2:$D$4000=$AB178)*('1994 E Maize Soil VWC'!$E$2:$E$4000=AH$5),'1994 E Maize Soil VWC'!$F$2:$F$4000)</f>
        <v>#N/A</v>
      </c>
      <c r="AI178" s="4" t="e" cm="1">
        <f t="array" ref="AI178">_xlfn.XLOOKUP(1,('1994 E Maize Soil VWC'!$C$2:$C$4000=$AA178)*('1994 E Maize Soil VWC'!$D$2:$D$4000=$AB178)*('1994 E Maize Soil VWC'!$E$2:$E$4000=AI$5),'1994 E Maize Soil VWC'!$F$2:$F$4000)</f>
        <v>#N/A</v>
      </c>
      <c r="AJ178" s="4" t="e" cm="1">
        <f t="array" ref="AJ178">_xlfn.XLOOKUP(1,('1994 E Maize Soil VWC'!$C$2:$C$4000=$AA178)*('1994 E Maize Soil VWC'!$D$2:$D$4000=$AB178)*('1994 E Maize Soil VWC'!$E$2:$E$4000=AJ$5),'1994 E Maize Soil VWC'!$F$2:$F$4000)</f>
        <v>#N/A</v>
      </c>
      <c r="AK178" s="4" t="e" cm="1">
        <f t="array" ref="AK178">_xlfn.XLOOKUP(1,('1994 E Maize Soil VWC'!$C$2:$C$4000=$AA178)*('1994 E Maize Soil VWC'!$D$2:$D$4000=$AB178)*('1994 E Maize Soil VWC'!$E$2:$E$4000=AK$5),'1994 E Maize Soil VWC'!$F$2:$F$4000)</f>
        <v>#N/A</v>
      </c>
      <c r="AL178" s="4" t="e" cm="1">
        <f t="array" ref="AL178">_xlfn.XLOOKUP(1,('1994 E Maize Soil VWC'!$C$2:$C$4000=$AA178)*('1994 E Maize Soil VWC'!$D$2:$D$4000=$AB178)*('1994 E Maize Soil VWC'!$E$2:$E$4000=AL$5),'1994 E Maize Soil VWC'!$F$2:$F$4000)</f>
        <v>#N/A</v>
      </c>
      <c r="AM178" s="4" t="e" cm="1">
        <f t="array" ref="AM178">_xlfn.XLOOKUP(1,('1994 E Maize Soil VWC'!$C$2:$C$4000=$AA178)*('1994 E Maize Soil VWC'!$D$2:$D$4000=$AB178)*('1994 E Maize Soil VWC'!$E$2:$E$4000=AM$5),'1994 E Maize Soil VWC'!$F$2:$F$4000)</f>
        <v>#N/A</v>
      </c>
      <c r="AN178" s="4" t="e" cm="1">
        <f t="array" ref="AN178">_xlfn.XLOOKUP(1,('1994 E Maize Soil VWC'!$C$2:$C$4000=$AA178)*('1994 E Maize Soil VWC'!$D$2:$D$4000=$AB178)*('1994 E Maize Soil VWC'!$E$2:$E$4000=AN$5),'1994 E Maize Soil VWC'!$F$2:$F$4000)</f>
        <v>#N/A</v>
      </c>
    </row>
    <row r="179" spans="25:40" x14ac:dyDescent="0.25">
      <c r="AA179" s="19">
        <f t="shared" si="26"/>
        <v>34334</v>
      </c>
      <c r="AB179" s="4">
        <f t="shared" si="27"/>
        <v>90</v>
      </c>
      <c r="AC179" s="4" t="e" cm="1">
        <f t="array" ref="AC179">_xlfn.XLOOKUP(1,('1994 E Maize Soil VWC'!$C$2:$C$4000=$AA179)*('1994 E Maize Soil VWC'!$D$2:$D$4000=$AB179)*('1994 E Maize Soil VWC'!$E$2:$E$4000=AC$5),'1994 E Maize Soil VWC'!$F$2:$F$4000)</f>
        <v>#N/A</v>
      </c>
      <c r="AD179" s="4" t="e" cm="1">
        <f t="array" ref="AD179">_xlfn.XLOOKUP(1,('1994 E Maize Soil VWC'!$C$2:$C$4000=$AA179)*('1994 E Maize Soil VWC'!$D$2:$D$4000=$AB179)*('1994 E Maize Soil VWC'!$E$2:$E$4000=AD$5),'1994 E Maize Soil VWC'!$F$2:$F$4000)</f>
        <v>#N/A</v>
      </c>
      <c r="AE179" s="4" t="e" cm="1">
        <f t="array" ref="AE179">_xlfn.XLOOKUP(1,('1994 E Maize Soil VWC'!$C$2:$C$4000=$AA179)*('1994 E Maize Soil VWC'!$D$2:$D$4000=$AB179)*('1994 E Maize Soil VWC'!$E$2:$E$4000=AE$5),'1994 E Maize Soil VWC'!$F$2:$F$4000)</f>
        <v>#N/A</v>
      </c>
      <c r="AF179" s="4" t="e" cm="1">
        <f t="array" ref="AF179">_xlfn.XLOOKUP(1,('1994 E Maize Soil VWC'!$C$2:$C$4000=$AA179)*('1994 E Maize Soil VWC'!$D$2:$D$4000=$AB179)*('1994 E Maize Soil VWC'!$E$2:$E$4000=AF$5),'1994 E Maize Soil VWC'!$F$2:$F$4000)</f>
        <v>#N/A</v>
      </c>
      <c r="AG179" s="4" t="e" cm="1">
        <f t="array" ref="AG179">_xlfn.XLOOKUP(1,('1994 E Maize Soil VWC'!$C$2:$C$4000=$AA179)*('1994 E Maize Soil VWC'!$D$2:$D$4000=$AB179)*('1994 E Maize Soil VWC'!$E$2:$E$4000=AG$5),'1994 E Maize Soil VWC'!$F$2:$F$4000)</f>
        <v>#N/A</v>
      </c>
      <c r="AH179" s="4" t="e" cm="1">
        <f t="array" ref="AH179">_xlfn.XLOOKUP(1,('1994 E Maize Soil VWC'!$C$2:$C$4000=$AA179)*('1994 E Maize Soil VWC'!$D$2:$D$4000=$AB179)*('1994 E Maize Soil VWC'!$E$2:$E$4000=AH$5),'1994 E Maize Soil VWC'!$F$2:$F$4000)</f>
        <v>#N/A</v>
      </c>
      <c r="AI179" s="4" t="e" cm="1">
        <f t="array" ref="AI179">_xlfn.XLOOKUP(1,('1994 E Maize Soil VWC'!$C$2:$C$4000=$AA179)*('1994 E Maize Soil VWC'!$D$2:$D$4000=$AB179)*('1994 E Maize Soil VWC'!$E$2:$E$4000=AI$5),'1994 E Maize Soil VWC'!$F$2:$F$4000)</f>
        <v>#N/A</v>
      </c>
      <c r="AJ179" s="4" t="e" cm="1">
        <f t="array" ref="AJ179">_xlfn.XLOOKUP(1,('1994 E Maize Soil VWC'!$C$2:$C$4000=$AA179)*('1994 E Maize Soil VWC'!$D$2:$D$4000=$AB179)*('1994 E Maize Soil VWC'!$E$2:$E$4000=AJ$5),'1994 E Maize Soil VWC'!$F$2:$F$4000)</f>
        <v>#N/A</v>
      </c>
      <c r="AK179" s="4" t="e" cm="1">
        <f t="array" ref="AK179">_xlfn.XLOOKUP(1,('1994 E Maize Soil VWC'!$C$2:$C$4000=$AA179)*('1994 E Maize Soil VWC'!$D$2:$D$4000=$AB179)*('1994 E Maize Soil VWC'!$E$2:$E$4000=AK$5),'1994 E Maize Soil VWC'!$F$2:$F$4000)</f>
        <v>#N/A</v>
      </c>
      <c r="AL179" s="4" t="e" cm="1">
        <f t="array" ref="AL179">_xlfn.XLOOKUP(1,('1994 E Maize Soil VWC'!$C$2:$C$4000=$AA179)*('1994 E Maize Soil VWC'!$D$2:$D$4000=$AB179)*('1994 E Maize Soil VWC'!$E$2:$E$4000=AL$5),'1994 E Maize Soil VWC'!$F$2:$F$4000)</f>
        <v>#N/A</v>
      </c>
      <c r="AM179" s="4" t="e" cm="1">
        <f t="array" ref="AM179">_xlfn.XLOOKUP(1,('1994 E Maize Soil VWC'!$C$2:$C$4000=$AA179)*('1994 E Maize Soil VWC'!$D$2:$D$4000=$AB179)*('1994 E Maize Soil VWC'!$E$2:$E$4000=AM$5),'1994 E Maize Soil VWC'!$F$2:$F$4000)</f>
        <v>#N/A</v>
      </c>
      <c r="AN179" s="4" t="e" cm="1">
        <f t="array" ref="AN179">_xlfn.XLOOKUP(1,('1994 E Maize Soil VWC'!$C$2:$C$4000=$AA179)*('1994 E Maize Soil VWC'!$D$2:$D$4000=$AB179)*('1994 E Maize Soil VWC'!$E$2:$E$4000=AN$5),'1994 E Maize Soil VWC'!$F$2:$F$4000)</f>
        <v>#N/A</v>
      </c>
    </row>
    <row r="180" spans="25:40" x14ac:dyDescent="0.25">
      <c r="AA180" s="19">
        <f t="shared" si="26"/>
        <v>34334</v>
      </c>
      <c r="AB180" s="4">
        <f t="shared" si="27"/>
        <v>110</v>
      </c>
      <c r="AC180" s="4" t="e" cm="1">
        <f t="array" ref="AC180">_xlfn.XLOOKUP(1,('1994 E Maize Soil VWC'!$C$2:$C$4000=$AA180)*('1994 E Maize Soil VWC'!$D$2:$D$4000=$AB180)*('1994 E Maize Soil VWC'!$E$2:$E$4000=AC$5),'1994 E Maize Soil VWC'!$F$2:$F$4000)</f>
        <v>#N/A</v>
      </c>
      <c r="AD180" s="4" t="e" cm="1">
        <f t="array" ref="AD180">_xlfn.XLOOKUP(1,('1994 E Maize Soil VWC'!$C$2:$C$4000=$AA180)*('1994 E Maize Soil VWC'!$D$2:$D$4000=$AB180)*('1994 E Maize Soil VWC'!$E$2:$E$4000=AD$5),'1994 E Maize Soil VWC'!$F$2:$F$4000)</f>
        <v>#N/A</v>
      </c>
      <c r="AE180" s="4" t="e" cm="1">
        <f t="array" ref="AE180">_xlfn.XLOOKUP(1,('1994 E Maize Soil VWC'!$C$2:$C$4000=$AA180)*('1994 E Maize Soil VWC'!$D$2:$D$4000=$AB180)*('1994 E Maize Soil VWC'!$E$2:$E$4000=AE$5),'1994 E Maize Soil VWC'!$F$2:$F$4000)</f>
        <v>#N/A</v>
      </c>
      <c r="AF180" s="4" t="e" cm="1">
        <f t="array" ref="AF180">_xlfn.XLOOKUP(1,('1994 E Maize Soil VWC'!$C$2:$C$4000=$AA180)*('1994 E Maize Soil VWC'!$D$2:$D$4000=$AB180)*('1994 E Maize Soil VWC'!$E$2:$E$4000=AF$5),'1994 E Maize Soil VWC'!$F$2:$F$4000)</f>
        <v>#N/A</v>
      </c>
      <c r="AG180" s="4" t="e" cm="1">
        <f t="array" ref="AG180">_xlfn.XLOOKUP(1,('1994 E Maize Soil VWC'!$C$2:$C$4000=$AA180)*('1994 E Maize Soil VWC'!$D$2:$D$4000=$AB180)*('1994 E Maize Soil VWC'!$E$2:$E$4000=AG$5),'1994 E Maize Soil VWC'!$F$2:$F$4000)</f>
        <v>#N/A</v>
      </c>
      <c r="AH180" s="4" t="e" cm="1">
        <f t="array" ref="AH180">_xlfn.XLOOKUP(1,('1994 E Maize Soil VWC'!$C$2:$C$4000=$AA180)*('1994 E Maize Soil VWC'!$D$2:$D$4000=$AB180)*('1994 E Maize Soil VWC'!$E$2:$E$4000=AH$5),'1994 E Maize Soil VWC'!$F$2:$F$4000)</f>
        <v>#N/A</v>
      </c>
      <c r="AI180" s="4" t="e" cm="1">
        <f t="array" ref="AI180">_xlfn.XLOOKUP(1,('1994 E Maize Soil VWC'!$C$2:$C$4000=$AA180)*('1994 E Maize Soil VWC'!$D$2:$D$4000=$AB180)*('1994 E Maize Soil VWC'!$E$2:$E$4000=AI$5),'1994 E Maize Soil VWC'!$F$2:$F$4000)</f>
        <v>#N/A</v>
      </c>
      <c r="AJ180" s="4" t="e" cm="1">
        <f t="array" ref="AJ180">_xlfn.XLOOKUP(1,('1994 E Maize Soil VWC'!$C$2:$C$4000=$AA180)*('1994 E Maize Soil VWC'!$D$2:$D$4000=$AB180)*('1994 E Maize Soil VWC'!$E$2:$E$4000=AJ$5),'1994 E Maize Soil VWC'!$F$2:$F$4000)</f>
        <v>#N/A</v>
      </c>
      <c r="AK180" s="4" t="e" cm="1">
        <f t="array" ref="AK180">_xlfn.XLOOKUP(1,('1994 E Maize Soil VWC'!$C$2:$C$4000=$AA180)*('1994 E Maize Soil VWC'!$D$2:$D$4000=$AB180)*('1994 E Maize Soil VWC'!$E$2:$E$4000=AK$5),'1994 E Maize Soil VWC'!$F$2:$F$4000)</f>
        <v>#N/A</v>
      </c>
      <c r="AL180" s="4" t="e" cm="1">
        <f t="array" ref="AL180">_xlfn.XLOOKUP(1,('1994 E Maize Soil VWC'!$C$2:$C$4000=$AA180)*('1994 E Maize Soil VWC'!$D$2:$D$4000=$AB180)*('1994 E Maize Soil VWC'!$E$2:$E$4000=AL$5),'1994 E Maize Soil VWC'!$F$2:$F$4000)</f>
        <v>#N/A</v>
      </c>
      <c r="AM180" s="4" t="e" cm="1">
        <f t="array" ref="AM180">_xlfn.XLOOKUP(1,('1994 E Maize Soil VWC'!$C$2:$C$4000=$AA180)*('1994 E Maize Soil VWC'!$D$2:$D$4000=$AB180)*('1994 E Maize Soil VWC'!$E$2:$E$4000=AM$5),'1994 E Maize Soil VWC'!$F$2:$F$4000)</f>
        <v>#N/A</v>
      </c>
      <c r="AN180" s="4" t="e" cm="1">
        <f t="array" ref="AN180">_xlfn.XLOOKUP(1,('1994 E Maize Soil VWC'!$C$2:$C$4000=$AA180)*('1994 E Maize Soil VWC'!$D$2:$D$4000=$AB180)*('1994 E Maize Soil VWC'!$E$2:$E$4000=AN$5),'1994 E Maize Soil VWC'!$F$2:$F$4000)</f>
        <v>#N/A</v>
      </c>
    </row>
    <row r="181" spans="25:40" x14ac:dyDescent="0.25">
      <c r="AA181" s="19">
        <f t="shared" si="26"/>
        <v>34334</v>
      </c>
      <c r="AB181" s="4">
        <f t="shared" si="27"/>
        <v>130</v>
      </c>
      <c r="AC181" s="4" t="e" cm="1">
        <f t="array" ref="AC181">_xlfn.XLOOKUP(1,('1994 E Maize Soil VWC'!$C$2:$C$4000=$AA181)*('1994 E Maize Soil VWC'!$D$2:$D$4000=$AB181)*('1994 E Maize Soil VWC'!$E$2:$E$4000=AC$5),'1994 E Maize Soil VWC'!$F$2:$F$4000)</f>
        <v>#N/A</v>
      </c>
      <c r="AD181" s="4" t="e" cm="1">
        <f t="array" ref="AD181">_xlfn.XLOOKUP(1,('1994 E Maize Soil VWC'!$C$2:$C$4000=$AA181)*('1994 E Maize Soil VWC'!$D$2:$D$4000=$AB181)*('1994 E Maize Soil VWC'!$E$2:$E$4000=AD$5),'1994 E Maize Soil VWC'!$F$2:$F$4000)</f>
        <v>#N/A</v>
      </c>
      <c r="AE181" s="4" t="e" cm="1">
        <f t="array" ref="AE181">_xlfn.XLOOKUP(1,('1994 E Maize Soil VWC'!$C$2:$C$4000=$AA181)*('1994 E Maize Soil VWC'!$D$2:$D$4000=$AB181)*('1994 E Maize Soil VWC'!$E$2:$E$4000=AE$5),'1994 E Maize Soil VWC'!$F$2:$F$4000)</f>
        <v>#N/A</v>
      </c>
      <c r="AF181" s="4" t="e" cm="1">
        <f t="array" ref="AF181">_xlfn.XLOOKUP(1,('1994 E Maize Soil VWC'!$C$2:$C$4000=$AA181)*('1994 E Maize Soil VWC'!$D$2:$D$4000=$AB181)*('1994 E Maize Soil VWC'!$E$2:$E$4000=AF$5),'1994 E Maize Soil VWC'!$F$2:$F$4000)</f>
        <v>#N/A</v>
      </c>
      <c r="AG181" s="4" t="e" cm="1">
        <f t="array" ref="AG181">_xlfn.XLOOKUP(1,('1994 E Maize Soil VWC'!$C$2:$C$4000=$AA181)*('1994 E Maize Soil VWC'!$D$2:$D$4000=$AB181)*('1994 E Maize Soil VWC'!$E$2:$E$4000=AG$5),'1994 E Maize Soil VWC'!$F$2:$F$4000)</f>
        <v>#N/A</v>
      </c>
      <c r="AH181" s="4" t="e" cm="1">
        <f t="array" ref="AH181">_xlfn.XLOOKUP(1,('1994 E Maize Soil VWC'!$C$2:$C$4000=$AA181)*('1994 E Maize Soil VWC'!$D$2:$D$4000=$AB181)*('1994 E Maize Soil VWC'!$E$2:$E$4000=AH$5),'1994 E Maize Soil VWC'!$F$2:$F$4000)</f>
        <v>#N/A</v>
      </c>
      <c r="AI181" s="4" t="e" cm="1">
        <f t="array" ref="AI181">_xlfn.XLOOKUP(1,('1994 E Maize Soil VWC'!$C$2:$C$4000=$AA181)*('1994 E Maize Soil VWC'!$D$2:$D$4000=$AB181)*('1994 E Maize Soil VWC'!$E$2:$E$4000=AI$5),'1994 E Maize Soil VWC'!$F$2:$F$4000)</f>
        <v>#N/A</v>
      </c>
      <c r="AJ181" s="4" t="e" cm="1">
        <f t="array" ref="AJ181">_xlfn.XLOOKUP(1,('1994 E Maize Soil VWC'!$C$2:$C$4000=$AA181)*('1994 E Maize Soil VWC'!$D$2:$D$4000=$AB181)*('1994 E Maize Soil VWC'!$E$2:$E$4000=AJ$5),'1994 E Maize Soil VWC'!$F$2:$F$4000)</f>
        <v>#N/A</v>
      </c>
      <c r="AK181" s="4" t="e" cm="1">
        <f t="array" ref="AK181">_xlfn.XLOOKUP(1,('1994 E Maize Soil VWC'!$C$2:$C$4000=$AA181)*('1994 E Maize Soil VWC'!$D$2:$D$4000=$AB181)*('1994 E Maize Soil VWC'!$E$2:$E$4000=AK$5),'1994 E Maize Soil VWC'!$F$2:$F$4000)</f>
        <v>#N/A</v>
      </c>
      <c r="AL181" s="4" t="e" cm="1">
        <f t="array" ref="AL181">_xlfn.XLOOKUP(1,('1994 E Maize Soil VWC'!$C$2:$C$4000=$AA181)*('1994 E Maize Soil VWC'!$D$2:$D$4000=$AB181)*('1994 E Maize Soil VWC'!$E$2:$E$4000=AL$5),'1994 E Maize Soil VWC'!$F$2:$F$4000)</f>
        <v>#N/A</v>
      </c>
      <c r="AM181" s="4" t="e" cm="1">
        <f t="array" ref="AM181">_xlfn.XLOOKUP(1,('1994 E Maize Soil VWC'!$C$2:$C$4000=$AA181)*('1994 E Maize Soil VWC'!$D$2:$D$4000=$AB181)*('1994 E Maize Soil VWC'!$E$2:$E$4000=AM$5),'1994 E Maize Soil VWC'!$F$2:$F$4000)</f>
        <v>#N/A</v>
      </c>
      <c r="AN181" s="4" t="e" cm="1">
        <f t="array" ref="AN181">_xlfn.XLOOKUP(1,('1994 E Maize Soil VWC'!$C$2:$C$4000=$AA181)*('1994 E Maize Soil VWC'!$D$2:$D$4000=$AB181)*('1994 E Maize Soil VWC'!$E$2:$E$4000=AN$5),'1994 E Maize Soil VWC'!$F$2:$F$4000)</f>
        <v>#N/A</v>
      </c>
    </row>
    <row r="182" spans="25:40" x14ac:dyDescent="0.25">
      <c r="AA182" s="19">
        <f t="shared" si="26"/>
        <v>34334</v>
      </c>
      <c r="AB182" s="4">
        <f t="shared" si="27"/>
        <v>150</v>
      </c>
      <c r="AC182" s="4" t="e" cm="1">
        <f t="array" ref="AC182">_xlfn.XLOOKUP(1,('1994 E Maize Soil VWC'!$C$2:$C$4000=$AA182)*('1994 E Maize Soil VWC'!$D$2:$D$4000=$AB182)*('1994 E Maize Soil VWC'!$E$2:$E$4000=AC$5),'1994 E Maize Soil VWC'!$F$2:$F$4000)</f>
        <v>#N/A</v>
      </c>
      <c r="AD182" s="4" t="e" cm="1">
        <f t="array" ref="AD182">_xlfn.XLOOKUP(1,('1994 E Maize Soil VWC'!$C$2:$C$4000=$AA182)*('1994 E Maize Soil VWC'!$D$2:$D$4000=$AB182)*('1994 E Maize Soil VWC'!$E$2:$E$4000=AD$5),'1994 E Maize Soil VWC'!$F$2:$F$4000)</f>
        <v>#N/A</v>
      </c>
      <c r="AE182" s="4" t="e" cm="1">
        <f t="array" ref="AE182">_xlfn.XLOOKUP(1,('1994 E Maize Soil VWC'!$C$2:$C$4000=$AA182)*('1994 E Maize Soil VWC'!$D$2:$D$4000=$AB182)*('1994 E Maize Soil VWC'!$E$2:$E$4000=AE$5),'1994 E Maize Soil VWC'!$F$2:$F$4000)</f>
        <v>#N/A</v>
      </c>
      <c r="AF182" s="4" t="e" cm="1">
        <f t="array" ref="AF182">_xlfn.XLOOKUP(1,('1994 E Maize Soil VWC'!$C$2:$C$4000=$AA182)*('1994 E Maize Soil VWC'!$D$2:$D$4000=$AB182)*('1994 E Maize Soil VWC'!$E$2:$E$4000=AF$5),'1994 E Maize Soil VWC'!$F$2:$F$4000)</f>
        <v>#N/A</v>
      </c>
      <c r="AG182" s="4" t="e" cm="1">
        <f t="array" ref="AG182">_xlfn.XLOOKUP(1,('1994 E Maize Soil VWC'!$C$2:$C$4000=$AA182)*('1994 E Maize Soil VWC'!$D$2:$D$4000=$AB182)*('1994 E Maize Soil VWC'!$E$2:$E$4000=AG$5),'1994 E Maize Soil VWC'!$F$2:$F$4000)</f>
        <v>#N/A</v>
      </c>
      <c r="AH182" s="4" t="e" cm="1">
        <f t="array" ref="AH182">_xlfn.XLOOKUP(1,('1994 E Maize Soil VWC'!$C$2:$C$4000=$AA182)*('1994 E Maize Soil VWC'!$D$2:$D$4000=$AB182)*('1994 E Maize Soil VWC'!$E$2:$E$4000=AH$5),'1994 E Maize Soil VWC'!$F$2:$F$4000)</f>
        <v>#N/A</v>
      </c>
      <c r="AI182" s="4" t="e" cm="1">
        <f t="array" ref="AI182">_xlfn.XLOOKUP(1,('1994 E Maize Soil VWC'!$C$2:$C$4000=$AA182)*('1994 E Maize Soil VWC'!$D$2:$D$4000=$AB182)*('1994 E Maize Soil VWC'!$E$2:$E$4000=AI$5),'1994 E Maize Soil VWC'!$F$2:$F$4000)</f>
        <v>#N/A</v>
      </c>
      <c r="AJ182" s="4" t="e" cm="1">
        <f t="array" ref="AJ182">_xlfn.XLOOKUP(1,('1994 E Maize Soil VWC'!$C$2:$C$4000=$AA182)*('1994 E Maize Soil VWC'!$D$2:$D$4000=$AB182)*('1994 E Maize Soil VWC'!$E$2:$E$4000=AJ$5),'1994 E Maize Soil VWC'!$F$2:$F$4000)</f>
        <v>#N/A</v>
      </c>
      <c r="AK182" s="4" t="e" cm="1">
        <f t="array" ref="AK182">_xlfn.XLOOKUP(1,('1994 E Maize Soil VWC'!$C$2:$C$4000=$AA182)*('1994 E Maize Soil VWC'!$D$2:$D$4000=$AB182)*('1994 E Maize Soil VWC'!$E$2:$E$4000=AK$5),'1994 E Maize Soil VWC'!$F$2:$F$4000)</f>
        <v>#N/A</v>
      </c>
      <c r="AL182" s="4" t="e" cm="1">
        <f t="array" ref="AL182">_xlfn.XLOOKUP(1,('1994 E Maize Soil VWC'!$C$2:$C$4000=$AA182)*('1994 E Maize Soil VWC'!$D$2:$D$4000=$AB182)*('1994 E Maize Soil VWC'!$E$2:$E$4000=AL$5),'1994 E Maize Soil VWC'!$F$2:$F$4000)</f>
        <v>#N/A</v>
      </c>
      <c r="AM182" s="4" t="e" cm="1">
        <f t="array" ref="AM182">_xlfn.XLOOKUP(1,('1994 E Maize Soil VWC'!$C$2:$C$4000=$AA182)*('1994 E Maize Soil VWC'!$D$2:$D$4000=$AB182)*('1994 E Maize Soil VWC'!$E$2:$E$4000=AM$5),'1994 E Maize Soil VWC'!$F$2:$F$4000)</f>
        <v>#N/A</v>
      </c>
      <c r="AN182" s="4" t="e" cm="1">
        <f t="array" ref="AN182">_xlfn.XLOOKUP(1,('1994 E Maize Soil VWC'!$C$2:$C$4000=$AA182)*('1994 E Maize Soil VWC'!$D$2:$D$4000=$AB182)*('1994 E Maize Soil VWC'!$E$2:$E$4000=AN$5),'1994 E Maize Soil VWC'!$F$2:$F$4000)</f>
        <v>#N/A</v>
      </c>
    </row>
    <row r="183" spans="25:40" x14ac:dyDescent="0.25">
      <c r="AA183" s="19">
        <f t="shared" si="26"/>
        <v>34334</v>
      </c>
      <c r="AB183" s="4">
        <f t="shared" si="27"/>
        <v>170</v>
      </c>
      <c r="AC183" s="4" t="e" cm="1">
        <f t="array" ref="AC183">_xlfn.XLOOKUP(1,('1994 E Maize Soil VWC'!$C$2:$C$4000=$AA183)*('1994 E Maize Soil VWC'!$D$2:$D$4000=$AB183)*('1994 E Maize Soil VWC'!$E$2:$E$4000=AC$5),'1994 E Maize Soil VWC'!$F$2:$F$4000)</f>
        <v>#N/A</v>
      </c>
      <c r="AD183" s="4" t="e" cm="1">
        <f t="array" ref="AD183">_xlfn.XLOOKUP(1,('1994 E Maize Soil VWC'!$C$2:$C$4000=$AA183)*('1994 E Maize Soil VWC'!$D$2:$D$4000=$AB183)*('1994 E Maize Soil VWC'!$E$2:$E$4000=AD$5),'1994 E Maize Soil VWC'!$F$2:$F$4000)</f>
        <v>#N/A</v>
      </c>
      <c r="AE183" s="4" t="e" cm="1">
        <f t="array" ref="AE183">_xlfn.XLOOKUP(1,('1994 E Maize Soil VWC'!$C$2:$C$4000=$AA183)*('1994 E Maize Soil VWC'!$D$2:$D$4000=$AB183)*('1994 E Maize Soil VWC'!$E$2:$E$4000=AE$5),'1994 E Maize Soil VWC'!$F$2:$F$4000)</f>
        <v>#N/A</v>
      </c>
      <c r="AF183" s="4" t="e" cm="1">
        <f t="array" ref="AF183">_xlfn.XLOOKUP(1,('1994 E Maize Soil VWC'!$C$2:$C$4000=$AA183)*('1994 E Maize Soil VWC'!$D$2:$D$4000=$AB183)*('1994 E Maize Soil VWC'!$E$2:$E$4000=AF$5),'1994 E Maize Soil VWC'!$F$2:$F$4000)</f>
        <v>#N/A</v>
      </c>
      <c r="AG183" s="4" t="e" cm="1">
        <f t="array" ref="AG183">_xlfn.XLOOKUP(1,('1994 E Maize Soil VWC'!$C$2:$C$4000=$AA183)*('1994 E Maize Soil VWC'!$D$2:$D$4000=$AB183)*('1994 E Maize Soil VWC'!$E$2:$E$4000=AG$5),'1994 E Maize Soil VWC'!$F$2:$F$4000)</f>
        <v>#N/A</v>
      </c>
      <c r="AH183" s="4" t="e" cm="1">
        <f t="array" ref="AH183">_xlfn.XLOOKUP(1,('1994 E Maize Soil VWC'!$C$2:$C$4000=$AA183)*('1994 E Maize Soil VWC'!$D$2:$D$4000=$AB183)*('1994 E Maize Soil VWC'!$E$2:$E$4000=AH$5),'1994 E Maize Soil VWC'!$F$2:$F$4000)</f>
        <v>#N/A</v>
      </c>
      <c r="AI183" s="4" t="e" cm="1">
        <f t="array" ref="AI183">_xlfn.XLOOKUP(1,('1994 E Maize Soil VWC'!$C$2:$C$4000=$AA183)*('1994 E Maize Soil VWC'!$D$2:$D$4000=$AB183)*('1994 E Maize Soil VWC'!$E$2:$E$4000=AI$5),'1994 E Maize Soil VWC'!$F$2:$F$4000)</f>
        <v>#N/A</v>
      </c>
      <c r="AJ183" s="4" t="e" cm="1">
        <f t="array" ref="AJ183">_xlfn.XLOOKUP(1,('1994 E Maize Soil VWC'!$C$2:$C$4000=$AA183)*('1994 E Maize Soil VWC'!$D$2:$D$4000=$AB183)*('1994 E Maize Soil VWC'!$E$2:$E$4000=AJ$5),'1994 E Maize Soil VWC'!$F$2:$F$4000)</f>
        <v>#N/A</v>
      </c>
      <c r="AK183" s="4" t="e" cm="1">
        <f t="array" ref="AK183">_xlfn.XLOOKUP(1,('1994 E Maize Soil VWC'!$C$2:$C$4000=$AA183)*('1994 E Maize Soil VWC'!$D$2:$D$4000=$AB183)*('1994 E Maize Soil VWC'!$E$2:$E$4000=AK$5),'1994 E Maize Soil VWC'!$F$2:$F$4000)</f>
        <v>#N/A</v>
      </c>
      <c r="AL183" s="4" t="e" cm="1">
        <f t="array" ref="AL183">_xlfn.XLOOKUP(1,('1994 E Maize Soil VWC'!$C$2:$C$4000=$AA183)*('1994 E Maize Soil VWC'!$D$2:$D$4000=$AB183)*('1994 E Maize Soil VWC'!$E$2:$E$4000=AL$5),'1994 E Maize Soil VWC'!$F$2:$F$4000)</f>
        <v>#N/A</v>
      </c>
      <c r="AM183" s="4" t="e" cm="1">
        <f t="array" ref="AM183">_xlfn.XLOOKUP(1,('1994 E Maize Soil VWC'!$C$2:$C$4000=$AA183)*('1994 E Maize Soil VWC'!$D$2:$D$4000=$AB183)*('1994 E Maize Soil VWC'!$E$2:$E$4000=AM$5),'1994 E Maize Soil VWC'!$F$2:$F$4000)</f>
        <v>#N/A</v>
      </c>
      <c r="AN183" s="4" t="e" cm="1">
        <f t="array" ref="AN183">_xlfn.XLOOKUP(1,('1994 E Maize Soil VWC'!$C$2:$C$4000=$AA183)*('1994 E Maize Soil VWC'!$D$2:$D$4000=$AB183)*('1994 E Maize Soil VWC'!$E$2:$E$4000=AN$5),'1994 E Maize Soil VWC'!$F$2:$F$4000)</f>
        <v>#N/A</v>
      </c>
    </row>
    <row r="184" spans="25:40" x14ac:dyDescent="0.25">
      <c r="AA184" s="19">
        <f t="shared" si="26"/>
        <v>34334</v>
      </c>
      <c r="AB184" s="4">
        <f t="shared" si="27"/>
        <v>190</v>
      </c>
      <c r="AC184" s="4" t="e" cm="1">
        <f t="array" ref="AC184">_xlfn.XLOOKUP(1,('1994 E Maize Soil VWC'!$C$2:$C$4000=$AA184)*('1994 E Maize Soil VWC'!$D$2:$D$4000=$AB184)*('1994 E Maize Soil VWC'!$E$2:$E$4000=AC$5),'1994 E Maize Soil VWC'!$F$2:$F$4000)</f>
        <v>#N/A</v>
      </c>
      <c r="AD184" s="4" t="e" cm="1">
        <f t="array" ref="AD184">_xlfn.XLOOKUP(1,('1994 E Maize Soil VWC'!$C$2:$C$4000=$AA184)*('1994 E Maize Soil VWC'!$D$2:$D$4000=$AB184)*('1994 E Maize Soil VWC'!$E$2:$E$4000=AD$5),'1994 E Maize Soil VWC'!$F$2:$F$4000)</f>
        <v>#N/A</v>
      </c>
      <c r="AE184" s="4" t="e" cm="1">
        <f t="array" ref="AE184">_xlfn.XLOOKUP(1,('1994 E Maize Soil VWC'!$C$2:$C$4000=$AA184)*('1994 E Maize Soil VWC'!$D$2:$D$4000=$AB184)*('1994 E Maize Soil VWC'!$E$2:$E$4000=AE$5),'1994 E Maize Soil VWC'!$F$2:$F$4000)</f>
        <v>#N/A</v>
      </c>
      <c r="AF184" s="4" t="e" cm="1">
        <f t="array" ref="AF184">_xlfn.XLOOKUP(1,('1994 E Maize Soil VWC'!$C$2:$C$4000=$AA184)*('1994 E Maize Soil VWC'!$D$2:$D$4000=$AB184)*('1994 E Maize Soil VWC'!$E$2:$E$4000=AF$5),'1994 E Maize Soil VWC'!$F$2:$F$4000)</f>
        <v>#N/A</v>
      </c>
      <c r="AG184" s="4" t="e" cm="1">
        <f t="array" ref="AG184">_xlfn.XLOOKUP(1,('1994 E Maize Soil VWC'!$C$2:$C$4000=$AA184)*('1994 E Maize Soil VWC'!$D$2:$D$4000=$AB184)*('1994 E Maize Soil VWC'!$E$2:$E$4000=AG$5),'1994 E Maize Soil VWC'!$F$2:$F$4000)</f>
        <v>#N/A</v>
      </c>
      <c r="AH184" s="4" t="e" cm="1">
        <f t="array" ref="AH184">_xlfn.XLOOKUP(1,('1994 E Maize Soil VWC'!$C$2:$C$4000=$AA184)*('1994 E Maize Soil VWC'!$D$2:$D$4000=$AB184)*('1994 E Maize Soil VWC'!$E$2:$E$4000=AH$5),'1994 E Maize Soil VWC'!$F$2:$F$4000)</f>
        <v>#N/A</v>
      </c>
      <c r="AI184" s="4" t="e" cm="1">
        <f t="array" ref="AI184">_xlfn.XLOOKUP(1,('1994 E Maize Soil VWC'!$C$2:$C$4000=$AA184)*('1994 E Maize Soil VWC'!$D$2:$D$4000=$AB184)*('1994 E Maize Soil VWC'!$E$2:$E$4000=AI$5),'1994 E Maize Soil VWC'!$F$2:$F$4000)</f>
        <v>#N/A</v>
      </c>
      <c r="AJ184" s="4" t="e" cm="1">
        <f t="array" ref="AJ184">_xlfn.XLOOKUP(1,('1994 E Maize Soil VWC'!$C$2:$C$4000=$AA184)*('1994 E Maize Soil VWC'!$D$2:$D$4000=$AB184)*('1994 E Maize Soil VWC'!$E$2:$E$4000=AJ$5),'1994 E Maize Soil VWC'!$F$2:$F$4000)</f>
        <v>#N/A</v>
      </c>
      <c r="AK184" s="4" t="e" cm="1">
        <f t="array" ref="AK184">_xlfn.XLOOKUP(1,('1994 E Maize Soil VWC'!$C$2:$C$4000=$AA184)*('1994 E Maize Soil VWC'!$D$2:$D$4000=$AB184)*('1994 E Maize Soil VWC'!$E$2:$E$4000=AK$5),'1994 E Maize Soil VWC'!$F$2:$F$4000)</f>
        <v>#N/A</v>
      </c>
      <c r="AL184" s="4" t="e" cm="1">
        <f t="array" ref="AL184">_xlfn.XLOOKUP(1,('1994 E Maize Soil VWC'!$C$2:$C$4000=$AA184)*('1994 E Maize Soil VWC'!$D$2:$D$4000=$AB184)*('1994 E Maize Soil VWC'!$E$2:$E$4000=AL$5),'1994 E Maize Soil VWC'!$F$2:$F$4000)</f>
        <v>#N/A</v>
      </c>
      <c r="AM184" s="4" t="e" cm="1">
        <f t="array" ref="AM184">_xlfn.XLOOKUP(1,('1994 E Maize Soil VWC'!$C$2:$C$4000=$AA184)*('1994 E Maize Soil VWC'!$D$2:$D$4000=$AB184)*('1994 E Maize Soil VWC'!$E$2:$E$4000=AM$5),'1994 E Maize Soil VWC'!$F$2:$F$4000)</f>
        <v>#N/A</v>
      </c>
      <c r="AN184" s="4" t="e" cm="1">
        <f t="array" ref="AN184">_xlfn.XLOOKUP(1,('1994 E Maize Soil VWC'!$C$2:$C$4000=$AA184)*('1994 E Maize Soil VWC'!$D$2:$D$4000=$AB184)*('1994 E Maize Soil VWC'!$E$2:$E$4000=AN$5),'1994 E Maize Soil VWC'!$F$2:$F$4000)</f>
        <v>#N/A</v>
      </c>
    </row>
    <row r="185" spans="25:40" x14ac:dyDescent="0.25">
      <c r="AA185" s="19">
        <f t="shared" si="26"/>
        <v>34334</v>
      </c>
      <c r="AB185" s="4">
        <f t="shared" si="27"/>
        <v>210</v>
      </c>
      <c r="AC185" s="4" t="e" cm="1">
        <f t="array" ref="AC185">_xlfn.XLOOKUP(1,('1994 E Maize Soil VWC'!$C$2:$C$4000=$AA185)*('1994 E Maize Soil VWC'!$D$2:$D$4000=$AB185)*('1994 E Maize Soil VWC'!$E$2:$E$4000=AC$5),'1994 E Maize Soil VWC'!$F$2:$F$4000)</f>
        <v>#N/A</v>
      </c>
      <c r="AD185" s="4" t="e" cm="1">
        <f t="array" ref="AD185">_xlfn.XLOOKUP(1,('1994 E Maize Soil VWC'!$C$2:$C$4000=$AA185)*('1994 E Maize Soil VWC'!$D$2:$D$4000=$AB185)*('1994 E Maize Soil VWC'!$E$2:$E$4000=AD$5),'1994 E Maize Soil VWC'!$F$2:$F$4000)</f>
        <v>#N/A</v>
      </c>
      <c r="AE185" s="4" t="e" cm="1">
        <f t="array" ref="AE185">_xlfn.XLOOKUP(1,('1994 E Maize Soil VWC'!$C$2:$C$4000=$AA185)*('1994 E Maize Soil VWC'!$D$2:$D$4000=$AB185)*('1994 E Maize Soil VWC'!$E$2:$E$4000=AE$5),'1994 E Maize Soil VWC'!$F$2:$F$4000)</f>
        <v>#N/A</v>
      </c>
      <c r="AF185" s="4" t="e" cm="1">
        <f t="array" ref="AF185">_xlfn.XLOOKUP(1,('1994 E Maize Soil VWC'!$C$2:$C$4000=$AA185)*('1994 E Maize Soil VWC'!$D$2:$D$4000=$AB185)*('1994 E Maize Soil VWC'!$E$2:$E$4000=AF$5),'1994 E Maize Soil VWC'!$F$2:$F$4000)</f>
        <v>#N/A</v>
      </c>
      <c r="AG185" s="4" t="e" cm="1">
        <f t="array" ref="AG185">_xlfn.XLOOKUP(1,('1994 E Maize Soil VWC'!$C$2:$C$4000=$AA185)*('1994 E Maize Soil VWC'!$D$2:$D$4000=$AB185)*('1994 E Maize Soil VWC'!$E$2:$E$4000=AG$5),'1994 E Maize Soil VWC'!$F$2:$F$4000)</f>
        <v>#N/A</v>
      </c>
      <c r="AH185" s="4" t="e" cm="1">
        <f t="array" ref="AH185">_xlfn.XLOOKUP(1,('1994 E Maize Soil VWC'!$C$2:$C$4000=$AA185)*('1994 E Maize Soil VWC'!$D$2:$D$4000=$AB185)*('1994 E Maize Soil VWC'!$E$2:$E$4000=AH$5),'1994 E Maize Soil VWC'!$F$2:$F$4000)</f>
        <v>#N/A</v>
      </c>
      <c r="AI185" s="4" t="e" cm="1">
        <f t="array" ref="AI185">_xlfn.XLOOKUP(1,('1994 E Maize Soil VWC'!$C$2:$C$4000=$AA185)*('1994 E Maize Soil VWC'!$D$2:$D$4000=$AB185)*('1994 E Maize Soil VWC'!$E$2:$E$4000=AI$5),'1994 E Maize Soil VWC'!$F$2:$F$4000)</f>
        <v>#N/A</v>
      </c>
      <c r="AJ185" s="4" t="e" cm="1">
        <f t="array" ref="AJ185">_xlfn.XLOOKUP(1,('1994 E Maize Soil VWC'!$C$2:$C$4000=$AA185)*('1994 E Maize Soil VWC'!$D$2:$D$4000=$AB185)*('1994 E Maize Soil VWC'!$E$2:$E$4000=AJ$5),'1994 E Maize Soil VWC'!$F$2:$F$4000)</f>
        <v>#N/A</v>
      </c>
      <c r="AK185" s="4" t="e" cm="1">
        <f t="array" ref="AK185">_xlfn.XLOOKUP(1,('1994 E Maize Soil VWC'!$C$2:$C$4000=$AA185)*('1994 E Maize Soil VWC'!$D$2:$D$4000=$AB185)*('1994 E Maize Soil VWC'!$E$2:$E$4000=AK$5),'1994 E Maize Soil VWC'!$F$2:$F$4000)</f>
        <v>#N/A</v>
      </c>
      <c r="AL185" s="4" t="e" cm="1">
        <f t="array" ref="AL185">_xlfn.XLOOKUP(1,('1994 E Maize Soil VWC'!$C$2:$C$4000=$AA185)*('1994 E Maize Soil VWC'!$D$2:$D$4000=$AB185)*('1994 E Maize Soil VWC'!$E$2:$E$4000=AL$5),'1994 E Maize Soil VWC'!$F$2:$F$4000)</f>
        <v>#N/A</v>
      </c>
      <c r="AM185" s="4" t="e" cm="1">
        <f t="array" ref="AM185">_xlfn.XLOOKUP(1,('1994 E Maize Soil VWC'!$C$2:$C$4000=$AA185)*('1994 E Maize Soil VWC'!$D$2:$D$4000=$AB185)*('1994 E Maize Soil VWC'!$E$2:$E$4000=AM$5),'1994 E Maize Soil VWC'!$F$2:$F$4000)</f>
        <v>#N/A</v>
      </c>
      <c r="AN185" s="4" t="e" cm="1">
        <f t="array" ref="AN185">_xlfn.XLOOKUP(1,('1994 E Maize Soil VWC'!$C$2:$C$4000=$AA185)*('1994 E Maize Soil VWC'!$D$2:$D$4000=$AB185)*('1994 E Maize Soil VWC'!$E$2:$E$4000=AN$5),'1994 E Maize Soil VWC'!$F$2:$F$4000)</f>
        <v>#N/A</v>
      </c>
    </row>
    <row r="186" spans="25:40" x14ac:dyDescent="0.25">
      <c r="AA186" s="19">
        <f t="shared" si="26"/>
        <v>34334</v>
      </c>
      <c r="AB186" s="4">
        <f t="shared" si="27"/>
        <v>230</v>
      </c>
      <c r="AC186" s="4" t="e" cm="1">
        <f t="array" ref="AC186">_xlfn.XLOOKUP(1,('1994 E Maize Soil VWC'!$C$2:$C$4000=$AA186)*('1994 E Maize Soil VWC'!$D$2:$D$4000=$AB186)*('1994 E Maize Soil VWC'!$E$2:$E$4000=AC$5),'1994 E Maize Soil VWC'!$F$2:$F$4000)</f>
        <v>#N/A</v>
      </c>
      <c r="AD186" s="4" t="e" cm="1">
        <f t="array" ref="AD186">_xlfn.XLOOKUP(1,('1994 E Maize Soil VWC'!$C$2:$C$4000=$AA186)*('1994 E Maize Soil VWC'!$D$2:$D$4000=$AB186)*('1994 E Maize Soil VWC'!$E$2:$E$4000=AD$5),'1994 E Maize Soil VWC'!$F$2:$F$4000)</f>
        <v>#N/A</v>
      </c>
      <c r="AE186" s="4" t="e" cm="1">
        <f t="array" ref="AE186">_xlfn.XLOOKUP(1,('1994 E Maize Soil VWC'!$C$2:$C$4000=$AA186)*('1994 E Maize Soil VWC'!$D$2:$D$4000=$AB186)*('1994 E Maize Soil VWC'!$E$2:$E$4000=AE$5),'1994 E Maize Soil VWC'!$F$2:$F$4000)</f>
        <v>#N/A</v>
      </c>
      <c r="AF186" s="4" t="e" cm="1">
        <f t="array" ref="AF186">_xlfn.XLOOKUP(1,('1994 E Maize Soil VWC'!$C$2:$C$4000=$AA186)*('1994 E Maize Soil VWC'!$D$2:$D$4000=$AB186)*('1994 E Maize Soil VWC'!$E$2:$E$4000=AF$5),'1994 E Maize Soil VWC'!$F$2:$F$4000)</f>
        <v>#N/A</v>
      </c>
      <c r="AG186" s="4" t="e" cm="1">
        <f t="array" ref="AG186">_xlfn.XLOOKUP(1,('1994 E Maize Soil VWC'!$C$2:$C$4000=$AA186)*('1994 E Maize Soil VWC'!$D$2:$D$4000=$AB186)*('1994 E Maize Soil VWC'!$E$2:$E$4000=AG$5),'1994 E Maize Soil VWC'!$F$2:$F$4000)</f>
        <v>#N/A</v>
      </c>
      <c r="AH186" s="4" t="e" cm="1">
        <f t="array" ref="AH186">_xlfn.XLOOKUP(1,('1994 E Maize Soil VWC'!$C$2:$C$4000=$AA186)*('1994 E Maize Soil VWC'!$D$2:$D$4000=$AB186)*('1994 E Maize Soil VWC'!$E$2:$E$4000=AH$5),'1994 E Maize Soil VWC'!$F$2:$F$4000)</f>
        <v>#N/A</v>
      </c>
      <c r="AI186" s="4" t="e" cm="1">
        <f t="array" ref="AI186">_xlfn.XLOOKUP(1,('1994 E Maize Soil VWC'!$C$2:$C$4000=$AA186)*('1994 E Maize Soil VWC'!$D$2:$D$4000=$AB186)*('1994 E Maize Soil VWC'!$E$2:$E$4000=AI$5),'1994 E Maize Soil VWC'!$F$2:$F$4000)</f>
        <v>#N/A</v>
      </c>
      <c r="AJ186" s="4" t="e" cm="1">
        <f t="array" ref="AJ186">_xlfn.XLOOKUP(1,('1994 E Maize Soil VWC'!$C$2:$C$4000=$AA186)*('1994 E Maize Soil VWC'!$D$2:$D$4000=$AB186)*('1994 E Maize Soil VWC'!$E$2:$E$4000=AJ$5),'1994 E Maize Soil VWC'!$F$2:$F$4000)</f>
        <v>#N/A</v>
      </c>
      <c r="AK186" s="4" t="e" cm="1">
        <f t="array" ref="AK186">_xlfn.XLOOKUP(1,('1994 E Maize Soil VWC'!$C$2:$C$4000=$AA186)*('1994 E Maize Soil VWC'!$D$2:$D$4000=$AB186)*('1994 E Maize Soil VWC'!$E$2:$E$4000=AK$5),'1994 E Maize Soil VWC'!$F$2:$F$4000)</f>
        <v>#N/A</v>
      </c>
      <c r="AL186" s="4" t="e" cm="1">
        <f t="array" ref="AL186">_xlfn.XLOOKUP(1,('1994 E Maize Soil VWC'!$C$2:$C$4000=$AA186)*('1994 E Maize Soil VWC'!$D$2:$D$4000=$AB186)*('1994 E Maize Soil VWC'!$E$2:$E$4000=AL$5),'1994 E Maize Soil VWC'!$F$2:$F$4000)</f>
        <v>#N/A</v>
      </c>
      <c r="AM186" s="4" t="e" cm="1">
        <f t="array" ref="AM186">_xlfn.XLOOKUP(1,('1994 E Maize Soil VWC'!$C$2:$C$4000=$AA186)*('1994 E Maize Soil VWC'!$D$2:$D$4000=$AB186)*('1994 E Maize Soil VWC'!$E$2:$E$4000=AM$5),'1994 E Maize Soil VWC'!$F$2:$F$4000)</f>
        <v>#N/A</v>
      </c>
      <c r="AN186" s="4" t="e" cm="1">
        <f t="array" ref="AN186">_xlfn.XLOOKUP(1,('1994 E Maize Soil VWC'!$C$2:$C$4000=$AA186)*('1994 E Maize Soil VWC'!$D$2:$D$4000=$AB186)*('1994 E Maize Soil VWC'!$E$2:$E$4000=AN$5),'1994 E Maize Soil VWC'!$F$2:$F$4000)</f>
        <v>#N/A</v>
      </c>
    </row>
    <row r="188" spans="25:40" x14ac:dyDescent="0.25">
      <c r="Y188" s="4">
        <f>Y175</f>
        <v>1994</v>
      </c>
      <c r="Z188" s="4">
        <v>0</v>
      </c>
      <c r="AA188" s="19">
        <f>DATE(Y188,1,Z188)</f>
        <v>34334</v>
      </c>
      <c r="AB188" s="4">
        <v>10</v>
      </c>
      <c r="AC188" s="4" t="e" cm="1">
        <f t="array" ref="AC188">_xlfn.XLOOKUP(1,('1994 E Maize Soil VWC'!$C$2:$C$4000=$AA188)*('1994 E Maize Soil VWC'!$D$2:$D$4000=$AB188)*('1994 E Maize Soil VWC'!$E$2:$E$4000=AC$5),'1994 E Maize Soil VWC'!$F$2:$F$4000)</f>
        <v>#N/A</v>
      </c>
      <c r="AD188" s="4" t="e" cm="1">
        <f t="array" ref="AD188">_xlfn.XLOOKUP(1,('1994 E Maize Soil VWC'!$C$2:$C$4000=$AA188)*('1994 E Maize Soil VWC'!$D$2:$D$4000=$AB188)*('1994 E Maize Soil VWC'!$E$2:$E$4000=AD$5),'1994 E Maize Soil VWC'!$F$2:$F$4000)</f>
        <v>#N/A</v>
      </c>
      <c r="AE188" s="4" t="e" cm="1">
        <f t="array" ref="AE188">_xlfn.XLOOKUP(1,('1994 E Maize Soil VWC'!$C$2:$C$4000=$AA188)*('1994 E Maize Soil VWC'!$D$2:$D$4000=$AB188)*('1994 E Maize Soil VWC'!$E$2:$E$4000=AE$5),'1994 E Maize Soil VWC'!$F$2:$F$4000)</f>
        <v>#N/A</v>
      </c>
      <c r="AF188" s="4" t="e" cm="1">
        <f t="array" ref="AF188">_xlfn.XLOOKUP(1,('1994 E Maize Soil VWC'!$C$2:$C$4000=$AA188)*('1994 E Maize Soil VWC'!$D$2:$D$4000=$AB188)*('1994 E Maize Soil VWC'!$E$2:$E$4000=AF$5),'1994 E Maize Soil VWC'!$F$2:$F$4000)</f>
        <v>#N/A</v>
      </c>
      <c r="AG188" s="4" t="e" cm="1">
        <f t="array" ref="AG188">_xlfn.XLOOKUP(1,('1994 E Maize Soil VWC'!$C$2:$C$4000=$AA188)*('1994 E Maize Soil VWC'!$D$2:$D$4000=$AB188)*('1994 E Maize Soil VWC'!$E$2:$E$4000=AG$5),'1994 E Maize Soil VWC'!$F$2:$F$4000)</f>
        <v>#N/A</v>
      </c>
      <c r="AH188" s="4" t="e" cm="1">
        <f t="array" ref="AH188">_xlfn.XLOOKUP(1,('1994 E Maize Soil VWC'!$C$2:$C$4000=$AA188)*('1994 E Maize Soil VWC'!$D$2:$D$4000=$AB188)*('1994 E Maize Soil VWC'!$E$2:$E$4000=AH$5),'1994 E Maize Soil VWC'!$F$2:$F$4000)</f>
        <v>#N/A</v>
      </c>
      <c r="AI188" s="4" t="e" cm="1">
        <f t="array" ref="AI188">_xlfn.XLOOKUP(1,('1994 E Maize Soil VWC'!$C$2:$C$4000=$AA188)*('1994 E Maize Soil VWC'!$D$2:$D$4000=$AB188)*('1994 E Maize Soil VWC'!$E$2:$E$4000=AI$5),'1994 E Maize Soil VWC'!$F$2:$F$4000)</f>
        <v>#N/A</v>
      </c>
      <c r="AJ188" s="4" t="e" cm="1">
        <f t="array" ref="AJ188">_xlfn.XLOOKUP(1,('1994 E Maize Soil VWC'!$C$2:$C$4000=$AA188)*('1994 E Maize Soil VWC'!$D$2:$D$4000=$AB188)*('1994 E Maize Soil VWC'!$E$2:$E$4000=AJ$5),'1994 E Maize Soil VWC'!$F$2:$F$4000)</f>
        <v>#N/A</v>
      </c>
      <c r="AK188" s="4" t="e" cm="1">
        <f t="array" ref="AK188">_xlfn.XLOOKUP(1,('1994 E Maize Soil VWC'!$C$2:$C$4000=$AA188)*('1994 E Maize Soil VWC'!$D$2:$D$4000=$AB188)*('1994 E Maize Soil VWC'!$E$2:$E$4000=AK$5),'1994 E Maize Soil VWC'!$F$2:$F$4000)</f>
        <v>#N/A</v>
      </c>
      <c r="AL188" s="4" t="e" cm="1">
        <f t="array" ref="AL188">_xlfn.XLOOKUP(1,('1994 E Maize Soil VWC'!$C$2:$C$4000=$AA188)*('1994 E Maize Soil VWC'!$D$2:$D$4000=$AB188)*('1994 E Maize Soil VWC'!$E$2:$E$4000=AL$5),'1994 E Maize Soil VWC'!$F$2:$F$4000)</f>
        <v>#N/A</v>
      </c>
      <c r="AM188" s="4" t="e" cm="1">
        <f t="array" ref="AM188">_xlfn.XLOOKUP(1,('1994 E Maize Soil VWC'!$C$2:$C$4000=$AA188)*('1994 E Maize Soil VWC'!$D$2:$D$4000=$AB188)*('1994 E Maize Soil VWC'!$E$2:$E$4000=AM$5),'1994 E Maize Soil VWC'!$F$2:$F$4000)</f>
        <v>#N/A</v>
      </c>
      <c r="AN188" s="4" t="e" cm="1">
        <f t="array" ref="AN188">_xlfn.XLOOKUP(1,('1994 E Maize Soil VWC'!$C$2:$C$4000=$AA188)*('1994 E Maize Soil VWC'!$D$2:$D$4000=$AB188)*('1994 E Maize Soil VWC'!$E$2:$E$4000=AN$5),'1994 E Maize Soil VWC'!$F$2:$F$4000)</f>
        <v>#N/A</v>
      </c>
    </row>
    <row r="189" spans="25:40" x14ac:dyDescent="0.25">
      <c r="AA189" s="19">
        <f t="shared" ref="AA189:AA199" si="28">AA188</f>
        <v>34334</v>
      </c>
      <c r="AB189" s="4">
        <f t="shared" ref="AB189:AB199" si="29">AB188+20</f>
        <v>30</v>
      </c>
      <c r="AC189" s="4" t="e" cm="1">
        <f t="array" ref="AC189">_xlfn.XLOOKUP(1,('1994 E Maize Soil VWC'!$C$2:$C$4000=$AA189)*('1994 E Maize Soil VWC'!$D$2:$D$4000=$AB189)*('1994 E Maize Soil VWC'!$E$2:$E$4000=AC$5),'1994 E Maize Soil VWC'!$F$2:$F$4000)</f>
        <v>#N/A</v>
      </c>
      <c r="AD189" s="4" t="e" cm="1">
        <f t="array" ref="AD189">_xlfn.XLOOKUP(1,('1994 E Maize Soil VWC'!$C$2:$C$4000=$AA189)*('1994 E Maize Soil VWC'!$D$2:$D$4000=$AB189)*('1994 E Maize Soil VWC'!$E$2:$E$4000=AD$5),'1994 E Maize Soil VWC'!$F$2:$F$4000)</f>
        <v>#N/A</v>
      </c>
      <c r="AE189" s="4" t="e" cm="1">
        <f t="array" ref="AE189">_xlfn.XLOOKUP(1,('1994 E Maize Soil VWC'!$C$2:$C$4000=$AA189)*('1994 E Maize Soil VWC'!$D$2:$D$4000=$AB189)*('1994 E Maize Soil VWC'!$E$2:$E$4000=AE$5),'1994 E Maize Soil VWC'!$F$2:$F$4000)</f>
        <v>#N/A</v>
      </c>
      <c r="AF189" s="4" t="e" cm="1">
        <f t="array" ref="AF189">_xlfn.XLOOKUP(1,('1994 E Maize Soil VWC'!$C$2:$C$4000=$AA189)*('1994 E Maize Soil VWC'!$D$2:$D$4000=$AB189)*('1994 E Maize Soil VWC'!$E$2:$E$4000=AF$5),'1994 E Maize Soil VWC'!$F$2:$F$4000)</f>
        <v>#N/A</v>
      </c>
      <c r="AG189" s="4" t="e" cm="1">
        <f t="array" ref="AG189">_xlfn.XLOOKUP(1,('1994 E Maize Soil VWC'!$C$2:$C$4000=$AA189)*('1994 E Maize Soil VWC'!$D$2:$D$4000=$AB189)*('1994 E Maize Soil VWC'!$E$2:$E$4000=AG$5),'1994 E Maize Soil VWC'!$F$2:$F$4000)</f>
        <v>#N/A</v>
      </c>
      <c r="AH189" s="4" t="e" cm="1">
        <f t="array" ref="AH189">_xlfn.XLOOKUP(1,('1994 E Maize Soil VWC'!$C$2:$C$4000=$AA189)*('1994 E Maize Soil VWC'!$D$2:$D$4000=$AB189)*('1994 E Maize Soil VWC'!$E$2:$E$4000=AH$5),'1994 E Maize Soil VWC'!$F$2:$F$4000)</f>
        <v>#N/A</v>
      </c>
      <c r="AI189" s="4" t="e" cm="1">
        <f t="array" ref="AI189">_xlfn.XLOOKUP(1,('1994 E Maize Soil VWC'!$C$2:$C$4000=$AA189)*('1994 E Maize Soil VWC'!$D$2:$D$4000=$AB189)*('1994 E Maize Soil VWC'!$E$2:$E$4000=AI$5),'1994 E Maize Soil VWC'!$F$2:$F$4000)</f>
        <v>#N/A</v>
      </c>
      <c r="AJ189" s="4" t="e" cm="1">
        <f t="array" ref="AJ189">_xlfn.XLOOKUP(1,('1994 E Maize Soil VWC'!$C$2:$C$4000=$AA189)*('1994 E Maize Soil VWC'!$D$2:$D$4000=$AB189)*('1994 E Maize Soil VWC'!$E$2:$E$4000=AJ$5),'1994 E Maize Soil VWC'!$F$2:$F$4000)</f>
        <v>#N/A</v>
      </c>
      <c r="AK189" s="4" t="e" cm="1">
        <f t="array" ref="AK189">_xlfn.XLOOKUP(1,('1994 E Maize Soil VWC'!$C$2:$C$4000=$AA189)*('1994 E Maize Soil VWC'!$D$2:$D$4000=$AB189)*('1994 E Maize Soil VWC'!$E$2:$E$4000=AK$5),'1994 E Maize Soil VWC'!$F$2:$F$4000)</f>
        <v>#N/A</v>
      </c>
      <c r="AL189" s="4" t="e" cm="1">
        <f t="array" ref="AL189">_xlfn.XLOOKUP(1,('1994 E Maize Soil VWC'!$C$2:$C$4000=$AA189)*('1994 E Maize Soil VWC'!$D$2:$D$4000=$AB189)*('1994 E Maize Soil VWC'!$E$2:$E$4000=AL$5),'1994 E Maize Soil VWC'!$F$2:$F$4000)</f>
        <v>#N/A</v>
      </c>
      <c r="AM189" s="4" t="e" cm="1">
        <f t="array" ref="AM189">_xlfn.XLOOKUP(1,('1994 E Maize Soil VWC'!$C$2:$C$4000=$AA189)*('1994 E Maize Soil VWC'!$D$2:$D$4000=$AB189)*('1994 E Maize Soil VWC'!$E$2:$E$4000=AM$5),'1994 E Maize Soil VWC'!$F$2:$F$4000)</f>
        <v>#N/A</v>
      </c>
      <c r="AN189" s="4" t="e" cm="1">
        <f t="array" ref="AN189">_xlfn.XLOOKUP(1,('1994 E Maize Soil VWC'!$C$2:$C$4000=$AA189)*('1994 E Maize Soil VWC'!$D$2:$D$4000=$AB189)*('1994 E Maize Soil VWC'!$E$2:$E$4000=AN$5),'1994 E Maize Soil VWC'!$F$2:$F$4000)</f>
        <v>#N/A</v>
      </c>
    </row>
    <row r="190" spans="25:40" x14ac:dyDescent="0.25">
      <c r="AA190" s="19">
        <f t="shared" si="28"/>
        <v>34334</v>
      </c>
      <c r="AB190" s="4">
        <f t="shared" si="29"/>
        <v>50</v>
      </c>
      <c r="AC190" s="4" t="e" cm="1">
        <f t="array" ref="AC190">_xlfn.XLOOKUP(1,('1994 E Maize Soil VWC'!$C$2:$C$4000=$AA190)*('1994 E Maize Soil VWC'!$D$2:$D$4000=$AB190)*('1994 E Maize Soil VWC'!$E$2:$E$4000=AC$5),'1994 E Maize Soil VWC'!$F$2:$F$4000)</f>
        <v>#N/A</v>
      </c>
      <c r="AD190" s="4" t="e" cm="1">
        <f t="array" ref="AD190">_xlfn.XLOOKUP(1,('1994 E Maize Soil VWC'!$C$2:$C$4000=$AA190)*('1994 E Maize Soil VWC'!$D$2:$D$4000=$AB190)*('1994 E Maize Soil VWC'!$E$2:$E$4000=AD$5),'1994 E Maize Soil VWC'!$F$2:$F$4000)</f>
        <v>#N/A</v>
      </c>
      <c r="AE190" s="4" t="e" cm="1">
        <f t="array" ref="AE190">_xlfn.XLOOKUP(1,('1994 E Maize Soil VWC'!$C$2:$C$4000=$AA190)*('1994 E Maize Soil VWC'!$D$2:$D$4000=$AB190)*('1994 E Maize Soil VWC'!$E$2:$E$4000=AE$5),'1994 E Maize Soil VWC'!$F$2:$F$4000)</f>
        <v>#N/A</v>
      </c>
      <c r="AF190" s="4" t="e" cm="1">
        <f t="array" ref="AF190">_xlfn.XLOOKUP(1,('1994 E Maize Soil VWC'!$C$2:$C$4000=$AA190)*('1994 E Maize Soil VWC'!$D$2:$D$4000=$AB190)*('1994 E Maize Soil VWC'!$E$2:$E$4000=AF$5),'1994 E Maize Soil VWC'!$F$2:$F$4000)</f>
        <v>#N/A</v>
      </c>
      <c r="AG190" s="4" t="e" cm="1">
        <f t="array" ref="AG190">_xlfn.XLOOKUP(1,('1994 E Maize Soil VWC'!$C$2:$C$4000=$AA190)*('1994 E Maize Soil VWC'!$D$2:$D$4000=$AB190)*('1994 E Maize Soil VWC'!$E$2:$E$4000=AG$5),'1994 E Maize Soil VWC'!$F$2:$F$4000)</f>
        <v>#N/A</v>
      </c>
      <c r="AH190" s="4" t="e" cm="1">
        <f t="array" ref="AH190">_xlfn.XLOOKUP(1,('1994 E Maize Soil VWC'!$C$2:$C$4000=$AA190)*('1994 E Maize Soil VWC'!$D$2:$D$4000=$AB190)*('1994 E Maize Soil VWC'!$E$2:$E$4000=AH$5),'1994 E Maize Soil VWC'!$F$2:$F$4000)</f>
        <v>#N/A</v>
      </c>
      <c r="AI190" s="4" t="e" cm="1">
        <f t="array" ref="AI190">_xlfn.XLOOKUP(1,('1994 E Maize Soil VWC'!$C$2:$C$4000=$AA190)*('1994 E Maize Soil VWC'!$D$2:$D$4000=$AB190)*('1994 E Maize Soil VWC'!$E$2:$E$4000=AI$5),'1994 E Maize Soil VWC'!$F$2:$F$4000)</f>
        <v>#N/A</v>
      </c>
      <c r="AJ190" s="4" t="e" cm="1">
        <f t="array" ref="AJ190">_xlfn.XLOOKUP(1,('1994 E Maize Soil VWC'!$C$2:$C$4000=$AA190)*('1994 E Maize Soil VWC'!$D$2:$D$4000=$AB190)*('1994 E Maize Soil VWC'!$E$2:$E$4000=AJ$5),'1994 E Maize Soil VWC'!$F$2:$F$4000)</f>
        <v>#N/A</v>
      </c>
      <c r="AK190" s="4" t="e" cm="1">
        <f t="array" ref="AK190">_xlfn.XLOOKUP(1,('1994 E Maize Soil VWC'!$C$2:$C$4000=$AA190)*('1994 E Maize Soil VWC'!$D$2:$D$4000=$AB190)*('1994 E Maize Soil VWC'!$E$2:$E$4000=AK$5),'1994 E Maize Soil VWC'!$F$2:$F$4000)</f>
        <v>#N/A</v>
      </c>
      <c r="AL190" s="4" t="e" cm="1">
        <f t="array" ref="AL190">_xlfn.XLOOKUP(1,('1994 E Maize Soil VWC'!$C$2:$C$4000=$AA190)*('1994 E Maize Soil VWC'!$D$2:$D$4000=$AB190)*('1994 E Maize Soil VWC'!$E$2:$E$4000=AL$5),'1994 E Maize Soil VWC'!$F$2:$F$4000)</f>
        <v>#N/A</v>
      </c>
      <c r="AM190" s="4" t="e" cm="1">
        <f t="array" ref="AM190">_xlfn.XLOOKUP(1,('1994 E Maize Soil VWC'!$C$2:$C$4000=$AA190)*('1994 E Maize Soil VWC'!$D$2:$D$4000=$AB190)*('1994 E Maize Soil VWC'!$E$2:$E$4000=AM$5),'1994 E Maize Soil VWC'!$F$2:$F$4000)</f>
        <v>#N/A</v>
      </c>
      <c r="AN190" s="4" t="e" cm="1">
        <f t="array" ref="AN190">_xlfn.XLOOKUP(1,('1994 E Maize Soil VWC'!$C$2:$C$4000=$AA190)*('1994 E Maize Soil VWC'!$D$2:$D$4000=$AB190)*('1994 E Maize Soil VWC'!$E$2:$E$4000=AN$5),'1994 E Maize Soil VWC'!$F$2:$F$4000)</f>
        <v>#N/A</v>
      </c>
    </row>
    <row r="191" spans="25:40" x14ac:dyDescent="0.25">
      <c r="AA191" s="19">
        <f t="shared" si="28"/>
        <v>34334</v>
      </c>
      <c r="AB191" s="4">
        <f t="shared" si="29"/>
        <v>70</v>
      </c>
      <c r="AC191" s="4" t="e" cm="1">
        <f t="array" ref="AC191">_xlfn.XLOOKUP(1,('1994 E Maize Soil VWC'!$C$2:$C$4000=$AA191)*('1994 E Maize Soil VWC'!$D$2:$D$4000=$AB191)*('1994 E Maize Soil VWC'!$E$2:$E$4000=AC$5),'1994 E Maize Soil VWC'!$F$2:$F$4000)</f>
        <v>#N/A</v>
      </c>
      <c r="AD191" s="4" t="e" cm="1">
        <f t="array" ref="AD191">_xlfn.XLOOKUP(1,('1994 E Maize Soil VWC'!$C$2:$C$4000=$AA191)*('1994 E Maize Soil VWC'!$D$2:$D$4000=$AB191)*('1994 E Maize Soil VWC'!$E$2:$E$4000=AD$5),'1994 E Maize Soil VWC'!$F$2:$F$4000)</f>
        <v>#N/A</v>
      </c>
      <c r="AE191" s="4" t="e" cm="1">
        <f t="array" ref="AE191">_xlfn.XLOOKUP(1,('1994 E Maize Soil VWC'!$C$2:$C$4000=$AA191)*('1994 E Maize Soil VWC'!$D$2:$D$4000=$AB191)*('1994 E Maize Soil VWC'!$E$2:$E$4000=AE$5),'1994 E Maize Soil VWC'!$F$2:$F$4000)</f>
        <v>#N/A</v>
      </c>
      <c r="AF191" s="4" t="e" cm="1">
        <f t="array" ref="AF191">_xlfn.XLOOKUP(1,('1994 E Maize Soil VWC'!$C$2:$C$4000=$AA191)*('1994 E Maize Soil VWC'!$D$2:$D$4000=$AB191)*('1994 E Maize Soil VWC'!$E$2:$E$4000=AF$5),'1994 E Maize Soil VWC'!$F$2:$F$4000)</f>
        <v>#N/A</v>
      </c>
      <c r="AG191" s="4" t="e" cm="1">
        <f t="array" ref="AG191">_xlfn.XLOOKUP(1,('1994 E Maize Soil VWC'!$C$2:$C$4000=$AA191)*('1994 E Maize Soil VWC'!$D$2:$D$4000=$AB191)*('1994 E Maize Soil VWC'!$E$2:$E$4000=AG$5),'1994 E Maize Soil VWC'!$F$2:$F$4000)</f>
        <v>#N/A</v>
      </c>
      <c r="AH191" s="4" t="e" cm="1">
        <f t="array" ref="AH191">_xlfn.XLOOKUP(1,('1994 E Maize Soil VWC'!$C$2:$C$4000=$AA191)*('1994 E Maize Soil VWC'!$D$2:$D$4000=$AB191)*('1994 E Maize Soil VWC'!$E$2:$E$4000=AH$5),'1994 E Maize Soil VWC'!$F$2:$F$4000)</f>
        <v>#N/A</v>
      </c>
      <c r="AI191" s="4" t="e" cm="1">
        <f t="array" ref="AI191">_xlfn.XLOOKUP(1,('1994 E Maize Soil VWC'!$C$2:$C$4000=$AA191)*('1994 E Maize Soil VWC'!$D$2:$D$4000=$AB191)*('1994 E Maize Soil VWC'!$E$2:$E$4000=AI$5),'1994 E Maize Soil VWC'!$F$2:$F$4000)</f>
        <v>#N/A</v>
      </c>
      <c r="AJ191" s="4" t="e" cm="1">
        <f t="array" ref="AJ191">_xlfn.XLOOKUP(1,('1994 E Maize Soil VWC'!$C$2:$C$4000=$AA191)*('1994 E Maize Soil VWC'!$D$2:$D$4000=$AB191)*('1994 E Maize Soil VWC'!$E$2:$E$4000=AJ$5),'1994 E Maize Soil VWC'!$F$2:$F$4000)</f>
        <v>#N/A</v>
      </c>
      <c r="AK191" s="4" t="e" cm="1">
        <f t="array" ref="AK191">_xlfn.XLOOKUP(1,('1994 E Maize Soil VWC'!$C$2:$C$4000=$AA191)*('1994 E Maize Soil VWC'!$D$2:$D$4000=$AB191)*('1994 E Maize Soil VWC'!$E$2:$E$4000=AK$5),'1994 E Maize Soil VWC'!$F$2:$F$4000)</f>
        <v>#N/A</v>
      </c>
      <c r="AL191" s="4" t="e" cm="1">
        <f t="array" ref="AL191">_xlfn.XLOOKUP(1,('1994 E Maize Soil VWC'!$C$2:$C$4000=$AA191)*('1994 E Maize Soil VWC'!$D$2:$D$4000=$AB191)*('1994 E Maize Soil VWC'!$E$2:$E$4000=AL$5),'1994 E Maize Soil VWC'!$F$2:$F$4000)</f>
        <v>#N/A</v>
      </c>
      <c r="AM191" s="4" t="e" cm="1">
        <f t="array" ref="AM191">_xlfn.XLOOKUP(1,('1994 E Maize Soil VWC'!$C$2:$C$4000=$AA191)*('1994 E Maize Soil VWC'!$D$2:$D$4000=$AB191)*('1994 E Maize Soil VWC'!$E$2:$E$4000=AM$5),'1994 E Maize Soil VWC'!$F$2:$F$4000)</f>
        <v>#N/A</v>
      </c>
      <c r="AN191" s="4" t="e" cm="1">
        <f t="array" ref="AN191">_xlfn.XLOOKUP(1,('1994 E Maize Soil VWC'!$C$2:$C$4000=$AA191)*('1994 E Maize Soil VWC'!$D$2:$D$4000=$AB191)*('1994 E Maize Soil VWC'!$E$2:$E$4000=AN$5),'1994 E Maize Soil VWC'!$F$2:$F$4000)</f>
        <v>#N/A</v>
      </c>
    </row>
    <row r="192" spans="25:40" x14ac:dyDescent="0.25">
      <c r="AA192" s="19">
        <f t="shared" si="28"/>
        <v>34334</v>
      </c>
      <c r="AB192" s="4">
        <f t="shared" si="29"/>
        <v>90</v>
      </c>
      <c r="AC192" s="4" t="e" cm="1">
        <f t="array" ref="AC192">_xlfn.XLOOKUP(1,('1994 E Maize Soil VWC'!$C$2:$C$4000=$AA192)*('1994 E Maize Soil VWC'!$D$2:$D$4000=$AB192)*('1994 E Maize Soil VWC'!$E$2:$E$4000=AC$5),'1994 E Maize Soil VWC'!$F$2:$F$4000)</f>
        <v>#N/A</v>
      </c>
      <c r="AD192" s="4" t="e" cm="1">
        <f t="array" ref="AD192">_xlfn.XLOOKUP(1,('1994 E Maize Soil VWC'!$C$2:$C$4000=$AA192)*('1994 E Maize Soil VWC'!$D$2:$D$4000=$AB192)*('1994 E Maize Soil VWC'!$E$2:$E$4000=AD$5),'1994 E Maize Soil VWC'!$F$2:$F$4000)</f>
        <v>#N/A</v>
      </c>
      <c r="AE192" s="4" t="e" cm="1">
        <f t="array" ref="AE192">_xlfn.XLOOKUP(1,('1994 E Maize Soil VWC'!$C$2:$C$4000=$AA192)*('1994 E Maize Soil VWC'!$D$2:$D$4000=$AB192)*('1994 E Maize Soil VWC'!$E$2:$E$4000=AE$5),'1994 E Maize Soil VWC'!$F$2:$F$4000)</f>
        <v>#N/A</v>
      </c>
      <c r="AF192" s="4" t="e" cm="1">
        <f t="array" ref="AF192">_xlfn.XLOOKUP(1,('1994 E Maize Soil VWC'!$C$2:$C$4000=$AA192)*('1994 E Maize Soil VWC'!$D$2:$D$4000=$AB192)*('1994 E Maize Soil VWC'!$E$2:$E$4000=AF$5),'1994 E Maize Soil VWC'!$F$2:$F$4000)</f>
        <v>#N/A</v>
      </c>
      <c r="AG192" s="4" t="e" cm="1">
        <f t="array" ref="AG192">_xlfn.XLOOKUP(1,('1994 E Maize Soil VWC'!$C$2:$C$4000=$AA192)*('1994 E Maize Soil VWC'!$D$2:$D$4000=$AB192)*('1994 E Maize Soil VWC'!$E$2:$E$4000=AG$5),'1994 E Maize Soil VWC'!$F$2:$F$4000)</f>
        <v>#N/A</v>
      </c>
      <c r="AH192" s="4" t="e" cm="1">
        <f t="array" ref="AH192">_xlfn.XLOOKUP(1,('1994 E Maize Soil VWC'!$C$2:$C$4000=$AA192)*('1994 E Maize Soil VWC'!$D$2:$D$4000=$AB192)*('1994 E Maize Soil VWC'!$E$2:$E$4000=AH$5),'1994 E Maize Soil VWC'!$F$2:$F$4000)</f>
        <v>#N/A</v>
      </c>
      <c r="AI192" s="4" t="e" cm="1">
        <f t="array" ref="AI192">_xlfn.XLOOKUP(1,('1994 E Maize Soil VWC'!$C$2:$C$4000=$AA192)*('1994 E Maize Soil VWC'!$D$2:$D$4000=$AB192)*('1994 E Maize Soil VWC'!$E$2:$E$4000=AI$5),'1994 E Maize Soil VWC'!$F$2:$F$4000)</f>
        <v>#N/A</v>
      </c>
      <c r="AJ192" s="4" t="e" cm="1">
        <f t="array" ref="AJ192">_xlfn.XLOOKUP(1,('1994 E Maize Soil VWC'!$C$2:$C$4000=$AA192)*('1994 E Maize Soil VWC'!$D$2:$D$4000=$AB192)*('1994 E Maize Soil VWC'!$E$2:$E$4000=AJ$5),'1994 E Maize Soil VWC'!$F$2:$F$4000)</f>
        <v>#N/A</v>
      </c>
      <c r="AK192" s="4" t="e" cm="1">
        <f t="array" ref="AK192">_xlfn.XLOOKUP(1,('1994 E Maize Soil VWC'!$C$2:$C$4000=$AA192)*('1994 E Maize Soil VWC'!$D$2:$D$4000=$AB192)*('1994 E Maize Soil VWC'!$E$2:$E$4000=AK$5),'1994 E Maize Soil VWC'!$F$2:$F$4000)</f>
        <v>#N/A</v>
      </c>
      <c r="AL192" s="4" t="e" cm="1">
        <f t="array" ref="AL192">_xlfn.XLOOKUP(1,('1994 E Maize Soil VWC'!$C$2:$C$4000=$AA192)*('1994 E Maize Soil VWC'!$D$2:$D$4000=$AB192)*('1994 E Maize Soil VWC'!$E$2:$E$4000=AL$5),'1994 E Maize Soil VWC'!$F$2:$F$4000)</f>
        <v>#N/A</v>
      </c>
      <c r="AM192" s="4" t="e" cm="1">
        <f t="array" ref="AM192">_xlfn.XLOOKUP(1,('1994 E Maize Soil VWC'!$C$2:$C$4000=$AA192)*('1994 E Maize Soil VWC'!$D$2:$D$4000=$AB192)*('1994 E Maize Soil VWC'!$E$2:$E$4000=AM$5),'1994 E Maize Soil VWC'!$F$2:$F$4000)</f>
        <v>#N/A</v>
      </c>
      <c r="AN192" s="4" t="e" cm="1">
        <f t="array" ref="AN192">_xlfn.XLOOKUP(1,('1994 E Maize Soil VWC'!$C$2:$C$4000=$AA192)*('1994 E Maize Soil VWC'!$D$2:$D$4000=$AB192)*('1994 E Maize Soil VWC'!$E$2:$E$4000=AN$5),'1994 E Maize Soil VWC'!$F$2:$F$4000)</f>
        <v>#N/A</v>
      </c>
    </row>
    <row r="193" spans="25:40" x14ac:dyDescent="0.25">
      <c r="AA193" s="19">
        <f t="shared" si="28"/>
        <v>34334</v>
      </c>
      <c r="AB193" s="4">
        <f t="shared" si="29"/>
        <v>110</v>
      </c>
      <c r="AC193" s="4" t="e" cm="1">
        <f t="array" ref="AC193">_xlfn.XLOOKUP(1,('1994 E Maize Soil VWC'!$C$2:$C$4000=$AA193)*('1994 E Maize Soil VWC'!$D$2:$D$4000=$AB193)*('1994 E Maize Soil VWC'!$E$2:$E$4000=AC$5),'1994 E Maize Soil VWC'!$F$2:$F$4000)</f>
        <v>#N/A</v>
      </c>
      <c r="AD193" s="4" t="e" cm="1">
        <f t="array" ref="AD193">_xlfn.XLOOKUP(1,('1994 E Maize Soil VWC'!$C$2:$C$4000=$AA193)*('1994 E Maize Soil VWC'!$D$2:$D$4000=$AB193)*('1994 E Maize Soil VWC'!$E$2:$E$4000=AD$5),'1994 E Maize Soil VWC'!$F$2:$F$4000)</f>
        <v>#N/A</v>
      </c>
      <c r="AE193" s="4" t="e" cm="1">
        <f t="array" ref="AE193">_xlfn.XLOOKUP(1,('1994 E Maize Soil VWC'!$C$2:$C$4000=$AA193)*('1994 E Maize Soil VWC'!$D$2:$D$4000=$AB193)*('1994 E Maize Soil VWC'!$E$2:$E$4000=AE$5),'1994 E Maize Soil VWC'!$F$2:$F$4000)</f>
        <v>#N/A</v>
      </c>
      <c r="AF193" s="4" t="e" cm="1">
        <f t="array" ref="AF193">_xlfn.XLOOKUP(1,('1994 E Maize Soil VWC'!$C$2:$C$4000=$AA193)*('1994 E Maize Soil VWC'!$D$2:$D$4000=$AB193)*('1994 E Maize Soil VWC'!$E$2:$E$4000=AF$5),'1994 E Maize Soil VWC'!$F$2:$F$4000)</f>
        <v>#N/A</v>
      </c>
      <c r="AG193" s="4" t="e" cm="1">
        <f t="array" ref="AG193">_xlfn.XLOOKUP(1,('1994 E Maize Soil VWC'!$C$2:$C$4000=$AA193)*('1994 E Maize Soil VWC'!$D$2:$D$4000=$AB193)*('1994 E Maize Soil VWC'!$E$2:$E$4000=AG$5),'1994 E Maize Soil VWC'!$F$2:$F$4000)</f>
        <v>#N/A</v>
      </c>
      <c r="AH193" s="4" t="e" cm="1">
        <f t="array" ref="AH193">_xlfn.XLOOKUP(1,('1994 E Maize Soil VWC'!$C$2:$C$4000=$AA193)*('1994 E Maize Soil VWC'!$D$2:$D$4000=$AB193)*('1994 E Maize Soil VWC'!$E$2:$E$4000=AH$5),'1994 E Maize Soil VWC'!$F$2:$F$4000)</f>
        <v>#N/A</v>
      </c>
      <c r="AI193" s="4" t="e" cm="1">
        <f t="array" ref="AI193">_xlfn.XLOOKUP(1,('1994 E Maize Soil VWC'!$C$2:$C$4000=$AA193)*('1994 E Maize Soil VWC'!$D$2:$D$4000=$AB193)*('1994 E Maize Soil VWC'!$E$2:$E$4000=AI$5),'1994 E Maize Soil VWC'!$F$2:$F$4000)</f>
        <v>#N/A</v>
      </c>
      <c r="AJ193" s="4" t="e" cm="1">
        <f t="array" ref="AJ193">_xlfn.XLOOKUP(1,('1994 E Maize Soil VWC'!$C$2:$C$4000=$AA193)*('1994 E Maize Soil VWC'!$D$2:$D$4000=$AB193)*('1994 E Maize Soil VWC'!$E$2:$E$4000=AJ$5),'1994 E Maize Soil VWC'!$F$2:$F$4000)</f>
        <v>#N/A</v>
      </c>
      <c r="AK193" s="4" t="e" cm="1">
        <f t="array" ref="AK193">_xlfn.XLOOKUP(1,('1994 E Maize Soil VWC'!$C$2:$C$4000=$AA193)*('1994 E Maize Soil VWC'!$D$2:$D$4000=$AB193)*('1994 E Maize Soil VWC'!$E$2:$E$4000=AK$5),'1994 E Maize Soil VWC'!$F$2:$F$4000)</f>
        <v>#N/A</v>
      </c>
      <c r="AL193" s="4" t="e" cm="1">
        <f t="array" ref="AL193">_xlfn.XLOOKUP(1,('1994 E Maize Soil VWC'!$C$2:$C$4000=$AA193)*('1994 E Maize Soil VWC'!$D$2:$D$4000=$AB193)*('1994 E Maize Soil VWC'!$E$2:$E$4000=AL$5),'1994 E Maize Soil VWC'!$F$2:$F$4000)</f>
        <v>#N/A</v>
      </c>
      <c r="AM193" s="4" t="e" cm="1">
        <f t="array" ref="AM193">_xlfn.XLOOKUP(1,('1994 E Maize Soil VWC'!$C$2:$C$4000=$AA193)*('1994 E Maize Soil VWC'!$D$2:$D$4000=$AB193)*('1994 E Maize Soil VWC'!$E$2:$E$4000=AM$5),'1994 E Maize Soil VWC'!$F$2:$F$4000)</f>
        <v>#N/A</v>
      </c>
      <c r="AN193" s="4" t="e" cm="1">
        <f t="array" ref="AN193">_xlfn.XLOOKUP(1,('1994 E Maize Soil VWC'!$C$2:$C$4000=$AA193)*('1994 E Maize Soil VWC'!$D$2:$D$4000=$AB193)*('1994 E Maize Soil VWC'!$E$2:$E$4000=AN$5),'1994 E Maize Soil VWC'!$F$2:$F$4000)</f>
        <v>#N/A</v>
      </c>
    </row>
    <row r="194" spans="25:40" x14ac:dyDescent="0.25">
      <c r="AA194" s="19">
        <f t="shared" si="28"/>
        <v>34334</v>
      </c>
      <c r="AB194" s="4">
        <f t="shared" si="29"/>
        <v>130</v>
      </c>
      <c r="AC194" s="4" t="e" cm="1">
        <f t="array" ref="AC194">_xlfn.XLOOKUP(1,('1994 E Maize Soil VWC'!$C$2:$C$4000=$AA194)*('1994 E Maize Soil VWC'!$D$2:$D$4000=$AB194)*('1994 E Maize Soil VWC'!$E$2:$E$4000=AC$5),'1994 E Maize Soil VWC'!$F$2:$F$4000)</f>
        <v>#N/A</v>
      </c>
      <c r="AD194" s="4" t="e" cm="1">
        <f t="array" ref="AD194">_xlfn.XLOOKUP(1,('1994 E Maize Soil VWC'!$C$2:$C$4000=$AA194)*('1994 E Maize Soil VWC'!$D$2:$D$4000=$AB194)*('1994 E Maize Soil VWC'!$E$2:$E$4000=AD$5),'1994 E Maize Soil VWC'!$F$2:$F$4000)</f>
        <v>#N/A</v>
      </c>
      <c r="AE194" s="4" t="e" cm="1">
        <f t="array" ref="AE194">_xlfn.XLOOKUP(1,('1994 E Maize Soil VWC'!$C$2:$C$4000=$AA194)*('1994 E Maize Soil VWC'!$D$2:$D$4000=$AB194)*('1994 E Maize Soil VWC'!$E$2:$E$4000=AE$5),'1994 E Maize Soil VWC'!$F$2:$F$4000)</f>
        <v>#N/A</v>
      </c>
      <c r="AF194" s="4" t="e" cm="1">
        <f t="array" ref="AF194">_xlfn.XLOOKUP(1,('1994 E Maize Soil VWC'!$C$2:$C$4000=$AA194)*('1994 E Maize Soil VWC'!$D$2:$D$4000=$AB194)*('1994 E Maize Soil VWC'!$E$2:$E$4000=AF$5),'1994 E Maize Soil VWC'!$F$2:$F$4000)</f>
        <v>#N/A</v>
      </c>
      <c r="AG194" s="4" t="e" cm="1">
        <f t="array" ref="AG194">_xlfn.XLOOKUP(1,('1994 E Maize Soil VWC'!$C$2:$C$4000=$AA194)*('1994 E Maize Soil VWC'!$D$2:$D$4000=$AB194)*('1994 E Maize Soil VWC'!$E$2:$E$4000=AG$5),'1994 E Maize Soil VWC'!$F$2:$F$4000)</f>
        <v>#N/A</v>
      </c>
      <c r="AH194" s="4" t="e" cm="1">
        <f t="array" ref="AH194">_xlfn.XLOOKUP(1,('1994 E Maize Soil VWC'!$C$2:$C$4000=$AA194)*('1994 E Maize Soil VWC'!$D$2:$D$4000=$AB194)*('1994 E Maize Soil VWC'!$E$2:$E$4000=AH$5),'1994 E Maize Soil VWC'!$F$2:$F$4000)</f>
        <v>#N/A</v>
      </c>
      <c r="AI194" s="4" t="e" cm="1">
        <f t="array" ref="AI194">_xlfn.XLOOKUP(1,('1994 E Maize Soil VWC'!$C$2:$C$4000=$AA194)*('1994 E Maize Soil VWC'!$D$2:$D$4000=$AB194)*('1994 E Maize Soil VWC'!$E$2:$E$4000=AI$5),'1994 E Maize Soil VWC'!$F$2:$F$4000)</f>
        <v>#N/A</v>
      </c>
      <c r="AJ194" s="4" t="e" cm="1">
        <f t="array" ref="AJ194">_xlfn.XLOOKUP(1,('1994 E Maize Soil VWC'!$C$2:$C$4000=$AA194)*('1994 E Maize Soil VWC'!$D$2:$D$4000=$AB194)*('1994 E Maize Soil VWC'!$E$2:$E$4000=AJ$5),'1994 E Maize Soil VWC'!$F$2:$F$4000)</f>
        <v>#N/A</v>
      </c>
      <c r="AK194" s="4" t="e" cm="1">
        <f t="array" ref="AK194">_xlfn.XLOOKUP(1,('1994 E Maize Soil VWC'!$C$2:$C$4000=$AA194)*('1994 E Maize Soil VWC'!$D$2:$D$4000=$AB194)*('1994 E Maize Soil VWC'!$E$2:$E$4000=AK$5),'1994 E Maize Soil VWC'!$F$2:$F$4000)</f>
        <v>#N/A</v>
      </c>
      <c r="AL194" s="4" t="e" cm="1">
        <f t="array" ref="AL194">_xlfn.XLOOKUP(1,('1994 E Maize Soil VWC'!$C$2:$C$4000=$AA194)*('1994 E Maize Soil VWC'!$D$2:$D$4000=$AB194)*('1994 E Maize Soil VWC'!$E$2:$E$4000=AL$5),'1994 E Maize Soil VWC'!$F$2:$F$4000)</f>
        <v>#N/A</v>
      </c>
      <c r="AM194" s="4" t="e" cm="1">
        <f t="array" ref="AM194">_xlfn.XLOOKUP(1,('1994 E Maize Soil VWC'!$C$2:$C$4000=$AA194)*('1994 E Maize Soil VWC'!$D$2:$D$4000=$AB194)*('1994 E Maize Soil VWC'!$E$2:$E$4000=AM$5),'1994 E Maize Soil VWC'!$F$2:$F$4000)</f>
        <v>#N/A</v>
      </c>
      <c r="AN194" s="4" t="e" cm="1">
        <f t="array" ref="AN194">_xlfn.XLOOKUP(1,('1994 E Maize Soil VWC'!$C$2:$C$4000=$AA194)*('1994 E Maize Soil VWC'!$D$2:$D$4000=$AB194)*('1994 E Maize Soil VWC'!$E$2:$E$4000=AN$5),'1994 E Maize Soil VWC'!$F$2:$F$4000)</f>
        <v>#N/A</v>
      </c>
    </row>
    <row r="195" spans="25:40" x14ac:dyDescent="0.25">
      <c r="AA195" s="19">
        <f t="shared" si="28"/>
        <v>34334</v>
      </c>
      <c r="AB195" s="4">
        <f t="shared" si="29"/>
        <v>150</v>
      </c>
      <c r="AC195" s="4" t="e" cm="1">
        <f t="array" ref="AC195">_xlfn.XLOOKUP(1,('1994 E Maize Soil VWC'!$C$2:$C$4000=$AA195)*('1994 E Maize Soil VWC'!$D$2:$D$4000=$AB195)*('1994 E Maize Soil VWC'!$E$2:$E$4000=AC$5),'1994 E Maize Soil VWC'!$F$2:$F$4000)</f>
        <v>#N/A</v>
      </c>
      <c r="AD195" s="4" t="e" cm="1">
        <f t="array" ref="AD195">_xlfn.XLOOKUP(1,('1994 E Maize Soil VWC'!$C$2:$C$4000=$AA195)*('1994 E Maize Soil VWC'!$D$2:$D$4000=$AB195)*('1994 E Maize Soil VWC'!$E$2:$E$4000=AD$5),'1994 E Maize Soil VWC'!$F$2:$F$4000)</f>
        <v>#N/A</v>
      </c>
      <c r="AE195" s="4" t="e" cm="1">
        <f t="array" ref="AE195">_xlfn.XLOOKUP(1,('1994 E Maize Soil VWC'!$C$2:$C$4000=$AA195)*('1994 E Maize Soil VWC'!$D$2:$D$4000=$AB195)*('1994 E Maize Soil VWC'!$E$2:$E$4000=AE$5),'1994 E Maize Soil VWC'!$F$2:$F$4000)</f>
        <v>#N/A</v>
      </c>
      <c r="AF195" s="4" t="e" cm="1">
        <f t="array" ref="AF195">_xlfn.XLOOKUP(1,('1994 E Maize Soil VWC'!$C$2:$C$4000=$AA195)*('1994 E Maize Soil VWC'!$D$2:$D$4000=$AB195)*('1994 E Maize Soil VWC'!$E$2:$E$4000=AF$5),'1994 E Maize Soil VWC'!$F$2:$F$4000)</f>
        <v>#N/A</v>
      </c>
      <c r="AG195" s="4" t="e" cm="1">
        <f t="array" ref="AG195">_xlfn.XLOOKUP(1,('1994 E Maize Soil VWC'!$C$2:$C$4000=$AA195)*('1994 E Maize Soil VWC'!$D$2:$D$4000=$AB195)*('1994 E Maize Soil VWC'!$E$2:$E$4000=AG$5),'1994 E Maize Soil VWC'!$F$2:$F$4000)</f>
        <v>#N/A</v>
      </c>
      <c r="AH195" s="4" t="e" cm="1">
        <f t="array" ref="AH195">_xlfn.XLOOKUP(1,('1994 E Maize Soil VWC'!$C$2:$C$4000=$AA195)*('1994 E Maize Soil VWC'!$D$2:$D$4000=$AB195)*('1994 E Maize Soil VWC'!$E$2:$E$4000=AH$5),'1994 E Maize Soil VWC'!$F$2:$F$4000)</f>
        <v>#N/A</v>
      </c>
      <c r="AI195" s="4" t="e" cm="1">
        <f t="array" ref="AI195">_xlfn.XLOOKUP(1,('1994 E Maize Soil VWC'!$C$2:$C$4000=$AA195)*('1994 E Maize Soil VWC'!$D$2:$D$4000=$AB195)*('1994 E Maize Soil VWC'!$E$2:$E$4000=AI$5),'1994 E Maize Soil VWC'!$F$2:$F$4000)</f>
        <v>#N/A</v>
      </c>
      <c r="AJ195" s="4" t="e" cm="1">
        <f t="array" ref="AJ195">_xlfn.XLOOKUP(1,('1994 E Maize Soil VWC'!$C$2:$C$4000=$AA195)*('1994 E Maize Soil VWC'!$D$2:$D$4000=$AB195)*('1994 E Maize Soil VWC'!$E$2:$E$4000=AJ$5),'1994 E Maize Soil VWC'!$F$2:$F$4000)</f>
        <v>#N/A</v>
      </c>
      <c r="AK195" s="4" t="e" cm="1">
        <f t="array" ref="AK195">_xlfn.XLOOKUP(1,('1994 E Maize Soil VWC'!$C$2:$C$4000=$AA195)*('1994 E Maize Soil VWC'!$D$2:$D$4000=$AB195)*('1994 E Maize Soil VWC'!$E$2:$E$4000=AK$5),'1994 E Maize Soil VWC'!$F$2:$F$4000)</f>
        <v>#N/A</v>
      </c>
      <c r="AL195" s="4" t="e" cm="1">
        <f t="array" ref="AL195">_xlfn.XLOOKUP(1,('1994 E Maize Soil VWC'!$C$2:$C$4000=$AA195)*('1994 E Maize Soil VWC'!$D$2:$D$4000=$AB195)*('1994 E Maize Soil VWC'!$E$2:$E$4000=AL$5),'1994 E Maize Soil VWC'!$F$2:$F$4000)</f>
        <v>#N/A</v>
      </c>
      <c r="AM195" s="4" t="e" cm="1">
        <f t="array" ref="AM195">_xlfn.XLOOKUP(1,('1994 E Maize Soil VWC'!$C$2:$C$4000=$AA195)*('1994 E Maize Soil VWC'!$D$2:$D$4000=$AB195)*('1994 E Maize Soil VWC'!$E$2:$E$4000=AM$5),'1994 E Maize Soil VWC'!$F$2:$F$4000)</f>
        <v>#N/A</v>
      </c>
      <c r="AN195" s="4" t="e" cm="1">
        <f t="array" ref="AN195">_xlfn.XLOOKUP(1,('1994 E Maize Soil VWC'!$C$2:$C$4000=$AA195)*('1994 E Maize Soil VWC'!$D$2:$D$4000=$AB195)*('1994 E Maize Soil VWC'!$E$2:$E$4000=AN$5),'1994 E Maize Soil VWC'!$F$2:$F$4000)</f>
        <v>#N/A</v>
      </c>
    </row>
    <row r="196" spans="25:40" x14ac:dyDescent="0.25">
      <c r="AA196" s="19">
        <f t="shared" si="28"/>
        <v>34334</v>
      </c>
      <c r="AB196" s="4">
        <f t="shared" si="29"/>
        <v>170</v>
      </c>
      <c r="AC196" s="4" t="e" cm="1">
        <f t="array" ref="AC196">_xlfn.XLOOKUP(1,('1994 E Maize Soil VWC'!$C$2:$C$4000=$AA196)*('1994 E Maize Soil VWC'!$D$2:$D$4000=$AB196)*('1994 E Maize Soil VWC'!$E$2:$E$4000=AC$5),'1994 E Maize Soil VWC'!$F$2:$F$4000)</f>
        <v>#N/A</v>
      </c>
      <c r="AD196" s="4" t="e" cm="1">
        <f t="array" ref="AD196">_xlfn.XLOOKUP(1,('1994 E Maize Soil VWC'!$C$2:$C$4000=$AA196)*('1994 E Maize Soil VWC'!$D$2:$D$4000=$AB196)*('1994 E Maize Soil VWC'!$E$2:$E$4000=AD$5),'1994 E Maize Soil VWC'!$F$2:$F$4000)</f>
        <v>#N/A</v>
      </c>
      <c r="AE196" s="4" t="e" cm="1">
        <f t="array" ref="AE196">_xlfn.XLOOKUP(1,('1994 E Maize Soil VWC'!$C$2:$C$4000=$AA196)*('1994 E Maize Soil VWC'!$D$2:$D$4000=$AB196)*('1994 E Maize Soil VWC'!$E$2:$E$4000=AE$5),'1994 E Maize Soil VWC'!$F$2:$F$4000)</f>
        <v>#N/A</v>
      </c>
      <c r="AF196" s="4" t="e" cm="1">
        <f t="array" ref="AF196">_xlfn.XLOOKUP(1,('1994 E Maize Soil VWC'!$C$2:$C$4000=$AA196)*('1994 E Maize Soil VWC'!$D$2:$D$4000=$AB196)*('1994 E Maize Soil VWC'!$E$2:$E$4000=AF$5),'1994 E Maize Soil VWC'!$F$2:$F$4000)</f>
        <v>#N/A</v>
      </c>
      <c r="AG196" s="4" t="e" cm="1">
        <f t="array" ref="AG196">_xlfn.XLOOKUP(1,('1994 E Maize Soil VWC'!$C$2:$C$4000=$AA196)*('1994 E Maize Soil VWC'!$D$2:$D$4000=$AB196)*('1994 E Maize Soil VWC'!$E$2:$E$4000=AG$5),'1994 E Maize Soil VWC'!$F$2:$F$4000)</f>
        <v>#N/A</v>
      </c>
      <c r="AH196" s="4" t="e" cm="1">
        <f t="array" ref="AH196">_xlfn.XLOOKUP(1,('1994 E Maize Soil VWC'!$C$2:$C$4000=$AA196)*('1994 E Maize Soil VWC'!$D$2:$D$4000=$AB196)*('1994 E Maize Soil VWC'!$E$2:$E$4000=AH$5),'1994 E Maize Soil VWC'!$F$2:$F$4000)</f>
        <v>#N/A</v>
      </c>
      <c r="AI196" s="4" t="e" cm="1">
        <f t="array" ref="AI196">_xlfn.XLOOKUP(1,('1994 E Maize Soil VWC'!$C$2:$C$4000=$AA196)*('1994 E Maize Soil VWC'!$D$2:$D$4000=$AB196)*('1994 E Maize Soil VWC'!$E$2:$E$4000=AI$5),'1994 E Maize Soil VWC'!$F$2:$F$4000)</f>
        <v>#N/A</v>
      </c>
      <c r="AJ196" s="4" t="e" cm="1">
        <f t="array" ref="AJ196">_xlfn.XLOOKUP(1,('1994 E Maize Soil VWC'!$C$2:$C$4000=$AA196)*('1994 E Maize Soil VWC'!$D$2:$D$4000=$AB196)*('1994 E Maize Soil VWC'!$E$2:$E$4000=AJ$5),'1994 E Maize Soil VWC'!$F$2:$F$4000)</f>
        <v>#N/A</v>
      </c>
      <c r="AK196" s="4" t="e" cm="1">
        <f t="array" ref="AK196">_xlfn.XLOOKUP(1,('1994 E Maize Soil VWC'!$C$2:$C$4000=$AA196)*('1994 E Maize Soil VWC'!$D$2:$D$4000=$AB196)*('1994 E Maize Soil VWC'!$E$2:$E$4000=AK$5),'1994 E Maize Soil VWC'!$F$2:$F$4000)</f>
        <v>#N/A</v>
      </c>
      <c r="AL196" s="4" t="e" cm="1">
        <f t="array" ref="AL196">_xlfn.XLOOKUP(1,('1994 E Maize Soil VWC'!$C$2:$C$4000=$AA196)*('1994 E Maize Soil VWC'!$D$2:$D$4000=$AB196)*('1994 E Maize Soil VWC'!$E$2:$E$4000=AL$5),'1994 E Maize Soil VWC'!$F$2:$F$4000)</f>
        <v>#N/A</v>
      </c>
      <c r="AM196" s="4" t="e" cm="1">
        <f t="array" ref="AM196">_xlfn.XLOOKUP(1,('1994 E Maize Soil VWC'!$C$2:$C$4000=$AA196)*('1994 E Maize Soil VWC'!$D$2:$D$4000=$AB196)*('1994 E Maize Soil VWC'!$E$2:$E$4000=AM$5),'1994 E Maize Soil VWC'!$F$2:$F$4000)</f>
        <v>#N/A</v>
      </c>
      <c r="AN196" s="4" t="e" cm="1">
        <f t="array" ref="AN196">_xlfn.XLOOKUP(1,('1994 E Maize Soil VWC'!$C$2:$C$4000=$AA196)*('1994 E Maize Soil VWC'!$D$2:$D$4000=$AB196)*('1994 E Maize Soil VWC'!$E$2:$E$4000=AN$5),'1994 E Maize Soil VWC'!$F$2:$F$4000)</f>
        <v>#N/A</v>
      </c>
    </row>
    <row r="197" spans="25:40" x14ac:dyDescent="0.25">
      <c r="AA197" s="19">
        <f t="shared" si="28"/>
        <v>34334</v>
      </c>
      <c r="AB197" s="4">
        <f t="shared" si="29"/>
        <v>190</v>
      </c>
      <c r="AC197" s="4" t="e" cm="1">
        <f t="array" ref="AC197">_xlfn.XLOOKUP(1,('1994 E Maize Soil VWC'!$C$2:$C$4000=$AA197)*('1994 E Maize Soil VWC'!$D$2:$D$4000=$AB197)*('1994 E Maize Soil VWC'!$E$2:$E$4000=AC$5),'1994 E Maize Soil VWC'!$F$2:$F$4000)</f>
        <v>#N/A</v>
      </c>
      <c r="AD197" s="4" t="e" cm="1">
        <f t="array" ref="AD197">_xlfn.XLOOKUP(1,('1994 E Maize Soil VWC'!$C$2:$C$4000=$AA197)*('1994 E Maize Soil VWC'!$D$2:$D$4000=$AB197)*('1994 E Maize Soil VWC'!$E$2:$E$4000=AD$5),'1994 E Maize Soil VWC'!$F$2:$F$4000)</f>
        <v>#N/A</v>
      </c>
      <c r="AE197" s="4" t="e" cm="1">
        <f t="array" ref="AE197">_xlfn.XLOOKUP(1,('1994 E Maize Soil VWC'!$C$2:$C$4000=$AA197)*('1994 E Maize Soil VWC'!$D$2:$D$4000=$AB197)*('1994 E Maize Soil VWC'!$E$2:$E$4000=AE$5),'1994 E Maize Soil VWC'!$F$2:$F$4000)</f>
        <v>#N/A</v>
      </c>
      <c r="AF197" s="4" t="e" cm="1">
        <f t="array" ref="AF197">_xlfn.XLOOKUP(1,('1994 E Maize Soil VWC'!$C$2:$C$4000=$AA197)*('1994 E Maize Soil VWC'!$D$2:$D$4000=$AB197)*('1994 E Maize Soil VWC'!$E$2:$E$4000=AF$5),'1994 E Maize Soil VWC'!$F$2:$F$4000)</f>
        <v>#N/A</v>
      </c>
      <c r="AG197" s="4" t="e" cm="1">
        <f t="array" ref="AG197">_xlfn.XLOOKUP(1,('1994 E Maize Soil VWC'!$C$2:$C$4000=$AA197)*('1994 E Maize Soil VWC'!$D$2:$D$4000=$AB197)*('1994 E Maize Soil VWC'!$E$2:$E$4000=AG$5),'1994 E Maize Soil VWC'!$F$2:$F$4000)</f>
        <v>#N/A</v>
      </c>
      <c r="AH197" s="4" t="e" cm="1">
        <f t="array" ref="AH197">_xlfn.XLOOKUP(1,('1994 E Maize Soil VWC'!$C$2:$C$4000=$AA197)*('1994 E Maize Soil VWC'!$D$2:$D$4000=$AB197)*('1994 E Maize Soil VWC'!$E$2:$E$4000=AH$5),'1994 E Maize Soil VWC'!$F$2:$F$4000)</f>
        <v>#N/A</v>
      </c>
      <c r="AI197" s="4" t="e" cm="1">
        <f t="array" ref="AI197">_xlfn.XLOOKUP(1,('1994 E Maize Soil VWC'!$C$2:$C$4000=$AA197)*('1994 E Maize Soil VWC'!$D$2:$D$4000=$AB197)*('1994 E Maize Soil VWC'!$E$2:$E$4000=AI$5),'1994 E Maize Soil VWC'!$F$2:$F$4000)</f>
        <v>#N/A</v>
      </c>
      <c r="AJ197" s="4" t="e" cm="1">
        <f t="array" ref="AJ197">_xlfn.XLOOKUP(1,('1994 E Maize Soil VWC'!$C$2:$C$4000=$AA197)*('1994 E Maize Soil VWC'!$D$2:$D$4000=$AB197)*('1994 E Maize Soil VWC'!$E$2:$E$4000=AJ$5),'1994 E Maize Soil VWC'!$F$2:$F$4000)</f>
        <v>#N/A</v>
      </c>
      <c r="AK197" s="4" t="e" cm="1">
        <f t="array" ref="AK197">_xlfn.XLOOKUP(1,('1994 E Maize Soil VWC'!$C$2:$C$4000=$AA197)*('1994 E Maize Soil VWC'!$D$2:$D$4000=$AB197)*('1994 E Maize Soil VWC'!$E$2:$E$4000=AK$5),'1994 E Maize Soil VWC'!$F$2:$F$4000)</f>
        <v>#N/A</v>
      </c>
      <c r="AL197" s="4" t="e" cm="1">
        <f t="array" ref="AL197">_xlfn.XLOOKUP(1,('1994 E Maize Soil VWC'!$C$2:$C$4000=$AA197)*('1994 E Maize Soil VWC'!$D$2:$D$4000=$AB197)*('1994 E Maize Soil VWC'!$E$2:$E$4000=AL$5),'1994 E Maize Soil VWC'!$F$2:$F$4000)</f>
        <v>#N/A</v>
      </c>
      <c r="AM197" s="4" t="e" cm="1">
        <f t="array" ref="AM197">_xlfn.XLOOKUP(1,('1994 E Maize Soil VWC'!$C$2:$C$4000=$AA197)*('1994 E Maize Soil VWC'!$D$2:$D$4000=$AB197)*('1994 E Maize Soil VWC'!$E$2:$E$4000=AM$5),'1994 E Maize Soil VWC'!$F$2:$F$4000)</f>
        <v>#N/A</v>
      </c>
      <c r="AN197" s="4" t="e" cm="1">
        <f t="array" ref="AN197">_xlfn.XLOOKUP(1,('1994 E Maize Soil VWC'!$C$2:$C$4000=$AA197)*('1994 E Maize Soil VWC'!$D$2:$D$4000=$AB197)*('1994 E Maize Soil VWC'!$E$2:$E$4000=AN$5),'1994 E Maize Soil VWC'!$F$2:$F$4000)</f>
        <v>#N/A</v>
      </c>
    </row>
    <row r="198" spans="25:40" x14ac:dyDescent="0.25">
      <c r="AA198" s="19">
        <f t="shared" si="28"/>
        <v>34334</v>
      </c>
      <c r="AB198" s="4">
        <f t="shared" si="29"/>
        <v>210</v>
      </c>
      <c r="AC198" s="4" t="e" cm="1">
        <f t="array" ref="AC198">_xlfn.XLOOKUP(1,('1994 E Maize Soil VWC'!$C$2:$C$4000=$AA198)*('1994 E Maize Soil VWC'!$D$2:$D$4000=$AB198)*('1994 E Maize Soil VWC'!$E$2:$E$4000=AC$5),'1994 E Maize Soil VWC'!$F$2:$F$4000)</f>
        <v>#N/A</v>
      </c>
      <c r="AD198" s="4" t="e" cm="1">
        <f t="array" ref="AD198">_xlfn.XLOOKUP(1,('1994 E Maize Soil VWC'!$C$2:$C$4000=$AA198)*('1994 E Maize Soil VWC'!$D$2:$D$4000=$AB198)*('1994 E Maize Soil VWC'!$E$2:$E$4000=AD$5),'1994 E Maize Soil VWC'!$F$2:$F$4000)</f>
        <v>#N/A</v>
      </c>
      <c r="AE198" s="4" t="e" cm="1">
        <f t="array" ref="AE198">_xlfn.XLOOKUP(1,('1994 E Maize Soil VWC'!$C$2:$C$4000=$AA198)*('1994 E Maize Soil VWC'!$D$2:$D$4000=$AB198)*('1994 E Maize Soil VWC'!$E$2:$E$4000=AE$5),'1994 E Maize Soil VWC'!$F$2:$F$4000)</f>
        <v>#N/A</v>
      </c>
      <c r="AF198" s="4" t="e" cm="1">
        <f t="array" ref="AF198">_xlfn.XLOOKUP(1,('1994 E Maize Soil VWC'!$C$2:$C$4000=$AA198)*('1994 E Maize Soil VWC'!$D$2:$D$4000=$AB198)*('1994 E Maize Soil VWC'!$E$2:$E$4000=AF$5),'1994 E Maize Soil VWC'!$F$2:$F$4000)</f>
        <v>#N/A</v>
      </c>
      <c r="AG198" s="4" t="e" cm="1">
        <f t="array" ref="AG198">_xlfn.XLOOKUP(1,('1994 E Maize Soil VWC'!$C$2:$C$4000=$AA198)*('1994 E Maize Soil VWC'!$D$2:$D$4000=$AB198)*('1994 E Maize Soil VWC'!$E$2:$E$4000=AG$5),'1994 E Maize Soil VWC'!$F$2:$F$4000)</f>
        <v>#N/A</v>
      </c>
      <c r="AH198" s="4" t="e" cm="1">
        <f t="array" ref="AH198">_xlfn.XLOOKUP(1,('1994 E Maize Soil VWC'!$C$2:$C$4000=$AA198)*('1994 E Maize Soil VWC'!$D$2:$D$4000=$AB198)*('1994 E Maize Soil VWC'!$E$2:$E$4000=AH$5),'1994 E Maize Soil VWC'!$F$2:$F$4000)</f>
        <v>#N/A</v>
      </c>
      <c r="AI198" s="4" t="e" cm="1">
        <f t="array" ref="AI198">_xlfn.XLOOKUP(1,('1994 E Maize Soil VWC'!$C$2:$C$4000=$AA198)*('1994 E Maize Soil VWC'!$D$2:$D$4000=$AB198)*('1994 E Maize Soil VWC'!$E$2:$E$4000=AI$5),'1994 E Maize Soil VWC'!$F$2:$F$4000)</f>
        <v>#N/A</v>
      </c>
      <c r="AJ198" s="4" t="e" cm="1">
        <f t="array" ref="AJ198">_xlfn.XLOOKUP(1,('1994 E Maize Soil VWC'!$C$2:$C$4000=$AA198)*('1994 E Maize Soil VWC'!$D$2:$D$4000=$AB198)*('1994 E Maize Soil VWC'!$E$2:$E$4000=AJ$5),'1994 E Maize Soil VWC'!$F$2:$F$4000)</f>
        <v>#N/A</v>
      </c>
      <c r="AK198" s="4" t="e" cm="1">
        <f t="array" ref="AK198">_xlfn.XLOOKUP(1,('1994 E Maize Soil VWC'!$C$2:$C$4000=$AA198)*('1994 E Maize Soil VWC'!$D$2:$D$4000=$AB198)*('1994 E Maize Soil VWC'!$E$2:$E$4000=AK$5),'1994 E Maize Soil VWC'!$F$2:$F$4000)</f>
        <v>#N/A</v>
      </c>
      <c r="AL198" s="4" t="e" cm="1">
        <f t="array" ref="AL198">_xlfn.XLOOKUP(1,('1994 E Maize Soil VWC'!$C$2:$C$4000=$AA198)*('1994 E Maize Soil VWC'!$D$2:$D$4000=$AB198)*('1994 E Maize Soil VWC'!$E$2:$E$4000=AL$5),'1994 E Maize Soil VWC'!$F$2:$F$4000)</f>
        <v>#N/A</v>
      </c>
      <c r="AM198" s="4" t="e" cm="1">
        <f t="array" ref="AM198">_xlfn.XLOOKUP(1,('1994 E Maize Soil VWC'!$C$2:$C$4000=$AA198)*('1994 E Maize Soil VWC'!$D$2:$D$4000=$AB198)*('1994 E Maize Soil VWC'!$E$2:$E$4000=AM$5),'1994 E Maize Soil VWC'!$F$2:$F$4000)</f>
        <v>#N/A</v>
      </c>
      <c r="AN198" s="4" t="e" cm="1">
        <f t="array" ref="AN198">_xlfn.XLOOKUP(1,('1994 E Maize Soil VWC'!$C$2:$C$4000=$AA198)*('1994 E Maize Soil VWC'!$D$2:$D$4000=$AB198)*('1994 E Maize Soil VWC'!$E$2:$E$4000=AN$5),'1994 E Maize Soil VWC'!$F$2:$F$4000)</f>
        <v>#N/A</v>
      </c>
    </row>
    <row r="199" spans="25:40" x14ac:dyDescent="0.25">
      <c r="AA199" s="19">
        <f t="shared" si="28"/>
        <v>34334</v>
      </c>
      <c r="AB199" s="4">
        <f t="shared" si="29"/>
        <v>230</v>
      </c>
      <c r="AC199" s="4" t="e" cm="1">
        <f t="array" ref="AC199">_xlfn.XLOOKUP(1,('1994 E Maize Soil VWC'!$C$2:$C$4000=$AA199)*('1994 E Maize Soil VWC'!$D$2:$D$4000=$AB199)*('1994 E Maize Soil VWC'!$E$2:$E$4000=AC$5),'1994 E Maize Soil VWC'!$F$2:$F$4000)</f>
        <v>#N/A</v>
      </c>
      <c r="AD199" s="4" t="e" cm="1">
        <f t="array" ref="AD199">_xlfn.XLOOKUP(1,('1994 E Maize Soil VWC'!$C$2:$C$4000=$AA199)*('1994 E Maize Soil VWC'!$D$2:$D$4000=$AB199)*('1994 E Maize Soil VWC'!$E$2:$E$4000=AD$5),'1994 E Maize Soil VWC'!$F$2:$F$4000)</f>
        <v>#N/A</v>
      </c>
      <c r="AE199" s="4" t="e" cm="1">
        <f t="array" ref="AE199">_xlfn.XLOOKUP(1,('1994 E Maize Soil VWC'!$C$2:$C$4000=$AA199)*('1994 E Maize Soil VWC'!$D$2:$D$4000=$AB199)*('1994 E Maize Soil VWC'!$E$2:$E$4000=AE$5),'1994 E Maize Soil VWC'!$F$2:$F$4000)</f>
        <v>#N/A</v>
      </c>
      <c r="AF199" s="4" t="e" cm="1">
        <f t="array" ref="AF199">_xlfn.XLOOKUP(1,('1994 E Maize Soil VWC'!$C$2:$C$4000=$AA199)*('1994 E Maize Soil VWC'!$D$2:$D$4000=$AB199)*('1994 E Maize Soil VWC'!$E$2:$E$4000=AF$5),'1994 E Maize Soil VWC'!$F$2:$F$4000)</f>
        <v>#N/A</v>
      </c>
      <c r="AG199" s="4" t="e" cm="1">
        <f t="array" ref="AG199">_xlfn.XLOOKUP(1,('1994 E Maize Soil VWC'!$C$2:$C$4000=$AA199)*('1994 E Maize Soil VWC'!$D$2:$D$4000=$AB199)*('1994 E Maize Soil VWC'!$E$2:$E$4000=AG$5),'1994 E Maize Soil VWC'!$F$2:$F$4000)</f>
        <v>#N/A</v>
      </c>
      <c r="AH199" s="4" t="e" cm="1">
        <f t="array" ref="AH199">_xlfn.XLOOKUP(1,('1994 E Maize Soil VWC'!$C$2:$C$4000=$AA199)*('1994 E Maize Soil VWC'!$D$2:$D$4000=$AB199)*('1994 E Maize Soil VWC'!$E$2:$E$4000=AH$5),'1994 E Maize Soil VWC'!$F$2:$F$4000)</f>
        <v>#N/A</v>
      </c>
      <c r="AI199" s="4" t="e" cm="1">
        <f t="array" ref="AI199">_xlfn.XLOOKUP(1,('1994 E Maize Soil VWC'!$C$2:$C$4000=$AA199)*('1994 E Maize Soil VWC'!$D$2:$D$4000=$AB199)*('1994 E Maize Soil VWC'!$E$2:$E$4000=AI$5),'1994 E Maize Soil VWC'!$F$2:$F$4000)</f>
        <v>#N/A</v>
      </c>
      <c r="AJ199" s="4" t="e" cm="1">
        <f t="array" ref="AJ199">_xlfn.XLOOKUP(1,('1994 E Maize Soil VWC'!$C$2:$C$4000=$AA199)*('1994 E Maize Soil VWC'!$D$2:$D$4000=$AB199)*('1994 E Maize Soil VWC'!$E$2:$E$4000=AJ$5),'1994 E Maize Soil VWC'!$F$2:$F$4000)</f>
        <v>#N/A</v>
      </c>
      <c r="AK199" s="4" t="e" cm="1">
        <f t="array" ref="AK199">_xlfn.XLOOKUP(1,('1994 E Maize Soil VWC'!$C$2:$C$4000=$AA199)*('1994 E Maize Soil VWC'!$D$2:$D$4000=$AB199)*('1994 E Maize Soil VWC'!$E$2:$E$4000=AK$5),'1994 E Maize Soil VWC'!$F$2:$F$4000)</f>
        <v>#N/A</v>
      </c>
      <c r="AL199" s="4" t="e" cm="1">
        <f t="array" ref="AL199">_xlfn.XLOOKUP(1,('1994 E Maize Soil VWC'!$C$2:$C$4000=$AA199)*('1994 E Maize Soil VWC'!$D$2:$D$4000=$AB199)*('1994 E Maize Soil VWC'!$E$2:$E$4000=AL$5),'1994 E Maize Soil VWC'!$F$2:$F$4000)</f>
        <v>#N/A</v>
      </c>
      <c r="AM199" s="4" t="e" cm="1">
        <f t="array" ref="AM199">_xlfn.XLOOKUP(1,('1994 E Maize Soil VWC'!$C$2:$C$4000=$AA199)*('1994 E Maize Soil VWC'!$D$2:$D$4000=$AB199)*('1994 E Maize Soil VWC'!$E$2:$E$4000=AM$5),'1994 E Maize Soil VWC'!$F$2:$F$4000)</f>
        <v>#N/A</v>
      </c>
      <c r="AN199" s="4" t="e" cm="1">
        <f t="array" ref="AN199">_xlfn.XLOOKUP(1,('1994 E Maize Soil VWC'!$C$2:$C$4000=$AA199)*('1994 E Maize Soil VWC'!$D$2:$D$4000=$AB199)*('1994 E Maize Soil VWC'!$E$2:$E$4000=AN$5),'1994 E Maize Soil VWC'!$F$2:$F$4000)</f>
        <v>#N/A</v>
      </c>
    </row>
    <row r="201" spans="25:40" x14ac:dyDescent="0.25">
      <c r="Y201" s="4">
        <f>Y188</f>
        <v>1994</v>
      </c>
      <c r="Z201" s="4">
        <v>0</v>
      </c>
      <c r="AA201" s="19">
        <f>DATE(Y201,1,Z201)</f>
        <v>34334</v>
      </c>
      <c r="AB201" s="4">
        <v>10</v>
      </c>
      <c r="AC201" s="4" t="e" cm="1">
        <f t="array" ref="AC201">_xlfn.XLOOKUP(1,('1994 E Maize Soil VWC'!$C$2:$C$4000=$AA201)*('1994 E Maize Soil VWC'!$D$2:$D$4000=$AB201)*('1994 E Maize Soil VWC'!$E$2:$E$4000=AC$5),'1994 E Maize Soil VWC'!$F$2:$F$4000)</f>
        <v>#N/A</v>
      </c>
      <c r="AD201" s="4" t="e" cm="1">
        <f t="array" ref="AD201">_xlfn.XLOOKUP(1,('1994 E Maize Soil VWC'!$C$2:$C$4000=$AA201)*('1994 E Maize Soil VWC'!$D$2:$D$4000=$AB201)*('1994 E Maize Soil VWC'!$E$2:$E$4000=AD$5),'1994 E Maize Soil VWC'!$F$2:$F$4000)</f>
        <v>#N/A</v>
      </c>
      <c r="AE201" s="4" t="e" cm="1">
        <f t="array" ref="AE201">_xlfn.XLOOKUP(1,('1994 E Maize Soil VWC'!$C$2:$C$4000=$AA201)*('1994 E Maize Soil VWC'!$D$2:$D$4000=$AB201)*('1994 E Maize Soil VWC'!$E$2:$E$4000=AE$5),'1994 E Maize Soil VWC'!$F$2:$F$4000)</f>
        <v>#N/A</v>
      </c>
      <c r="AF201" s="4" t="e" cm="1">
        <f t="array" ref="AF201">_xlfn.XLOOKUP(1,('1994 E Maize Soil VWC'!$C$2:$C$4000=$AA201)*('1994 E Maize Soil VWC'!$D$2:$D$4000=$AB201)*('1994 E Maize Soil VWC'!$E$2:$E$4000=AF$5),'1994 E Maize Soil VWC'!$F$2:$F$4000)</f>
        <v>#N/A</v>
      </c>
      <c r="AG201" s="4" t="e" cm="1">
        <f t="array" ref="AG201">_xlfn.XLOOKUP(1,('1994 E Maize Soil VWC'!$C$2:$C$4000=$AA201)*('1994 E Maize Soil VWC'!$D$2:$D$4000=$AB201)*('1994 E Maize Soil VWC'!$E$2:$E$4000=AG$5),'1994 E Maize Soil VWC'!$F$2:$F$4000)</f>
        <v>#N/A</v>
      </c>
      <c r="AH201" s="4" t="e" cm="1">
        <f t="array" ref="AH201">_xlfn.XLOOKUP(1,('1994 E Maize Soil VWC'!$C$2:$C$4000=$AA201)*('1994 E Maize Soil VWC'!$D$2:$D$4000=$AB201)*('1994 E Maize Soil VWC'!$E$2:$E$4000=AH$5),'1994 E Maize Soil VWC'!$F$2:$F$4000)</f>
        <v>#N/A</v>
      </c>
      <c r="AI201" s="4" t="e" cm="1">
        <f t="array" ref="AI201">_xlfn.XLOOKUP(1,('1994 E Maize Soil VWC'!$C$2:$C$4000=$AA201)*('1994 E Maize Soil VWC'!$D$2:$D$4000=$AB201)*('1994 E Maize Soil VWC'!$E$2:$E$4000=AI$5),'1994 E Maize Soil VWC'!$F$2:$F$4000)</f>
        <v>#N/A</v>
      </c>
      <c r="AJ201" s="4" t="e" cm="1">
        <f t="array" ref="AJ201">_xlfn.XLOOKUP(1,('1994 E Maize Soil VWC'!$C$2:$C$4000=$AA201)*('1994 E Maize Soil VWC'!$D$2:$D$4000=$AB201)*('1994 E Maize Soil VWC'!$E$2:$E$4000=AJ$5),'1994 E Maize Soil VWC'!$F$2:$F$4000)</f>
        <v>#N/A</v>
      </c>
      <c r="AK201" s="4" t="e" cm="1">
        <f t="array" ref="AK201">_xlfn.XLOOKUP(1,('1994 E Maize Soil VWC'!$C$2:$C$4000=$AA201)*('1994 E Maize Soil VWC'!$D$2:$D$4000=$AB201)*('1994 E Maize Soil VWC'!$E$2:$E$4000=AK$5),'1994 E Maize Soil VWC'!$F$2:$F$4000)</f>
        <v>#N/A</v>
      </c>
      <c r="AL201" s="4" t="e" cm="1">
        <f t="array" ref="AL201">_xlfn.XLOOKUP(1,('1994 E Maize Soil VWC'!$C$2:$C$4000=$AA201)*('1994 E Maize Soil VWC'!$D$2:$D$4000=$AB201)*('1994 E Maize Soil VWC'!$E$2:$E$4000=AL$5),'1994 E Maize Soil VWC'!$F$2:$F$4000)</f>
        <v>#N/A</v>
      </c>
      <c r="AM201" s="4" t="e" cm="1">
        <f t="array" ref="AM201">_xlfn.XLOOKUP(1,('1994 E Maize Soil VWC'!$C$2:$C$4000=$AA201)*('1994 E Maize Soil VWC'!$D$2:$D$4000=$AB201)*('1994 E Maize Soil VWC'!$E$2:$E$4000=AM$5),'1994 E Maize Soil VWC'!$F$2:$F$4000)</f>
        <v>#N/A</v>
      </c>
      <c r="AN201" s="4" t="e" cm="1">
        <f t="array" ref="AN201">_xlfn.XLOOKUP(1,('1994 E Maize Soil VWC'!$C$2:$C$4000=$AA201)*('1994 E Maize Soil VWC'!$D$2:$D$4000=$AB201)*('1994 E Maize Soil VWC'!$E$2:$E$4000=AN$5),'1994 E Maize Soil VWC'!$F$2:$F$4000)</f>
        <v>#N/A</v>
      </c>
    </row>
    <row r="202" spans="25:40" x14ac:dyDescent="0.25">
      <c r="AA202" s="19">
        <f t="shared" ref="AA202:AA212" si="30">AA201</f>
        <v>34334</v>
      </c>
      <c r="AB202" s="4">
        <f t="shared" ref="AB202:AB212" si="31">AB201+20</f>
        <v>30</v>
      </c>
      <c r="AC202" s="4" t="e" cm="1">
        <f t="array" ref="AC202">_xlfn.XLOOKUP(1,('1994 E Maize Soil VWC'!$C$2:$C$4000=$AA202)*('1994 E Maize Soil VWC'!$D$2:$D$4000=$AB202)*('1994 E Maize Soil VWC'!$E$2:$E$4000=AC$5),'1994 E Maize Soil VWC'!$F$2:$F$4000)</f>
        <v>#N/A</v>
      </c>
      <c r="AD202" s="4" t="e" cm="1">
        <f t="array" ref="AD202">_xlfn.XLOOKUP(1,('1994 E Maize Soil VWC'!$C$2:$C$4000=$AA202)*('1994 E Maize Soil VWC'!$D$2:$D$4000=$AB202)*('1994 E Maize Soil VWC'!$E$2:$E$4000=AD$5),'1994 E Maize Soil VWC'!$F$2:$F$4000)</f>
        <v>#N/A</v>
      </c>
      <c r="AE202" s="4" t="e" cm="1">
        <f t="array" ref="AE202">_xlfn.XLOOKUP(1,('1994 E Maize Soil VWC'!$C$2:$C$4000=$AA202)*('1994 E Maize Soil VWC'!$D$2:$D$4000=$AB202)*('1994 E Maize Soil VWC'!$E$2:$E$4000=AE$5),'1994 E Maize Soil VWC'!$F$2:$F$4000)</f>
        <v>#N/A</v>
      </c>
      <c r="AF202" s="4" t="e" cm="1">
        <f t="array" ref="AF202">_xlfn.XLOOKUP(1,('1994 E Maize Soil VWC'!$C$2:$C$4000=$AA202)*('1994 E Maize Soil VWC'!$D$2:$D$4000=$AB202)*('1994 E Maize Soil VWC'!$E$2:$E$4000=AF$5),'1994 E Maize Soil VWC'!$F$2:$F$4000)</f>
        <v>#N/A</v>
      </c>
      <c r="AG202" s="4" t="e" cm="1">
        <f t="array" ref="AG202">_xlfn.XLOOKUP(1,('1994 E Maize Soil VWC'!$C$2:$C$4000=$AA202)*('1994 E Maize Soil VWC'!$D$2:$D$4000=$AB202)*('1994 E Maize Soil VWC'!$E$2:$E$4000=AG$5),'1994 E Maize Soil VWC'!$F$2:$F$4000)</f>
        <v>#N/A</v>
      </c>
      <c r="AH202" s="4" t="e" cm="1">
        <f t="array" ref="AH202">_xlfn.XLOOKUP(1,('1994 E Maize Soil VWC'!$C$2:$C$4000=$AA202)*('1994 E Maize Soil VWC'!$D$2:$D$4000=$AB202)*('1994 E Maize Soil VWC'!$E$2:$E$4000=AH$5),'1994 E Maize Soil VWC'!$F$2:$F$4000)</f>
        <v>#N/A</v>
      </c>
      <c r="AI202" s="4" t="e" cm="1">
        <f t="array" ref="AI202">_xlfn.XLOOKUP(1,('1994 E Maize Soil VWC'!$C$2:$C$4000=$AA202)*('1994 E Maize Soil VWC'!$D$2:$D$4000=$AB202)*('1994 E Maize Soil VWC'!$E$2:$E$4000=AI$5),'1994 E Maize Soil VWC'!$F$2:$F$4000)</f>
        <v>#N/A</v>
      </c>
      <c r="AJ202" s="4" t="e" cm="1">
        <f t="array" ref="AJ202">_xlfn.XLOOKUP(1,('1994 E Maize Soil VWC'!$C$2:$C$4000=$AA202)*('1994 E Maize Soil VWC'!$D$2:$D$4000=$AB202)*('1994 E Maize Soil VWC'!$E$2:$E$4000=AJ$5),'1994 E Maize Soil VWC'!$F$2:$F$4000)</f>
        <v>#N/A</v>
      </c>
      <c r="AK202" s="4" t="e" cm="1">
        <f t="array" ref="AK202">_xlfn.XLOOKUP(1,('1994 E Maize Soil VWC'!$C$2:$C$4000=$AA202)*('1994 E Maize Soil VWC'!$D$2:$D$4000=$AB202)*('1994 E Maize Soil VWC'!$E$2:$E$4000=AK$5),'1994 E Maize Soil VWC'!$F$2:$F$4000)</f>
        <v>#N/A</v>
      </c>
      <c r="AL202" s="4" t="e" cm="1">
        <f t="array" ref="AL202">_xlfn.XLOOKUP(1,('1994 E Maize Soil VWC'!$C$2:$C$4000=$AA202)*('1994 E Maize Soil VWC'!$D$2:$D$4000=$AB202)*('1994 E Maize Soil VWC'!$E$2:$E$4000=AL$5),'1994 E Maize Soil VWC'!$F$2:$F$4000)</f>
        <v>#N/A</v>
      </c>
      <c r="AM202" s="4" t="e" cm="1">
        <f t="array" ref="AM202">_xlfn.XLOOKUP(1,('1994 E Maize Soil VWC'!$C$2:$C$4000=$AA202)*('1994 E Maize Soil VWC'!$D$2:$D$4000=$AB202)*('1994 E Maize Soil VWC'!$E$2:$E$4000=AM$5),'1994 E Maize Soil VWC'!$F$2:$F$4000)</f>
        <v>#N/A</v>
      </c>
      <c r="AN202" s="4" t="e" cm="1">
        <f t="array" ref="AN202">_xlfn.XLOOKUP(1,('1994 E Maize Soil VWC'!$C$2:$C$4000=$AA202)*('1994 E Maize Soil VWC'!$D$2:$D$4000=$AB202)*('1994 E Maize Soil VWC'!$E$2:$E$4000=AN$5),'1994 E Maize Soil VWC'!$F$2:$F$4000)</f>
        <v>#N/A</v>
      </c>
    </row>
    <row r="203" spans="25:40" x14ac:dyDescent="0.25">
      <c r="AA203" s="19">
        <f t="shared" si="30"/>
        <v>34334</v>
      </c>
      <c r="AB203" s="4">
        <f t="shared" si="31"/>
        <v>50</v>
      </c>
      <c r="AC203" s="4" t="e" cm="1">
        <f t="array" ref="AC203">_xlfn.XLOOKUP(1,('1994 E Maize Soil VWC'!$C$2:$C$4000=$AA203)*('1994 E Maize Soil VWC'!$D$2:$D$4000=$AB203)*('1994 E Maize Soil VWC'!$E$2:$E$4000=AC$5),'1994 E Maize Soil VWC'!$F$2:$F$4000)</f>
        <v>#N/A</v>
      </c>
      <c r="AD203" s="4" t="e" cm="1">
        <f t="array" ref="AD203">_xlfn.XLOOKUP(1,('1994 E Maize Soil VWC'!$C$2:$C$4000=$AA203)*('1994 E Maize Soil VWC'!$D$2:$D$4000=$AB203)*('1994 E Maize Soil VWC'!$E$2:$E$4000=AD$5),'1994 E Maize Soil VWC'!$F$2:$F$4000)</f>
        <v>#N/A</v>
      </c>
      <c r="AE203" s="4" t="e" cm="1">
        <f t="array" ref="AE203">_xlfn.XLOOKUP(1,('1994 E Maize Soil VWC'!$C$2:$C$4000=$AA203)*('1994 E Maize Soil VWC'!$D$2:$D$4000=$AB203)*('1994 E Maize Soil VWC'!$E$2:$E$4000=AE$5),'1994 E Maize Soil VWC'!$F$2:$F$4000)</f>
        <v>#N/A</v>
      </c>
      <c r="AF203" s="4" t="e" cm="1">
        <f t="array" ref="AF203">_xlfn.XLOOKUP(1,('1994 E Maize Soil VWC'!$C$2:$C$4000=$AA203)*('1994 E Maize Soil VWC'!$D$2:$D$4000=$AB203)*('1994 E Maize Soil VWC'!$E$2:$E$4000=AF$5),'1994 E Maize Soil VWC'!$F$2:$F$4000)</f>
        <v>#N/A</v>
      </c>
      <c r="AG203" s="4" t="e" cm="1">
        <f t="array" ref="AG203">_xlfn.XLOOKUP(1,('1994 E Maize Soil VWC'!$C$2:$C$4000=$AA203)*('1994 E Maize Soil VWC'!$D$2:$D$4000=$AB203)*('1994 E Maize Soil VWC'!$E$2:$E$4000=AG$5),'1994 E Maize Soil VWC'!$F$2:$F$4000)</f>
        <v>#N/A</v>
      </c>
      <c r="AH203" s="4" t="e" cm="1">
        <f t="array" ref="AH203">_xlfn.XLOOKUP(1,('1994 E Maize Soil VWC'!$C$2:$C$4000=$AA203)*('1994 E Maize Soil VWC'!$D$2:$D$4000=$AB203)*('1994 E Maize Soil VWC'!$E$2:$E$4000=AH$5),'1994 E Maize Soil VWC'!$F$2:$F$4000)</f>
        <v>#N/A</v>
      </c>
      <c r="AI203" s="4" t="e" cm="1">
        <f t="array" ref="AI203">_xlfn.XLOOKUP(1,('1994 E Maize Soil VWC'!$C$2:$C$4000=$AA203)*('1994 E Maize Soil VWC'!$D$2:$D$4000=$AB203)*('1994 E Maize Soil VWC'!$E$2:$E$4000=AI$5),'1994 E Maize Soil VWC'!$F$2:$F$4000)</f>
        <v>#N/A</v>
      </c>
      <c r="AJ203" s="4" t="e" cm="1">
        <f t="array" ref="AJ203">_xlfn.XLOOKUP(1,('1994 E Maize Soil VWC'!$C$2:$C$4000=$AA203)*('1994 E Maize Soil VWC'!$D$2:$D$4000=$AB203)*('1994 E Maize Soil VWC'!$E$2:$E$4000=AJ$5),'1994 E Maize Soil VWC'!$F$2:$F$4000)</f>
        <v>#N/A</v>
      </c>
      <c r="AK203" s="4" t="e" cm="1">
        <f t="array" ref="AK203">_xlfn.XLOOKUP(1,('1994 E Maize Soil VWC'!$C$2:$C$4000=$AA203)*('1994 E Maize Soil VWC'!$D$2:$D$4000=$AB203)*('1994 E Maize Soil VWC'!$E$2:$E$4000=AK$5),'1994 E Maize Soil VWC'!$F$2:$F$4000)</f>
        <v>#N/A</v>
      </c>
      <c r="AL203" s="4" t="e" cm="1">
        <f t="array" ref="AL203">_xlfn.XLOOKUP(1,('1994 E Maize Soil VWC'!$C$2:$C$4000=$AA203)*('1994 E Maize Soil VWC'!$D$2:$D$4000=$AB203)*('1994 E Maize Soil VWC'!$E$2:$E$4000=AL$5),'1994 E Maize Soil VWC'!$F$2:$F$4000)</f>
        <v>#N/A</v>
      </c>
      <c r="AM203" s="4" t="e" cm="1">
        <f t="array" ref="AM203">_xlfn.XLOOKUP(1,('1994 E Maize Soil VWC'!$C$2:$C$4000=$AA203)*('1994 E Maize Soil VWC'!$D$2:$D$4000=$AB203)*('1994 E Maize Soil VWC'!$E$2:$E$4000=AM$5),'1994 E Maize Soil VWC'!$F$2:$F$4000)</f>
        <v>#N/A</v>
      </c>
      <c r="AN203" s="4" t="e" cm="1">
        <f t="array" ref="AN203">_xlfn.XLOOKUP(1,('1994 E Maize Soil VWC'!$C$2:$C$4000=$AA203)*('1994 E Maize Soil VWC'!$D$2:$D$4000=$AB203)*('1994 E Maize Soil VWC'!$E$2:$E$4000=AN$5),'1994 E Maize Soil VWC'!$F$2:$F$4000)</f>
        <v>#N/A</v>
      </c>
    </row>
    <row r="204" spans="25:40" x14ac:dyDescent="0.25">
      <c r="AA204" s="19">
        <f t="shared" si="30"/>
        <v>34334</v>
      </c>
      <c r="AB204" s="4">
        <f t="shared" si="31"/>
        <v>70</v>
      </c>
      <c r="AC204" s="4" t="e" cm="1">
        <f t="array" ref="AC204">_xlfn.XLOOKUP(1,('1994 E Maize Soil VWC'!$C$2:$C$4000=$AA204)*('1994 E Maize Soil VWC'!$D$2:$D$4000=$AB204)*('1994 E Maize Soil VWC'!$E$2:$E$4000=AC$5),'1994 E Maize Soil VWC'!$F$2:$F$4000)</f>
        <v>#N/A</v>
      </c>
      <c r="AD204" s="4" t="e" cm="1">
        <f t="array" ref="AD204">_xlfn.XLOOKUP(1,('1994 E Maize Soil VWC'!$C$2:$C$4000=$AA204)*('1994 E Maize Soil VWC'!$D$2:$D$4000=$AB204)*('1994 E Maize Soil VWC'!$E$2:$E$4000=AD$5),'1994 E Maize Soil VWC'!$F$2:$F$4000)</f>
        <v>#N/A</v>
      </c>
      <c r="AE204" s="4" t="e" cm="1">
        <f t="array" ref="AE204">_xlfn.XLOOKUP(1,('1994 E Maize Soil VWC'!$C$2:$C$4000=$AA204)*('1994 E Maize Soil VWC'!$D$2:$D$4000=$AB204)*('1994 E Maize Soil VWC'!$E$2:$E$4000=AE$5),'1994 E Maize Soil VWC'!$F$2:$F$4000)</f>
        <v>#N/A</v>
      </c>
      <c r="AF204" s="4" t="e" cm="1">
        <f t="array" ref="AF204">_xlfn.XLOOKUP(1,('1994 E Maize Soil VWC'!$C$2:$C$4000=$AA204)*('1994 E Maize Soil VWC'!$D$2:$D$4000=$AB204)*('1994 E Maize Soil VWC'!$E$2:$E$4000=AF$5),'1994 E Maize Soil VWC'!$F$2:$F$4000)</f>
        <v>#N/A</v>
      </c>
      <c r="AG204" s="4" t="e" cm="1">
        <f t="array" ref="AG204">_xlfn.XLOOKUP(1,('1994 E Maize Soil VWC'!$C$2:$C$4000=$AA204)*('1994 E Maize Soil VWC'!$D$2:$D$4000=$AB204)*('1994 E Maize Soil VWC'!$E$2:$E$4000=AG$5),'1994 E Maize Soil VWC'!$F$2:$F$4000)</f>
        <v>#N/A</v>
      </c>
      <c r="AH204" s="4" t="e" cm="1">
        <f t="array" ref="AH204">_xlfn.XLOOKUP(1,('1994 E Maize Soil VWC'!$C$2:$C$4000=$AA204)*('1994 E Maize Soil VWC'!$D$2:$D$4000=$AB204)*('1994 E Maize Soil VWC'!$E$2:$E$4000=AH$5),'1994 E Maize Soil VWC'!$F$2:$F$4000)</f>
        <v>#N/A</v>
      </c>
      <c r="AI204" s="4" t="e" cm="1">
        <f t="array" ref="AI204">_xlfn.XLOOKUP(1,('1994 E Maize Soil VWC'!$C$2:$C$4000=$AA204)*('1994 E Maize Soil VWC'!$D$2:$D$4000=$AB204)*('1994 E Maize Soil VWC'!$E$2:$E$4000=AI$5),'1994 E Maize Soil VWC'!$F$2:$F$4000)</f>
        <v>#N/A</v>
      </c>
      <c r="AJ204" s="4" t="e" cm="1">
        <f t="array" ref="AJ204">_xlfn.XLOOKUP(1,('1994 E Maize Soil VWC'!$C$2:$C$4000=$AA204)*('1994 E Maize Soil VWC'!$D$2:$D$4000=$AB204)*('1994 E Maize Soil VWC'!$E$2:$E$4000=AJ$5),'1994 E Maize Soil VWC'!$F$2:$F$4000)</f>
        <v>#N/A</v>
      </c>
      <c r="AK204" s="4" t="e" cm="1">
        <f t="array" ref="AK204">_xlfn.XLOOKUP(1,('1994 E Maize Soil VWC'!$C$2:$C$4000=$AA204)*('1994 E Maize Soil VWC'!$D$2:$D$4000=$AB204)*('1994 E Maize Soil VWC'!$E$2:$E$4000=AK$5),'1994 E Maize Soil VWC'!$F$2:$F$4000)</f>
        <v>#N/A</v>
      </c>
      <c r="AL204" s="4" t="e" cm="1">
        <f t="array" ref="AL204">_xlfn.XLOOKUP(1,('1994 E Maize Soil VWC'!$C$2:$C$4000=$AA204)*('1994 E Maize Soil VWC'!$D$2:$D$4000=$AB204)*('1994 E Maize Soil VWC'!$E$2:$E$4000=AL$5),'1994 E Maize Soil VWC'!$F$2:$F$4000)</f>
        <v>#N/A</v>
      </c>
      <c r="AM204" s="4" t="e" cm="1">
        <f t="array" ref="AM204">_xlfn.XLOOKUP(1,('1994 E Maize Soil VWC'!$C$2:$C$4000=$AA204)*('1994 E Maize Soil VWC'!$D$2:$D$4000=$AB204)*('1994 E Maize Soil VWC'!$E$2:$E$4000=AM$5),'1994 E Maize Soil VWC'!$F$2:$F$4000)</f>
        <v>#N/A</v>
      </c>
      <c r="AN204" s="4" t="e" cm="1">
        <f t="array" ref="AN204">_xlfn.XLOOKUP(1,('1994 E Maize Soil VWC'!$C$2:$C$4000=$AA204)*('1994 E Maize Soil VWC'!$D$2:$D$4000=$AB204)*('1994 E Maize Soil VWC'!$E$2:$E$4000=AN$5),'1994 E Maize Soil VWC'!$F$2:$F$4000)</f>
        <v>#N/A</v>
      </c>
    </row>
    <row r="205" spans="25:40" x14ac:dyDescent="0.25">
      <c r="AA205" s="19">
        <f t="shared" si="30"/>
        <v>34334</v>
      </c>
      <c r="AB205" s="4">
        <f t="shared" si="31"/>
        <v>90</v>
      </c>
      <c r="AC205" s="4" t="e" cm="1">
        <f t="array" ref="AC205">_xlfn.XLOOKUP(1,('1994 E Maize Soil VWC'!$C$2:$C$4000=$AA205)*('1994 E Maize Soil VWC'!$D$2:$D$4000=$AB205)*('1994 E Maize Soil VWC'!$E$2:$E$4000=AC$5),'1994 E Maize Soil VWC'!$F$2:$F$4000)</f>
        <v>#N/A</v>
      </c>
      <c r="AD205" s="4" t="e" cm="1">
        <f t="array" ref="AD205">_xlfn.XLOOKUP(1,('1994 E Maize Soil VWC'!$C$2:$C$4000=$AA205)*('1994 E Maize Soil VWC'!$D$2:$D$4000=$AB205)*('1994 E Maize Soil VWC'!$E$2:$E$4000=AD$5),'1994 E Maize Soil VWC'!$F$2:$F$4000)</f>
        <v>#N/A</v>
      </c>
      <c r="AE205" s="4" t="e" cm="1">
        <f t="array" ref="AE205">_xlfn.XLOOKUP(1,('1994 E Maize Soil VWC'!$C$2:$C$4000=$AA205)*('1994 E Maize Soil VWC'!$D$2:$D$4000=$AB205)*('1994 E Maize Soil VWC'!$E$2:$E$4000=AE$5),'1994 E Maize Soil VWC'!$F$2:$F$4000)</f>
        <v>#N/A</v>
      </c>
      <c r="AF205" s="4" t="e" cm="1">
        <f t="array" ref="AF205">_xlfn.XLOOKUP(1,('1994 E Maize Soil VWC'!$C$2:$C$4000=$AA205)*('1994 E Maize Soil VWC'!$D$2:$D$4000=$AB205)*('1994 E Maize Soil VWC'!$E$2:$E$4000=AF$5),'1994 E Maize Soil VWC'!$F$2:$F$4000)</f>
        <v>#N/A</v>
      </c>
      <c r="AG205" s="4" t="e" cm="1">
        <f t="array" ref="AG205">_xlfn.XLOOKUP(1,('1994 E Maize Soil VWC'!$C$2:$C$4000=$AA205)*('1994 E Maize Soil VWC'!$D$2:$D$4000=$AB205)*('1994 E Maize Soil VWC'!$E$2:$E$4000=AG$5),'1994 E Maize Soil VWC'!$F$2:$F$4000)</f>
        <v>#N/A</v>
      </c>
      <c r="AH205" s="4" t="e" cm="1">
        <f t="array" ref="AH205">_xlfn.XLOOKUP(1,('1994 E Maize Soil VWC'!$C$2:$C$4000=$AA205)*('1994 E Maize Soil VWC'!$D$2:$D$4000=$AB205)*('1994 E Maize Soil VWC'!$E$2:$E$4000=AH$5),'1994 E Maize Soil VWC'!$F$2:$F$4000)</f>
        <v>#N/A</v>
      </c>
      <c r="AI205" s="4" t="e" cm="1">
        <f t="array" ref="AI205">_xlfn.XLOOKUP(1,('1994 E Maize Soil VWC'!$C$2:$C$4000=$AA205)*('1994 E Maize Soil VWC'!$D$2:$D$4000=$AB205)*('1994 E Maize Soil VWC'!$E$2:$E$4000=AI$5),'1994 E Maize Soil VWC'!$F$2:$F$4000)</f>
        <v>#N/A</v>
      </c>
      <c r="AJ205" s="4" t="e" cm="1">
        <f t="array" ref="AJ205">_xlfn.XLOOKUP(1,('1994 E Maize Soil VWC'!$C$2:$C$4000=$AA205)*('1994 E Maize Soil VWC'!$D$2:$D$4000=$AB205)*('1994 E Maize Soil VWC'!$E$2:$E$4000=AJ$5),'1994 E Maize Soil VWC'!$F$2:$F$4000)</f>
        <v>#N/A</v>
      </c>
      <c r="AK205" s="4" t="e" cm="1">
        <f t="array" ref="AK205">_xlfn.XLOOKUP(1,('1994 E Maize Soil VWC'!$C$2:$C$4000=$AA205)*('1994 E Maize Soil VWC'!$D$2:$D$4000=$AB205)*('1994 E Maize Soil VWC'!$E$2:$E$4000=AK$5),'1994 E Maize Soil VWC'!$F$2:$F$4000)</f>
        <v>#N/A</v>
      </c>
      <c r="AL205" s="4" t="e" cm="1">
        <f t="array" ref="AL205">_xlfn.XLOOKUP(1,('1994 E Maize Soil VWC'!$C$2:$C$4000=$AA205)*('1994 E Maize Soil VWC'!$D$2:$D$4000=$AB205)*('1994 E Maize Soil VWC'!$E$2:$E$4000=AL$5),'1994 E Maize Soil VWC'!$F$2:$F$4000)</f>
        <v>#N/A</v>
      </c>
      <c r="AM205" s="4" t="e" cm="1">
        <f t="array" ref="AM205">_xlfn.XLOOKUP(1,('1994 E Maize Soil VWC'!$C$2:$C$4000=$AA205)*('1994 E Maize Soil VWC'!$D$2:$D$4000=$AB205)*('1994 E Maize Soil VWC'!$E$2:$E$4000=AM$5),'1994 E Maize Soil VWC'!$F$2:$F$4000)</f>
        <v>#N/A</v>
      </c>
      <c r="AN205" s="4" t="e" cm="1">
        <f t="array" ref="AN205">_xlfn.XLOOKUP(1,('1994 E Maize Soil VWC'!$C$2:$C$4000=$AA205)*('1994 E Maize Soil VWC'!$D$2:$D$4000=$AB205)*('1994 E Maize Soil VWC'!$E$2:$E$4000=AN$5),'1994 E Maize Soil VWC'!$F$2:$F$4000)</f>
        <v>#N/A</v>
      </c>
    </row>
    <row r="206" spans="25:40" x14ac:dyDescent="0.25">
      <c r="AA206" s="19">
        <f t="shared" si="30"/>
        <v>34334</v>
      </c>
      <c r="AB206" s="4">
        <f t="shared" si="31"/>
        <v>110</v>
      </c>
      <c r="AC206" s="4" t="e" cm="1">
        <f t="array" ref="AC206">_xlfn.XLOOKUP(1,('1994 E Maize Soil VWC'!$C$2:$C$4000=$AA206)*('1994 E Maize Soil VWC'!$D$2:$D$4000=$AB206)*('1994 E Maize Soil VWC'!$E$2:$E$4000=AC$5),'1994 E Maize Soil VWC'!$F$2:$F$4000)</f>
        <v>#N/A</v>
      </c>
      <c r="AD206" s="4" t="e" cm="1">
        <f t="array" ref="AD206">_xlfn.XLOOKUP(1,('1994 E Maize Soil VWC'!$C$2:$C$4000=$AA206)*('1994 E Maize Soil VWC'!$D$2:$D$4000=$AB206)*('1994 E Maize Soil VWC'!$E$2:$E$4000=AD$5),'1994 E Maize Soil VWC'!$F$2:$F$4000)</f>
        <v>#N/A</v>
      </c>
      <c r="AE206" s="4" t="e" cm="1">
        <f t="array" ref="AE206">_xlfn.XLOOKUP(1,('1994 E Maize Soil VWC'!$C$2:$C$4000=$AA206)*('1994 E Maize Soil VWC'!$D$2:$D$4000=$AB206)*('1994 E Maize Soil VWC'!$E$2:$E$4000=AE$5),'1994 E Maize Soil VWC'!$F$2:$F$4000)</f>
        <v>#N/A</v>
      </c>
      <c r="AF206" s="4" t="e" cm="1">
        <f t="array" ref="AF206">_xlfn.XLOOKUP(1,('1994 E Maize Soil VWC'!$C$2:$C$4000=$AA206)*('1994 E Maize Soil VWC'!$D$2:$D$4000=$AB206)*('1994 E Maize Soil VWC'!$E$2:$E$4000=AF$5),'1994 E Maize Soil VWC'!$F$2:$F$4000)</f>
        <v>#N/A</v>
      </c>
      <c r="AG206" s="4" t="e" cm="1">
        <f t="array" ref="AG206">_xlfn.XLOOKUP(1,('1994 E Maize Soil VWC'!$C$2:$C$4000=$AA206)*('1994 E Maize Soil VWC'!$D$2:$D$4000=$AB206)*('1994 E Maize Soil VWC'!$E$2:$E$4000=AG$5),'1994 E Maize Soil VWC'!$F$2:$F$4000)</f>
        <v>#N/A</v>
      </c>
      <c r="AH206" s="4" t="e" cm="1">
        <f t="array" ref="AH206">_xlfn.XLOOKUP(1,('1994 E Maize Soil VWC'!$C$2:$C$4000=$AA206)*('1994 E Maize Soil VWC'!$D$2:$D$4000=$AB206)*('1994 E Maize Soil VWC'!$E$2:$E$4000=AH$5),'1994 E Maize Soil VWC'!$F$2:$F$4000)</f>
        <v>#N/A</v>
      </c>
      <c r="AI206" s="4" t="e" cm="1">
        <f t="array" ref="AI206">_xlfn.XLOOKUP(1,('1994 E Maize Soil VWC'!$C$2:$C$4000=$AA206)*('1994 E Maize Soil VWC'!$D$2:$D$4000=$AB206)*('1994 E Maize Soil VWC'!$E$2:$E$4000=AI$5),'1994 E Maize Soil VWC'!$F$2:$F$4000)</f>
        <v>#N/A</v>
      </c>
      <c r="AJ206" s="4" t="e" cm="1">
        <f t="array" ref="AJ206">_xlfn.XLOOKUP(1,('1994 E Maize Soil VWC'!$C$2:$C$4000=$AA206)*('1994 E Maize Soil VWC'!$D$2:$D$4000=$AB206)*('1994 E Maize Soil VWC'!$E$2:$E$4000=AJ$5),'1994 E Maize Soil VWC'!$F$2:$F$4000)</f>
        <v>#N/A</v>
      </c>
      <c r="AK206" s="4" t="e" cm="1">
        <f t="array" ref="AK206">_xlfn.XLOOKUP(1,('1994 E Maize Soil VWC'!$C$2:$C$4000=$AA206)*('1994 E Maize Soil VWC'!$D$2:$D$4000=$AB206)*('1994 E Maize Soil VWC'!$E$2:$E$4000=AK$5),'1994 E Maize Soil VWC'!$F$2:$F$4000)</f>
        <v>#N/A</v>
      </c>
      <c r="AL206" s="4" t="e" cm="1">
        <f t="array" ref="AL206">_xlfn.XLOOKUP(1,('1994 E Maize Soil VWC'!$C$2:$C$4000=$AA206)*('1994 E Maize Soil VWC'!$D$2:$D$4000=$AB206)*('1994 E Maize Soil VWC'!$E$2:$E$4000=AL$5),'1994 E Maize Soil VWC'!$F$2:$F$4000)</f>
        <v>#N/A</v>
      </c>
      <c r="AM206" s="4" t="e" cm="1">
        <f t="array" ref="AM206">_xlfn.XLOOKUP(1,('1994 E Maize Soil VWC'!$C$2:$C$4000=$AA206)*('1994 E Maize Soil VWC'!$D$2:$D$4000=$AB206)*('1994 E Maize Soil VWC'!$E$2:$E$4000=AM$5),'1994 E Maize Soil VWC'!$F$2:$F$4000)</f>
        <v>#N/A</v>
      </c>
      <c r="AN206" s="4" t="e" cm="1">
        <f t="array" ref="AN206">_xlfn.XLOOKUP(1,('1994 E Maize Soil VWC'!$C$2:$C$4000=$AA206)*('1994 E Maize Soil VWC'!$D$2:$D$4000=$AB206)*('1994 E Maize Soil VWC'!$E$2:$E$4000=AN$5),'1994 E Maize Soil VWC'!$F$2:$F$4000)</f>
        <v>#N/A</v>
      </c>
    </row>
    <row r="207" spans="25:40" x14ac:dyDescent="0.25">
      <c r="AA207" s="19">
        <f t="shared" si="30"/>
        <v>34334</v>
      </c>
      <c r="AB207" s="4">
        <f t="shared" si="31"/>
        <v>130</v>
      </c>
      <c r="AC207" s="4" t="e" cm="1">
        <f t="array" ref="AC207">_xlfn.XLOOKUP(1,('1994 E Maize Soil VWC'!$C$2:$C$4000=$AA207)*('1994 E Maize Soil VWC'!$D$2:$D$4000=$AB207)*('1994 E Maize Soil VWC'!$E$2:$E$4000=AC$5),'1994 E Maize Soil VWC'!$F$2:$F$4000)</f>
        <v>#N/A</v>
      </c>
      <c r="AD207" s="4" t="e" cm="1">
        <f t="array" ref="AD207">_xlfn.XLOOKUP(1,('1994 E Maize Soil VWC'!$C$2:$C$4000=$AA207)*('1994 E Maize Soil VWC'!$D$2:$D$4000=$AB207)*('1994 E Maize Soil VWC'!$E$2:$E$4000=AD$5),'1994 E Maize Soil VWC'!$F$2:$F$4000)</f>
        <v>#N/A</v>
      </c>
      <c r="AE207" s="4" t="e" cm="1">
        <f t="array" ref="AE207">_xlfn.XLOOKUP(1,('1994 E Maize Soil VWC'!$C$2:$C$4000=$AA207)*('1994 E Maize Soil VWC'!$D$2:$D$4000=$AB207)*('1994 E Maize Soil VWC'!$E$2:$E$4000=AE$5),'1994 E Maize Soil VWC'!$F$2:$F$4000)</f>
        <v>#N/A</v>
      </c>
      <c r="AF207" s="4" t="e" cm="1">
        <f t="array" ref="AF207">_xlfn.XLOOKUP(1,('1994 E Maize Soil VWC'!$C$2:$C$4000=$AA207)*('1994 E Maize Soil VWC'!$D$2:$D$4000=$AB207)*('1994 E Maize Soil VWC'!$E$2:$E$4000=AF$5),'1994 E Maize Soil VWC'!$F$2:$F$4000)</f>
        <v>#N/A</v>
      </c>
      <c r="AG207" s="4" t="e" cm="1">
        <f t="array" ref="AG207">_xlfn.XLOOKUP(1,('1994 E Maize Soil VWC'!$C$2:$C$4000=$AA207)*('1994 E Maize Soil VWC'!$D$2:$D$4000=$AB207)*('1994 E Maize Soil VWC'!$E$2:$E$4000=AG$5),'1994 E Maize Soil VWC'!$F$2:$F$4000)</f>
        <v>#N/A</v>
      </c>
      <c r="AH207" s="4" t="e" cm="1">
        <f t="array" ref="AH207">_xlfn.XLOOKUP(1,('1994 E Maize Soil VWC'!$C$2:$C$4000=$AA207)*('1994 E Maize Soil VWC'!$D$2:$D$4000=$AB207)*('1994 E Maize Soil VWC'!$E$2:$E$4000=AH$5),'1994 E Maize Soil VWC'!$F$2:$F$4000)</f>
        <v>#N/A</v>
      </c>
      <c r="AI207" s="4" t="e" cm="1">
        <f t="array" ref="AI207">_xlfn.XLOOKUP(1,('1994 E Maize Soil VWC'!$C$2:$C$4000=$AA207)*('1994 E Maize Soil VWC'!$D$2:$D$4000=$AB207)*('1994 E Maize Soil VWC'!$E$2:$E$4000=AI$5),'1994 E Maize Soil VWC'!$F$2:$F$4000)</f>
        <v>#N/A</v>
      </c>
      <c r="AJ207" s="4" t="e" cm="1">
        <f t="array" ref="AJ207">_xlfn.XLOOKUP(1,('1994 E Maize Soil VWC'!$C$2:$C$4000=$AA207)*('1994 E Maize Soil VWC'!$D$2:$D$4000=$AB207)*('1994 E Maize Soil VWC'!$E$2:$E$4000=AJ$5),'1994 E Maize Soil VWC'!$F$2:$F$4000)</f>
        <v>#N/A</v>
      </c>
      <c r="AK207" s="4" t="e" cm="1">
        <f t="array" ref="AK207">_xlfn.XLOOKUP(1,('1994 E Maize Soil VWC'!$C$2:$C$4000=$AA207)*('1994 E Maize Soil VWC'!$D$2:$D$4000=$AB207)*('1994 E Maize Soil VWC'!$E$2:$E$4000=AK$5),'1994 E Maize Soil VWC'!$F$2:$F$4000)</f>
        <v>#N/A</v>
      </c>
      <c r="AL207" s="4" t="e" cm="1">
        <f t="array" ref="AL207">_xlfn.XLOOKUP(1,('1994 E Maize Soil VWC'!$C$2:$C$4000=$AA207)*('1994 E Maize Soil VWC'!$D$2:$D$4000=$AB207)*('1994 E Maize Soil VWC'!$E$2:$E$4000=AL$5),'1994 E Maize Soil VWC'!$F$2:$F$4000)</f>
        <v>#N/A</v>
      </c>
      <c r="AM207" s="4" t="e" cm="1">
        <f t="array" ref="AM207">_xlfn.XLOOKUP(1,('1994 E Maize Soil VWC'!$C$2:$C$4000=$AA207)*('1994 E Maize Soil VWC'!$D$2:$D$4000=$AB207)*('1994 E Maize Soil VWC'!$E$2:$E$4000=AM$5),'1994 E Maize Soil VWC'!$F$2:$F$4000)</f>
        <v>#N/A</v>
      </c>
      <c r="AN207" s="4" t="e" cm="1">
        <f t="array" ref="AN207">_xlfn.XLOOKUP(1,('1994 E Maize Soil VWC'!$C$2:$C$4000=$AA207)*('1994 E Maize Soil VWC'!$D$2:$D$4000=$AB207)*('1994 E Maize Soil VWC'!$E$2:$E$4000=AN$5),'1994 E Maize Soil VWC'!$F$2:$F$4000)</f>
        <v>#N/A</v>
      </c>
    </row>
    <row r="208" spans="25:40" x14ac:dyDescent="0.25">
      <c r="AA208" s="19">
        <f t="shared" si="30"/>
        <v>34334</v>
      </c>
      <c r="AB208" s="4">
        <f t="shared" si="31"/>
        <v>150</v>
      </c>
      <c r="AC208" s="4" t="e" cm="1">
        <f t="array" ref="AC208">_xlfn.XLOOKUP(1,('1994 E Maize Soil VWC'!$C$2:$C$4000=$AA208)*('1994 E Maize Soil VWC'!$D$2:$D$4000=$AB208)*('1994 E Maize Soil VWC'!$E$2:$E$4000=AC$5),'1994 E Maize Soil VWC'!$F$2:$F$4000)</f>
        <v>#N/A</v>
      </c>
      <c r="AD208" s="4" t="e" cm="1">
        <f t="array" ref="AD208">_xlfn.XLOOKUP(1,('1994 E Maize Soil VWC'!$C$2:$C$4000=$AA208)*('1994 E Maize Soil VWC'!$D$2:$D$4000=$AB208)*('1994 E Maize Soil VWC'!$E$2:$E$4000=AD$5),'1994 E Maize Soil VWC'!$F$2:$F$4000)</f>
        <v>#N/A</v>
      </c>
      <c r="AE208" s="4" t="e" cm="1">
        <f t="array" ref="AE208">_xlfn.XLOOKUP(1,('1994 E Maize Soil VWC'!$C$2:$C$4000=$AA208)*('1994 E Maize Soil VWC'!$D$2:$D$4000=$AB208)*('1994 E Maize Soil VWC'!$E$2:$E$4000=AE$5),'1994 E Maize Soil VWC'!$F$2:$F$4000)</f>
        <v>#N/A</v>
      </c>
      <c r="AF208" s="4" t="e" cm="1">
        <f t="array" ref="AF208">_xlfn.XLOOKUP(1,('1994 E Maize Soil VWC'!$C$2:$C$4000=$AA208)*('1994 E Maize Soil VWC'!$D$2:$D$4000=$AB208)*('1994 E Maize Soil VWC'!$E$2:$E$4000=AF$5),'1994 E Maize Soil VWC'!$F$2:$F$4000)</f>
        <v>#N/A</v>
      </c>
      <c r="AG208" s="4" t="e" cm="1">
        <f t="array" ref="AG208">_xlfn.XLOOKUP(1,('1994 E Maize Soil VWC'!$C$2:$C$4000=$AA208)*('1994 E Maize Soil VWC'!$D$2:$D$4000=$AB208)*('1994 E Maize Soil VWC'!$E$2:$E$4000=AG$5),'1994 E Maize Soil VWC'!$F$2:$F$4000)</f>
        <v>#N/A</v>
      </c>
      <c r="AH208" s="4" t="e" cm="1">
        <f t="array" ref="AH208">_xlfn.XLOOKUP(1,('1994 E Maize Soil VWC'!$C$2:$C$4000=$AA208)*('1994 E Maize Soil VWC'!$D$2:$D$4000=$AB208)*('1994 E Maize Soil VWC'!$E$2:$E$4000=AH$5),'1994 E Maize Soil VWC'!$F$2:$F$4000)</f>
        <v>#N/A</v>
      </c>
      <c r="AI208" s="4" t="e" cm="1">
        <f t="array" ref="AI208">_xlfn.XLOOKUP(1,('1994 E Maize Soil VWC'!$C$2:$C$4000=$AA208)*('1994 E Maize Soil VWC'!$D$2:$D$4000=$AB208)*('1994 E Maize Soil VWC'!$E$2:$E$4000=AI$5),'1994 E Maize Soil VWC'!$F$2:$F$4000)</f>
        <v>#N/A</v>
      </c>
      <c r="AJ208" s="4" t="e" cm="1">
        <f t="array" ref="AJ208">_xlfn.XLOOKUP(1,('1994 E Maize Soil VWC'!$C$2:$C$4000=$AA208)*('1994 E Maize Soil VWC'!$D$2:$D$4000=$AB208)*('1994 E Maize Soil VWC'!$E$2:$E$4000=AJ$5),'1994 E Maize Soil VWC'!$F$2:$F$4000)</f>
        <v>#N/A</v>
      </c>
      <c r="AK208" s="4" t="e" cm="1">
        <f t="array" ref="AK208">_xlfn.XLOOKUP(1,('1994 E Maize Soil VWC'!$C$2:$C$4000=$AA208)*('1994 E Maize Soil VWC'!$D$2:$D$4000=$AB208)*('1994 E Maize Soil VWC'!$E$2:$E$4000=AK$5),'1994 E Maize Soil VWC'!$F$2:$F$4000)</f>
        <v>#N/A</v>
      </c>
      <c r="AL208" s="4" t="e" cm="1">
        <f t="array" ref="AL208">_xlfn.XLOOKUP(1,('1994 E Maize Soil VWC'!$C$2:$C$4000=$AA208)*('1994 E Maize Soil VWC'!$D$2:$D$4000=$AB208)*('1994 E Maize Soil VWC'!$E$2:$E$4000=AL$5),'1994 E Maize Soil VWC'!$F$2:$F$4000)</f>
        <v>#N/A</v>
      </c>
      <c r="AM208" s="4" t="e" cm="1">
        <f t="array" ref="AM208">_xlfn.XLOOKUP(1,('1994 E Maize Soil VWC'!$C$2:$C$4000=$AA208)*('1994 E Maize Soil VWC'!$D$2:$D$4000=$AB208)*('1994 E Maize Soil VWC'!$E$2:$E$4000=AM$5),'1994 E Maize Soil VWC'!$F$2:$F$4000)</f>
        <v>#N/A</v>
      </c>
      <c r="AN208" s="4" t="e" cm="1">
        <f t="array" ref="AN208">_xlfn.XLOOKUP(1,('1994 E Maize Soil VWC'!$C$2:$C$4000=$AA208)*('1994 E Maize Soil VWC'!$D$2:$D$4000=$AB208)*('1994 E Maize Soil VWC'!$E$2:$E$4000=AN$5),'1994 E Maize Soil VWC'!$F$2:$F$4000)</f>
        <v>#N/A</v>
      </c>
    </row>
    <row r="209" spans="25:40" x14ac:dyDescent="0.25">
      <c r="AA209" s="19">
        <f t="shared" si="30"/>
        <v>34334</v>
      </c>
      <c r="AB209" s="4">
        <f t="shared" si="31"/>
        <v>170</v>
      </c>
      <c r="AC209" s="4" t="e" cm="1">
        <f t="array" ref="AC209">_xlfn.XLOOKUP(1,('1994 E Maize Soil VWC'!$C$2:$C$4000=$AA209)*('1994 E Maize Soil VWC'!$D$2:$D$4000=$AB209)*('1994 E Maize Soil VWC'!$E$2:$E$4000=AC$5),'1994 E Maize Soil VWC'!$F$2:$F$4000)</f>
        <v>#N/A</v>
      </c>
      <c r="AD209" s="4" t="e" cm="1">
        <f t="array" ref="AD209">_xlfn.XLOOKUP(1,('1994 E Maize Soil VWC'!$C$2:$C$4000=$AA209)*('1994 E Maize Soil VWC'!$D$2:$D$4000=$AB209)*('1994 E Maize Soil VWC'!$E$2:$E$4000=AD$5),'1994 E Maize Soil VWC'!$F$2:$F$4000)</f>
        <v>#N/A</v>
      </c>
      <c r="AE209" s="4" t="e" cm="1">
        <f t="array" ref="AE209">_xlfn.XLOOKUP(1,('1994 E Maize Soil VWC'!$C$2:$C$4000=$AA209)*('1994 E Maize Soil VWC'!$D$2:$D$4000=$AB209)*('1994 E Maize Soil VWC'!$E$2:$E$4000=AE$5),'1994 E Maize Soil VWC'!$F$2:$F$4000)</f>
        <v>#N/A</v>
      </c>
      <c r="AF209" s="4" t="e" cm="1">
        <f t="array" ref="AF209">_xlfn.XLOOKUP(1,('1994 E Maize Soil VWC'!$C$2:$C$4000=$AA209)*('1994 E Maize Soil VWC'!$D$2:$D$4000=$AB209)*('1994 E Maize Soil VWC'!$E$2:$E$4000=AF$5),'1994 E Maize Soil VWC'!$F$2:$F$4000)</f>
        <v>#N/A</v>
      </c>
      <c r="AG209" s="4" t="e" cm="1">
        <f t="array" ref="AG209">_xlfn.XLOOKUP(1,('1994 E Maize Soil VWC'!$C$2:$C$4000=$AA209)*('1994 E Maize Soil VWC'!$D$2:$D$4000=$AB209)*('1994 E Maize Soil VWC'!$E$2:$E$4000=AG$5),'1994 E Maize Soil VWC'!$F$2:$F$4000)</f>
        <v>#N/A</v>
      </c>
      <c r="AH209" s="4" t="e" cm="1">
        <f t="array" ref="AH209">_xlfn.XLOOKUP(1,('1994 E Maize Soil VWC'!$C$2:$C$4000=$AA209)*('1994 E Maize Soil VWC'!$D$2:$D$4000=$AB209)*('1994 E Maize Soil VWC'!$E$2:$E$4000=AH$5),'1994 E Maize Soil VWC'!$F$2:$F$4000)</f>
        <v>#N/A</v>
      </c>
      <c r="AI209" s="4" t="e" cm="1">
        <f t="array" ref="AI209">_xlfn.XLOOKUP(1,('1994 E Maize Soil VWC'!$C$2:$C$4000=$AA209)*('1994 E Maize Soil VWC'!$D$2:$D$4000=$AB209)*('1994 E Maize Soil VWC'!$E$2:$E$4000=AI$5),'1994 E Maize Soil VWC'!$F$2:$F$4000)</f>
        <v>#N/A</v>
      </c>
      <c r="AJ209" s="4" t="e" cm="1">
        <f t="array" ref="AJ209">_xlfn.XLOOKUP(1,('1994 E Maize Soil VWC'!$C$2:$C$4000=$AA209)*('1994 E Maize Soil VWC'!$D$2:$D$4000=$AB209)*('1994 E Maize Soil VWC'!$E$2:$E$4000=AJ$5),'1994 E Maize Soil VWC'!$F$2:$F$4000)</f>
        <v>#N/A</v>
      </c>
      <c r="AK209" s="4" t="e" cm="1">
        <f t="array" ref="AK209">_xlfn.XLOOKUP(1,('1994 E Maize Soil VWC'!$C$2:$C$4000=$AA209)*('1994 E Maize Soil VWC'!$D$2:$D$4000=$AB209)*('1994 E Maize Soil VWC'!$E$2:$E$4000=AK$5),'1994 E Maize Soil VWC'!$F$2:$F$4000)</f>
        <v>#N/A</v>
      </c>
      <c r="AL209" s="4" t="e" cm="1">
        <f t="array" ref="AL209">_xlfn.XLOOKUP(1,('1994 E Maize Soil VWC'!$C$2:$C$4000=$AA209)*('1994 E Maize Soil VWC'!$D$2:$D$4000=$AB209)*('1994 E Maize Soil VWC'!$E$2:$E$4000=AL$5),'1994 E Maize Soil VWC'!$F$2:$F$4000)</f>
        <v>#N/A</v>
      </c>
      <c r="AM209" s="4" t="e" cm="1">
        <f t="array" ref="AM209">_xlfn.XLOOKUP(1,('1994 E Maize Soil VWC'!$C$2:$C$4000=$AA209)*('1994 E Maize Soil VWC'!$D$2:$D$4000=$AB209)*('1994 E Maize Soil VWC'!$E$2:$E$4000=AM$5),'1994 E Maize Soil VWC'!$F$2:$F$4000)</f>
        <v>#N/A</v>
      </c>
      <c r="AN209" s="4" t="e" cm="1">
        <f t="array" ref="AN209">_xlfn.XLOOKUP(1,('1994 E Maize Soil VWC'!$C$2:$C$4000=$AA209)*('1994 E Maize Soil VWC'!$D$2:$D$4000=$AB209)*('1994 E Maize Soil VWC'!$E$2:$E$4000=AN$5),'1994 E Maize Soil VWC'!$F$2:$F$4000)</f>
        <v>#N/A</v>
      </c>
    </row>
    <row r="210" spans="25:40" x14ac:dyDescent="0.25">
      <c r="AA210" s="19">
        <f t="shared" si="30"/>
        <v>34334</v>
      </c>
      <c r="AB210" s="4">
        <f t="shared" si="31"/>
        <v>190</v>
      </c>
      <c r="AC210" s="4" t="e" cm="1">
        <f t="array" ref="AC210">_xlfn.XLOOKUP(1,('1994 E Maize Soil VWC'!$C$2:$C$4000=$AA210)*('1994 E Maize Soil VWC'!$D$2:$D$4000=$AB210)*('1994 E Maize Soil VWC'!$E$2:$E$4000=AC$5),'1994 E Maize Soil VWC'!$F$2:$F$4000)</f>
        <v>#N/A</v>
      </c>
      <c r="AD210" s="4" t="e" cm="1">
        <f t="array" ref="AD210">_xlfn.XLOOKUP(1,('1994 E Maize Soil VWC'!$C$2:$C$4000=$AA210)*('1994 E Maize Soil VWC'!$D$2:$D$4000=$AB210)*('1994 E Maize Soil VWC'!$E$2:$E$4000=AD$5),'1994 E Maize Soil VWC'!$F$2:$F$4000)</f>
        <v>#N/A</v>
      </c>
      <c r="AE210" s="4" t="e" cm="1">
        <f t="array" ref="AE210">_xlfn.XLOOKUP(1,('1994 E Maize Soil VWC'!$C$2:$C$4000=$AA210)*('1994 E Maize Soil VWC'!$D$2:$D$4000=$AB210)*('1994 E Maize Soil VWC'!$E$2:$E$4000=AE$5),'1994 E Maize Soil VWC'!$F$2:$F$4000)</f>
        <v>#N/A</v>
      </c>
      <c r="AF210" s="4" t="e" cm="1">
        <f t="array" ref="AF210">_xlfn.XLOOKUP(1,('1994 E Maize Soil VWC'!$C$2:$C$4000=$AA210)*('1994 E Maize Soil VWC'!$D$2:$D$4000=$AB210)*('1994 E Maize Soil VWC'!$E$2:$E$4000=AF$5),'1994 E Maize Soil VWC'!$F$2:$F$4000)</f>
        <v>#N/A</v>
      </c>
      <c r="AG210" s="4" t="e" cm="1">
        <f t="array" ref="AG210">_xlfn.XLOOKUP(1,('1994 E Maize Soil VWC'!$C$2:$C$4000=$AA210)*('1994 E Maize Soil VWC'!$D$2:$D$4000=$AB210)*('1994 E Maize Soil VWC'!$E$2:$E$4000=AG$5),'1994 E Maize Soil VWC'!$F$2:$F$4000)</f>
        <v>#N/A</v>
      </c>
      <c r="AH210" s="4" t="e" cm="1">
        <f t="array" ref="AH210">_xlfn.XLOOKUP(1,('1994 E Maize Soil VWC'!$C$2:$C$4000=$AA210)*('1994 E Maize Soil VWC'!$D$2:$D$4000=$AB210)*('1994 E Maize Soil VWC'!$E$2:$E$4000=AH$5),'1994 E Maize Soil VWC'!$F$2:$F$4000)</f>
        <v>#N/A</v>
      </c>
      <c r="AI210" s="4" t="e" cm="1">
        <f t="array" ref="AI210">_xlfn.XLOOKUP(1,('1994 E Maize Soil VWC'!$C$2:$C$4000=$AA210)*('1994 E Maize Soil VWC'!$D$2:$D$4000=$AB210)*('1994 E Maize Soil VWC'!$E$2:$E$4000=AI$5),'1994 E Maize Soil VWC'!$F$2:$F$4000)</f>
        <v>#N/A</v>
      </c>
      <c r="AJ210" s="4" t="e" cm="1">
        <f t="array" ref="AJ210">_xlfn.XLOOKUP(1,('1994 E Maize Soil VWC'!$C$2:$C$4000=$AA210)*('1994 E Maize Soil VWC'!$D$2:$D$4000=$AB210)*('1994 E Maize Soil VWC'!$E$2:$E$4000=AJ$5),'1994 E Maize Soil VWC'!$F$2:$F$4000)</f>
        <v>#N/A</v>
      </c>
      <c r="AK210" s="4" t="e" cm="1">
        <f t="array" ref="AK210">_xlfn.XLOOKUP(1,('1994 E Maize Soil VWC'!$C$2:$C$4000=$AA210)*('1994 E Maize Soil VWC'!$D$2:$D$4000=$AB210)*('1994 E Maize Soil VWC'!$E$2:$E$4000=AK$5),'1994 E Maize Soil VWC'!$F$2:$F$4000)</f>
        <v>#N/A</v>
      </c>
      <c r="AL210" s="4" t="e" cm="1">
        <f t="array" ref="AL210">_xlfn.XLOOKUP(1,('1994 E Maize Soil VWC'!$C$2:$C$4000=$AA210)*('1994 E Maize Soil VWC'!$D$2:$D$4000=$AB210)*('1994 E Maize Soil VWC'!$E$2:$E$4000=AL$5),'1994 E Maize Soil VWC'!$F$2:$F$4000)</f>
        <v>#N/A</v>
      </c>
      <c r="AM210" s="4" t="e" cm="1">
        <f t="array" ref="AM210">_xlfn.XLOOKUP(1,('1994 E Maize Soil VWC'!$C$2:$C$4000=$AA210)*('1994 E Maize Soil VWC'!$D$2:$D$4000=$AB210)*('1994 E Maize Soil VWC'!$E$2:$E$4000=AM$5),'1994 E Maize Soil VWC'!$F$2:$F$4000)</f>
        <v>#N/A</v>
      </c>
      <c r="AN210" s="4" t="e" cm="1">
        <f t="array" ref="AN210">_xlfn.XLOOKUP(1,('1994 E Maize Soil VWC'!$C$2:$C$4000=$AA210)*('1994 E Maize Soil VWC'!$D$2:$D$4000=$AB210)*('1994 E Maize Soil VWC'!$E$2:$E$4000=AN$5),'1994 E Maize Soil VWC'!$F$2:$F$4000)</f>
        <v>#N/A</v>
      </c>
    </row>
    <row r="211" spans="25:40" x14ac:dyDescent="0.25">
      <c r="AA211" s="19">
        <f t="shared" si="30"/>
        <v>34334</v>
      </c>
      <c r="AB211" s="4">
        <f t="shared" si="31"/>
        <v>210</v>
      </c>
      <c r="AC211" s="4" t="e" cm="1">
        <f t="array" ref="AC211">_xlfn.XLOOKUP(1,('1994 E Maize Soil VWC'!$C$2:$C$4000=$AA211)*('1994 E Maize Soil VWC'!$D$2:$D$4000=$AB211)*('1994 E Maize Soil VWC'!$E$2:$E$4000=AC$5),'1994 E Maize Soil VWC'!$F$2:$F$4000)</f>
        <v>#N/A</v>
      </c>
      <c r="AD211" s="4" t="e" cm="1">
        <f t="array" ref="AD211">_xlfn.XLOOKUP(1,('1994 E Maize Soil VWC'!$C$2:$C$4000=$AA211)*('1994 E Maize Soil VWC'!$D$2:$D$4000=$AB211)*('1994 E Maize Soil VWC'!$E$2:$E$4000=AD$5),'1994 E Maize Soil VWC'!$F$2:$F$4000)</f>
        <v>#N/A</v>
      </c>
      <c r="AE211" s="4" t="e" cm="1">
        <f t="array" ref="AE211">_xlfn.XLOOKUP(1,('1994 E Maize Soil VWC'!$C$2:$C$4000=$AA211)*('1994 E Maize Soil VWC'!$D$2:$D$4000=$AB211)*('1994 E Maize Soil VWC'!$E$2:$E$4000=AE$5),'1994 E Maize Soil VWC'!$F$2:$F$4000)</f>
        <v>#N/A</v>
      </c>
      <c r="AF211" s="4" t="e" cm="1">
        <f t="array" ref="AF211">_xlfn.XLOOKUP(1,('1994 E Maize Soil VWC'!$C$2:$C$4000=$AA211)*('1994 E Maize Soil VWC'!$D$2:$D$4000=$AB211)*('1994 E Maize Soil VWC'!$E$2:$E$4000=AF$5),'1994 E Maize Soil VWC'!$F$2:$F$4000)</f>
        <v>#N/A</v>
      </c>
      <c r="AG211" s="4" t="e" cm="1">
        <f t="array" ref="AG211">_xlfn.XLOOKUP(1,('1994 E Maize Soil VWC'!$C$2:$C$4000=$AA211)*('1994 E Maize Soil VWC'!$D$2:$D$4000=$AB211)*('1994 E Maize Soil VWC'!$E$2:$E$4000=AG$5),'1994 E Maize Soil VWC'!$F$2:$F$4000)</f>
        <v>#N/A</v>
      </c>
      <c r="AH211" s="4" t="e" cm="1">
        <f t="array" ref="AH211">_xlfn.XLOOKUP(1,('1994 E Maize Soil VWC'!$C$2:$C$4000=$AA211)*('1994 E Maize Soil VWC'!$D$2:$D$4000=$AB211)*('1994 E Maize Soil VWC'!$E$2:$E$4000=AH$5),'1994 E Maize Soil VWC'!$F$2:$F$4000)</f>
        <v>#N/A</v>
      </c>
      <c r="AI211" s="4" t="e" cm="1">
        <f t="array" ref="AI211">_xlfn.XLOOKUP(1,('1994 E Maize Soil VWC'!$C$2:$C$4000=$AA211)*('1994 E Maize Soil VWC'!$D$2:$D$4000=$AB211)*('1994 E Maize Soil VWC'!$E$2:$E$4000=AI$5),'1994 E Maize Soil VWC'!$F$2:$F$4000)</f>
        <v>#N/A</v>
      </c>
      <c r="AJ211" s="4" t="e" cm="1">
        <f t="array" ref="AJ211">_xlfn.XLOOKUP(1,('1994 E Maize Soil VWC'!$C$2:$C$4000=$AA211)*('1994 E Maize Soil VWC'!$D$2:$D$4000=$AB211)*('1994 E Maize Soil VWC'!$E$2:$E$4000=AJ$5),'1994 E Maize Soil VWC'!$F$2:$F$4000)</f>
        <v>#N/A</v>
      </c>
      <c r="AK211" s="4" t="e" cm="1">
        <f t="array" ref="AK211">_xlfn.XLOOKUP(1,('1994 E Maize Soil VWC'!$C$2:$C$4000=$AA211)*('1994 E Maize Soil VWC'!$D$2:$D$4000=$AB211)*('1994 E Maize Soil VWC'!$E$2:$E$4000=AK$5),'1994 E Maize Soil VWC'!$F$2:$F$4000)</f>
        <v>#N/A</v>
      </c>
      <c r="AL211" s="4" t="e" cm="1">
        <f t="array" ref="AL211">_xlfn.XLOOKUP(1,('1994 E Maize Soil VWC'!$C$2:$C$4000=$AA211)*('1994 E Maize Soil VWC'!$D$2:$D$4000=$AB211)*('1994 E Maize Soil VWC'!$E$2:$E$4000=AL$5),'1994 E Maize Soil VWC'!$F$2:$F$4000)</f>
        <v>#N/A</v>
      </c>
      <c r="AM211" s="4" t="e" cm="1">
        <f t="array" ref="AM211">_xlfn.XLOOKUP(1,('1994 E Maize Soil VWC'!$C$2:$C$4000=$AA211)*('1994 E Maize Soil VWC'!$D$2:$D$4000=$AB211)*('1994 E Maize Soil VWC'!$E$2:$E$4000=AM$5),'1994 E Maize Soil VWC'!$F$2:$F$4000)</f>
        <v>#N/A</v>
      </c>
      <c r="AN211" s="4" t="e" cm="1">
        <f t="array" ref="AN211">_xlfn.XLOOKUP(1,('1994 E Maize Soil VWC'!$C$2:$C$4000=$AA211)*('1994 E Maize Soil VWC'!$D$2:$D$4000=$AB211)*('1994 E Maize Soil VWC'!$E$2:$E$4000=AN$5),'1994 E Maize Soil VWC'!$F$2:$F$4000)</f>
        <v>#N/A</v>
      </c>
    </row>
    <row r="212" spans="25:40" x14ac:dyDescent="0.25">
      <c r="AA212" s="19">
        <f t="shared" si="30"/>
        <v>34334</v>
      </c>
      <c r="AB212" s="4">
        <f t="shared" si="31"/>
        <v>230</v>
      </c>
      <c r="AC212" s="4" t="e" cm="1">
        <f t="array" ref="AC212">_xlfn.XLOOKUP(1,('1994 E Maize Soil VWC'!$C$2:$C$4000=$AA212)*('1994 E Maize Soil VWC'!$D$2:$D$4000=$AB212)*('1994 E Maize Soil VWC'!$E$2:$E$4000=AC$5),'1994 E Maize Soil VWC'!$F$2:$F$4000)</f>
        <v>#N/A</v>
      </c>
      <c r="AD212" s="4" t="e" cm="1">
        <f t="array" ref="AD212">_xlfn.XLOOKUP(1,('1994 E Maize Soil VWC'!$C$2:$C$4000=$AA212)*('1994 E Maize Soil VWC'!$D$2:$D$4000=$AB212)*('1994 E Maize Soil VWC'!$E$2:$E$4000=AD$5),'1994 E Maize Soil VWC'!$F$2:$F$4000)</f>
        <v>#N/A</v>
      </c>
      <c r="AE212" s="4" t="e" cm="1">
        <f t="array" ref="AE212">_xlfn.XLOOKUP(1,('1994 E Maize Soil VWC'!$C$2:$C$4000=$AA212)*('1994 E Maize Soil VWC'!$D$2:$D$4000=$AB212)*('1994 E Maize Soil VWC'!$E$2:$E$4000=AE$5),'1994 E Maize Soil VWC'!$F$2:$F$4000)</f>
        <v>#N/A</v>
      </c>
      <c r="AF212" s="4" t="e" cm="1">
        <f t="array" ref="AF212">_xlfn.XLOOKUP(1,('1994 E Maize Soil VWC'!$C$2:$C$4000=$AA212)*('1994 E Maize Soil VWC'!$D$2:$D$4000=$AB212)*('1994 E Maize Soil VWC'!$E$2:$E$4000=AF$5),'1994 E Maize Soil VWC'!$F$2:$F$4000)</f>
        <v>#N/A</v>
      </c>
      <c r="AG212" s="4" t="e" cm="1">
        <f t="array" ref="AG212">_xlfn.XLOOKUP(1,('1994 E Maize Soil VWC'!$C$2:$C$4000=$AA212)*('1994 E Maize Soil VWC'!$D$2:$D$4000=$AB212)*('1994 E Maize Soil VWC'!$E$2:$E$4000=AG$5),'1994 E Maize Soil VWC'!$F$2:$F$4000)</f>
        <v>#N/A</v>
      </c>
      <c r="AH212" s="4" t="e" cm="1">
        <f t="array" ref="AH212">_xlfn.XLOOKUP(1,('1994 E Maize Soil VWC'!$C$2:$C$4000=$AA212)*('1994 E Maize Soil VWC'!$D$2:$D$4000=$AB212)*('1994 E Maize Soil VWC'!$E$2:$E$4000=AH$5),'1994 E Maize Soil VWC'!$F$2:$F$4000)</f>
        <v>#N/A</v>
      </c>
      <c r="AI212" s="4" t="e" cm="1">
        <f t="array" ref="AI212">_xlfn.XLOOKUP(1,('1994 E Maize Soil VWC'!$C$2:$C$4000=$AA212)*('1994 E Maize Soil VWC'!$D$2:$D$4000=$AB212)*('1994 E Maize Soil VWC'!$E$2:$E$4000=AI$5),'1994 E Maize Soil VWC'!$F$2:$F$4000)</f>
        <v>#N/A</v>
      </c>
      <c r="AJ212" s="4" t="e" cm="1">
        <f t="array" ref="AJ212">_xlfn.XLOOKUP(1,('1994 E Maize Soil VWC'!$C$2:$C$4000=$AA212)*('1994 E Maize Soil VWC'!$D$2:$D$4000=$AB212)*('1994 E Maize Soil VWC'!$E$2:$E$4000=AJ$5),'1994 E Maize Soil VWC'!$F$2:$F$4000)</f>
        <v>#N/A</v>
      </c>
      <c r="AK212" s="4" t="e" cm="1">
        <f t="array" ref="AK212">_xlfn.XLOOKUP(1,('1994 E Maize Soil VWC'!$C$2:$C$4000=$AA212)*('1994 E Maize Soil VWC'!$D$2:$D$4000=$AB212)*('1994 E Maize Soil VWC'!$E$2:$E$4000=AK$5),'1994 E Maize Soil VWC'!$F$2:$F$4000)</f>
        <v>#N/A</v>
      </c>
      <c r="AL212" s="4" t="e" cm="1">
        <f t="array" ref="AL212">_xlfn.XLOOKUP(1,('1994 E Maize Soil VWC'!$C$2:$C$4000=$AA212)*('1994 E Maize Soil VWC'!$D$2:$D$4000=$AB212)*('1994 E Maize Soil VWC'!$E$2:$E$4000=AL$5),'1994 E Maize Soil VWC'!$F$2:$F$4000)</f>
        <v>#N/A</v>
      </c>
      <c r="AM212" s="4" t="e" cm="1">
        <f t="array" ref="AM212">_xlfn.XLOOKUP(1,('1994 E Maize Soil VWC'!$C$2:$C$4000=$AA212)*('1994 E Maize Soil VWC'!$D$2:$D$4000=$AB212)*('1994 E Maize Soil VWC'!$E$2:$E$4000=AM$5),'1994 E Maize Soil VWC'!$F$2:$F$4000)</f>
        <v>#N/A</v>
      </c>
      <c r="AN212" s="4" t="e" cm="1">
        <f t="array" ref="AN212">_xlfn.XLOOKUP(1,('1994 E Maize Soil VWC'!$C$2:$C$4000=$AA212)*('1994 E Maize Soil VWC'!$D$2:$D$4000=$AB212)*('1994 E Maize Soil VWC'!$E$2:$E$4000=AN$5),'1994 E Maize Soil VWC'!$F$2:$F$4000)</f>
        <v>#N/A</v>
      </c>
    </row>
    <row r="214" spans="25:40" x14ac:dyDescent="0.25">
      <c r="Y214" s="4">
        <f>Y201</f>
        <v>1994</v>
      </c>
      <c r="Z214" s="4">
        <v>0</v>
      </c>
      <c r="AA214" s="19">
        <f>DATE(Y214,1,Z214)</f>
        <v>34334</v>
      </c>
      <c r="AB214" s="4">
        <v>10</v>
      </c>
      <c r="AC214" s="4" t="e" cm="1">
        <f t="array" ref="AC214">_xlfn.XLOOKUP(1,('1994 E Maize Soil VWC'!$C$2:$C$5000=$AA214)*('1994 E Maize Soil VWC'!$D$2:$D$5000=$AB214)*('1994 E Maize Soil VWC'!$E$2:$E$5000=AC$5),'1994 E Maize Soil VWC'!$F$2:$F$5000)</f>
        <v>#N/A</v>
      </c>
      <c r="AD214" s="4" t="e" cm="1">
        <f t="array" ref="AD214">_xlfn.XLOOKUP(1,('1994 E Maize Soil VWC'!$C$2:$C$5000=$AA214)*('1994 E Maize Soil VWC'!$D$2:$D$5000=$AB214)*('1994 E Maize Soil VWC'!$E$2:$E$5000=AD$5),'1994 E Maize Soil VWC'!$F$2:$F$5000)</f>
        <v>#N/A</v>
      </c>
      <c r="AE214" s="4" t="e" cm="1">
        <f t="array" ref="AE214">_xlfn.XLOOKUP(1,('1994 E Maize Soil VWC'!$C$2:$C$5000=$AA214)*('1994 E Maize Soil VWC'!$D$2:$D$5000=$AB214)*('1994 E Maize Soil VWC'!$E$2:$E$5000=AE$5),'1994 E Maize Soil VWC'!$F$2:$F$5000)</f>
        <v>#N/A</v>
      </c>
      <c r="AF214" s="4" t="e" cm="1">
        <f t="array" ref="AF214">_xlfn.XLOOKUP(1,('1994 E Maize Soil VWC'!$C$2:$C$5000=$AA214)*('1994 E Maize Soil VWC'!$D$2:$D$5000=$AB214)*('1994 E Maize Soil VWC'!$E$2:$E$5000=AF$5),'1994 E Maize Soil VWC'!$F$2:$F$5000)</f>
        <v>#N/A</v>
      </c>
      <c r="AG214" s="4" t="e" cm="1">
        <f t="array" ref="AG214">_xlfn.XLOOKUP(1,('1994 E Maize Soil VWC'!$C$2:$C$5000=$AA214)*('1994 E Maize Soil VWC'!$D$2:$D$5000=$AB214)*('1994 E Maize Soil VWC'!$E$2:$E$5000=AG$5),'1994 E Maize Soil VWC'!$F$2:$F$5000)</f>
        <v>#N/A</v>
      </c>
      <c r="AH214" s="4" t="e" cm="1">
        <f t="array" ref="AH214">_xlfn.XLOOKUP(1,('1994 E Maize Soil VWC'!$C$2:$C$5000=$AA214)*('1994 E Maize Soil VWC'!$D$2:$D$5000=$AB214)*('1994 E Maize Soil VWC'!$E$2:$E$5000=AH$5),'1994 E Maize Soil VWC'!$F$2:$F$5000)</f>
        <v>#N/A</v>
      </c>
      <c r="AI214" s="4" t="e" cm="1">
        <f t="array" ref="AI214">_xlfn.XLOOKUP(1,('1994 E Maize Soil VWC'!$C$2:$C$5000=$AA214)*('1994 E Maize Soil VWC'!$D$2:$D$5000=$AB214)*('1994 E Maize Soil VWC'!$E$2:$E$5000=AI$5),'1994 E Maize Soil VWC'!$F$2:$F$5000)</f>
        <v>#N/A</v>
      </c>
      <c r="AJ214" s="4" t="e" cm="1">
        <f t="array" ref="AJ214">_xlfn.XLOOKUP(1,('1994 E Maize Soil VWC'!$C$2:$C$5000=$AA214)*('1994 E Maize Soil VWC'!$D$2:$D$5000=$AB214)*('1994 E Maize Soil VWC'!$E$2:$E$5000=AJ$5),'1994 E Maize Soil VWC'!$F$2:$F$5000)</f>
        <v>#N/A</v>
      </c>
      <c r="AK214" s="4" t="e" cm="1">
        <f t="array" ref="AK214">_xlfn.XLOOKUP(1,('1994 E Maize Soil VWC'!$C$2:$C$5000=$AA214)*('1994 E Maize Soil VWC'!$D$2:$D$5000=$AB214)*('1994 E Maize Soil VWC'!$E$2:$E$5000=AK$5),'1994 E Maize Soil VWC'!$F$2:$F$5000)</f>
        <v>#N/A</v>
      </c>
      <c r="AL214" s="4" t="e" cm="1">
        <f t="array" ref="AL214">_xlfn.XLOOKUP(1,('1994 E Maize Soil VWC'!$C$2:$C$5000=$AA214)*('1994 E Maize Soil VWC'!$D$2:$D$5000=$AB214)*('1994 E Maize Soil VWC'!$E$2:$E$5000=AL$5),'1994 E Maize Soil VWC'!$F$2:$F$5000)</f>
        <v>#N/A</v>
      </c>
      <c r="AM214" s="4" t="e" cm="1">
        <f t="array" ref="AM214">_xlfn.XLOOKUP(1,('1994 E Maize Soil VWC'!$C$2:$C$5000=$AA214)*('1994 E Maize Soil VWC'!$D$2:$D$5000=$AB214)*('1994 E Maize Soil VWC'!$E$2:$E$5000=AM$5),'1994 E Maize Soil VWC'!$F$2:$F$5000)</f>
        <v>#N/A</v>
      </c>
      <c r="AN214" s="4" t="e" cm="1">
        <f t="array" ref="AN214">_xlfn.XLOOKUP(1,('1994 E Maize Soil VWC'!$C$2:$C$5000=$AA214)*('1994 E Maize Soil VWC'!$D$2:$D$5000=$AB214)*('1994 E Maize Soil VWC'!$E$2:$E$5000=AN$5),'1994 E Maize Soil VWC'!$F$2:$F$5000)</f>
        <v>#N/A</v>
      </c>
    </row>
    <row r="215" spans="25:40" x14ac:dyDescent="0.25">
      <c r="AA215" s="19">
        <f t="shared" ref="AA215:AA225" si="32">AA214</f>
        <v>34334</v>
      </c>
      <c r="AB215" s="4">
        <f t="shared" ref="AB215:AB225" si="33">AB214+20</f>
        <v>30</v>
      </c>
      <c r="AC215" s="4" t="e" cm="1">
        <f t="array" ref="AC215">_xlfn.XLOOKUP(1,('1994 E Maize Soil VWC'!$C$2:$C$5000=$AA215)*('1994 E Maize Soil VWC'!$D$2:$D$5000=$AB215)*('1994 E Maize Soil VWC'!$E$2:$E$5000=AC$5),'1994 E Maize Soil VWC'!$F$2:$F$5000)</f>
        <v>#N/A</v>
      </c>
      <c r="AD215" s="4" t="e" cm="1">
        <f t="array" ref="AD215">_xlfn.XLOOKUP(1,('1994 E Maize Soil VWC'!$C$2:$C$5000=$AA215)*('1994 E Maize Soil VWC'!$D$2:$D$5000=$AB215)*('1994 E Maize Soil VWC'!$E$2:$E$5000=AD$5),'1994 E Maize Soil VWC'!$F$2:$F$5000)</f>
        <v>#N/A</v>
      </c>
      <c r="AE215" s="4" t="e" cm="1">
        <f t="array" ref="AE215">_xlfn.XLOOKUP(1,('1994 E Maize Soil VWC'!$C$2:$C$5000=$AA215)*('1994 E Maize Soil VWC'!$D$2:$D$5000=$AB215)*('1994 E Maize Soil VWC'!$E$2:$E$5000=AE$5),'1994 E Maize Soil VWC'!$F$2:$F$5000)</f>
        <v>#N/A</v>
      </c>
      <c r="AF215" s="4" t="e" cm="1">
        <f t="array" ref="AF215">_xlfn.XLOOKUP(1,('1994 E Maize Soil VWC'!$C$2:$C$5000=$AA215)*('1994 E Maize Soil VWC'!$D$2:$D$5000=$AB215)*('1994 E Maize Soil VWC'!$E$2:$E$5000=AF$5),'1994 E Maize Soil VWC'!$F$2:$F$5000)</f>
        <v>#N/A</v>
      </c>
      <c r="AG215" s="4" t="e" cm="1">
        <f t="array" ref="AG215">_xlfn.XLOOKUP(1,('1994 E Maize Soil VWC'!$C$2:$C$5000=$AA215)*('1994 E Maize Soil VWC'!$D$2:$D$5000=$AB215)*('1994 E Maize Soil VWC'!$E$2:$E$5000=AG$5),'1994 E Maize Soil VWC'!$F$2:$F$5000)</f>
        <v>#N/A</v>
      </c>
      <c r="AH215" s="4" t="e" cm="1">
        <f t="array" ref="AH215">_xlfn.XLOOKUP(1,('1994 E Maize Soil VWC'!$C$2:$C$5000=$AA215)*('1994 E Maize Soil VWC'!$D$2:$D$5000=$AB215)*('1994 E Maize Soil VWC'!$E$2:$E$5000=AH$5),'1994 E Maize Soil VWC'!$F$2:$F$5000)</f>
        <v>#N/A</v>
      </c>
      <c r="AI215" s="4" t="e" cm="1">
        <f t="array" ref="AI215">_xlfn.XLOOKUP(1,('1994 E Maize Soil VWC'!$C$2:$C$5000=$AA215)*('1994 E Maize Soil VWC'!$D$2:$D$5000=$AB215)*('1994 E Maize Soil VWC'!$E$2:$E$5000=AI$5),'1994 E Maize Soil VWC'!$F$2:$F$5000)</f>
        <v>#N/A</v>
      </c>
      <c r="AJ215" s="4" t="e" cm="1">
        <f t="array" ref="AJ215">_xlfn.XLOOKUP(1,('1994 E Maize Soil VWC'!$C$2:$C$5000=$AA215)*('1994 E Maize Soil VWC'!$D$2:$D$5000=$AB215)*('1994 E Maize Soil VWC'!$E$2:$E$5000=AJ$5),'1994 E Maize Soil VWC'!$F$2:$F$5000)</f>
        <v>#N/A</v>
      </c>
      <c r="AK215" s="4" t="e" cm="1">
        <f t="array" ref="AK215">_xlfn.XLOOKUP(1,('1994 E Maize Soil VWC'!$C$2:$C$5000=$AA215)*('1994 E Maize Soil VWC'!$D$2:$D$5000=$AB215)*('1994 E Maize Soil VWC'!$E$2:$E$5000=AK$5),'1994 E Maize Soil VWC'!$F$2:$F$5000)</f>
        <v>#N/A</v>
      </c>
      <c r="AL215" s="4" t="e" cm="1">
        <f t="array" ref="AL215">_xlfn.XLOOKUP(1,('1994 E Maize Soil VWC'!$C$2:$C$5000=$AA215)*('1994 E Maize Soil VWC'!$D$2:$D$5000=$AB215)*('1994 E Maize Soil VWC'!$E$2:$E$5000=AL$5),'1994 E Maize Soil VWC'!$F$2:$F$5000)</f>
        <v>#N/A</v>
      </c>
      <c r="AM215" s="4" t="e" cm="1">
        <f t="array" ref="AM215">_xlfn.XLOOKUP(1,('1994 E Maize Soil VWC'!$C$2:$C$5000=$AA215)*('1994 E Maize Soil VWC'!$D$2:$D$5000=$AB215)*('1994 E Maize Soil VWC'!$E$2:$E$5000=AM$5),'1994 E Maize Soil VWC'!$F$2:$F$5000)</f>
        <v>#N/A</v>
      </c>
      <c r="AN215" s="4" t="e" cm="1">
        <f t="array" ref="AN215">_xlfn.XLOOKUP(1,('1994 E Maize Soil VWC'!$C$2:$C$5000=$AA215)*('1994 E Maize Soil VWC'!$D$2:$D$5000=$AB215)*('1994 E Maize Soil VWC'!$E$2:$E$5000=AN$5),'1994 E Maize Soil VWC'!$F$2:$F$5000)</f>
        <v>#N/A</v>
      </c>
    </row>
    <row r="216" spans="25:40" x14ac:dyDescent="0.25">
      <c r="AA216" s="19">
        <f t="shared" si="32"/>
        <v>34334</v>
      </c>
      <c r="AB216" s="4">
        <f t="shared" si="33"/>
        <v>50</v>
      </c>
      <c r="AC216" s="4" t="e" cm="1">
        <f t="array" ref="AC216">_xlfn.XLOOKUP(1,('1994 E Maize Soil VWC'!$C$2:$C$5000=$AA216)*('1994 E Maize Soil VWC'!$D$2:$D$5000=$AB216)*('1994 E Maize Soil VWC'!$E$2:$E$5000=AC$5),'1994 E Maize Soil VWC'!$F$2:$F$5000)</f>
        <v>#N/A</v>
      </c>
      <c r="AD216" s="4" t="e" cm="1">
        <f t="array" ref="AD216">_xlfn.XLOOKUP(1,('1994 E Maize Soil VWC'!$C$2:$C$5000=$AA216)*('1994 E Maize Soil VWC'!$D$2:$D$5000=$AB216)*('1994 E Maize Soil VWC'!$E$2:$E$5000=AD$5),'1994 E Maize Soil VWC'!$F$2:$F$5000)</f>
        <v>#N/A</v>
      </c>
      <c r="AE216" s="4" t="e" cm="1">
        <f t="array" ref="AE216">_xlfn.XLOOKUP(1,('1994 E Maize Soil VWC'!$C$2:$C$5000=$AA216)*('1994 E Maize Soil VWC'!$D$2:$D$5000=$AB216)*('1994 E Maize Soil VWC'!$E$2:$E$5000=AE$5),'1994 E Maize Soil VWC'!$F$2:$F$5000)</f>
        <v>#N/A</v>
      </c>
      <c r="AF216" s="4" t="e" cm="1">
        <f t="array" ref="AF216">_xlfn.XLOOKUP(1,('1994 E Maize Soil VWC'!$C$2:$C$5000=$AA216)*('1994 E Maize Soil VWC'!$D$2:$D$5000=$AB216)*('1994 E Maize Soil VWC'!$E$2:$E$5000=AF$5),'1994 E Maize Soil VWC'!$F$2:$F$5000)</f>
        <v>#N/A</v>
      </c>
      <c r="AG216" s="4" t="e" cm="1">
        <f t="array" ref="AG216">_xlfn.XLOOKUP(1,('1994 E Maize Soil VWC'!$C$2:$C$5000=$AA216)*('1994 E Maize Soil VWC'!$D$2:$D$5000=$AB216)*('1994 E Maize Soil VWC'!$E$2:$E$5000=AG$5),'1994 E Maize Soil VWC'!$F$2:$F$5000)</f>
        <v>#N/A</v>
      </c>
      <c r="AH216" s="4" t="e" cm="1">
        <f t="array" ref="AH216">_xlfn.XLOOKUP(1,('1994 E Maize Soil VWC'!$C$2:$C$5000=$AA216)*('1994 E Maize Soil VWC'!$D$2:$D$5000=$AB216)*('1994 E Maize Soil VWC'!$E$2:$E$5000=AH$5),'1994 E Maize Soil VWC'!$F$2:$F$5000)</f>
        <v>#N/A</v>
      </c>
      <c r="AI216" s="4" t="e" cm="1">
        <f t="array" ref="AI216">_xlfn.XLOOKUP(1,('1994 E Maize Soil VWC'!$C$2:$C$5000=$AA216)*('1994 E Maize Soil VWC'!$D$2:$D$5000=$AB216)*('1994 E Maize Soil VWC'!$E$2:$E$5000=AI$5),'1994 E Maize Soil VWC'!$F$2:$F$5000)</f>
        <v>#N/A</v>
      </c>
      <c r="AJ216" s="4" t="e" cm="1">
        <f t="array" ref="AJ216">_xlfn.XLOOKUP(1,('1994 E Maize Soil VWC'!$C$2:$C$5000=$AA216)*('1994 E Maize Soil VWC'!$D$2:$D$5000=$AB216)*('1994 E Maize Soil VWC'!$E$2:$E$5000=AJ$5),'1994 E Maize Soil VWC'!$F$2:$F$5000)</f>
        <v>#N/A</v>
      </c>
      <c r="AK216" s="4" t="e" cm="1">
        <f t="array" ref="AK216">_xlfn.XLOOKUP(1,('1994 E Maize Soil VWC'!$C$2:$C$5000=$AA216)*('1994 E Maize Soil VWC'!$D$2:$D$5000=$AB216)*('1994 E Maize Soil VWC'!$E$2:$E$5000=AK$5),'1994 E Maize Soil VWC'!$F$2:$F$5000)</f>
        <v>#N/A</v>
      </c>
      <c r="AL216" s="4" t="e" cm="1">
        <f t="array" ref="AL216">_xlfn.XLOOKUP(1,('1994 E Maize Soil VWC'!$C$2:$C$5000=$AA216)*('1994 E Maize Soil VWC'!$D$2:$D$5000=$AB216)*('1994 E Maize Soil VWC'!$E$2:$E$5000=AL$5),'1994 E Maize Soil VWC'!$F$2:$F$5000)</f>
        <v>#N/A</v>
      </c>
      <c r="AM216" s="4" t="e" cm="1">
        <f t="array" ref="AM216">_xlfn.XLOOKUP(1,('1994 E Maize Soil VWC'!$C$2:$C$5000=$AA216)*('1994 E Maize Soil VWC'!$D$2:$D$5000=$AB216)*('1994 E Maize Soil VWC'!$E$2:$E$5000=AM$5),'1994 E Maize Soil VWC'!$F$2:$F$5000)</f>
        <v>#N/A</v>
      </c>
      <c r="AN216" s="4" t="e" cm="1">
        <f t="array" ref="AN216">_xlfn.XLOOKUP(1,('1994 E Maize Soil VWC'!$C$2:$C$5000=$AA216)*('1994 E Maize Soil VWC'!$D$2:$D$5000=$AB216)*('1994 E Maize Soil VWC'!$E$2:$E$5000=AN$5),'1994 E Maize Soil VWC'!$F$2:$F$5000)</f>
        <v>#N/A</v>
      </c>
    </row>
    <row r="217" spans="25:40" x14ac:dyDescent="0.25">
      <c r="AA217" s="19">
        <f t="shared" si="32"/>
        <v>34334</v>
      </c>
      <c r="AB217" s="4">
        <f t="shared" si="33"/>
        <v>70</v>
      </c>
      <c r="AC217" s="4" t="e" cm="1">
        <f t="array" ref="AC217">_xlfn.XLOOKUP(1,('1994 E Maize Soil VWC'!$C$2:$C$5000=$AA217)*('1994 E Maize Soil VWC'!$D$2:$D$5000=$AB217)*('1994 E Maize Soil VWC'!$E$2:$E$5000=AC$5),'1994 E Maize Soil VWC'!$F$2:$F$5000)</f>
        <v>#N/A</v>
      </c>
      <c r="AD217" s="4" t="e" cm="1">
        <f t="array" ref="AD217">_xlfn.XLOOKUP(1,('1994 E Maize Soil VWC'!$C$2:$C$5000=$AA217)*('1994 E Maize Soil VWC'!$D$2:$D$5000=$AB217)*('1994 E Maize Soil VWC'!$E$2:$E$5000=AD$5),'1994 E Maize Soil VWC'!$F$2:$F$5000)</f>
        <v>#N/A</v>
      </c>
      <c r="AE217" s="4" t="e" cm="1">
        <f t="array" ref="AE217">_xlfn.XLOOKUP(1,('1994 E Maize Soil VWC'!$C$2:$C$5000=$AA217)*('1994 E Maize Soil VWC'!$D$2:$D$5000=$AB217)*('1994 E Maize Soil VWC'!$E$2:$E$5000=AE$5),'1994 E Maize Soil VWC'!$F$2:$F$5000)</f>
        <v>#N/A</v>
      </c>
      <c r="AF217" s="4" t="e" cm="1">
        <f t="array" ref="AF217">_xlfn.XLOOKUP(1,('1994 E Maize Soil VWC'!$C$2:$C$5000=$AA217)*('1994 E Maize Soil VWC'!$D$2:$D$5000=$AB217)*('1994 E Maize Soil VWC'!$E$2:$E$5000=AF$5),'1994 E Maize Soil VWC'!$F$2:$F$5000)</f>
        <v>#N/A</v>
      </c>
      <c r="AG217" s="4" t="e" cm="1">
        <f t="array" ref="AG217">_xlfn.XLOOKUP(1,('1994 E Maize Soil VWC'!$C$2:$C$5000=$AA217)*('1994 E Maize Soil VWC'!$D$2:$D$5000=$AB217)*('1994 E Maize Soil VWC'!$E$2:$E$5000=AG$5),'1994 E Maize Soil VWC'!$F$2:$F$5000)</f>
        <v>#N/A</v>
      </c>
      <c r="AH217" s="4" t="e" cm="1">
        <f t="array" ref="AH217">_xlfn.XLOOKUP(1,('1994 E Maize Soil VWC'!$C$2:$C$5000=$AA217)*('1994 E Maize Soil VWC'!$D$2:$D$5000=$AB217)*('1994 E Maize Soil VWC'!$E$2:$E$5000=AH$5),'1994 E Maize Soil VWC'!$F$2:$F$5000)</f>
        <v>#N/A</v>
      </c>
      <c r="AI217" s="4" t="e" cm="1">
        <f t="array" ref="AI217">_xlfn.XLOOKUP(1,('1994 E Maize Soil VWC'!$C$2:$C$5000=$AA217)*('1994 E Maize Soil VWC'!$D$2:$D$5000=$AB217)*('1994 E Maize Soil VWC'!$E$2:$E$5000=AI$5),'1994 E Maize Soil VWC'!$F$2:$F$5000)</f>
        <v>#N/A</v>
      </c>
      <c r="AJ217" s="4" t="e" cm="1">
        <f t="array" ref="AJ217">_xlfn.XLOOKUP(1,('1994 E Maize Soil VWC'!$C$2:$C$5000=$AA217)*('1994 E Maize Soil VWC'!$D$2:$D$5000=$AB217)*('1994 E Maize Soil VWC'!$E$2:$E$5000=AJ$5),'1994 E Maize Soil VWC'!$F$2:$F$5000)</f>
        <v>#N/A</v>
      </c>
      <c r="AK217" s="4" t="e" cm="1">
        <f t="array" ref="AK217">_xlfn.XLOOKUP(1,('1994 E Maize Soil VWC'!$C$2:$C$5000=$AA217)*('1994 E Maize Soil VWC'!$D$2:$D$5000=$AB217)*('1994 E Maize Soil VWC'!$E$2:$E$5000=AK$5),'1994 E Maize Soil VWC'!$F$2:$F$5000)</f>
        <v>#N/A</v>
      </c>
      <c r="AL217" s="4" t="e" cm="1">
        <f t="array" ref="AL217">_xlfn.XLOOKUP(1,('1994 E Maize Soil VWC'!$C$2:$C$5000=$AA217)*('1994 E Maize Soil VWC'!$D$2:$D$5000=$AB217)*('1994 E Maize Soil VWC'!$E$2:$E$5000=AL$5),'1994 E Maize Soil VWC'!$F$2:$F$5000)</f>
        <v>#N/A</v>
      </c>
      <c r="AM217" s="4" t="e" cm="1">
        <f t="array" ref="AM217">_xlfn.XLOOKUP(1,('1994 E Maize Soil VWC'!$C$2:$C$5000=$AA217)*('1994 E Maize Soil VWC'!$D$2:$D$5000=$AB217)*('1994 E Maize Soil VWC'!$E$2:$E$5000=AM$5),'1994 E Maize Soil VWC'!$F$2:$F$5000)</f>
        <v>#N/A</v>
      </c>
      <c r="AN217" s="4" t="e" cm="1">
        <f t="array" ref="AN217">_xlfn.XLOOKUP(1,('1994 E Maize Soil VWC'!$C$2:$C$5000=$AA217)*('1994 E Maize Soil VWC'!$D$2:$D$5000=$AB217)*('1994 E Maize Soil VWC'!$E$2:$E$5000=AN$5),'1994 E Maize Soil VWC'!$F$2:$F$5000)</f>
        <v>#N/A</v>
      </c>
    </row>
    <row r="218" spans="25:40" x14ac:dyDescent="0.25">
      <c r="AA218" s="19">
        <f t="shared" si="32"/>
        <v>34334</v>
      </c>
      <c r="AB218" s="4">
        <f t="shared" si="33"/>
        <v>90</v>
      </c>
      <c r="AC218" s="4" t="e" cm="1">
        <f t="array" ref="AC218">_xlfn.XLOOKUP(1,('1994 E Maize Soil VWC'!$C$2:$C$5000=$AA218)*('1994 E Maize Soil VWC'!$D$2:$D$5000=$AB218)*('1994 E Maize Soil VWC'!$E$2:$E$5000=AC$5),'1994 E Maize Soil VWC'!$F$2:$F$5000)</f>
        <v>#N/A</v>
      </c>
      <c r="AD218" s="4" t="e" cm="1">
        <f t="array" ref="AD218">_xlfn.XLOOKUP(1,('1994 E Maize Soil VWC'!$C$2:$C$5000=$AA218)*('1994 E Maize Soil VWC'!$D$2:$D$5000=$AB218)*('1994 E Maize Soil VWC'!$E$2:$E$5000=AD$5),'1994 E Maize Soil VWC'!$F$2:$F$5000)</f>
        <v>#N/A</v>
      </c>
      <c r="AE218" s="4" t="e" cm="1">
        <f t="array" ref="AE218">_xlfn.XLOOKUP(1,('1994 E Maize Soil VWC'!$C$2:$C$5000=$AA218)*('1994 E Maize Soil VWC'!$D$2:$D$5000=$AB218)*('1994 E Maize Soil VWC'!$E$2:$E$5000=AE$5),'1994 E Maize Soil VWC'!$F$2:$F$5000)</f>
        <v>#N/A</v>
      </c>
      <c r="AF218" s="4" t="e" cm="1">
        <f t="array" ref="AF218">_xlfn.XLOOKUP(1,('1994 E Maize Soil VWC'!$C$2:$C$5000=$AA218)*('1994 E Maize Soil VWC'!$D$2:$D$5000=$AB218)*('1994 E Maize Soil VWC'!$E$2:$E$5000=AF$5),'1994 E Maize Soil VWC'!$F$2:$F$5000)</f>
        <v>#N/A</v>
      </c>
      <c r="AG218" s="4" t="e" cm="1">
        <f t="array" ref="AG218">_xlfn.XLOOKUP(1,('1994 E Maize Soil VWC'!$C$2:$C$5000=$AA218)*('1994 E Maize Soil VWC'!$D$2:$D$5000=$AB218)*('1994 E Maize Soil VWC'!$E$2:$E$5000=AG$5),'1994 E Maize Soil VWC'!$F$2:$F$5000)</f>
        <v>#N/A</v>
      </c>
      <c r="AH218" s="4" t="e" cm="1">
        <f t="array" ref="AH218">_xlfn.XLOOKUP(1,('1994 E Maize Soil VWC'!$C$2:$C$5000=$AA218)*('1994 E Maize Soil VWC'!$D$2:$D$5000=$AB218)*('1994 E Maize Soil VWC'!$E$2:$E$5000=AH$5),'1994 E Maize Soil VWC'!$F$2:$F$5000)</f>
        <v>#N/A</v>
      </c>
      <c r="AI218" s="4" t="e" cm="1">
        <f t="array" ref="AI218">_xlfn.XLOOKUP(1,('1994 E Maize Soil VWC'!$C$2:$C$5000=$AA218)*('1994 E Maize Soil VWC'!$D$2:$D$5000=$AB218)*('1994 E Maize Soil VWC'!$E$2:$E$5000=AI$5),'1994 E Maize Soil VWC'!$F$2:$F$5000)</f>
        <v>#N/A</v>
      </c>
      <c r="AJ218" s="4" t="e" cm="1">
        <f t="array" ref="AJ218">_xlfn.XLOOKUP(1,('1994 E Maize Soil VWC'!$C$2:$C$5000=$AA218)*('1994 E Maize Soil VWC'!$D$2:$D$5000=$AB218)*('1994 E Maize Soil VWC'!$E$2:$E$5000=AJ$5),'1994 E Maize Soil VWC'!$F$2:$F$5000)</f>
        <v>#N/A</v>
      </c>
      <c r="AK218" s="4" t="e" cm="1">
        <f t="array" ref="AK218">_xlfn.XLOOKUP(1,('1994 E Maize Soil VWC'!$C$2:$C$5000=$AA218)*('1994 E Maize Soil VWC'!$D$2:$D$5000=$AB218)*('1994 E Maize Soil VWC'!$E$2:$E$5000=AK$5),'1994 E Maize Soil VWC'!$F$2:$F$5000)</f>
        <v>#N/A</v>
      </c>
      <c r="AL218" s="4" t="e" cm="1">
        <f t="array" ref="AL218">_xlfn.XLOOKUP(1,('1994 E Maize Soil VWC'!$C$2:$C$5000=$AA218)*('1994 E Maize Soil VWC'!$D$2:$D$5000=$AB218)*('1994 E Maize Soil VWC'!$E$2:$E$5000=AL$5),'1994 E Maize Soil VWC'!$F$2:$F$5000)</f>
        <v>#N/A</v>
      </c>
      <c r="AM218" s="4" t="e" cm="1">
        <f t="array" ref="AM218">_xlfn.XLOOKUP(1,('1994 E Maize Soil VWC'!$C$2:$C$5000=$AA218)*('1994 E Maize Soil VWC'!$D$2:$D$5000=$AB218)*('1994 E Maize Soil VWC'!$E$2:$E$5000=AM$5),'1994 E Maize Soil VWC'!$F$2:$F$5000)</f>
        <v>#N/A</v>
      </c>
      <c r="AN218" s="4" t="e" cm="1">
        <f t="array" ref="AN218">_xlfn.XLOOKUP(1,('1994 E Maize Soil VWC'!$C$2:$C$5000=$AA218)*('1994 E Maize Soil VWC'!$D$2:$D$5000=$AB218)*('1994 E Maize Soil VWC'!$E$2:$E$5000=AN$5),'1994 E Maize Soil VWC'!$F$2:$F$5000)</f>
        <v>#N/A</v>
      </c>
    </row>
    <row r="219" spans="25:40" x14ac:dyDescent="0.25">
      <c r="AA219" s="19">
        <f t="shared" si="32"/>
        <v>34334</v>
      </c>
      <c r="AB219" s="4">
        <f t="shared" si="33"/>
        <v>110</v>
      </c>
      <c r="AC219" s="4" t="e" cm="1">
        <f t="array" ref="AC219">_xlfn.XLOOKUP(1,('1994 E Maize Soil VWC'!$C$2:$C$5000=$AA219)*('1994 E Maize Soil VWC'!$D$2:$D$5000=$AB219)*('1994 E Maize Soil VWC'!$E$2:$E$5000=AC$5),'1994 E Maize Soil VWC'!$F$2:$F$5000)</f>
        <v>#N/A</v>
      </c>
      <c r="AD219" s="4" t="e" cm="1">
        <f t="array" ref="AD219">_xlfn.XLOOKUP(1,('1994 E Maize Soil VWC'!$C$2:$C$5000=$AA219)*('1994 E Maize Soil VWC'!$D$2:$D$5000=$AB219)*('1994 E Maize Soil VWC'!$E$2:$E$5000=AD$5),'1994 E Maize Soil VWC'!$F$2:$F$5000)</f>
        <v>#N/A</v>
      </c>
      <c r="AE219" s="4" t="e" cm="1">
        <f t="array" ref="AE219">_xlfn.XLOOKUP(1,('1994 E Maize Soil VWC'!$C$2:$C$5000=$AA219)*('1994 E Maize Soil VWC'!$D$2:$D$5000=$AB219)*('1994 E Maize Soil VWC'!$E$2:$E$5000=AE$5),'1994 E Maize Soil VWC'!$F$2:$F$5000)</f>
        <v>#N/A</v>
      </c>
      <c r="AF219" s="4" t="e" cm="1">
        <f t="array" ref="AF219">_xlfn.XLOOKUP(1,('1994 E Maize Soil VWC'!$C$2:$C$5000=$AA219)*('1994 E Maize Soil VWC'!$D$2:$D$5000=$AB219)*('1994 E Maize Soil VWC'!$E$2:$E$5000=AF$5),'1994 E Maize Soil VWC'!$F$2:$F$5000)</f>
        <v>#N/A</v>
      </c>
      <c r="AG219" s="4" t="e" cm="1">
        <f t="array" ref="AG219">_xlfn.XLOOKUP(1,('1994 E Maize Soil VWC'!$C$2:$C$5000=$AA219)*('1994 E Maize Soil VWC'!$D$2:$D$5000=$AB219)*('1994 E Maize Soil VWC'!$E$2:$E$5000=AG$5),'1994 E Maize Soil VWC'!$F$2:$F$5000)</f>
        <v>#N/A</v>
      </c>
      <c r="AH219" s="4" t="e" cm="1">
        <f t="array" ref="AH219">_xlfn.XLOOKUP(1,('1994 E Maize Soil VWC'!$C$2:$C$5000=$AA219)*('1994 E Maize Soil VWC'!$D$2:$D$5000=$AB219)*('1994 E Maize Soil VWC'!$E$2:$E$5000=AH$5),'1994 E Maize Soil VWC'!$F$2:$F$5000)</f>
        <v>#N/A</v>
      </c>
      <c r="AI219" s="4" t="e" cm="1">
        <f t="array" ref="AI219">_xlfn.XLOOKUP(1,('1994 E Maize Soil VWC'!$C$2:$C$5000=$AA219)*('1994 E Maize Soil VWC'!$D$2:$D$5000=$AB219)*('1994 E Maize Soil VWC'!$E$2:$E$5000=AI$5),'1994 E Maize Soil VWC'!$F$2:$F$5000)</f>
        <v>#N/A</v>
      </c>
      <c r="AJ219" s="4" t="e" cm="1">
        <f t="array" ref="AJ219">_xlfn.XLOOKUP(1,('1994 E Maize Soil VWC'!$C$2:$C$5000=$AA219)*('1994 E Maize Soil VWC'!$D$2:$D$5000=$AB219)*('1994 E Maize Soil VWC'!$E$2:$E$5000=AJ$5),'1994 E Maize Soil VWC'!$F$2:$F$5000)</f>
        <v>#N/A</v>
      </c>
      <c r="AK219" s="4" t="e" cm="1">
        <f t="array" ref="AK219">_xlfn.XLOOKUP(1,('1994 E Maize Soil VWC'!$C$2:$C$5000=$AA219)*('1994 E Maize Soil VWC'!$D$2:$D$5000=$AB219)*('1994 E Maize Soil VWC'!$E$2:$E$5000=AK$5),'1994 E Maize Soil VWC'!$F$2:$F$5000)</f>
        <v>#N/A</v>
      </c>
      <c r="AL219" s="4" t="e" cm="1">
        <f t="array" ref="AL219">_xlfn.XLOOKUP(1,('1994 E Maize Soil VWC'!$C$2:$C$5000=$AA219)*('1994 E Maize Soil VWC'!$D$2:$D$5000=$AB219)*('1994 E Maize Soil VWC'!$E$2:$E$5000=AL$5),'1994 E Maize Soil VWC'!$F$2:$F$5000)</f>
        <v>#N/A</v>
      </c>
      <c r="AM219" s="4" t="e" cm="1">
        <f t="array" ref="AM219">_xlfn.XLOOKUP(1,('1994 E Maize Soil VWC'!$C$2:$C$5000=$AA219)*('1994 E Maize Soil VWC'!$D$2:$D$5000=$AB219)*('1994 E Maize Soil VWC'!$E$2:$E$5000=AM$5),'1994 E Maize Soil VWC'!$F$2:$F$5000)</f>
        <v>#N/A</v>
      </c>
      <c r="AN219" s="4" t="e" cm="1">
        <f t="array" ref="AN219">_xlfn.XLOOKUP(1,('1994 E Maize Soil VWC'!$C$2:$C$5000=$AA219)*('1994 E Maize Soil VWC'!$D$2:$D$5000=$AB219)*('1994 E Maize Soil VWC'!$E$2:$E$5000=AN$5),'1994 E Maize Soil VWC'!$F$2:$F$5000)</f>
        <v>#N/A</v>
      </c>
    </row>
    <row r="220" spans="25:40" x14ac:dyDescent="0.25">
      <c r="AA220" s="19">
        <f t="shared" si="32"/>
        <v>34334</v>
      </c>
      <c r="AB220" s="4">
        <f t="shared" si="33"/>
        <v>130</v>
      </c>
      <c r="AC220" s="4" t="e" cm="1">
        <f t="array" ref="AC220">_xlfn.XLOOKUP(1,('1994 E Maize Soil VWC'!$C$2:$C$5000=$AA220)*('1994 E Maize Soil VWC'!$D$2:$D$5000=$AB220)*('1994 E Maize Soil VWC'!$E$2:$E$5000=AC$5),'1994 E Maize Soil VWC'!$F$2:$F$5000)</f>
        <v>#N/A</v>
      </c>
      <c r="AD220" s="4" t="e" cm="1">
        <f t="array" ref="AD220">_xlfn.XLOOKUP(1,('1994 E Maize Soil VWC'!$C$2:$C$5000=$AA220)*('1994 E Maize Soil VWC'!$D$2:$D$5000=$AB220)*('1994 E Maize Soil VWC'!$E$2:$E$5000=AD$5),'1994 E Maize Soil VWC'!$F$2:$F$5000)</f>
        <v>#N/A</v>
      </c>
      <c r="AE220" s="4" t="e" cm="1">
        <f t="array" ref="AE220">_xlfn.XLOOKUP(1,('1994 E Maize Soil VWC'!$C$2:$C$5000=$AA220)*('1994 E Maize Soil VWC'!$D$2:$D$5000=$AB220)*('1994 E Maize Soil VWC'!$E$2:$E$5000=AE$5),'1994 E Maize Soil VWC'!$F$2:$F$5000)</f>
        <v>#N/A</v>
      </c>
      <c r="AF220" s="4" t="e" cm="1">
        <f t="array" ref="AF220">_xlfn.XLOOKUP(1,('1994 E Maize Soil VWC'!$C$2:$C$5000=$AA220)*('1994 E Maize Soil VWC'!$D$2:$D$5000=$AB220)*('1994 E Maize Soil VWC'!$E$2:$E$5000=AF$5),'1994 E Maize Soil VWC'!$F$2:$F$5000)</f>
        <v>#N/A</v>
      </c>
      <c r="AG220" s="4" t="e" cm="1">
        <f t="array" ref="AG220">_xlfn.XLOOKUP(1,('1994 E Maize Soil VWC'!$C$2:$C$5000=$AA220)*('1994 E Maize Soil VWC'!$D$2:$D$5000=$AB220)*('1994 E Maize Soil VWC'!$E$2:$E$5000=AG$5),'1994 E Maize Soil VWC'!$F$2:$F$5000)</f>
        <v>#N/A</v>
      </c>
      <c r="AH220" s="4" t="e" cm="1">
        <f t="array" ref="AH220">_xlfn.XLOOKUP(1,('1994 E Maize Soil VWC'!$C$2:$C$5000=$AA220)*('1994 E Maize Soil VWC'!$D$2:$D$5000=$AB220)*('1994 E Maize Soil VWC'!$E$2:$E$5000=AH$5),'1994 E Maize Soil VWC'!$F$2:$F$5000)</f>
        <v>#N/A</v>
      </c>
      <c r="AI220" s="4" t="e" cm="1">
        <f t="array" ref="AI220">_xlfn.XLOOKUP(1,('1994 E Maize Soil VWC'!$C$2:$C$5000=$AA220)*('1994 E Maize Soil VWC'!$D$2:$D$5000=$AB220)*('1994 E Maize Soil VWC'!$E$2:$E$5000=AI$5),'1994 E Maize Soil VWC'!$F$2:$F$5000)</f>
        <v>#N/A</v>
      </c>
      <c r="AJ220" s="4" t="e" cm="1">
        <f t="array" ref="AJ220">_xlfn.XLOOKUP(1,('1994 E Maize Soil VWC'!$C$2:$C$5000=$AA220)*('1994 E Maize Soil VWC'!$D$2:$D$5000=$AB220)*('1994 E Maize Soil VWC'!$E$2:$E$5000=AJ$5),'1994 E Maize Soil VWC'!$F$2:$F$5000)</f>
        <v>#N/A</v>
      </c>
      <c r="AK220" s="4" t="e" cm="1">
        <f t="array" ref="AK220">_xlfn.XLOOKUP(1,('1994 E Maize Soil VWC'!$C$2:$C$5000=$AA220)*('1994 E Maize Soil VWC'!$D$2:$D$5000=$AB220)*('1994 E Maize Soil VWC'!$E$2:$E$5000=AK$5),'1994 E Maize Soil VWC'!$F$2:$F$5000)</f>
        <v>#N/A</v>
      </c>
      <c r="AL220" s="4" t="e" cm="1">
        <f t="array" ref="AL220">_xlfn.XLOOKUP(1,('1994 E Maize Soil VWC'!$C$2:$C$5000=$AA220)*('1994 E Maize Soil VWC'!$D$2:$D$5000=$AB220)*('1994 E Maize Soil VWC'!$E$2:$E$5000=AL$5),'1994 E Maize Soil VWC'!$F$2:$F$5000)</f>
        <v>#N/A</v>
      </c>
      <c r="AM220" s="4" t="e" cm="1">
        <f t="array" ref="AM220">_xlfn.XLOOKUP(1,('1994 E Maize Soil VWC'!$C$2:$C$5000=$AA220)*('1994 E Maize Soil VWC'!$D$2:$D$5000=$AB220)*('1994 E Maize Soil VWC'!$E$2:$E$5000=AM$5),'1994 E Maize Soil VWC'!$F$2:$F$5000)</f>
        <v>#N/A</v>
      </c>
      <c r="AN220" s="4" t="e" cm="1">
        <f t="array" ref="AN220">_xlfn.XLOOKUP(1,('1994 E Maize Soil VWC'!$C$2:$C$5000=$AA220)*('1994 E Maize Soil VWC'!$D$2:$D$5000=$AB220)*('1994 E Maize Soil VWC'!$E$2:$E$5000=AN$5),'1994 E Maize Soil VWC'!$F$2:$F$5000)</f>
        <v>#N/A</v>
      </c>
    </row>
    <row r="221" spans="25:40" x14ac:dyDescent="0.25">
      <c r="AA221" s="19">
        <f t="shared" si="32"/>
        <v>34334</v>
      </c>
      <c r="AB221" s="4">
        <f t="shared" si="33"/>
        <v>150</v>
      </c>
      <c r="AC221" s="4" t="e" cm="1">
        <f t="array" ref="AC221">_xlfn.XLOOKUP(1,('1994 E Maize Soil VWC'!$C$2:$C$5000=$AA221)*('1994 E Maize Soil VWC'!$D$2:$D$5000=$AB221)*('1994 E Maize Soil VWC'!$E$2:$E$5000=AC$5),'1994 E Maize Soil VWC'!$F$2:$F$5000)</f>
        <v>#N/A</v>
      </c>
      <c r="AD221" s="4" t="e" cm="1">
        <f t="array" ref="AD221">_xlfn.XLOOKUP(1,('1994 E Maize Soil VWC'!$C$2:$C$5000=$AA221)*('1994 E Maize Soil VWC'!$D$2:$D$5000=$AB221)*('1994 E Maize Soil VWC'!$E$2:$E$5000=AD$5),'1994 E Maize Soil VWC'!$F$2:$F$5000)</f>
        <v>#N/A</v>
      </c>
      <c r="AE221" s="4" t="e" cm="1">
        <f t="array" ref="AE221">_xlfn.XLOOKUP(1,('1994 E Maize Soil VWC'!$C$2:$C$5000=$AA221)*('1994 E Maize Soil VWC'!$D$2:$D$5000=$AB221)*('1994 E Maize Soil VWC'!$E$2:$E$5000=AE$5),'1994 E Maize Soil VWC'!$F$2:$F$5000)</f>
        <v>#N/A</v>
      </c>
      <c r="AF221" s="4" t="e" cm="1">
        <f t="array" ref="AF221">_xlfn.XLOOKUP(1,('1994 E Maize Soil VWC'!$C$2:$C$5000=$AA221)*('1994 E Maize Soil VWC'!$D$2:$D$5000=$AB221)*('1994 E Maize Soil VWC'!$E$2:$E$5000=AF$5),'1994 E Maize Soil VWC'!$F$2:$F$5000)</f>
        <v>#N/A</v>
      </c>
      <c r="AG221" s="4" t="e" cm="1">
        <f t="array" ref="AG221">_xlfn.XLOOKUP(1,('1994 E Maize Soil VWC'!$C$2:$C$5000=$AA221)*('1994 E Maize Soil VWC'!$D$2:$D$5000=$AB221)*('1994 E Maize Soil VWC'!$E$2:$E$5000=AG$5),'1994 E Maize Soil VWC'!$F$2:$F$5000)</f>
        <v>#N/A</v>
      </c>
      <c r="AH221" s="4" t="e" cm="1">
        <f t="array" ref="AH221">_xlfn.XLOOKUP(1,('1994 E Maize Soil VWC'!$C$2:$C$5000=$AA221)*('1994 E Maize Soil VWC'!$D$2:$D$5000=$AB221)*('1994 E Maize Soil VWC'!$E$2:$E$5000=AH$5),'1994 E Maize Soil VWC'!$F$2:$F$5000)</f>
        <v>#N/A</v>
      </c>
      <c r="AI221" s="4" t="e" cm="1">
        <f t="array" ref="AI221">_xlfn.XLOOKUP(1,('1994 E Maize Soil VWC'!$C$2:$C$5000=$AA221)*('1994 E Maize Soil VWC'!$D$2:$D$5000=$AB221)*('1994 E Maize Soil VWC'!$E$2:$E$5000=AI$5),'1994 E Maize Soil VWC'!$F$2:$F$5000)</f>
        <v>#N/A</v>
      </c>
      <c r="AJ221" s="4" t="e" cm="1">
        <f t="array" ref="AJ221">_xlfn.XLOOKUP(1,('1994 E Maize Soil VWC'!$C$2:$C$5000=$AA221)*('1994 E Maize Soil VWC'!$D$2:$D$5000=$AB221)*('1994 E Maize Soil VWC'!$E$2:$E$5000=AJ$5),'1994 E Maize Soil VWC'!$F$2:$F$5000)</f>
        <v>#N/A</v>
      </c>
      <c r="AK221" s="4" t="e" cm="1">
        <f t="array" ref="AK221">_xlfn.XLOOKUP(1,('1994 E Maize Soil VWC'!$C$2:$C$5000=$AA221)*('1994 E Maize Soil VWC'!$D$2:$D$5000=$AB221)*('1994 E Maize Soil VWC'!$E$2:$E$5000=AK$5),'1994 E Maize Soil VWC'!$F$2:$F$5000)</f>
        <v>#N/A</v>
      </c>
      <c r="AL221" s="4" t="e" cm="1">
        <f t="array" ref="AL221">_xlfn.XLOOKUP(1,('1994 E Maize Soil VWC'!$C$2:$C$5000=$AA221)*('1994 E Maize Soil VWC'!$D$2:$D$5000=$AB221)*('1994 E Maize Soil VWC'!$E$2:$E$5000=AL$5),'1994 E Maize Soil VWC'!$F$2:$F$5000)</f>
        <v>#N/A</v>
      </c>
      <c r="AM221" s="4" t="e" cm="1">
        <f t="array" ref="AM221">_xlfn.XLOOKUP(1,('1994 E Maize Soil VWC'!$C$2:$C$5000=$AA221)*('1994 E Maize Soil VWC'!$D$2:$D$5000=$AB221)*('1994 E Maize Soil VWC'!$E$2:$E$5000=AM$5),'1994 E Maize Soil VWC'!$F$2:$F$5000)</f>
        <v>#N/A</v>
      </c>
      <c r="AN221" s="4" t="e" cm="1">
        <f t="array" ref="AN221">_xlfn.XLOOKUP(1,('1994 E Maize Soil VWC'!$C$2:$C$5000=$AA221)*('1994 E Maize Soil VWC'!$D$2:$D$5000=$AB221)*('1994 E Maize Soil VWC'!$E$2:$E$5000=AN$5),'1994 E Maize Soil VWC'!$F$2:$F$5000)</f>
        <v>#N/A</v>
      </c>
    </row>
    <row r="222" spans="25:40" x14ac:dyDescent="0.25">
      <c r="AA222" s="19">
        <f t="shared" si="32"/>
        <v>34334</v>
      </c>
      <c r="AB222" s="4">
        <f t="shared" si="33"/>
        <v>170</v>
      </c>
      <c r="AC222" s="4" t="e" cm="1">
        <f t="array" ref="AC222">_xlfn.XLOOKUP(1,('1994 E Maize Soil VWC'!$C$2:$C$5000=$AA222)*('1994 E Maize Soil VWC'!$D$2:$D$5000=$AB222)*('1994 E Maize Soil VWC'!$E$2:$E$5000=AC$5),'1994 E Maize Soil VWC'!$F$2:$F$5000)</f>
        <v>#N/A</v>
      </c>
      <c r="AD222" s="4" t="e" cm="1">
        <f t="array" ref="AD222">_xlfn.XLOOKUP(1,('1994 E Maize Soil VWC'!$C$2:$C$5000=$AA222)*('1994 E Maize Soil VWC'!$D$2:$D$5000=$AB222)*('1994 E Maize Soil VWC'!$E$2:$E$5000=AD$5),'1994 E Maize Soil VWC'!$F$2:$F$5000)</f>
        <v>#N/A</v>
      </c>
      <c r="AE222" s="4" t="e" cm="1">
        <f t="array" ref="AE222">_xlfn.XLOOKUP(1,('1994 E Maize Soil VWC'!$C$2:$C$5000=$AA222)*('1994 E Maize Soil VWC'!$D$2:$D$5000=$AB222)*('1994 E Maize Soil VWC'!$E$2:$E$5000=AE$5),'1994 E Maize Soil VWC'!$F$2:$F$5000)</f>
        <v>#N/A</v>
      </c>
      <c r="AF222" s="4" t="e" cm="1">
        <f t="array" ref="AF222">_xlfn.XLOOKUP(1,('1994 E Maize Soil VWC'!$C$2:$C$5000=$AA222)*('1994 E Maize Soil VWC'!$D$2:$D$5000=$AB222)*('1994 E Maize Soil VWC'!$E$2:$E$5000=AF$5),'1994 E Maize Soil VWC'!$F$2:$F$5000)</f>
        <v>#N/A</v>
      </c>
      <c r="AG222" s="4" t="e" cm="1">
        <f t="array" ref="AG222">_xlfn.XLOOKUP(1,('1994 E Maize Soil VWC'!$C$2:$C$5000=$AA222)*('1994 E Maize Soil VWC'!$D$2:$D$5000=$AB222)*('1994 E Maize Soil VWC'!$E$2:$E$5000=AG$5),'1994 E Maize Soil VWC'!$F$2:$F$5000)</f>
        <v>#N/A</v>
      </c>
      <c r="AH222" s="4" t="e" cm="1">
        <f t="array" ref="AH222">_xlfn.XLOOKUP(1,('1994 E Maize Soil VWC'!$C$2:$C$5000=$AA222)*('1994 E Maize Soil VWC'!$D$2:$D$5000=$AB222)*('1994 E Maize Soil VWC'!$E$2:$E$5000=AH$5),'1994 E Maize Soil VWC'!$F$2:$F$5000)</f>
        <v>#N/A</v>
      </c>
      <c r="AI222" s="4" t="e" cm="1">
        <f t="array" ref="AI222">_xlfn.XLOOKUP(1,('1994 E Maize Soil VWC'!$C$2:$C$5000=$AA222)*('1994 E Maize Soil VWC'!$D$2:$D$5000=$AB222)*('1994 E Maize Soil VWC'!$E$2:$E$5000=AI$5),'1994 E Maize Soil VWC'!$F$2:$F$5000)</f>
        <v>#N/A</v>
      </c>
      <c r="AJ222" s="4" t="e" cm="1">
        <f t="array" ref="AJ222">_xlfn.XLOOKUP(1,('1994 E Maize Soil VWC'!$C$2:$C$5000=$AA222)*('1994 E Maize Soil VWC'!$D$2:$D$5000=$AB222)*('1994 E Maize Soil VWC'!$E$2:$E$5000=AJ$5),'1994 E Maize Soil VWC'!$F$2:$F$5000)</f>
        <v>#N/A</v>
      </c>
      <c r="AK222" s="4" t="e" cm="1">
        <f t="array" ref="AK222">_xlfn.XLOOKUP(1,('1994 E Maize Soil VWC'!$C$2:$C$5000=$AA222)*('1994 E Maize Soil VWC'!$D$2:$D$5000=$AB222)*('1994 E Maize Soil VWC'!$E$2:$E$5000=AK$5),'1994 E Maize Soil VWC'!$F$2:$F$5000)</f>
        <v>#N/A</v>
      </c>
      <c r="AL222" s="4" t="e" cm="1">
        <f t="array" ref="AL222">_xlfn.XLOOKUP(1,('1994 E Maize Soil VWC'!$C$2:$C$5000=$AA222)*('1994 E Maize Soil VWC'!$D$2:$D$5000=$AB222)*('1994 E Maize Soil VWC'!$E$2:$E$5000=AL$5),'1994 E Maize Soil VWC'!$F$2:$F$5000)</f>
        <v>#N/A</v>
      </c>
      <c r="AM222" s="4" t="e" cm="1">
        <f t="array" ref="AM222">_xlfn.XLOOKUP(1,('1994 E Maize Soil VWC'!$C$2:$C$5000=$AA222)*('1994 E Maize Soil VWC'!$D$2:$D$5000=$AB222)*('1994 E Maize Soil VWC'!$E$2:$E$5000=AM$5),'1994 E Maize Soil VWC'!$F$2:$F$5000)</f>
        <v>#N/A</v>
      </c>
      <c r="AN222" s="4" t="e" cm="1">
        <f t="array" ref="AN222">_xlfn.XLOOKUP(1,('1994 E Maize Soil VWC'!$C$2:$C$5000=$AA222)*('1994 E Maize Soil VWC'!$D$2:$D$5000=$AB222)*('1994 E Maize Soil VWC'!$E$2:$E$5000=AN$5),'1994 E Maize Soil VWC'!$F$2:$F$5000)</f>
        <v>#N/A</v>
      </c>
    </row>
    <row r="223" spans="25:40" x14ac:dyDescent="0.25">
      <c r="AA223" s="19">
        <f t="shared" si="32"/>
        <v>34334</v>
      </c>
      <c r="AB223" s="4">
        <f t="shared" si="33"/>
        <v>190</v>
      </c>
      <c r="AC223" s="4" t="e" cm="1">
        <f t="array" ref="AC223">_xlfn.XLOOKUP(1,('1994 E Maize Soil VWC'!$C$2:$C$5000=$AA223)*('1994 E Maize Soil VWC'!$D$2:$D$5000=$AB223)*('1994 E Maize Soil VWC'!$E$2:$E$5000=AC$5),'1994 E Maize Soil VWC'!$F$2:$F$5000)</f>
        <v>#N/A</v>
      </c>
      <c r="AD223" s="4" t="e" cm="1">
        <f t="array" ref="AD223">_xlfn.XLOOKUP(1,('1994 E Maize Soil VWC'!$C$2:$C$5000=$AA223)*('1994 E Maize Soil VWC'!$D$2:$D$5000=$AB223)*('1994 E Maize Soil VWC'!$E$2:$E$5000=AD$5),'1994 E Maize Soil VWC'!$F$2:$F$5000)</f>
        <v>#N/A</v>
      </c>
      <c r="AE223" s="4" t="e" cm="1">
        <f t="array" ref="AE223">_xlfn.XLOOKUP(1,('1994 E Maize Soil VWC'!$C$2:$C$5000=$AA223)*('1994 E Maize Soil VWC'!$D$2:$D$5000=$AB223)*('1994 E Maize Soil VWC'!$E$2:$E$5000=AE$5),'1994 E Maize Soil VWC'!$F$2:$F$5000)</f>
        <v>#N/A</v>
      </c>
      <c r="AF223" s="4" t="e" cm="1">
        <f t="array" ref="AF223">_xlfn.XLOOKUP(1,('1994 E Maize Soil VWC'!$C$2:$C$5000=$AA223)*('1994 E Maize Soil VWC'!$D$2:$D$5000=$AB223)*('1994 E Maize Soil VWC'!$E$2:$E$5000=AF$5),'1994 E Maize Soil VWC'!$F$2:$F$5000)</f>
        <v>#N/A</v>
      </c>
      <c r="AG223" s="4" t="e" cm="1">
        <f t="array" ref="AG223">_xlfn.XLOOKUP(1,('1994 E Maize Soil VWC'!$C$2:$C$5000=$AA223)*('1994 E Maize Soil VWC'!$D$2:$D$5000=$AB223)*('1994 E Maize Soil VWC'!$E$2:$E$5000=AG$5),'1994 E Maize Soil VWC'!$F$2:$F$5000)</f>
        <v>#N/A</v>
      </c>
      <c r="AH223" s="4" t="e" cm="1">
        <f t="array" ref="AH223">_xlfn.XLOOKUP(1,('1994 E Maize Soil VWC'!$C$2:$C$5000=$AA223)*('1994 E Maize Soil VWC'!$D$2:$D$5000=$AB223)*('1994 E Maize Soil VWC'!$E$2:$E$5000=AH$5),'1994 E Maize Soil VWC'!$F$2:$F$5000)</f>
        <v>#N/A</v>
      </c>
      <c r="AI223" s="4" t="e" cm="1">
        <f t="array" ref="AI223">_xlfn.XLOOKUP(1,('1994 E Maize Soil VWC'!$C$2:$C$5000=$AA223)*('1994 E Maize Soil VWC'!$D$2:$D$5000=$AB223)*('1994 E Maize Soil VWC'!$E$2:$E$5000=AI$5),'1994 E Maize Soil VWC'!$F$2:$F$5000)</f>
        <v>#N/A</v>
      </c>
      <c r="AJ223" s="4" t="e" cm="1">
        <f t="array" ref="AJ223">_xlfn.XLOOKUP(1,('1994 E Maize Soil VWC'!$C$2:$C$5000=$AA223)*('1994 E Maize Soil VWC'!$D$2:$D$5000=$AB223)*('1994 E Maize Soil VWC'!$E$2:$E$5000=AJ$5),'1994 E Maize Soil VWC'!$F$2:$F$5000)</f>
        <v>#N/A</v>
      </c>
      <c r="AK223" s="4" t="e" cm="1">
        <f t="array" ref="AK223">_xlfn.XLOOKUP(1,('1994 E Maize Soil VWC'!$C$2:$C$5000=$AA223)*('1994 E Maize Soil VWC'!$D$2:$D$5000=$AB223)*('1994 E Maize Soil VWC'!$E$2:$E$5000=AK$5),'1994 E Maize Soil VWC'!$F$2:$F$5000)</f>
        <v>#N/A</v>
      </c>
      <c r="AL223" s="4" t="e" cm="1">
        <f t="array" ref="AL223">_xlfn.XLOOKUP(1,('1994 E Maize Soil VWC'!$C$2:$C$5000=$AA223)*('1994 E Maize Soil VWC'!$D$2:$D$5000=$AB223)*('1994 E Maize Soil VWC'!$E$2:$E$5000=AL$5),'1994 E Maize Soil VWC'!$F$2:$F$5000)</f>
        <v>#N/A</v>
      </c>
      <c r="AM223" s="4" t="e" cm="1">
        <f t="array" ref="AM223">_xlfn.XLOOKUP(1,('1994 E Maize Soil VWC'!$C$2:$C$5000=$AA223)*('1994 E Maize Soil VWC'!$D$2:$D$5000=$AB223)*('1994 E Maize Soil VWC'!$E$2:$E$5000=AM$5),'1994 E Maize Soil VWC'!$F$2:$F$5000)</f>
        <v>#N/A</v>
      </c>
      <c r="AN223" s="4" t="e" cm="1">
        <f t="array" ref="AN223">_xlfn.XLOOKUP(1,('1994 E Maize Soil VWC'!$C$2:$C$5000=$AA223)*('1994 E Maize Soil VWC'!$D$2:$D$5000=$AB223)*('1994 E Maize Soil VWC'!$E$2:$E$5000=AN$5),'1994 E Maize Soil VWC'!$F$2:$F$5000)</f>
        <v>#N/A</v>
      </c>
    </row>
    <row r="224" spans="25:40" x14ac:dyDescent="0.25">
      <c r="AA224" s="19">
        <f t="shared" si="32"/>
        <v>34334</v>
      </c>
      <c r="AB224" s="4">
        <f t="shared" si="33"/>
        <v>210</v>
      </c>
      <c r="AC224" s="4" t="e" cm="1">
        <f t="array" ref="AC224">_xlfn.XLOOKUP(1,('1994 E Maize Soil VWC'!$C$2:$C$5000=$AA224)*('1994 E Maize Soil VWC'!$D$2:$D$5000=$AB224)*('1994 E Maize Soil VWC'!$E$2:$E$5000=AC$5),'1994 E Maize Soil VWC'!$F$2:$F$5000)</f>
        <v>#N/A</v>
      </c>
      <c r="AD224" s="4" t="e" cm="1">
        <f t="array" ref="AD224">_xlfn.XLOOKUP(1,('1994 E Maize Soil VWC'!$C$2:$C$5000=$AA224)*('1994 E Maize Soil VWC'!$D$2:$D$5000=$AB224)*('1994 E Maize Soil VWC'!$E$2:$E$5000=AD$5),'1994 E Maize Soil VWC'!$F$2:$F$5000)</f>
        <v>#N/A</v>
      </c>
      <c r="AE224" s="4" t="e" cm="1">
        <f t="array" ref="AE224">_xlfn.XLOOKUP(1,('1994 E Maize Soil VWC'!$C$2:$C$5000=$AA224)*('1994 E Maize Soil VWC'!$D$2:$D$5000=$AB224)*('1994 E Maize Soil VWC'!$E$2:$E$5000=AE$5),'1994 E Maize Soil VWC'!$F$2:$F$5000)</f>
        <v>#N/A</v>
      </c>
      <c r="AF224" s="4" t="e" cm="1">
        <f t="array" ref="AF224">_xlfn.XLOOKUP(1,('1994 E Maize Soil VWC'!$C$2:$C$5000=$AA224)*('1994 E Maize Soil VWC'!$D$2:$D$5000=$AB224)*('1994 E Maize Soil VWC'!$E$2:$E$5000=AF$5),'1994 E Maize Soil VWC'!$F$2:$F$5000)</f>
        <v>#N/A</v>
      </c>
      <c r="AG224" s="4" t="e" cm="1">
        <f t="array" ref="AG224">_xlfn.XLOOKUP(1,('1994 E Maize Soil VWC'!$C$2:$C$5000=$AA224)*('1994 E Maize Soil VWC'!$D$2:$D$5000=$AB224)*('1994 E Maize Soil VWC'!$E$2:$E$5000=AG$5),'1994 E Maize Soil VWC'!$F$2:$F$5000)</f>
        <v>#N/A</v>
      </c>
      <c r="AH224" s="4" t="e" cm="1">
        <f t="array" ref="AH224">_xlfn.XLOOKUP(1,('1994 E Maize Soil VWC'!$C$2:$C$5000=$AA224)*('1994 E Maize Soil VWC'!$D$2:$D$5000=$AB224)*('1994 E Maize Soil VWC'!$E$2:$E$5000=AH$5),'1994 E Maize Soil VWC'!$F$2:$F$5000)</f>
        <v>#N/A</v>
      </c>
      <c r="AI224" s="4" t="e" cm="1">
        <f t="array" ref="AI224">_xlfn.XLOOKUP(1,('1994 E Maize Soil VWC'!$C$2:$C$5000=$AA224)*('1994 E Maize Soil VWC'!$D$2:$D$5000=$AB224)*('1994 E Maize Soil VWC'!$E$2:$E$5000=AI$5),'1994 E Maize Soil VWC'!$F$2:$F$5000)</f>
        <v>#N/A</v>
      </c>
      <c r="AJ224" s="4" t="e" cm="1">
        <f t="array" ref="AJ224">_xlfn.XLOOKUP(1,('1994 E Maize Soil VWC'!$C$2:$C$5000=$AA224)*('1994 E Maize Soil VWC'!$D$2:$D$5000=$AB224)*('1994 E Maize Soil VWC'!$E$2:$E$5000=AJ$5),'1994 E Maize Soil VWC'!$F$2:$F$5000)</f>
        <v>#N/A</v>
      </c>
      <c r="AK224" s="4" t="e" cm="1">
        <f t="array" ref="AK224">_xlfn.XLOOKUP(1,('1994 E Maize Soil VWC'!$C$2:$C$5000=$AA224)*('1994 E Maize Soil VWC'!$D$2:$D$5000=$AB224)*('1994 E Maize Soil VWC'!$E$2:$E$5000=AK$5),'1994 E Maize Soil VWC'!$F$2:$F$5000)</f>
        <v>#N/A</v>
      </c>
      <c r="AL224" s="4" t="e" cm="1">
        <f t="array" ref="AL224">_xlfn.XLOOKUP(1,('1994 E Maize Soil VWC'!$C$2:$C$5000=$AA224)*('1994 E Maize Soil VWC'!$D$2:$D$5000=$AB224)*('1994 E Maize Soil VWC'!$E$2:$E$5000=AL$5),'1994 E Maize Soil VWC'!$F$2:$F$5000)</f>
        <v>#N/A</v>
      </c>
      <c r="AM224" s="4" t="e" cm="1">
        <f t="array" ref="AM224">_xlfn.XLOOKUP(1,('1994 E Maize Soil VWC'!$C$2:$C$5000=$AA224)*('1994 E Maize Soil VWC'!$D$2:$D$5000=$AB224)*('1994 E Maize Soil VWC'!$E$2:$E$5000=AM$5),'1994 E Maize Soil VWC'!$F$2:$F$5000)</f>
        <v>#N/A</v>
      </c>
      <c r="AN224" s="4" t="e" cm="1">
        <f t="array" ref="AN224">_xlfn.XLOOKUP(1,('1994 E Maize Soil VWC'!$C$2:$C$5000=$AA224)*('1994 E Maize Soil VWC'!$D$2:$D$5000=$AB224)*('1994 E Maize Soil VWC'!$E$2:$E$5000=AN$5),'1994 E Maize Soil VWC'!$F$2:$F$5000)</f>
        <v>#N/A</v>
      </c>
    </row>
    <row r="225" spans="25:40" x14ac:dyDescent="0.25">
      <c r="AA225" s="19">
        <f t="shared" si="32"/>
        <v>34334</v>
      </c>
      <c r="AB225" s="4">
        <f t="shared" si="33"/>
        <v>230</v>
      </c>
      <c r="AC225" s="4" t="e" cm="1">
        <f t="array" ref="AC225">_xlfn.XLOOKUP(1,('1994 E Maize Soil VWC'!$C$2:$C$5000=$AA225)*('1994 E Maize Soil VWC'!$D$2:$D$5000=$AB225)*('1994 E Maize Soil VWC'!$E$2:$E$5000=AC$5),'1994 E Maize Soil VWC'!$F$2:$F$5000)</f>
        <v>#N/A</v>
      </c>
      <c r="AD225" s="4" t="e" cm="1">
        <f t="array" ref="AD225">_xlfn.XLOOKUP(1,('1994 E Maize Soil VWC'!$C$2:$C$5000=$AA225)*('1994 E Maize Soil VWC'!$D$2:$D$5000=$AB225)*('1994 E Maize Soil VWC'!$E$2:$E$5000=AD$5),'1994 E Maize Soil VWC'!$F$2:$F$5000)</f>
        <v>#N/A</v>
      </c>
      <c r="AE225" s="4" t="e" cm="1">
        <f t="array" ref="AE225">_xlfn.XLOOKUP(1,('1994 E Maize Soil VWC'!$C$2:$C$5000=$AA225)*('1994 E Maize Soil VWC'!$D$2:$D$5000=$AB225)*('1994 E Maize Soil VWC'!$E$2:$E$5000=AE$5),'1994 E Maize Soil VWC'!$F$2:$F$5000)</f>
        <v>#N/A</v>
      </c>
      <c r="AF225" s="4" t="e" cm="1">
        <f t="array" ref="AF225">_xlfn.XLOOKUP(1,('1994 E Maize Soil VWC'!$C$2:$C$5000=$AA225)*('1994 E Maize Soil VWC'!$D$2:$D$5000=$AB225)*('1994 E Maize Soil VWC'!$E$2:$E$5000=AF$5),'1994 E Maize Soil VWC'!$F$2:$F$5000)</f>
        <v>#N/A</v>
      </c>
      <c r="AG225" s="4" t="e" cm="1">
        <f t="array" ref="AG225">_xlfn.XLOOKUP(1,('1994 E Maize Soil VWC'!$C$2:$C$5000=$AA225)*('1994 E Maize Soil VWC'!$D$2:$D$5000=$AB225)*('1994 E Maize Soil VWC'!$E$2:$E$5000=AG$5),'1994 E Maize Soil VWC'!$F$2:$F$5000)</f>
        <v>#N/A</v>
      </c>
      <c r="AH225" s="4" t="e" cm="1">
        <f t="array" ref="AH225">_xlfn.XLOOKUP(1,('1994 E Maize Soil VWC'!$C$2:$C$5000=$AA225)*('1994 E Maize Soil VWC'!$D$2:$D$5000=$AB225)*('1994 E Maize Soil VWC'!$E$2:$E$5000=AH$5),'1994 E Maize Soil VWC'!$F$2:$F$5000)</f>
        <v>#N/A</v>
      </c>
      <c r="AI225" s="4" t="e" cm="1">
        <f t="array" ref="AI225">_xlfn.XLOOKUP(1,('1994 E Maize Soil VWC'!$C$2:$C$5000=$AA225)*('1994 E Maize Soil VWC'!$D$2:$D$5000=$AB225)*('1994 E Maize Soil VWC'!$E$2:$E$5000=AI$5),'1994 E Maize Soil VWC'!$F$2:$F$5000)</f>
        <v>#N/A</v>
      </c>
      <c r="AJ225" s="4" t="e" cm="1">
        <f t="array" ref="AJ225">_xlfn.XLOOKUP(1,('1994 E Maize Soil VWC'!$C$2:$C$5000=$AA225)*('1994 E Maize Soil VWC'!$D$2:$D$5000=$AB225)*('1994 E Maize Soil VWC'!$E$2:$E$5000=AJ$5),'1994 E Maize Soil VWC'!$F$2:$F$5000)</f>
        <v>#N/A</v>
      </c>
      <c r="AK225" s="4" t="e" cm="1">
        <f t="array" ref="AK225">_xlfn.XLOOKUP(1,('1994 E Maize Soil VWC'!$C$2:$C$5000=$AA225)*('1994 E Maize Soil VWC'!$D$2:$D$5000=$AB225)*('1994 E Maize Soil VWC'!$E$2:$E$5000=AK$5),'1994 E Maize Soil VWC'!$F$2:$F$5000)</f>
        <v>#N/A</v>
      </c>
      <c r="AL225" s="4" t="e" cm="1">
        <f t="array" ref="AL225">_xlfn.XLOOKUP(1,('1994 E Maize Soil VWC'!$C$2:$C$5000=$AA225)*('1994 E Maize Soil VWC'!$D$2:$D$5000=$AB225)*('1994 E Maize Soil VWC'!$E$2:$E$5000=AL$5),'1994 E Maize Soil VWC'!$F$2:$F$5000)</f>
        <v>#N/A</v>
      </c>
      <c r="AM225" s="4" t="e" cm="1">
        <f t="array" ref="AM225">_xlfn.XLOOKUP(1,('1994 E Maize Soil VWC'!$C$2:$C$5000=$AA225)*('1994 E Maize Soil VWC'!$D$2:$D$5000=$AB225)*('1994 E Maize Soil VWC'!$E$2:$E$5000=AM$5),'1994 E Maize Soil VWC'!$F$2:$F$5000)</f>
        <v>#N/A</v>
      </c>
      <c r="AN225" s="4" t="e" cm="1">
        <f t="array" ref="AN225">_xlfn.XLOOKUP(1,('1994 E Maize Soil VWC'!$C$2:$C$5000=$AA225)*('1994 E Maize Soil VWC'!$D$2:$D$5000=$AB225)*('1994 E Maize Soil VWC'!$E$2:$E$5000=AN$5),'1994 E Maize Soil VWC'!$F$2:$F$5000)</f>
        <v>#N/A</v>
      </c>
    </row>
    <row r="226" spans="25:40" x14ac:dyDescent="0.25">
      <c r="AC226" s="4">
        <v>1</v>
      </c>
      <c r="AD226" s="4">
        <v>2</v>
      </c>
      <c r="AE226" s="4">
        <v>3</v>
      </c>
      <c r="AF226" s="4">
        <v>4</v>
      </c>
      <c r="AG226" s="4">
        <v>5</v>
      </c>
      <c r="AH226" s="4">
        <v>6</v>
      </c>
      <c r="AI226" s="4">
        <v>7</v>
      </c>
      <c r="AJ226" s="4">
        <v>8</v>
      </c>
      <c r="AK226" s="4">
        <v>9</v>
      </c>
      <c r="AL226" s="4">
        <v>10</v>
      </c>
      <c r="AM226" s="4">
        <v>11</v>
      </c>
      <c r="AN226" s="4">
        <v>12</v>
      </c>
    </row>
    <row r="227" spans="25:40" x14ac:dyDescent="0.25">
      <c r="Y227" s="4">
        <f>Y214</f>
        <v>1994</v>
      </c>
      <c r="Z227" s="4">
        <v>0</v>
      </c>
      <c r="AA227" s="19">
        <f>DATE(Y227,1,Z227)</f>
        <v>34334</v>
      </c>
      <c r="AB227" s="4">
        <v>10</v>
      </c>
      <c r="AC227" s="4" t="e" cm="1">
        <f t="array" ref="AC227">_xlfn.XLOOKUP(1,('1994 E Maize Soil VWC'!$C$2:$C$5000=$AA227)*('1994 E Maize Soil VWC'!$D$2:$D$5000=$AB227)*('1994 E Maize Soil VWC'!$E$2:$E$5000=AC$5),'1994 E Maize Soil VWC'!$F$2:$F$5000)</f>
        <v>#N/A</v>
      </c>
      <c r="AD227" s="4" t="e" cm="1">
        <f t="array" ref="AD227">_xlfn.XLOOKUP(1,('1994 E Maize Soil VWC'!$C$2:$C$5000=$AA227)*('1994 E Maize Soil VWC'!$D$2:$D$5000=$AB227)*('1994 E Maize Soil VWC'!$E$2:$E$5000=AD$5),'1994 E Maize Soil VWC'!$F$2:$F$5000)</f>
        <v>#N/A</v>
      </c>
      <c r="AE227" s="4" t="e" cm="1">
        <f t="array" ref="AE227">_xlfn.XLOOKUP(1,('1994 E Maize Soil VWC'!$C$2:$C$5000=$AA227)*('1994 E Maize Soil VWC'!$D$2:$D$5000=$AB227)*('1994 E Maize Soil VWC'!$E$2:$E$5000=AE$5),'1994 E Maize Soil VWC'!$F$2:$F$5000)</f>
        <v>#N/A</v>
      </c>
      <c r="AF227" s="4" t="e" cm="1">
        <f t="array" ref="AF227">_xlfn.XLOOKUP(1,('1994 E Maize Soil VWC'!$C$2:$C$5000=$AA227)*('1994 E Maize Soil VWC'!$D$2:$D$5000=$AB227)*('1994 E Maize Soil VWC'!$E$2:$E$5000=AF$5),'1994 E Maize Soil VWC'!$F$2:$F$5000)</f>
        <v>#N/A</v>
      </c>
      <c r="AG227" s="4" t="e" cm="1">
        <f t="array" ref="AG227">_xlfn.XLOOKUP(1,('1994 E Maize Soil VWC'!$C$2:$C$5000=$AA227)*('1994 E Maize Soil VWC'!$D$2:$D$5000=$AB227)*('1994 E Maize Soil VWC'!$E$2:$E$5000=AG$5),'1994 E Maize Soil VWC'!$F$2:$F$5000)</f>
        <v>#N/A</v>
      </c>
      <c r="AH227" s="4" t="e" cm="1">
        <f t="array" ref="AH227">_xlfn.XLOOKUP(1,('1994 E Maize Soil VWC'!$C$2:$C$5000=$AA227)*('1994 E Maize Soil VWC'!$D$2:$D$5000=$AB227)*('1994 E Maize Soil VWC'!$E$2:$E$5000=AH$5),'1994 E Maize Soil VWC'!$F$2:$F$5000)</f>
        <v>#N/A</v>
      </c>
      <c r="AI227" s="4" t="e" cm="1">
        <f t="array" ref="AI227">_xlfn.XLOOKUP(1,('1994 E Maize Soil VWC'!$C$2:$C$5000=$AA227)*('1994 E Maize Soil VWC'!$D$2:$D$5000=$AB227)*('1994 E Maize Soil VWC'!$E$2:$E$5000=AI$5),'1994 E Maize Soil VWC'!$F$2:$F$5000)</f>
        <v>#N/A</v>
      </c>
      <c r="AJ227" s="4" t="e" cm="1">
        <f t="array" ref="AJ227">_xlfn.XLOOKUP(1,('1994 E Maize Soil VWC'!$C$2:$C$5000=$AA227)*('1994 E Maize Soil VWC'!$D$2:$D$5000=$AB227)*('1994 E Maize Soil VWC'!$E$2:$E$5000=AJ$5),'1994 E Maize Soil VWC'!$F$2:$F$5000)</f>
        <v>#N/A</v>
      </c>
      <c r="AK227" s="4" t="e" cm="1">
        <f t="array" ref="AK227">_xlfn.XLOOKUP(1,('1994 E Maize Soil VWC'!$C$2:$C$5000=$AA227)*('1994 E Maize Soil VWC'!$D$2:$D$5000=$AB227)*('1994 E Maize Soil VWC'!$E$2:$E$5000=AK$5),'1994 E Maize Soil VWC'!$F$2:$F$5000)</f>
        <v>#N/A</v>
      </c>
      <c r="AL227" s="4" t="e" cm="1">
        <f t="array" ref="AL227">_xlfn.XLOOKUP(1,('1994 E Maize Soil VWC'!$C$2:$C$5000=$AA227)*('1994 E Maize Soil VWC'!$D$2:$D$5000=$AB227)*('1994 E Maize Soil VWC'!$E$2:$E$5000=AL$5),'1994 E Maize Soil VWC'!$F$2:$F$5000)</f>
        <v>#N/A</v>
      </c>
      <c r="AM227" s="4" t="e" cm="1">
        <f t="array" ref="AM227">_xlfn.XLOOKUP(1,('1994 E Maize Soil VWC'!$C$2:$C$5000=$AA227)*('1994 E Maize Soil VWC'!$D$2:$D$5000=$AB227)*('1994 E Maize Soil VWC'!$E$2:$E$5000=AM$5),'1994 E Maize Soil VWC'!$F$2:$F$5000)</f>
        <v>#N/A</v>
      </c>
      <c r="AN227" s="4" t="e" cm="1">
        <f t="array" ref="AN227">_xlfn.XLOOKUP(1,('1994 E Maize Soil VWC'!$C$2:$C$5000=$AA227)*('1994 E Maize Soil VWC'!$D$2:$D$5000=$AB227)*('1994 E Maize Soil VWC'!$E$2:$E$5000=AN$5),'1994 E Maize Soil VWC'!$F$2:$F$5000)</f>
        <v>#N/A</v>
      </c>
    </row>
    <row r="228" spans="25:40" x14ac:dyDescent="0.25">
      <c r="AA228" s="19">
        <f t="shared" ref="AA228:AA238" si="34">AA227</f>
        <v>34334</v>
      </c>
      <c r="AB228" s="4">
        <f t="shared" ref="AB228:AB238" si="35">AB227+20</f>
        <v>30</v>
      </c>
      <c r="AC228" s="4" t="e" cm="1">
        <f t="array" ref="AC228">_xlfn.XLOOKUP(1,('1994 E Maize Soil VWC'!$C$2:$C$5000=$AA228)*('1994 E Maize Soil VWC'!$D$2:$D$5000=$AB228)*('1994 E Maize Soil VWC'!$E$2:$E$5000=AC$5),'1994 E Maize Soil VWC'!$F$2:$F$5000)</f>
        <v>#N/A</v>
      </c>
      <c r="AD228" s="4" t="e" cm="1">
        <f t="array" ref="AD228">_xlfn.XLOOKUP(1,('1994 E Maize Soil VWC'!$C$2:$C$5000=$AA228)*('1994 E Maize Soil VWC'!$D$2:$D$5000=$AB228)*('1994 E Maize Soil VWC'!$E$2:$E$5000=AD$5),'1994 E Maize Soil VWC'!$F$2:$F$5000)</f>
        <v>#N/A</v>
      </c>
      <c r="AE228" s="4" t="e" cm="1">
        <f t="array" ref="AE228">_xlfn.XLOOKUP(1,('1994 E Maize Soil VWC'!$C$2:$C$5000=$AA228)*('1994 E Maize Soil VWC'!$D$2:$D$5000=$AB228)*('1994 E Maize Soil VWC'!$E$2:$E$5000=AE$5),'1994 E Maize Soil VWC'!$F$2:$F$5000)</f>
        <v>#N/A</v>
      </c>
      <c r="AF228" s="4" t="e" cm="1">
        <f t="array" ref="AF228">_xlfn.XLOOKUP(1,('1994 E Maize Soil VWC'!$C$2:$C$5000=$AA228)*('1994 E Maize Soil VWC'!$D$2:$D$5000=$AB228)*('1994 E Maize Soil VWC'!$E$2:$E$5000=AF$5),'1994 E Maize Soil VWC'!$F$2:$F$5000)</f>
        <v>#N/A</v>
      </c>
      <c r="AG228" s="4" t="e" cm="1">
        <f t="array" ref="AG228">_xlfn.XLOOKUP(1,('1994 E Maize Soil VWC'!$C$2:$C$5000=$AA228)*('1994 E Maize Soil VWC'!$D$2:$D$5000=$AB228)*('1994 E Maize Soil VWC'!$E$2:$E$5000=AG$5),'1994 E Maize Soil VWC'!$F$2:$F$5000)</f>
        <v>#N/A</v>
      </c>
      <c r="AH228" s="4" t="e" cm="1">
        <f t="array" ref="AH228">_xlfn.XLOOKUP(1,('1994 E Maize Soil VWC'!$C$2:$C$5000=$AA228)*('1994 E Maize Soil VWC'!$D$2:$D$5000=$AB228)*('1994 E Maize Soil VWC'!$E$2:$E$5000=AH$5),'1994 E Maize Soil VWC'!$F$2:$F$5000)</f>
        <v>#N/A</v>
      </c>
      <c r="AI228" s="4" t="e" cm="1">
        <f t="array" ref="AI228">_xlfn.XLOOKUP(1,('1994 E Maize Soil VWC'!$C$2:$C$5000=$AA228)*('1994 E Maize Soil VWC'!$D$2:$D$5000=$AB228)*('1994 E Maize Soil VWC'!$E$2:$E$5000=AI$5),'1994 E Maize Soil VWC'!$F$2:$F$5000)</f>
        <v>#N/A</v>
      </c>
      <c r="AJ228" s="4" t="e" cm="1">
        <f t="array" ref="AJ228">_xlfn.XLOOKUP(1,('1994 E Maize Soil VWC'!$C$2:$C$5000=$AA228)*('1994 E Maize Soil VWC'!$D$2:$D$5000=$AB228)*('1994 E Maize Soil VWC'!$E$2:$E$5000=AJ$5),'1994 E Maize Soil VWC'!$F$2:$F$5000)</f>
        <v>#N/A</v>
      </c>
      <c r="AK228" s="4" t="e" cm="1">
        <f t="array" ref="AK228">_xlfn.XLOOKUP(1,('1994 E Maize Soil VWC'!$C$2:$C$5000=$AA228)*('1994 E Maize Soil VWC'!$D$2:$D$5000=$AB228)*('1994 E Maize Soil VWC'!$E$2:$E$5000=AK$5),'1994 E Maize Soil VWC'!$F$2:$F$5000)</f>
        <v>#N/A</v>
      </c>
      <c r="AL228" s="4" t="e" cm="1">
        <f t="array" ref="AL228">_xlfn.XLOOKUP(1,('1994 E Maize Soil VWC'!$C$2:$C$5000=$AA228)*('1994 E Maize Soil VWC'!$D$2:$D$5000=$AB228)*('1994 E Maize Soil VWC'!$E$2:$E$5000=AL$5),'1994 E Maize Soil VWC'!$F$2:$F$5000)</f>
        <v>#N/A</v>
      </c>
      <c r="AM228" s="4" t="e" cm="1">
        <f t="array" ref="AM228">_xlfn.XLOOKUP(1,('1994 E Maize Soil VWC'!$C$2:$C$5000=$AA228)*('1994 E Maize Soil VWC'!$D$2:$D$5000=$AB228)*('1994 E Maize Soil VWC'!$E$2:$E$5000=AM$5),'1994 E Maize Soil VWC'!$F$2:$F$5000)</f>
        <v>#N/A</v>
      </c>
      <c r="AN228" s="4" t="e" cm="1">
        <f t="array" ref="AN228">_xlfn.XLOOKUP(1,('1994 E Maize Soil VWC'!$C$2:$C$5000=$AA228)*('1994 E Maize Soil VWC'!$D$2:$D$5000=$AB228)*('1994 E Maize Soil VWC'!$E$2:$E$5000=AN$5),'1994 E Maize Soil VWC'!$F$2:$F$5000)</f>
        <v>#N/A</v>
      </c>
    </row>
    <row r="229" spans="25:40" x14ac:dyDescent="0.25">
      <c r="AA229" s="19">
        <f t="shared" si="34"/>
        <v>34334</v>
      </c>
      <c r="AB229" s="4">
        <f t="shared" si="35"/>
        <v>50</v>
      </c>
      <c r="AC229" s="4" t="e" cm="1">
        <f t="array" ref="AC229">_xlfn.XLOOKUP(1,('1994 E Maize Soil VWC'!$C$2:$C$5000=$AA229)*('1994 E Maize Soil VWC'!$D$2:$D$5000=$AB229)*('1994 E Maize Soil VWC'!$E$2:$E$5000=AC$5),'1994 E Maize Soil VWC'!$F$2:$F$5000)</f>
        <v>#N/A</v>
      </c>
      <c r="AD229" s="4" t="e" cm="1">
        <f t="array" ref="AD229">_xlfn.XLOOKUP(1,('1994 E Maize Soil VWC'!$C$2:$C$5000=$AA229)*('1994 E Maize Soil VWC'!$D$2:$D$5000=$AB229)*('1994 E Maize Soil VWC'!$E$2:$E$5000=AD$5),'1994 E Maize Soil VWC'!$F$2:$F$5000)</f>
        <v>#N/A</v>
      </c>
      <c r="AE229" s="4" t="e" cm="1">
        <f t="array" ref="AE229">_xlfn.XLOOKUP(1,('1994 E Maize Soil VWC'!$C$2:$C$5000=$AA229)*('1994 E Maize Soil VWC'!$D$2:$D$5000=$AB229)*('1994 E Maize Soil VWC'!$E$2:$E$5000=AE$5),'1994 E Maize Soil VWC'!$F$2:$F$5000)</f>
        <v>#N/A</v>
      </c>
      <c r="AF229" s="4" t="e" cm="1">
        <f t="array" ref="AF229">_xlfn.XLOOKUP(1,('1994 E Maize Soil VWC'!$C$2:$C$5000=$AA229)*('1994 E Maize Soil VWC'!$D$2:$D$5000=$AB229)*('1994 E Maize Soil VWC'!$E$2:$E$5000=AF$5),'1994 E Maize Soil VWC'!$F$2:$F$5000)</f>
        <v>#N/A</v>
      </c>
      <c r="AG229" s="4" t="e" cm="1">
        <f t="array" ref="AG229">_xlfn.XLOOKUP(1,('1994 E Maize Soil VWC'!$C$2:$C$5000=$AA229)*('1994 E Maize Soil VWC'!$D$2:$D$5000=$AB229)*('1994 E Maize Soil VWC'!$E$2:$E$5000=AG$5),'1994 E Maize Soil VWC'!$F$2:$F$5000)</f>
        <v>#N/A</v>
      </c>
      <c r="AH229" s="4" t="e" cm="1">
        <f t="array" ref="AH229">_xlfn.XLOOKUP(1,('1994 E Maize Soil VWC'!$C$2:$C$5000=$AA229)*('1994 E Maize Soil VWC'!$D$2:$D$5000=$AB229)*('1994 E Maize Soil VWC'!$E$2:$E$5000=AH$5),'1994 E Maize Soil VWC'!$F$2:$F$5000)</f>
        <v>#N/A</v>
      </c>
      <c r="AI229" s="4" t="e" cm="1">
        <f t="array" ref="AI229">_xlfn.XLOOKUP(1,('1994 E Maize Soil VWC'!$C$2:$C$5000=$AA229)*('1994 E Maize Soil VWC'!$D$2:$D$5000=$AB229)*('1994 E Maize Soil VWC'!$E$2:$E$5000=AI$5),'1994 E Maize Soil VWC'!$F$2:$F$5000)</f>
        <v>#N/A</v>
      </c>
      <c r="AJ229" s="4" t="e" cm="1">
        <f t="array" ref="AJ229">_xlfn.XLOOKUP(1,('1994 E Maize Soil VWC'!$C$2:$C$5000=$AA229)*('1994 E Maize Soil VWC'!$D$2:$D$5000=$AB229)*('1994 E Maize Soil VWC'!$E$2:$E$5000=AJ$5),'1994 E Maize Soil VWC'!$F$2:$F$5000)</f>
        <v>#N/A</v>
      </c>
      <c r="AK229" s="4" t="e" cm="1">
        <f t="array" ref="AK229">_xlfn.XLOOKUP(1,('1994 E Maize Soil VWC'!$C$2:$C$5000=$AA229)*('1994 E Maize Soil VWC'!$D$2:$D$5000=$AB229)*('1994 E Maize Soil VWC'!$E$2:$E$5000=AK$5),'1994 E Maize Soil VWC'!$F$2:$F$5000)</f>
        <v>#N/A</v>
      </c>
      <c r="AL229" s="4" t="e" cm="1">
        <f t="array" ref="AL229">_xlfn.XLOOKUP(1,('1994 E Maize Soil VWC'!$C$2:$C$5000=$AA229)*('1994 E Maize Soil VWC'!$D$2:$D$5000=$AB229)*('1994 E Maize Soil VWC'!$E$2:$E$5000=AL$5),'1994 E Maize Soil VWC'!$F$2:$F$5000)</f>
        <v>#N/A</v>
      </c>
      <c r="AM229" s="4" t="e" cm="1">
        <f t="array" ref="AM229">_xlfn.XLOOKUP(1,('1994 E Maize Soil VWC'!$C$2:$C$5000=$AA229)*('1994 E Maize Soil VWC'!$D$2:$D$5000=$AB229)*('1994 E Maize Soil VWC'!$E$2:$E$5000=AM$5),'1994 E Maize Soil VWC'!$F$2:$F$5000)</f>
        <v>#N/A</v>
      </c>
      <c r="AN229" s="4" t="e" cm="1">
        <f t="array" ref="AN229">_xlfn.XLOOKUP(1,('1994 E Maize Soil VWC'!$C$2:$C$5000=$AA229)*('1994 E Maize Soil VWC'!$D$2:$D$5000=$AB229)*('1994 E Maize Soil VWC'!$E$2:$E$5000=AN$5),'1994 E Maize Soil VWC'!$F$2:$F$5000)</f>
        <v>#N/A</v>
      </c>
    </row>
    <row r="230" spans="25:40" x14ac:dyDescent="0.25">
      <c r="AA230" s="19">
        <f t="shared" si="34"/>
        <v>34334</v>
      </c>
      <c r="AB230" s="4">
        <f t="shared" si="35"/>
        <v>70</v>
      </c>
      <c r="AC230" s="4" t="e" cm="1">
        <f t="array" ref="AC230">_xlfn.XLOOKUP(1,('1994 E Maize Soil VWC'!$C$2:$C$5000=$AA230)*('1994 E Maize Soil VWC'!$D$2:$D$5000=$AB230)*('1994 E Maize Soil VWC'!$E$2:$E$5000=AC$5),'1994 E Maize Soil VWC'!$F$2:$F$5000)</f>
        <v>#N/A</v>
      </c>
      <c r="AD230" s="4" t="e" cm="1">
        <f t="array" ref="AD230">_xlfn.XLOOKUP(1,('1994 E Maize Soil VWC'!$C$2:$C$5000=$AA230)*('1994 E Maize Soil VWC'!$D$2:$D$5000=$AB230)*('1994 E Maize Soil VWC'!$E$2:$E$5000=AD$5),'1994 E Maize Soil VWC'!$F$2:$F$5000)</f>
        <v>#N/A</v>
      </c>
      <c r="AE230" s="4" t="e" cm="1">
        <f t="array" ref="AE230">_xlfn.XLOOKUP(1,('1994 E Maize Soil VWC'!$C$2:$C$5000=$AA230)*('1994 E Maize Soil VWC'!$D$2:$D$5000=$AB230)*('1994 E Maize Soil VWC'!$E$2:$E$5000=AE$5),'1994 E Maize Soil VWC'!$F$2:$F$5000)</f>
        <v>#N/A</v>
      </c>
      <c r="AF230" s="4" t="e" cm="1">
        <f t="array" ref="AF230">_xlfn.XLOOKUP(1,('1994 E Maize Soil VWC'!$C$2:$C$5000=$AA230)*('1994 E Maize Soil VWC'!$D$2:$D$5000=$AB230)*('1994 E Maize Soil VWC'!$E$2:$E$5000=AF$5),'1994 E Maize Soil VWC'!$F$2:$F$5000)</f>
        <v>#N/A</v>
      </c>
      <c r="AG230" s="4" t="e" cm="1">
        <f t="array" ref="AG230">_xlfn.XLOOKUP(1,('1994 E Maize Soil VWC'!$C$2:$C$5000=$AA230)*('1994 E Maize Soil VWC'!$D$2:$D$5000=$AB230)*('1994 E Maize Soil VWC'!$E$2:$E$5000=AG$5),'1994 E Maize Soil VWC'!$F$2:$F$5000)</f>
        <v>#N/A</v>
      </c>
      <c r="AH230" s="4" t="e" cm="1">
        <f t="array" ref="AH230">_xlfn.XLOOKUP(1,('1994 E Maize Soil VWC'!$C$2:$C$5000=$AA230)*('1994 E Maize Soil VWC'!$D$2:$D$5000=$AB230)*('1994 E Maize Soil VWC'!$E$2:$E$5000=AH$5),'1994 E Maize Soil VWC'!$F$2:$F$5000)</f>
        <v>#N/A</v>
      </c>
      <c r="AI230" s="4" t="e" cm="1">
        <f t="array" ref="AI230">_xlfn.XLOOKUP(1,('1994 E Maize Soil VWC'!$C$2:$C$5000=$AA230)*('1994 E Maize Soil VWC'!$D$2:$D$5000=$AB230)*('1994 E Maize Soil VWC'!$E$2:$E$5000=AI$5),'1994 E Maize Soil VWC'!$F$2:$F$5000)</f>
        <v>#N/A</v>
      </c>
      <c r="AJ230" s="4" t="e" cm="1">
        <f t="array" ref="AJ230">_xlfn.XLOOKUP(1,('1994 E Maize Soil VWC'!$C$2:$C$5000=$AA230)*('1994 E Maize Soil VWC'!$D$2:$D$5000=$AB230)*('1994 E Maize Soil VWC'!$E$2:$E$5000=AJ$5),'1994 E Maize Soil VWC'!$F$2:$F$5000)</f>
        <v>#N/A</v>
      </c>
      <c r="AK230" s="4" t="e" cm="1">
        <f t="array" ref="AK230">_xlfn.XLOOKUP(1,('1994 E Maize Soil VWC'!$C$2:$C$5000=$AA230)*('1994 E Maize Soil VWC'!$D$2:$D$5000=$AB230)*('1994 E Maize Soil VWC'!$E$2:$E$5000=AK$5),'1994 E Maize Soil VWC'!$F$2:$F$5000)</f>
        <v>#N/A</v>
      </c>
      <c r="AL230" s="4" t="e" cm="1">
        <f t="array" ref="AL230">_xlfn.XLOOKUP(1,('1994 E Maize Soil VWC'!$C$2:$C$5000=$AA230)*('1994 E Maize Soil VWC'!$D$2:$D$5000=$AB230)*('1994 E Maize Soil VWC'!$E$2:$E$5000=AL$5),'1994 E Maize Soil VWC'!$F$2:$F$5000)</f>
        <v>#N/A</v>
      </c>
      <c r="AM230" s="4" t="e" cm="1">
        <f t="array" ref="AM230">_xlfn.XLOOKUP(1,('1994 E Maize Soil VWC'!$C$2:$C$5000=$AA230)*('1994 E Maize Soil VWC'!$D$2:$D$5000=$AB230)*('1994 E Maize Soil VWC'!$E$2:$E$5000=AM$5),'1994 E Maize Soil VWC'!$F$2:$F$5000)</f>
        <v>#N/A</v>
      </c>
      <c r="AN230" s="4" t="e" cm="1">
        <f t="array" ref="AN230">_xlfn.XLOOKUP(1,('1994 E Maize Soil VWC'!$C$2:$C$5000=$AA230)*('1994 E Maize Soil VWC'!$D$2:$D$5000=$AB230)*('1994 E Maize Soil VWC'!$E$2:$E$5000=AN$5),'1994 E Maize Soil VWC'!$F$2:$F$5000)</f>
        <v>#N/A</v>
      </c>
    </row>
    <row r="231" spans="25:40" x14ac:dyDescent="0.25">
      <c r="AA231" s="19">
        <f t="shared" si="34"/>
        <v>34334</v>
      </c>
      <c r="AB231" s="4">
        <f t="shared" si="35"/>
        <v>90</v>
      </c>
      <c r="AC231" s="4" t="e" cm="1">
        <f t="array" ref="AC231">_xlfn.XLOOKUP(1,('1994 E Maize Soil VWC'!$C$2:$C$5000=$AA231)*('1994 E Maize Soil VWC'!$D$2:$D$5000=$AB231)*('1994 E Maize Soil VWC'!$E$2:$E$5000=AC$5),'1994 E Maize Soil VWC'!$F$2:$F$5000)</f>
        <v>#N/A</v>
      </c>
      <c r="AD231" s="4" t="e" cm="1">
        <f t="array" ref="AD231">_xlfn.XLOOKUP(1,('1994 E Maize Soil VWC'!$C$2:$C$5000=$AA231)*('1994 E Maize Soil VWC'!$D$2:$D$5000=$AB231)*('1994 E Maize Soil VWC'!$E$2:$E$5000=AD$5),'1994 E Maize Soil VWC'!$F$2:$F$5000)</f>
        <v>#N/A</v>
      </c>
      <c r="AE231" s="4" t="e" cm="1">
        <f t="array" ref="AE231">_xlfn.XLOOKUP(1,('1994 E Maize Soil VWC'!$C$2:$C$5000=$AA231)*('1994 E Maize Soil VWC'!$D$2:$D$5000=$AB231)*('1994 E Maize Soil VWC'!$E$2:$E$5000=AE$5),'1994 E Maize Soil VWC'!$F$2:$F$5000)</f>
        <v>#N/A</v>
      </c>
      <c r="AF231" s="4" t="e" cm="1">
        <f t="array" ref="AF231">_xlfn.XLOOKUP(1,('1994 E Maize Soil VWC'!$C$2:$C$5000=$AA231)*('1994 E Maize Soil VWC'!$D$2:$D$5000=$AB231)*('1994 E Maize Soil VWC'!$E$2:$E$5000=AF$5),'1994 E Maize Soil VWC'!$F$2:$F$5000)</f>
        <v>#N/A</v>
      </c>
      <c r="AG231" s="4" t="e" cm="1">
        <f t="array" ref="AG231">_xlfn.XLOOKUP(1,('1994 E Maize Soil VWC'!$C$2:$C$5000=$AA231)*('1994 E Maize Soil VWC'!$D$2:$D$5000=$AB231)*('1994 E Maize Soil VWC'!$E$2:$E$5000=AG$5),'1994 E Maize Soil VWC'!$F$2:$F$5000)</f>
        <v>#N/A</v>
      </c>
      <c r="AH231" s="4" t="e" cm="1">
        <f t="array" ref="AH231">_xlfn.XLOOKUP(1,('1994 E Maize Soil VWC'!$C$2:$C$5000=$AA231)*('1994 E Maize Soil VWC'!$D$2:$D$5000=$AB231)*('1994 E Maize Soil VWC'!$E$2:$E$5000=AH$5),'1994 E Maize Soil VWC'!$F$2:$F$5000)</f>
        <v>#N/A</v>
      </c>
      <c r="AI231" s="4" t="e" cm="1">
        <f t="array" ref="AI231">_xlfn.XLOOKUP(1,('1994 E Maize Soil VWC'!$C$2:$C$5000=$AA231)*('1994 E Maize Soil VWC'!$D$2:$D$5000=$AB231)*('1994 E Maize Soil VWC'!$E$2:$E$5000=AI$5),'1994 E Maize Soil VWC'!$F$2:$F$5000)</f>
        <v>#N/A</v>
      </c>
      <c r="AJ231" s="4" t="e" cm="1">
        <f t="array" ref="AJ231">_xlfn.XLOOKUP(1,('1994 E Maize Soil VWC'!$C$2:$C$5000=$AA231)*('1994 E Maize Soil VWC'!$D$2:$D$5000=$AB231)*('1994 E Maize Soil VWC'!$E$2:$E$5000=AJ$5),'1994 E Maize Soil VWC'!$F$2:$F$5000)</f>
        <v>#N/A</v>
      </c>
      <c r="AK231" s="4" t="e" cm="1">
        <f t="array" ref="AK231">_xlfn.XLOOKUP(1,('1994 E Maize Soil VWC'!$C$2:$C$5000=$AA231)*('1994 E Maize Soil VWC'!$D$2:$D$5000=$AB231)*('1994 E Maize Soil VWC'!$E$2:$E$5000=AK$5),'1994 E Maize Soil VWC'!$F$2:$F$5000)</f>
        <v>#N/A</v>
      </c>
      <c r="AL231" s="4" t="e" cm="1">
        <f t="array" ref="AL231">_xlfn.XLOOKUP(1,('1994 E Maize Soil VWC'!$C$2:$C$5000=$AA231)*('1994 E Maize Soil VWC'!$D$2:$D$5000=$AB231)*('1994 E Maize Soil VWC'!$E$2:$E$5000=AL$5),'1994 E Maize Soil VWC'!$F$2:$F$5000)</f>
        <v>#N/A</v>
      </c>
      <c r="AM231" s="4" t="e" cm="1">
        <f t="array" ref="AM231">_xlfn.XLOOKUP(1,('1994 E Maize Soil VWC'!$C$2:$C$5000=$AA231)*('1994 E Maize Soil VWC'!$D$2:$D$5000=$AB231)*('1994 E Maize Soil VWC'!$E$2:$E$5000=AM$5),'1994 E Maize Soil VWC'!$F$2:$F$5000)</f>
        <v>#N/A</v>
      </c>
      <c r="AN231" s="4" t="e" cm="1">
        <f t="array" ref="AN231">_xlfn.XLOOKUP(1,('1994 E Maize Soil VWC'!$C$2:$C$5000=$AA231)*('1994 E Maize Soil VWC'!$D$2:$D$5000=$AB231)*('1994 E Maize Soil VWC'!$E$2:$E$5000=AN$5),'1994 E Maize Soil VWC'!$F$2:$F$5000)</f>
        <v>#N/A</v>
      </c>
    </row>
    <row r="232" spans="25:40" x14ac:dyDescent="0.25">
      <c r="AA232" s="19">
        <f t="shared" si="34"/>
        <v>34334</v>
      </c>
      <c r="AB232" s="4">
        <f t="shared" si="35"/>
        <v>110</v>
      </c>
      <c r="AC232" s="4" t="e" cm="1">
        <f t="array" ref="AC232">_xlfn.XLOOKUP(1,('1994 E Maize Soil VWC'!$C$2:$C$5000=$AA232)*('1994 E Maize Soil VWC'!$D$2:$D$5000=$AB232)*('1994 E Maize Soil VWC'!$E$2:$E$5000=AC$5),'1994 E Maize Soil VWC'!$F$2:$F$5000)</f>
        <v>#N/A</v>
      </c>
      <c r="AD232" s="4" t="e" cm="1">
        <f t="array" ref="AD232">_xlfn.XLOOKUP(1,('1994 E Maize Soil VWC'!$C$2:$C$5000=$AA232)*('1994 E Maize Soil VWC'!$D$2:$D$5000=$AB232)*('1994 E Maize Soil VWC'!$E$2:$E$5000=AD$5),'1994 E Maize Soil VWC'!$F$2:$F$5000)</f>
        <v>#N/A</v>
      </c>
      <c r="AE232" s="4" t="e" cm="1">
        <f t="array" ref="AE232">_xlfn.XLOOKUP(1,('1994 E Maize Soil VWC'!$C$2:$C$5000=$AA232)*('1994 E Maize Soil VWC'!$D$2:$D$5000=$AB232)*('1994 E Maize Soil VWC'!$E$2:$E$5000=AE$5),'1994 E Maize Soil VWC'!$F$2:$F$5000)</f>
        <v>#N/A</v>
      </c>
      <c r="AF232" s="4" t="e" cm="1">
        <f t="array" ref="AF232">_xlfn.XLOOKUP(1,('1994 E Maize Soil VWC'!$C$2:$C$5000=$AA232)*('1994 E Maize Soil VWC'!$D$2:$D$5000=$AB232)*('1994 E Maize Soil VWC'!$E$2:$E$5000=AF$5),'1994 E Maize Soil VWC'!$F$2:$F$5000)</f>
        <v>#N/A</v>
      </c>
      <c r="AG232" s="4" t="e" cm="1">
        <f t="array" ref="AG232">_xlfn.XLOOKUP(1,('1994 E Maize Soil VWC'!$C$2:$C$5000=$AA232)*('1994 E Maize Soil VWC'!$D$2:$D$5000=$AB232)*('1994 E Maize Soil VWC'!$E$2:$E$5000=AG$5),'1994 E Maize Soil VWC'!$F$2:$F$5000)</f>
        <v>#N/A</v>
      </c>
      <c r="AH232" s="4" t="e" cm="1">
        <f t="array" ref="AH232">_xlfn.XLOOKUP(1,('1994 E Maize Soil VWC'!$C$2:$C$5000=$AA232)*('1994 E Maize Soil VWC'!$D$2:$D$5000=$AB232)*('1994 E Maize Soil VWC'!$E$2:$E$5000=AH$5),'1994 E Maize Soil VWC'!$F$2:$F$5000)</f>
        <v>#N/A</v>
      </c>
      <c r="AI232" s="4" t="e" cm="1">
        <f t="array" ref="AI232">_xlfn.XLOOKUP(1,('1994 E Maize Soil VWC'!$C$2:$C$5000=$AA232)*('1994 E Maize Soil VWC'!$D$2:$D$5000=$AB232)*('1994 E Maize Soil VWC'!$E$2:$E$5000=AI$5),'1994 E Maize Soil VWC'!$F$2:$F$5000)</f>
        <v>#N/A</v>
      </c>
      <c r="AJ232" s="4" t="e" cm="1">
        <f t="array" ref="AJ232">_xlfn.XLOOKUP(1,('1994 E Maize Soil VWC'!$C$2:$C$5000=$AA232)*('1994 E Maize Soil VWC'!$D$2:$D$5000=$AB232)*('1994 E Maize Soil VWC'!$E$2:$E$5000=AJ$5),'1994 E Maize Soil VWC'!$F$2:$F$5000)</f>
        <v>#N/A</v>
      </c>
      <c r="AK232" s="4" t="e" cm="1">
        <f t="array" ref="AK232">_xlfn.XLOOKUP(1,('1994 E Maize Soil VWC'!$C$2:$C$5000=$AA232)*('1994 E Maize Soil VWC'!$D$2:$D$5000=$AB232)*('1994 E Maize Soil VWC'!$E$2:$E$5000=AK$5),'1994 E Maize Soil VWC'!$F$2:$F$5000)</f>
        <v>#N/A</v>
      </c>
      <c r="AL232" s="4" t="e" cm="1">
        <f t="array" ref="AL232">_xlfn.XLOOKUP(1,('1994 E Maize Soil VWC'!$C$2:$C$5000=$AA232)*('1994 E Maize Soil VWC'!$D$2:$D$5000=$AB232)*('1994 E Maize Soil VWC'!$E$2:$E$5000=AL$5),'1994 E Maize Soil VWC'!$F$2:$F$5000)</f>
        <v>#N/A</v>
      </c>
      <c r="AM232" s="4" t="e" cm="1">
        <f t="array" ref="AM232">_xlfn.XLOOKUP(1,('1994 E Maize Soil VWC'!$C$2:$C$5000=$AA232)*('1994 E Maize Soil VWC'!$D$2:$D$5000=$AB232)*('1994 E Maize Soil VWC'!$E$2:$E$5000=AM$5),'1994 E Maize Soil VWC'!$F$2:$F$5000)</f>
        <v>#N/A</v>
      </c>
      <c r="AN232" s="4" t="e" cm="1">
        <f t="array" ref="AN232">_xlfn.XLOOKUP(1,('1994 E Maize Soil VWC'!$C$2:$C$5000=$AA232)*('1994 E Maize Soil VWC'!$D$2:$D$5000=$AB232)*('1994 E Maize Soil VWC'!$E$2:$E$5000=AN$5),'1994 E Maize Soil VWC'!$F$2:$F$5000)</f>
        <v>#N/A</v>
      </c>
    </row>
    <row r="233" spans="25:40" x14ac:dyDescent="0.25">
      <c r="AA233" s="19">
        <f t="shared" si="34"/>
        <v>34334</v>
      </c>
      <c r="AB233" s="4">
        <f t="shared" si="35"/>
        <v>130</v>
      </c>
      <c r="AC233" s="4" t="e" cm="1">
        <f t="array" ref="AC233">_xlfn.XLOOKUP(1,('1994 E Maize Soil VWC'!$C$2:$C$5000=$AA233)*('1994 E Maize Soil VWC'!$D$2:$D$5000=$AB233)*('1994 E Maize Soil VWC'!$E$2:$E$5000=AC$5),'1994 E Maize Soil VWC'!$F$2:$F$5000)</f>
        <v>#N/A</v>
      </c>
      <c r="AD233" s="4" t="e" cm="1">
        <f t="array" ref="AD233">_xlfn.XLOOKUP(1,('1994 E Maize Soil VWC'!$C$2:$C$5000=$AA233)*('1994 E Maize Soil VWC'!$D$2:$D$5000=$AB233)*('1994 E Maize Soil VWC'!$E$2:$E$5000=AD$5),'1994 E Maize Soil VWC'!$F$2:$F$5000)</f>
        <v>#N/A</v>
      </c>
      <c r="AE233" s="4" t="e" cm="1">
        <f t="array" ref="AE233">_xlfn.XLOOKUP(1,('1994 E Maize Soil VWC'!$C$2:$C$5000=$AA233)*('1994 E Maize Soil VWC'!$D$2:$D$5000=$AB233)*('1994 E Maize Soil VWC'!$E$2:$E$5000=AE$5),'1994 E Maize Soil VWC'!$F$2:$F$5000)</f>
        <v>#N/A</v>
      </c>
      <c r="AF233" s="4" t="e" cm="1">
        <f t="array" ref="AF233">_xlfn.XLOOKUP(1,('1994 E Maize Soil VWC'!$C$2:$C$5000=$AA233)*('1994 E Maize Soil VWC'!$D$2:$D$5000=$AB233)*('1994 E Maize Soil VWC'!$E$2:$E$5000=AF$5),'1994 E Maize Soil VWC'!$F$2:$F$5000)</f>
        <v>#N/A</v>
      </c>
      <c r="AG233" s="4" t="e" cm="1">
        <f t="array" ref="AG233">_xlfn.XLOOKUP(1,('1994 E Maize Soil VWC'!$C$2:$C$5000=$AA233)*('1994 E Maize Soil VWC'!$D$2:$D$5000=$AB233)*('1994 E Maize Soil VWC'!$E$2:$E$5000=AG$5),'1994 E Maize Soil VWC'!$F$2:$F$5000)</f>
        <v>#N/A</v>
      </c>
      <c r="AH233" s="4" t="e" cm="1">
        <f t="array" ref="AH233">_xlfn.XLOOKUP(1,('1994 E Maize Soil VWC'!$C$2:$C$5000=$AA233)*('1994 E Maize Soil VWC'!$D$2:$D$5000=$AB233)*('1994 E Maize Soil VWC'!$E$2:$E$5000=AH$5),'1994 E Maize Soil VWC'!$F$2:$F$5000)</f>
        <v>#N/A</v>
      </c>
      <c r="AI233" s="4" t="e" cm="1">
        <f t="array" ref="AI233">_xlfn.XLOOKUP(1,('1994 E Maize Soil VWC'!$C$2:$C$5000=$AA233)*('1994 E Maize Soil VWC'!$D$2:$D$5000=$AB233)*('1994 E Maize Soil VWC'!$E$2:$E$5000=AI$5),'1994 E Maize Soil VWC'!$F$2:$F$5000)</f>
        <v>#N/A</v>
      </c>
      <c r="AJ233" s="4" t="e" cm="1">
        <f t="array" ref="AJ233">_xlfn.XLOOKUP(1,('1994 E Maize Soil VWC'!$C$2:$C$5000=$AA233)*('1994 E Maize Soil VWC'!$D$2:$D$5000=$AB233)*('1994 E Maize Soil VWC'!$E$2:$E$5000=AJ$5),'1994 E Maize Soil VWC'!$F$2:$F$5000)</f>
        <v>#N/A</v>
      </c>
      <c r="AK233" s="4" t="e" cm="1">
        <f t="array" ref="AK233">_xlfn.XLOOKUP(1,('1994 E Maize Soil VWC'!$C$2:$C$5000=$AA233)*('1994 E Maize Soil VWC'!$D$2:$D$5000=$AB233)*('1994 E Maize Soil VWC'!$E$2:$E$5000=AK$5),'1994 E Maize Soil VWC'!$F$2:$F$5000)</f>
        <v>#N/A</v>
      </c>
      <c r="AL233" s="4" t="e" cm="1">
        <f t="array" ref="AL233">_xlfn.XLOOKUP(1,('1994 E Maize Soil VWC'!$C$2:$C$5000=$AA233)*('1994 E Maize Soil VWC'!$D$2:$D$5000=$AB233)*('1994 E Maize Soil VWC'!$E$2:$E$5000=AL$5),'1994 E Maize Soil VWC'!$F$2:$F$5000)</f>
        <v>#N/A</v>
      </c>
      <c r="AM233" s="4" t="e" cm="1">
        <f t="array" ref="AM233">_xlfn.XLOOKUP(1,('1994 E Maize Soil VWC'!$C$2:$C$5000=$AA233)*('1994 E Maize Soil VWC'!$D$2:$D$5000=$AB233)*('1994 E Maize Soil VWC'!$E$2:$E$5000=AM$5),'1994 E Maize Soil VWC'!$F$2:$F$5000)</f>
        <v>#N/A</v>
      </c>
      <c r="AN233" s="4" t="e" cm="1">
        <f t="array" ref="AN233">_xlfn.XLOOKUP(1,('1994 E Maize Soil VWC'!$C$2:$C$5000=$AA233)*('1994 E Maize Soil VWC'!$D$2:$D$5000=$AB233)*('1994 E Maize Soil VWC'!$E$2:$E$5000=AN$5),'1994 E Maize Soil VWC'!$F$2:$F$5000)</f>
        <v>#N/A</v>
      </c>
    </row>
    <row r="234" spans="25:40" x14ac:dyDescent="0.25">
      <c r="AA234" s="19">
        <f t="shared" si="34"/>
        <v>34334</v>
      </c>
      <c r="AB234" s="4">
        <f t="shared" si="35"/>
        <v>150</v>
      </c>
      <c r="AC234" s="4" t="e" cm="1">
        <f t="array" ref="AC234">_xlfn.XLOOKUP(1,('1994 E Maize Soil VWC'!$C$2:$C$5000=$AA234)*('1994 E Maize Soil VWC'!$D$2:$D$5000=$AB234)*('1994 E Maize Soil VWC'!$E$2:$E$5000=AC$5),'1994 E Maize Soil VWC'!$F$2:$F$5000)</f>
        <v>#N/A</v>
      </c>
      <c r="AD234" s="4" t="e" cm="1">
        <f t="array" ref="AD234">_xlfn.XLOOKUP(1,('1994 E Maize Soil VWC'!$C$2:$C$5000=$AA234)*('1994 E Maize Soil VWC'!$D$2:$D$5000=$AB234)*('1994 E Maize Soil VWC'!$E$2:$E$5000=AD$5),'1994 E Maize Soil VWC'!$F$2:$F$5000)</f>
        <v>#N/A</v>
      </c>
      <c r="AE234" s="4" t="e" cm="1">
        <f t="array" ref="AE234">_xlfn.XLOOKUP(1,('1994 E Maize Soil VWC'!$C$2:$C$5000=$AA234)*('1994 E Maize Soil VWC'!$D$2:$D$5000=$AB234)*('1994 E Maize Soil VWC'!$E$2:$E$5000=AE$5),'1994 E Maize Soil VWC'!$F$2:$F$5000)</f>
        <v>#N/A</v>
      </c>
      <c r="AF234" s="4" t="e" cm="1">
        <f t="array" ref="AF234">_xlfn.XLOOKUP(1,('1994 E Maize Soil VWC'!$C$2:$C$5000=$AA234)*('1994 E Maize Soil VWC'!$D$2:$D$5000=$AB234)*('1994 E Maize Soil VWC'!$E$2:$E$5000=AF$5),'1994 E Maize Soil VWC'!$F$2:$F$5000)</f>
        <v>#N/A</v>
      </c>
      <c r="AG234" s="4" t="e" cm="1">
        <f t="array" ref="AG234">_xlfn.XLOOKUP(1,('1994 E Maize Soil VWC'!$C$2:$C$5000=$AA234)*('1994 E Maize Soil VWC'!$D$2:$D$5000=$AB234)*('1994 E Maize Soil VWC'!$E$2:$E$5000=AG$5),'1994 E Maize Soil VWC'!$F$2:$F$5000)</f>
        <v>#N/A</v>
      </c>
      <c r="AH234" s="4" t="e" cm="1">
        <f t="array" ref="AH234">_xlfn.XLOOKUP(1,('1994 E Maize Soil VWC'!$C$2:$C$5000=$AA234)*('1994 E Maize Soil VWC'!$D$2:$D$5000=$AB234)*('1994 E Maize Soil VWC'!$E$2:$E$5000=AH$5),'1994 E Maize Soil VWC'!$F$2:$F$5000)</f>
        <v>#N/A</v>
      </c>
      <c r="AI234" s="4" t="e" cm="1">
        <f t="array" ref="AI234">_xlfn.XLOOKUP(1,('1994 E Maize Soil VWC'!$C$2:$C$5000=$AA234)*('1994 E Maize Soil VWC'!$D$2:$D$5000=$AB234)*('1994 E Maize Soil VWC'!$E$2:$E$5000=AI$5),'1994 E Maize Soil VWC'!$F$2:$F$5000)</f>
        <v>#N/A</v>
      </c>
      <c r="AJ234" s="4" t="e" cm="1">
        <f t="array" ref="AJ234">_xlfn.XLOOKUP(1,('1994 E Maize Soil VWC'!$C$2:$C$5000=$AA234)*('1994 E Maize Soil VWC'!$D$2:$D$5000=$AB234)*('1994 E Maize Soil VWC'!$E$2:$E$5000=AJ$5),'1994 E Maize Soil VWC'!$F$2:$F$5000)</f>
        <v>#N/A</v>
      </c>
      <c r="AK234" s="4" t="e" cm="1">
        <f t="array" ref="AK234">_xlfn.XLOOKUP(1,('1994 E Maize Soil VWC'!$C$2:$C$5000=$AA234)*('1994 E Maize Soil VWC'!$D$2:$D$5000=$AB234)*('1994 E Maize Soil VWC'!$E$2:$E$5000=AK$5),'1994 E Maize Soil VWC'!$F$2:$F$5000)</f>
        <v>#N/A</v>
      </c>
      <c r="AL234" s="4" t="e" cm="1">
        <f t="array" ref="AL234">_xlfn.XLOOKUP(1,('1994 E Maize Soil VWC'!$C$2:$C$5000=$AA234)*('1994 E Maize Soil VWC'!$D$2:$D$5000=$AB234)*('1994 E Maize Soil VWC'!$E$2:$E$5000=AL$5),'1994 E Maize Soil VWC'!$F$2:$F$5000)</f>
        <v>#N/A</v>
      </c>
      <c r="AM234" s="4" t="e" cm="1">
        <f t="array" ref="AM234">_xlfn.XLOOKUP(1,('1994 E Maize Soil VWC'!$C$2:$C$5000=$AA234)*('1994 E Maize Soil VWC'!$D$2:$D$5000=$AB234)*('1994 E Maize Soil VWC'!$E$2:$E$5000=AM$5),'1994 E Maize Soil VWC'!$F$2:$F$5000)</f>
        <v>#N/A</v>
      </c>
      <c r="AN234" s="4" t="e" cm="1">
        <f t="array" ref="AN234">_xlfn.XLOOKUP(1,('1994 E Maize Soil VWC'!$C$2:$C$5000=$AA234)*('1994 E Maize Soil VWC'!$D$2:$D$5000=$AB234)*('1994 E Maize Soil VWC'!$E$2:$E$5000=AN$5),'1994 E Maize Soil VWC'!$F$2:$F$5000)</f>
        <v>#N/A</v>
      </c>
    </row>
    <row r="235" spans="25:40" x14ac:dyDescent="0.25">
      <c r="AA235" s="19">
        <f t="shared" si="34"/>
        <v>34334</v>
      </c>
      <c r="AB235" s="4">
        <f t="shared" si="35"/>
        <v>170</v>
      </c>
      <c r="AC235" s="4" t="e" cm="1">
        <f t="array" ref="AC235">_xlfn.XLOOKUP(1,('1994 E Maize Soil VWC'!$C$2:$C$5000=$AA235)*('1994 E Maize Soil VWC'!$D$2:$D$5000=$AB235)*('1994 E Maize Soil VWC'!$E$2:$E$5000=AC$5),'1994 E Maize Soil VWC'!$F$2:$F$5000)</f>
        <v>#N/A</v>
      </c>
      <c r="AD235" s="4" t="e" cm="1">
        <f t="array" ref="AD235">_xlfn.XLOOKUP(1,('1994 E Maize Soil VWC'!$C$2:$C$5000=$AA235)*('1994 E Maize Soil VWC'!$D$2:$D$5000=$AB235)*('1994 E Maize Soil VWC'!$E$2:$E$5000=AD$5),'1994 E Maize Soil VWC'!$F$2:$F$5000)</f>
        <v>#N/A</v>
      </c>
      <c r="AE235" s="4" t="e" cm="1">
        <f t="array" ref="AE235">_xlfn.XLOOKUP(1,('1994 E Maize Soil VWC'!$C$2:$C$5000=$AA235)*('1994 E Maize Soil VWC'!$D$2:$D$5000=$AB235)*('1994 E Maize Soil VWC'!$E$2:$E$5000=AE$5),'1994 E Maize Soil VWC'!$F$2:$F$5000)</f>
        <v>#N/A</v>
      </c>
      <c r="AF235" s="4" t="e" cm="1">
        <f t="array" ref="AF235">_xlfn.XLOOKUP(1,('1994 E Maize Soil VWC'!$C$2:$C$5000=$AA235)*('1994 E Maize Soil VWC'!$D$2:$D$5000=$AB235)*('1994 E Maize Soil VWC'!$E$2:$E$5000=AF$5),'1994 E Maize Soil VWC'!$F$2:$F$5000)</f>
        <v>#N/A</v>
      </c>
      <c r="AG235" s="4" t="e" cm="1">
        <f t="array" ref="AG235">_xlfn.XLOOKUP(1,('1994 E Maize Soil VWC'!$C$2:$C$5000=$AA235)*('1994 E Maize Soil VWC'!$D$2:$D$5000=$AB235)*('1994 E Maize Soil VWC'!$E$2:$E$5000=AG$5),'1994 E Maize Soil VWC'!$F$2:$F$5000)</f>
        <v>#N/A</v>
      </c>
      <c r="AH235" s="4" t="e" cm="1">
        <f t="array" ref="AH235">_xlfn.XLOOKUP(1,('1994 E Maize Soil VWC'!$C$2:$C$5000=$AA235)*('1994 E Maize Soil VWC'!$D$2:$D$5000=$AB235)*('1994 E Maize Soil VWC'!$E$2:$E$5000=AH$5),'1994 E Maize Soil VWC'!$F$2:$F$5000)</f>
        <v>#N/A</v>
      </c>
      <c r="AI235" s="4" t="e" cm="1">
        <f t="array" ref="AI235">_xlfn.XLOOKUP(1,('1994 E Maize Soil VWC'!$C$2:$C$5000=$AA235)*('1994 E Maize Soil VWC'!$D$2:$D$5000=$AB235)*('1994 E Maize Soil VWC'!$E$2:$E$5000=AI$5),'1994 E Maize Soil VWC'!$F$2:$F$5000)</f>
        <v>#N/A</v>
      </c>
      <c r="AJ235" s="4" t="e" cm="1">
        <f t="array" ref="AJ235">_xlfn.XLOOKUP(1,('1994 E Maize Soil VWC'!$C$2:$C$5000=$AA235)*('1994 E Maize Soil VWC'!$D$2:$D$5000=$AB235)*('1994 E Maize Soil VWC'!$E$2:$E$5000=AJ$5),'1994 E Maize Soil VWC'!$F$2:$F$5000)</f>
        <v>#N/A</v>
      </c>
      <c r="AK235" s="4" t="e" cm="1">
        <f t="array" ref="AK235">_xlfn.XLOOKUP(1,('1994 E Maize Soil VWC'!$C$2:$C$5000=$AA235)*('1994 E Maize Soil VWC'!$D$2:$D$5000=$AB235)*('1994 E Maize Soil VWC'!$E$2:$E$5000=AK$5),'1994 E Maize Soil VWC'!$F$2:$F$5000)</f>
        <v>#N/A</v>
      </c>
      <c r="AL235" s="4" t="e" cm="1">
        <f t="array" ref="AL235">_xlfn.XLOOKUP(1,('1994 E Maize Soil VWC'!$C$2:$C$5000=$AA235)*('1994 E Maize Soil VWC'!$D$2:$D$5000=$AB235)*('1994 E Maize Soil VWC'!$E$2:$E$5000=AL$5),'1994 E Maize Soil VWC'!$F$2:$F$5000)</f>
        <v>#N/A</v>
      </c>
      <c r="AM235" s="4" t="e" cm="1">
        <f t="array" ref="AM235">_xlfn.XLOOKUP(1,('1994 E Maize Soil VWC'!$C$2:$C$5000=$AA235)*('1994 E Maize Soil VWC'!$D$2:$D$5000=$AB235)*('1994 E Maize Soil VWC'!$E$2:$E$5000=AM$5),'1994 E Maize Soil VWC'!$F$2:$F$5000)</f>
        <v>#N/A</v>
      </c>
      <c r="AN235" s="4" t="e" cm="1">
        <f t="array" ref="AN235">_xlfn.XLOOKUP(1,('1994 E Maize Soil VWC'!$C$2:$C$5000=$AA235)*('1994 E Maize Soil VWC'!$D$2:$D$5000=$AB235)*('1994 E Maize Soil VWC'!$E$2:$E$5000=AN$5),'1994 E Maize Soil VWC'!$F$2:$F$5000)</f>
        <v>#N/A</v>
      </c>
    </row>
    <row r="236" spans="25:40" x14ac:dyDescent="0.25">
      <c r="AA236" s="19">
        <f t="shared" si="34"/>
        <v>34334</v>
      </c>
      <c r="AB236" s="4">
        <f t="shared" si="35"/>
        <v>190</v>
      </c>
      <c r="AC236" s="4" t="e" cm="1">
        <f t="array" ref="AC236">_xlfn.XLOOKUP(1,('1994 E Maize Soil VWC'!$C$2:$C$5000=$AA236)*('1994 E Maize Soil VWC'!$D$2:$D$5000=$AB236)*('1994 E Maize Soil VWC'!$E$2:$E$5000=AC$5),'1994 E Maize Soil VWC'!$F$2:$F$5000)</f>
        <v>#N/A</v>
      </c>
      <c r="AD236" s="4" t="e" cm="1">
        <f t="array" ref="AD236">_xlfn.XLOOKUP(1,('1994 E Maize Soil VWC'!$C$2:$C$5000=$AA236)*('1994 E Maize Soil VWC'!$D$2:$D$5000=$AB236)*('1994 E Maize Soil VWC'!$E$2:$E$5000=AD$5),'1994 E Maize Soil VWC'!$F$2:$F$5000)</f>
        <v>#N/A</v>
      </c>
      <c r="AE236" s="4" t="e" cm="1">
        <f t="array" ref="AE236">_xlfn.XLOOKUP(1,('1994 E Maize Soil VWC'!$C$2:$C$5000=$AA236)*('1994 E Maize Soil VWC'!$D$2:$D$5000=$AB236)*('1994 E Maize Soil VWC'!$E$2:$E$5000=AE$5),'1994 E Maize Soil VWC'!$F$2:$F$5000)</f>
        <v>#N/A</v>
      </c>
      <c r="AF236" s="4" t="e" cm="1">
        <f t="array" ref="AF236">_xlfn.XLOOKUP(1,('1994 E Maize Soil VWC'!$C$2:$C$5000=$AA236)*('1994 E Maize Soil VWC'!$D$2:$D$5000=$AB236)*('1994 E Maize Soil VWC'!$E$2:$E$5000=AF$5),'1994 E Maize Soil VWC'!$F$2:$F$5000)</f>
        <v>#N/A</v>
      </c>
      <c r="AG236" s="4" t="e" cm="1">
        <f t="array" ref="AG236">_xlfn.XLOOKUP(1,('1994 E Maize Soil VWC'!$C$2:$C$5000=$AA236)*('1994 E Maize Soil VWC'!$D$2:$D$5000=$AB236)*('1994 E Maize Soil VWC'!$E$2:$E$5000=AG$5),'1994 E Maize Soil VWC'!$F$2:$F$5000)</f>
        <v>#N/A</v>
      </c>
      <c r="AH236" s="4" t="e" cm="1">
        <f t="array" ref="AH236">_xlfn.XLOOKUP(1,('1994 E Maize Soil VWC'!$C$2:$C$5000=$AA236)*('1994 E Maize Soil VWC'!$D$2:$D$5000=$AB236)*('1994 E Maize Soil VWC'!$E$2:$E$5000=AH$5),'1994 E Maize Soil VWC'!$F$2:$F$5000)</f>
        <v>#N/A</v>
      </c>
      <c r="AI236" s="4" t="e" cm="1">
        <f t="array" ref="AI236">_xlfn.XLOOKUP(1,('1994 E Maize Soil VWC'!$C$2:$C$5000=$AA236)*('1994 E Maize Soil VWC'!$D$2:$D$5000=$AB236)*('1994 E Maize Soil VWC'!$E$2:$E$5000=AI$5),'1994 E Maize Soil VWC'!$F$2:$F$5000)</f>
        <v>#N/A</v>
      </c>
      <c r="AJ236" s="4" t="e" cm="1">
        <f t="array" ref="AJ236">_xlfn.XLOOKUP(1,('1994 E Maize Soil VWC'!$C$2:$C$5000=$AA236)*('1994 E Maize Soil VWC'!$D$2:$D$5000=$AB236)*('1994 E Maize Soil VWC'!$E$2:$E$5000=AJ$5),'1994 E Maize Soil VWC'!$F$2:$F$5000)</f>
        <v>#N/A</v>
      </c>
      <c r="AK236" s="4" t="e" cm="1">
        <f t="array" ref="AK236">_xlfn.XLOOKUP(1,('1994 E Maize Soil VWC'!$C$2:$C$5000=$AA236)*('1994 E Maize Soil VWC'!$D$2:$D$5000=$AB236)*('1994 E Maize Soil VWC'!$E$2:$E$5000=AK$5),'1994 E Maize Soil VWC'!$F$2:$F$5000)</f>
        <v>#N/A</v>
      </c>
      <c r="AL236" s="4" t="e" cm="1">
        <f t="array" ref="AL236">_xlfn.XLOOKUP(1,('1994 E Maize Soil VWC'!$C$2:$C$5000=$AA236)*('1994 E Maize Soil VWC'!$D$2:$D$5000=$AB236)*('1994 E Maize Soil VWC'!$E$2:$E$5000=AL$5),'1994 E Maize Soil VWC'!$F$2:$F$5000)</f>
        <v>#N/A</v>
      </c>
      <c r="AM236" s="4" t="e" cm="1">
        <f t="array" ref="AM236">_xlfn.XLOOKUP(1,('1994 E Maize Soil VWC'!$C$2:$C$5000=$AA236)*('1994 E Maize Soil VWC'!$D$2:$D$5000=$AB236)*('1994 E Maize Soil VWC'!$E$2:$E$5000=AM$5),'1994 E Maize Soil VWC'!$F$2:$F$5000)</f>
        <v>#N/A</v>
      </c>
      <c r="AN236" s="4" t="e" cm="1">
        <f t="array" ref="AN236">_xlfn.XLOOKUP(1,('1994 E Maize Soil VWC'!$C$2:$C$5000=$AA236)*('1994 E Maize Soil VWC'!$D$2:$D$5000=$AB236)*('1994 E Maize Soil VWC'!$E$2:$E$5000=AN$5),'1994 E Maize Soil VWC'!$F$2:$F$5000)</f>
        <v>#N/A</v>
      </c>
    </row>
    <row r="237" spans="25:40" x14ac:dyDescent="0.25">
      <c r="AA237" s="19">
        <f t="shared" si="34"/>
        <v>34334</v>
      </c>
      <c r="AB237" s="4">
        <f t="shared" si="35"/>
        <v>210</v>
      </c>
      <c r="AC237" s="4" t="e" cm="1">
        <f t="array" ref="AC237">_xlfn.XLOOKUP(1,('1994 E Maize Soil VWC'!$C$2:$C$5000=$AA237)*('1994 E Maize Soil VWC'!$D$2:$D$5000=$AB237)*('1994 E Maize Soil VWC'!$E$2:$E$5000=AC$5),'1994 E Maize Soil VWC'!$F$2:$F$5000)</f>
        <v>#N/A</v>
      </c>
      <c r="AD237" s="4" t="e" cm="1">
        <f t="array" ref="AD237">_xlfn.XLOOKUP(1,('1994 E Maize Soil VWC'!$C$2:$C$5000=$AA237)*('1994 E Maize Soil VWC'!$D$2:$D$5000=$AB237)*('1994 E Maize Soil VWC'!$E$2:$E$5000=AD$5),'1994 E Maize Soil VWC'!$F$2:$F$5000)</f>
        <v>#N/A</v>
      </c>
      <c r="AE237" s="4" t="e" cm="1">
        <f t="array" ref="AE237">_xlfn.XLOOKUP(1,('1994 E Maize Soil VWC'!$C$2:$C$5000=$AA237)*('1994 E Maize Soil VWC'!$D$2:$D$5000=$AB237)*('1994 E Maize Soil VWC'!$E$2:$E$5000=AE$5),'1994 E Maize Soil VWC'!$F$2:$F$5000)</f>
        <v>#N/A</v>
      </c>
      <c r="AF237" s="4" t="e" cm="1">
        <f t="array" ref="AF237">_xlfn.XLOOKUP(1,('1994 E Maize Soil VWC'!$C$2:$C$5000=$AA237)*('1994 E Maize Soil VWC'!$D$2:$D$5000=$AB237)*('1994 E Maize Soil VWC'!$E$2:$E$5000=AF$5),'1994 E Maize Soil VWC'!$F$2:$F$5000)</f>
        <v>#N/A</v>
      </c>
      <c r="AG237" s="4" t="e" cm="1">
        <f t="array" ref="AG237">_xlfn.XLOOKUP(1,('1994 E Maize Soil VWC'!$C$2:$C$5000=$AA237)*('1994 E Maize Soil VWC'!$D$2:$D$5000=$AB237)*('1994 E Maize Soil VWC'!$E$2:$E$5000=AG$5),'1994 E Maize Soil VWC'!$F$2:$F$5000)</f>
        <v>#N/A</v>
      </c>
      <c r="AH237" s="4" t="e" cm="1">
        <f t="array" ref="AH237">_xlfn.XLOOKUP(1,('1994 E Maize Soil VWC'!$C$2:$C$5000=$AA237)*('1994 E Maize Soil VWC'!$D$2:$D$5000=$AB237)*('1994 E Maize Soil VWC'!$E$2:$E$5000=AH$5),'1994 E Maize Soil VWC'!$F$2:$F$5000)</f>
        <v>#N/A</v>
      </c>
      <c r="AI237" s="4" t="e" cm="1">
        <f t="array" ref="AI237">_xlfn.XLOOKUP(1,('1994 E Maize Soil VWC'!$C$2:$C$5000=$AA237)*('1994 E Maize Soil VWC'!$D$2:$D$5000=$AB237)*('1994 E Maize Soil VWC'!$E$2:$E$5000=AI$5),'1994 E Maize Soil VWC'!$F$2:$F$5000)</f>
        <v>#N/A</v>
      </c>
      <c r="AJ237" s="4" t="e" cm="1">
        <f t="array" ref="AJ237">_xlfn.XLOOKUP(1,('1994 E Maize Soil VWC'!$C$2:$C$5000=$AA237)*('1994 E Maize Soil VWC'!$D$2:$D$5000=$AB237)*('1994 E Maize Soil VWC'!$E$2:$E$5000=AJ$5),'1994 E Maize Soil VWC'!$F$2:$F$5000)</f>
        <v>#N/A</v>
      </c>
      <c r="AK237" s="4" t="e" cm="1">
        <f t="array" ref="AK237">_xlfn.XLOOKUP(1,('1994 E Maize Soil VWC'!$C$2:$C$5000=$AA237)*('1994 E Maize Soil VWC'!$D$2:$D$5000=$AB237)*('1994 E Maize Soil VWC'!$E$2:$E$5000=AK$5),'1994 E Maize Soil VWC'!$F$2:$F$5000)</f>
        <v>#N/A</v>
      </c>
      <c r="AL237" s="4" t="e" cm="1">
        <f t="array" ref="AL237">_xlfn.XLOOKUP(1,('1994 E Maize Soil VWC'!$C$2:$C$5000=$AA237)*('1994 E Maize Soil VWC'!$D$2:$D$5000=$AB237)*('1994 E Maize Soil VWC'!$E$2:$E$5000=AL$5),'1994 E Maize Soil VWC'!$F$2:$F$5000)</f>
        <v>#N/A</v>
      </c>
      <c r="AM237" s="4" t="e" cm="1">
        <f t="array" ref="AM237">_xlfn.XLOOKUP(1,('1994 E Maize Soil VWC'!$C$2:$C$5000=$AA237)*('1994 E Maize Soil VWC'!$D$2:$D$5000=$AB237)*('1994 E Maize Soil VWC'!$E$2:$E$5000=AM$5),'1994 E Maize Soil VWC'!$F$2:$F$5000)</f>
        <v>#N/A</v>
      </c>
      <c r="AN237" s="4" t="e" cm="1">
        <f t="array" ref="AN237">_xlfn.XLOOKUP(1,('1994 E Maize Soil VWC'!$C$2:$C$5000=$AA237)*('1994 E Maize Soil VWC'!$D$2:$D$5000=$AB237)*('1994 E Maize Soil VWC'!$E$2:$E$5000=AN$5),'1994 E Maize Soil VWC'!$F$2:$F$5000)</f>
        <v>#N/A</v>
      </c>
    </row>
    <row r="238" spans="25:40" x14ac:dyDescent="0.25">
      <c r="AA238" s="19">
        <f t="shared" si="34"/>
        <v>34334</v>
      </c>
      <c r="AB238" s="4">
        <f t="shared" si="35"/>
        <v>230</v>
      </c>
      <c r="AC238" s="4" t="e" cm="1">
        <f t="array" ref="AC238">_xlfn.XLOOKUP(1,('1994 E Maize Soil VWC'!$C$2:$C$5000=$AA238)*('1994 E Maize Soil VWC'!$D$2:$D$5000=$AB238)*('1994 E Maize Soil VWC'!$E$2:$E$5000=AC$5),'1994 E Maize Soil VWC'!$F$2:$F$5000)</f>
        <v>#N/A</v>
      </c>
      <c r="AD238" s="4" t="e" cm="1">
        <f t="array" ref="AD238">_xlfn.XLOOKUP(1,('1994 E Maize Soil VWC'!$C$2:$C$5000=$AA238)*('1994 E Maize Soil VWC'!$D$2:$D$5000=$AB238)*('1994 E Maize Soil VWC'!$E$2:$E$5000=AD$5),'1994 E Maize Soil VWC'!$F$2:$F$5000)</f>
        <v>#N/A</v>
      </c>
      <c r="AE238" s="4" t="e" cm="1">
        <f t="array" ref="AE238">_xlfn.XLOOKUP(1,('1994 E Maize Soil VWC'!$C$2:$C$5000=$AA238)*('1994 E Maize Soil VWC'!$D$2:$D$5000=$AB238)*('1994 E Maize Soil VWC'!$E$2:$E$5000=AE$5),'1994 E Maize Soil VWC'!$F$2:$F$5000)</f>
        <v>#N/A</v>
      </c>
      <c r="AF238" s="4" t="e" cm="1">
        <f t="array" ref="AF238">_xlfn.XLOOKUP(1,('1994 E Maize Soil VWC'!$C$2:$C$5000=$AA238)*('1994 E Maize Soil VWC'!$D$2:$D$5000=$AB238)*('1994 E Maize Soil VWC'!$E$2:$E$5000=AF$5),'1994 E Maize Soil VWC'!$F$2:$F$5000)</f>
        <v>#N/A</v>
      </c>
      <c r="AG238" s="4" t="e" cm="1">
        <f t="array" ref="AG238">_xlfn.XLOOKUP(1,('1994 E Maize Soil VWC'!$C$2:$C$5000=$AA238)*('1994 E Maize Soil VWC'!$D$2:$D$5000=$AB238)*('1994 E Maize Soil VWC'!$E$2:$E$5000=AG$5),'1994 E Maize Soil VWC'!$F$2:$F$5000)</f>
        <v>#N/A</v>
      </c>
      <c r="AH238" s="4" t="e" cm="1">
        <f t="array" ref="AH238">_xlfn.XLOOKUP(1,('1994 E Maize Soil VWC'!$C$2:$C$5000=$AA238)*('1994 E Maize Soil VWC'!$D$2:$D$5000=$AB238)*('1994 E Maize Soil VWC'!$E$2:$E$5000=AH$5),'1994 E Maize Soil VWC'!$F$2:$F$5000)</f>
        <v>#N/A</v>
      </c>
      <c r="AI238" s="4" t="e" cm="1">
        <f t="array" ref="AI238">_xlfn.XLOOKUP(1,('1994 E Maize Soil VWC'!$C$2:$C$5000=$AA238)*('1994 E Maize Soil VWC'!$D$2:$D$5000=$AB238)*('1994 E Maize Soil VWC'!$E$2:$E$5000=AI$5),'1994 E Maize Soil VWC'!$F$2:$F$5000)</f>
        <v>#N/A</v>
      </c>
      <c r="AJ238" s="4" t="e" cm="1">
        <f t="array" ref="AJ238">_xlfn.XLOOKUP(1,('1994 E Maize Soil VWC'!$C$2:$C$5000=$AA238)*('1994 E Maize Soil VWC'!$D$2:$D$5000=$AB238)*('1994 E Maize Soil VWC'!$E$2:$E$5000=AJ$5),'1994 E Maize Soil VWC'!$F$2:$F$5000)</f>
        <v>#N/A</v>
      </c>
      <c r="AK238" s="4" t="e" cm="1">
        <f t="array" ref="AK238">_xlfn.XLOOKUP(1,('1994 E Maize Soil VWC'!$C$2:$C$5000=$AA238)*('1994 E Maize Soil VWC'!$D$2:$D$5000=$AB238)*('1994 E Maize Soil VWC'!$E$2:$E$5000=AK$5),'1994 E Maize Soil VWC'!$F$2:$F$5000)</f>
        <v>#N/A</v>
      </c>
      <c r="AL238" s="4" t="e" cm="1">
        <f t="array" ref="AL238">_xlfn.XLOOKUP(1,('1994 E Maize Soil VWC'!$C$2:$C$5000=$AA238)*('1994 E Maize Soil VWC'!$D$2:$D$5000=$AB238)*('1994 E Maize Soil VWC'!$E$2:$E$5000=AL$5),'1994 E Maize Soil VWC'!$F$2:$F$5000)</f>
        <v>#N/A</v>
      </c>
      <c r="AM238" s="4" t="e" cm="1">
        <f t="array" ref="AM238">_xlfn.XLOOKUP(1,('1994 E Maize Soil VWC'!$C$2:$C$5000=$AA238)*('1994 E Maize Soil VWC'!$D$2:$D$5000=$AB238)*('1994 E Maize Soil VWC'!$E$2:$E$5000=AM$5),'1994 E Maize Soil VWC'!$F$2:$F$5000)</f>
        <v>#N/A</v>
      </c>
      <c r="AN238" s="4" t="e" cm="1">
        <f t="array" ref="AN238">_xlfn.XLOOKUP(1,('1994 E Maize Soil VWC'!$C$2:$C$5000=$AA238)*('1994 E Maize Soil VWC'!$D$2:$D$5000=$AB238)*('1994 E Maize Soil VWC'!$E$2:$E$5000=AN$5),'1994 E Maize Soil VWC'!$F$2:$F$5000)</f>
        <v>#N/A</v>
      </c>
    </row>
    <row r="240" spans="25:40" x14ac:dyDescent="0.25">
      <c r="Y240" s="4">
        <f>Y227</f>
        <v>1994</v>
      </c>
      <c r="Z240" s="4">
        <v>0</v>
      </c>
      <c r="AA240" s="19">
        <f>DATE(Y240,1,Z240)</f>
        <v>34334</v>
      </c>
      <c r="AB240" s="4">
        <v>10</v>
      </c>
      <c r="AC240" s="4" t="e" cm="1">
        <f t="array" ref="AC240">_xlfn.XLOOKUP(1,('1994 E Maize Soil VWC'!$C$2:$C$5000=$AA240)*('1994 E Maize Soil VWC'!$D$2:$D$5000=$AB240)*('1994 E Maize Soil VWC'!$E$2:$E$5000=AC$5),'1994 E Maize Soil VWC'!$F$2:$F$5000)</f>
        <v>#N/A</v>
      </c>
      <c r="AD240" s="4" t="e" cm="1">
        <f t="array" ref="AD240">_xlfn.XLOOKUP(1,('1994 E Maize Soil VWC'!$C$2:$C$5000=$AA240)*('1994 E Maize Soil VWC'!$D$2:$D$5000=$AB240)*('1994 E Maize Soil VWC'!$E$2:$E$5000=AD$5),'1994 E Maize Soil VWC'!$F$2:$F$5000)</f>
        <v>#N/A</v>
      </c>
      <c r="AE240" s="4" t="e" cm="1">
        <f t="array" ref="AE240">_xlfn.XLOOKUP(1,('1994 E Maize Soil VWC'!$C$2:$C$5000=$AA240)*('1994 E Maize Soil VWC'!$D$2:$D$5000=$AB240)*('1994 E Maize Soil VWC'!$E$2:$E$5000=AE$5),'1994 E Maize Soil VWC'!$F$2:$F$5000)</f>
        <v>#N/A</v>
      </c>
      <c r="AF240" s="4" t="e" cm="1">
        <f t="array" ref="AF240">_xlfn.XLOOKUP(1,('1994 E Maize Soil VWC'!$C$2:$C$5000=$AA240)*('1994 E Maize Soil VWC'!$D$2:$D$5000=$AB240)*('1994 E Maize Soil VWC'!$E$2:$E$5000=AF$5),'1994 E Maize Soil VWC'!$F$2:$F$5000)</f>
        <v>#N/A</v>
      </c>
      <c r="AG240" s="4" t="e" cm="1">
        <f t="array" ref="AG240">_xlfn.XLOOKUP(1,('1994 E Maize Soil VWC'!$C$2:$C$5000=$AA240)*('1994 E Maize Soil VWC'!$D$2:$D$5000=$AB240)*('1994 E Maize Soil VWC'!$E$2:$E$5000=AG$5),'1994 E Maize Soil VWC'!$F$2:$F$5000)</f>
        <v>#N/A</v>
      </c>
      <c r="AH240" s="4" t="e" cm="1">
        <f t="array" ref="AH240">_xlfn.XLOOKUP(1,('1994 E Maize Soil VWC'!$C$2:$C$5000=$AA240)*('1994 E Maize Soil VWC'!$D$2:$D$5000=$AB240)*('1994 E Maize Soil VWC'!$E$2:$E$5000=AH$5),'1994 E Maize Soil VWC'!$F$2:$F$5000)</f>
        <v>#N/A</v>
      </c>
      <c r="AI240" s="4" t="e" cm="1">
        <f t="array" ref="AI240">_xlfn.XLOOKUP(1,('1994 E Maize Soil VWC'!$C$2:$C$5000=$AA240)*('1994 E Maize Soil VWC'!$D$2:$D$5000=$AB240)*('1994 E Maize Soil VWC'!$E$2:$E$5000=AI$5),'1994 E Maize Soil VWC'!$F$2:$F$5000)</f>
        <v>#N/A</v>
      </c>
      <c r="AJ240" s="4" t="e" cm="1">
        <f t="array" ref="AJ240">_xlfn.XLOOKUP(1,('1994 E Maize Soil VWC'!$C$2:$C$5000=$AA240)*('1994 E Maize Soil VWC'!$D$2:$D$5000=$AB240)*('1994 E Maize Soil VWC'!$E$2:$E$5000=AJ$5),'1994 E Maize Soil VWC'!$F$2:$F$5000)</f>
        <v>#N/A</v>
      </c>
      <c r="AK240" s="4" t="e" cm="1">
        <f t="array" ref="AK240">_xlfn.XLOOKUP(1,('1994 E Maize Soil VWC'!$C$2:$C$5000=$AA240)*('1994 E Maize Soil VWC'!$D$2:$D$5000=$AB240)*('1994 E Maize Soil VWC'!$E$2:$E$5000=AK$5),'1994 E Maize Soil VWC'!$F$2:$F$5000)</f>
        <v>#N/A</v>
      </c>
      <c r="AL240" s="4" t="e" cm="1">
        <f t="array" ref="AL240">_xlfn.XLOOKUP(1,('1994 E Maize Soil VWC'!$C$2:$C$5000=$AA240)*('1994 E Maize Soil VWC'!$D$2:$D$5000=$AB240)*('1994 E Maize Soil VWC'!$E$2:$E$5000=AL$5),'1994 E Maize Soil VWC'!$F$2:$F$5000)</f>
        <v>#N/A</v>
      </c>
      <c r="AM240" s="4" t="e" cm="1">
        <f t="array" ref="AM240">_xlfn.XLOOKUP(1,('1994 E Maize Soil VWC'!$C$2:$C$5000=$AA240)*('1994 E Maize Soil VWC'!$D$2:$D$5000=$AB240)*('1994 E Maize Soil VWC'!$E$2:$E$5000=AM$5),'1994 E Maize Soil VWC'!$F$2:$F$5000)</f>
        <v>#N/A</v>
      </c>
      <c r="AN240" s="4" t="e" cm="1">
        <f t="array" ref="AN240">_xlfn.XLOOKUP(1,('1994 E Maize Soil VWC'!$C$2:$C$5000=$AA240)*('1994 E Maize Soil VWC'!$D$2:$D$5000=$AB240)*('1994 E Maize Soil VWC'!$E$2:$E$5000=AN$5),'1994 E Maize Soil VWC'!$F$2:$F$5000)</f>
        <v>#N/A</v>
      </c>
    </row>
    <row r="241" spans="25:40" x14ac:dyDescent="0.25">
      <c r="AA241" s="19">
        <f t="shared" ref="AA241:AA251" si="36">AA240</f>
        <v>34334</v>
      </c>
      <c r="AB241" s="4">
        <f t="shared" ref="AB241:AB251" si="37">AB240+20</f>
        <v>30</v>
      </c>
      <c r="AC241" s="4" t="e" cm="1">
        <f t="array" ref="AC241">_xlfn.XLOOKUP(1,('1994 E Maize Soil VWC'!$C$2:$C$5000=$AA241)*('1994 E Maize Soil VWC'!$D$2:$D$5000=$AB241)*('1994 E Maize Soil VWC'!$E$2:$E$5000=AC$5),'1994 E Maize Soil VWC'!$F$2:$F$5000)</f>
        <v>#N/A</v>
      </c>
      <c r="AD241" s="4" t="e" cm="1">
        <f t="array" ref="AD241">_xlfn.XLOOKUP(1,('1994 E Maize Soil VWC'!$C$2:$C$5000=$AA241)*('1994 E Maize Soil VWC'!$D$2:$D$5000=$AB241)*('1994 E Maize Soil VWC'!$E$2:$E$5000=AD$5),'1994 E Maize Soil VWC'!$F$2:$F$5000)</f>
        <v>#N/A</v>
      </c>
      <c r="AE241" s="4" t="e" cm="1">
        <f t="array" ref="AE241">_xlfn.XLOOKUP(1,('1994 E Maize Soil VWC'!$C$2:$C$5000=$AA241)*('1994 E Maize Soil VWC'!$D$2:$D$5000=$AB241)*('1994 E Maize Soil VWC'!$E$2:$E$5000=AE$5),'1994 E Maize Soil VWC'!$F$2:$F$5000)</f>
        <v>#N/A</v>
      </c>
      <c r="AF241" s="4" t="e" cm="1">
        <f t="array" ref="AF241">_xlfn.XLOOKUP(1,('1994 E Maize Soil VWC'!$C$2:$C$5000=$AA241)*('1994 E Maize Soil VWC'!$D$2:$D$5000=$AB241)*('1994 E Maize Soil VWC'!$E$2:$E$5000=AF$5),'1994 E Maize Soil VWC'!$F$2:$F$5000)</f>
        <v>#N/A</v>
      </c>
      <c r="AG241" s="4" t="e" cm="1">
        <f t="array" ref="AG241">_xlfn.XLOOKUP(1,('1994 E Maize Soil VWC'!$C$2:$C$5000=$AA241)*('1994 E Maize Soil VWC'!$D$2:$D$5000=$AB241)*('1994 E Maize Soil VWC'!$E$2:$E$5000=AG$5),'1994 E Maize Soil VWC'!$F$2:$F$5000)</f>
        <v>#N/A</v>
      </c>
      <c r="AH241" s="4" t="e" cm="1">
        <f t="array" ref="AH241">_xlfn.XLOOKUP(1,('1994 E Maize Soil VWC'!$C$2:$C$5000=$AA241)*('1994 E Maize Soil VWC'!$D$2:$D$5000=$AB241)*('1994 E Maize Soil VWC'!$E$2:$E$5000=AH$5),'1994 E Maize Soil VWC'!$F$2:$F$5000)</f>
        <v>#N/A</v>
      </c>
      <c r="AI241" s="4" t="e" cm="1">
        <f t="array" ref="AI241">_xlfn.XLOOKUP(1,('1994 E Maize Soil VWC'!$C$2:$C$5000=$AA241)*('1994 E Maize Soil VWC'!$D$2:$D$5000=$AB241)*('1994 E Maize Soil VWC'!$E$2:$E$5000=AI$5),'1994 E Maize Soil VWC'!$F$2:$F$5000)</f>
        <v>#N/A</v>
      </c>
      <c r="AJ241" s="4" t="e" cm="1">
        <f t="array" ref="AJ241">_xlfn.XLOOKUP(1,('1994 E Maize Soil VWC'!$C$2:$C$5000=$AA241)*('1994 E Maize Soil VWC'!$D$2:$D$5000=$AB241)*('1994 E Maize Soil VWC'!$E$2:$E$5000=AJ$5),'1994 E Maize Soil VWC'!$F$2:$F$5000)</f>
        <v>#N/A</v>
      </c>
      <c r="AK241" s="4" t="e" cm="1">
        <f t="array" ref="AK241">_xlfn.XLOOKUP(1,('1994 E Maize Soil VWC'!$C$2:$C$5000=$AA241)*('1994 E Maize Soil VWC'!$D$2:$D$5000=$AB241)*('1994 E Maize Soil VWC'!$E$2:$E$5000=AK$5),'1994 E Maize Soil VWC'!$F$2:$F$5000)</f>
        <v>#N/A</v>
      </c>
      <c r="AL241" s="4" t="e" cm="1">
        <f t="array" ref="AL241">_xlfn.XLOOKUP(1,('1994 E Maize Soil VWC'!$C$2:$C$5000=$AA241)*('1994 E Maize Soil VWC'!$D$2:$D$5000=$AB241)*('1994 E Maize Soil VWC'!$E$2:$E$5000=AL$5),'1994 E Maize Soil VWC'!$F$2:$F$5000)</f>
        <v>#N/A</v>
      </c>
      <c r="AM241" s="4" t="e" cm="1">
        <f t="array" ref="AM241">_xlfn.XLOOKUP(1,('1994 E Maize Soil VWC'!$C$2:$C$5000=$AA241)*('1994 E Maize Soil VWC'!$D$2:$D$5000=$AB241)*('1994 E Maize Soil VWC'!$E$2:$E$5000=AM$5),'1994 E Maize Soil VWC'!$F$2:$F$5000)</f>
        <v>#N/A</v>
      </c>
      <c r="AN241" s="4" t="e" cm="1">
        <f t="array" ref="AN241">_xlfn.XLOOKUP(1,('1994 E Maize Soil VWC'!$C$2:$C$5000=$AA241)*('1994 E Maize Soil VWC'!$D$2:$D$5000=$AB241)*('1994 E Maize Soil VWC'!$E$2:$E$5000=AN$5),'1994 E Maize Soil VWC'!$F$2:$F$5000)</f>
        <v>#N/A</v>
      </c>
    </row>
    <row r="242" spans="25:40" x14ac:dyDescent="0.25">
      <c r="AA242" s="19">
        <f t="shared" si="36"/>
        <v>34334</v>
      </c>
      <c r="AB242" s="4">
        <f t="shared" si="37"/>
        <v>50</v>
      </c>
      <c r="AC242" s="4" t="e" cm="1">
        <f t="array" ref="AC242">_xlfn.XLOOKUP(1,('1994 E Maize Soil VWC'!$C$2:$C$5000=$AA242)*('1994 E Maize Soil VWC'!$D$2:$D$5000=$AB242)*('1994 E Maize Soil VWC'!$E$2:$E$5000=AC$5),'1994 E Maize Soil VWC'!$F$2:$F$5000)</f>
        <v>#N/A</v>
      </c>
      <c r="AD242" s="4" t="e" cm="1">
        <f t="array" ref="AD242">_xlfn.XLOOKUP(1,('1994 E Maize Soil VWC'!$C$2:$C$5000=$AA242)*('1994 E Maize Soil VWC'!$D$2:$D$5000=$AB242)*('1994 E Maize Soil VWC'!$E$2:$E$5000=AD$5),'1994 E Maize Soil VWC'!$F$2:$F$5000)</f>
        <v>#N/A</v>
      </c>
      <c r="AE242" s="4" t="e" cm="1">
        <f t="array" ref="AE242">_xlfn.XLOOKUP(1,('1994 E Maize Soil VWC'!$C$2:$C$5000=$AA242)*('1994 E Maize Soil VWC'!$D$2:$D$5000=$AB242)*('1994 E Maize Soil VWC'!$E$2:$E$5000=AE$5),'1994 E Maize Soil VWC'!$F$2:$F$5000)</f>
        <v>#N/A</v>
      </c>
      <c r="AF242" s="4" t="e" cm="1">
        <f t="array" ref="AF242">_xlfn.XLOOKUP(1,('1994 E Maize Soil VWC'!$C$2:$C$5000=$AA242)*('1994 E Maize Soil VWC'!$D$2:$D$5000=$AB242)*('1994 E Maize Soil VWC'!$E$2:$E$5000=AF$5),'1994 E Maize Soil VWC'!$F$2:$F$5000)</f>
        <v>#N/A</v>
      </c>
      <c r="AG242" s="4" t="e" cm="1">
        <f t="array" ref="AG242">_xlfn.XLOOKUP(1,('1994 E Maize Soil VWC'!$C$2:$C$5000=$AA242)*('1994 E Maize Soil VWC'!$D$2:$D$5000=$AB242)*('1994 E Maize Soil VWC'!$E$2:$E$5000=AG$5),'1994 E Maize Soil VWC'!$F$2:$F$5000)</f>
        <v>#N/A</v>
      </c>
      <c r="AH242" s="4" t="e" cm="1">
        <f t="array" ref="AH242">_xlfn.XLOOKUP(1,('1994 E Maize Soil VWC'!$C$2:$C$5000=$AA242)*('1994 E Maize Soil VWC'!$D$2:$D$5000=$AB242)*('1994 E Maize Soil VWC'!$E$2:$E$5000=AH$5),'1994 E Maize Soil VWC'!$F$2:$F$5000)</f>
        <v>#N/A</v>
      </c>
      <c r="AI242" s="4" t="e" cm="1">
        <f t="array" ref="AI242">_xlfn.XLOOKUP(1,('1994 E Maize Soil VWC'!$C$2:$C$5000=$AA242)*('1994 E Maize Soil VWC'!$D$2:$D$5000=$AB242)*('1994 E Maize Soil VWC'!$E$2:$E$5000=AI$5),'1994 E Maize Soil VWC'!$F$2:$F$5000)</f>
        <v>#N/A</v>
      </c>
      <c r="AJ242" s="4" t="e" cm="1">
        <f t="array" ref="AJ242">_xlfn.XLOOKUP(1,('1994 E Maize Soil VWC'!$C$2:$C$5000=$AA242)*('1994 E Maize Soil VWC'!$D$2:$D$5000=$AB242)*('1994 E Maize Soil VWC'!$E$2:$E$5000=AJ$5),'1994 E Maize Soil VWC'!$F$2:$F$5000)</f>
        <v>#N/A</v>
      </c>
      <c r="AK242" s="4" t="e" cm="1">
        <f t="array" ref="AK242">_xlfn.XLOOKUP(1,('1994 E Maize Soil VWC'!$C$2:$C$5000=$AA242)*('1994 E Maize Soil VWC'!$D$2:$D$5000=$AB242)*('1994 E Maize Soil VWC'!$E$2:$E$5000=AK$5),'1994 E Maize Soil VWC'!$F$2:$F$5000)</f>
        <v>#N/A</v>
      </c>
      <c r="AL242" s="4" t="e" cm="1">
        <f t="array" ref="AL242">_xlfn.XLOOKUP(1,('1994 E Maize Soil VWC'!$C$2:$C$5000=$AA242)*('1994 E Maize Soil VWC'!$D$2:$D$5000=$AB242)*('1994 E Maize Soil VWC'!$E$2:$E$5000=AL$5),'1994 E Maize Soil VWC'!$F$2:$F$5000)</f>
        <v>#N/A</v>
      </c>
      <c r="AM242" s="4" t="e" cm="1">
        <f t="array" ref="AM242">_xlfn.XLOOKUP(1,('1994 E Maize Soil VWC'!$C$2:$C$5000=$AA242)*('1994 E Maize Soil VWC'!$D$2:$D$5000=$AB242)*('1994 E Maize Soil VWC'!$E$2:$E$5000=AM$5),'1994 E Maize Soil VWC'!$F$2:$F$5000)</f>
        <v>#N/A</v>
      </c>
      <c r="AN242" s="4" t="e" cm="1">
        <f t="array" ref="AN242">_xlfn.XLOOKUP(1,('1994 E Maize Soil VWC'!$C$2:$C$5000=$AA242)*('1994 E Maize Soil VWC'!$D$2:$D$5000=$AB242)*('1994 E Maize Soil VWC'!$E$2:$E$5000=AN$5),'1994 E Maize Soil VWC'!$F$2:$F$5000)</f>
        <v>#N/A</v>
      </c>
    </row>
    <row r="243" spans="25:40" x14ac:dyDescent="0.25">
      <c r="AA243" s="19">
        <f t="shared" si="36"/>
        <v>34334</v>
      </c>
      <c r="AB243" s="4">
        <f t="shared" si="37"/>
        <v>70</v>
      </c>
      <c r="AC243" s="4" t="e" cm="1">
        <f t="array" ref="AC243">_xlfn.XLOOKUP(1,('1994 E Maize Soil VWC'!$C$2:$C$5000=$AA243)*('1994 E Maize Soil VWC'!$D$2:$D$5000=$AB243)*('1994 E Maize Soil VWC'!$E$2:$E$5000=AC$5),'1994 E Maize Soil VWC'!$F$2:$F$5000)</f>
        <v>#N/A</v>
      </c>
      <c r="AD243" s="4" t="e" cm="1">
        <f t="array" ref="AD243">_xlfn.XLOOKUP(1,('1994 E Maize Soil VWC'!$C$2:$C$5000=$AA243)*('1994 E Maize Soil VWC'!$D$2:$D$5000=$AB243)*('1994 E Maize Soil VWC'!$E$2:$E$5000=AD$5),'1994 E Maize Soil VWC'!$F$2:$F$5000)</f>
        <v>#N/A</v>
      </c>
      <c r="AE243" s="4" t="e" cm="1">
        <f t="array" ref="AE243">_xlfn.XLOOKUP(1,('1994 E Maize Soil VWC'!$C$2:$C$5000=$AA243)*('1994 E Maize Soil VWC'!$D$2:$D$5000=$AB243)*('1994 E Maize Soil VWC'!$E$2:$E$5000=AE$5),'1994 E Maize Soil VWC'!$F$2:$F$5000)</f>
        <v>#N/A</v>
      </c>
      <c r="AF243" s="4" t="e" cm="1">
        <f t="array" ref="AF243">_xlfn.XLOOKUP(1,('1994 E Maize Soil VWC'!$C$2:$C$5000=$AA243)*('1994 E Maize Soil VWC'!$D$2:$D$5000=$AB243)*('1994 E Maize Soil VWC'!$E$2:$E$5000=AF$5),'1994 E Maize Soil VWC'!$F$2:$F$5000)</f>
        <v>#N/A</v>
      </c>
      <c r="AG243" s="4" t="e" cm="1">
        <f t="array" ref="AG243">_xlfn.XLOOKUP(1,('1994 E Maize Soil VWC'!$C$2:$C$5000=$AA243)*('1994 E Maize Soil VWC'!$D$2:$D$5000=$AB243)*('1994 E Maize Soil VWC'!$E$2:$E$5000=AG$5),'1994 E Maize Soil VWC'!$F$2:$F$5000)</f>
        <v>#N/A</v>
      </c>
      <c r="AH243" s="4" t="e" cm="1">
        <f t="array" ref="AH243">_xlfn.XLOOKUP(1,('1994 E Maize Soil VWC'!$C$2:$C$5000=$AA243)*('1994 E Maize Soil VWC'!$D$2:$D$5000=$AB243)*('1994 E Maize Soil VWC'!$E$2:$E$5000=AH$5),'1994 E Maize Soil VWC'!$F$2:$F$5000)</f>
        <v>#N/A</v>
      </c>
      <c r="AI243" s="4" t="e" cm="1">
        <f t="array" ref="AI243">_xlfn.XLOOKUP(1,('1994 E Maize Soil VWC'!$C$2:$C$5000=$AA243)*('1994 E Maize Soil VWC'!$D$2:$D$5000=$AB243)*('1994 E Maize Soil VWC'!$E$2:$E$5000=AI$5),'1994 E Maize Soil VWC'!$F$2:$F$5000)</f>
        <v>#N/A</v>
      </c>
      <c r="AJ243" s="4" t="e" cm="1">
        <f t="array" ref="AJ243">_xlfn.XLOOKUP(1,('1994 E Maize Soil VWC'!$C$2:$C$5000=$AA243)*('1994 E Maize Soil VWC'!$D$2:$D$5000=$AB243)*('1994 E Maize Soil VWC'!$E$2:$E$5000=AJ$5),'1994 E Maize Soil VWC'!$F$2:$F$5000)</f>
        <v>#N/A</v>
      </c>
      <c r="AK243" s="4" t="e" cm="1">
        <f t="array" ref="AK243">_xlfn.XLOOKUP(1,('1994 E Maize Soil VWC'!$C$2:$C$5000=$AA243)*('1994 E Maize Soil VWC'!$D$2:$D$5000=$AB243)*('1994 E Maize Soil VWC'!$E$2:$E$5000=AK$5),'1994 E Maize Soil VWC'!$F$2:$F$5000)</f>
        <v>#N/A</v>
      </c>
      <c r="AL243" s="4" t="e" cm="1">
        <f t="array" ref="AL243">_xlfn.XLOOKUP(1,('1994 E Maize Soil VWC'!$C$2:$C$5000=$AA243)*('1994 E Maize Soil VWC'!$D$2:$D$5000=$AB243)*('1994 E Maize Soil VWC'!$E$2:$E$5000=AL$5),'1994 E Maize Soil VWC'!$F$2:$F$5000)</f>
        <v>#N/A</v>
      </c>
      <c r="AM243" s="4" t="e" cm="1">
        <f t="array" ref="AM243">_xlfn.XLOOKUP(1,('1994 E Maize Soil VWC'!$C$2:$C$5000=$AA243)*('1994 E Maize Soil VWC'!$D$2:$D$5000=$AB243)*('1994 E Maize Soil VWC'!$E$2:$E$5000=AM$5),'1994 E Maize Soil VWC'!$F$2:$F$5000)</f>
        <v>#N/A</v>
      </c>
      <c r="AN243" s="4" t="e" cm="1">
        <f t="array" ref="AN243">_xlfn.XLOOKUP(1,('1994 E Maize Soil VWC'!$C$2:$C$5000=$AA243)*('1994 E Maize Soil VWC'!$D$2:$D$5000=$AB243)*('1994 E Maize Soil VWC'!$E$2:$E$5000=AN$5),'1994 E Maize Soil VWC'!$F$2:$F$5000)</f>
        <v>#N/A</v>
      </c>
    </row>
    <row r="244" spans="25:40" x14ac:dyDescent="0.25">
      <c r="AA244" s="19">
        <f t="shared" si="36"/>
        <v>34334</v>
      </c>
      <c r="AB244" s="4">
        <f t="shared" si="37"/>
        <v>90</v>
      </c>
      <c r="AC244" s="4" t="e" cm="1">
        <f t="array" ref="AC244">_xlfn.XLOOKUP(1,('1994 E Maize Soil VWC'!$C$2:$C$5000=$AA244)*('1994 E Maize Soil VWC'!$D$2:$D$5000=$AB244)*('1994 E Maize Soil VWC'!$E$2:$E$5000=AC$5),'1994 E Maize Soil VWC'!$F$2:$F$5000)</f>
        <v>#N/A</v>
      </c>
      <c r="AD244" s="4" t="e" cm="1">
        <f t="array" ref="AD244">_xlfn.XLOOKUP(1,('1994 E Maize Soil VWC'!$C$2:$C$5000=$AA244)*('1994 E Maize Soil VWC'!$D$2:$D$5000=$AB244)*('1994 E Maize Soil VWC'!$E$2:$E$5000=AD$5),'1994 E Maize Soil VWC'!$F$2:$F$5000)</f>
        <v>#N/A</v>
      </c>
      <c r="AE244" s="4" t="e" cm="1">
        <f t="array" ref="AE244">_xlfn.XLOOKUP(1,('1994 E Maize Soil VWC'!$C$2:$C$5000=$AA244)*('1994 E Maize Soil VWC'!$D$2:$D$5000=$AB244)*('1994 E Maize Soil VWC'!$E$2:$E$5000=AE$5),'1994 E Maize Soil VWC'!$F$2:$F$5000)</f>
        <v>#N/A</v>
      </c>
      <c r="AF244" s="4" t="e" cm="1">
        <f t="array" ref="AF244">_xlfn.XLOOKUP(1,('1994 E Maize Soil VWC'!$C$2:$C$5000=$AA244)*('1994 E Maize Soil VWC'!$D$2:$D$5000=$AB244)*('1994 E Maize Soil VWC'!$E$2:$E$5000=AF$5),'1994 E Maize Soil VWC'!$F$2:$F$5000)</f>
        <v>#N/A</v>
      </c>
      <c r="AG244" s="4" t="e" cm="1">
        <f t="array" ref="AG244">_xlfn.XLOOKUP(1,('1994 E Maize Soil VWC'!$C$2:$C$5000=$AA244)*('1994 E Maize Soil VWC'!$D$2:$D$5000=$AB244)*('1994 E Maize Soil VWC'!$E$2:$E$5000=AG$5),'1994 E Maize Soil VWC'!$F$2:$F$5000)</f>
        <v>#N/A</v>
      </c>
      <c r="AH244" s="4" t="e" cm="1">
        <f t="array" ref="AH244">_xlfn.XLOOKUP(1,('1994 E Maize Soil VWC'!$C$2:$C$5000=$AA244)*('1994 E Maize Soil VWC'!$D$2:$D$5000=$AB244)*('1994 E Maize Soil VWC'!$E$2:$E$5000=AH$5),'1994 E Maize Soil VWC'!$F$2:$F$5000)</f>
        <v>#N/A</v>
      </c>
      <c r="AI244" s="4" t="e" cm="1">
        <f t="array" ref="AI244">_xlfn.XLOOKUP(1,('1994 E Maize Soil VWC'!$C$2:$C$5000=$AA244)*('1994 E Maize Soil VWC'!$D$2:$D$5000=$AB244)*('1994 E Maize Soil VWC'!$E$2:$E$5000=AI$5),'1994 E Maize Soil VWC'!$F$2:$F$5000)</f>
        <v>#N/A</v>
      </c>
      <c r="AJ244" s="4" t="e" cm="1">
        <f t="array" ref="AJ244">_xlfn.XLOOKUP(1,('1994 E Maize Soil VWC'!$C$2:$C$5000=$AA244)*('1994 E Maize Soil VWC'!$D$2:$D$5000=$AB244)*('1994 E Maize Soil VWC'!$E$2:$E$5000=AJ$5),'1994 E Maize Soil VWC'!$F$2:$F$5000)</f>
        <v>#N/A</v>
      </c>
      <c r="AK244" s="4" t="e" cm="1">
        <f t="array" ref="AK244">_xlfn.XLOOKUP(1,('1994 E Maize Soil VWC'!$C$2:$C$5000=$AA244)*('1994 E Maize Soil VWC'!$D$2:$D$5000=$AB244)*('1994 E Maize Soil VWC'!$E$2:$E$5000=AK$5),'1994 E Maize Soil VWC'!$F$2:$F$5000)</f>
        <v>#N/A</v>
      </c>
      <c r="AL244" s="4" t="e" cm="1">
        <f t="array" ref="AL244">_xlfn.XLOOKUP(1,('1994 E Maize Soil VWC'!$C$2:$C$5000=$AA244)*('1994 E Maize Soil VWC'!$D$2:$D$5000=$AB244)*('1994 E Maize Soil VWC'!$E$2:$E$5000=AL$5),'1994 E Maize Soil VWC'!$F$2:$F$5000)</f>
        <v>#N/A</v>
      </c>
      <c r="AM244" s="4" t="e" cm="1">
        <f t="array" ref="AM244">_xlfn.XLOOKUP(1,('1994 E Maize Soil VWC'!$C$2:$C$5000=$AA244)*('1994 E Maize Soil VWC'!$D$2:$D$5000=$AB244)*('1994 E Maize Soil VWC'!$E$2:$E$5000=AM$5),'1994 E Maize Soil VWC'!$F$2:$F$5000)</f>
        <v>#N/A</v>
      </c>
      <c r="AN244" s="4" t="e" cm="1">
        <f t="array" ref="AN244">_xlfn.XLOOKUP(1,('1994 E Maize Soil VWC'!$C$2:$C$5000=$AA244)*('1994 E Maize Soil VWC'!$D$2:$D$5000=$AB244)*('1994 E Maize Soil VWC'!$E$2:$E$5000=AN$5),'1994 E Maize Soil VWC'!$F$2:$F$5000)</f>
        <v>#N/A</v>
      </c>
    </row>
    <row r="245" spans="25:40" x14ac:dyDescent="0.25">
      <c r="AA245" s="19">
        <f t="shared" si="36"/>
        <v>34334</v>
      </c>
      <c r="AB245" s="4">
        <f t="shared" si="37"/>
        <v>110</v>
      </c>
      <c r="AC245" s="4" t="e" cm="1">
        <f t="array" ref="AC245">_xlfn.XLOOKUP(1,('1994 E Maize Soil VWC'!$C$2:$C$5000=$AA245)*('1994 E Maize Soil VWC'!$D$2:$D$5000=$AB245)*('1994 E Maize Soil VWC'!$E$2:$E$5000=AC$5),'1994 E Maize Soil VWC'!$F$2:$F$5000)</f>
        <v>#N/A</v>
      </c>
      <c r="AD245" s="4" t="e" cm="1">
        <f t="array" ref="AD245">_xlfn.XLOOKUP(1,('1994 E Maize Soil VWC'!$C$2:$C$5000=$AA245)*('1994 E Maize Soil VWC'!$D$2:$D$5000=$AB245)*('1994 E Maize Soil VWC'!$E$2:$E$5000=AD$5),'1994 E Maize Soil VWC'!$F$2:$F$5000)</f>
        <v>#N/A</v>
      </c>
      <c r="AE245" s="4" t="e" cm="1">
        <f t="array" ref="AE245">_xlfn.XLOOKUP(1,('1994 E Maize Soil VWC'!$C$2:$C$5000=$AA245)*('1994 E Maize Soil VWC'!$D$2:$D$5000=$AB245)*('1994 E Maize Soil VWC'!$E$2:$E$5000=AE$5),'1994 E Maize Soil VWC'!$F$2:$F$5000)</f>
        <v>#N/A</v>
      </c>
      <c r="AF245" s="4" t="e" cm="1">
        <f t="array" ref="AF245">_xlfn.XLOOKUP(1,('1994 E Maize Soil VWC'!$C$2:$C$5000=$AA245)*('1994 E Maize Soil VWC'!$D$2:$D$5000=$AB245)*('1994 E Maize Soil VWC'!$E$2:$E$5000=AF$5),'1994 E Maize Soil VWC'!$F$2:$F$5000)</f>
        <v>#N/A</v>
      </c>
      <c r="AG245" s="4" t="e" cm="1">
        <f t="array" ref="AG245">_xlfn.XLOOKUP(1,('1994 E Maize Soil VWC'!$C$2:$C$5000=$AA245)*('1994 E Maize Soil VWC'!$D$2:$D$5000=$AB245)*('1994 E Maize Soil VWC'!$E$2:$E$5000=AG$5),'1994 E Maize Soil VWC'!$F$2:$F$5000)</f>
        <v>#N/A</v>
      </c>
      <c r="AH245" s="4" t="e" cm="1">
        <f t="array" ref="AH245">_xlfn.XLOOKUP(1,('1994 E Maize Soil VWC'!$C$2:$C$5000=$AA245)*('1994 E Maize Soil VWC'!$D$2:$D$5000=$AB245)*('1994 E Maize Soil VWC'!$E$2:$E$5000=AH$5),'1994 E Maize Soil VWC'!$F$2:$F$5000)</f>
        <v>#N/A</v>
      </c>
      <c r="AI245" s="4" t="e" cm="1">
        <f t="array" ref="AI245">_xlfn.XLOOKUP(1,('1994 E Maize Soil VWC'!$C$2:$C$5000=$AA245)*('1994 E Maize Soil VWC'!$D$2:$D$5000=$AB245)*('1994 E Maize Soil VWC'!$E$2:$E$5000=AI$5),'1994 E Maize Soil VWC'!$F$2:$F$5000)</f>
        <v>#N/A</v>
      </c>
      <c r="AJ245" s="4" t="e" cm="1">
        <f t="array" ref="AJ245">_xlfn.XLOOKUP(1,('1994 E Maize Soil VWC'!$C$2:$C$5000=$AA245)*('1994 E Maize Soil VWC'!$D$2:$D$5000=$AB245)*('1994 E Maize Soil VWC'!$E$2:$E$5000=AJ$5),'1994 E Maize Soil VWC'!$F$2:$F$5000)</f>
        <v>#N/A</v>
      </c>
      <c r="AK245" s="4" t="e" cm="1">
        <f t="array" ref="AK245">_xlfn.XLOOKUP(1,('1994 E Maize Soil VWC'!$C$2:$C$5000=$AA245)*('1994 E Maize Soil VWC'!$D$2:$D$5000=$AB245)*('1994 E Maize Soil VWC'!$E$2:$E$5000=AK$5),'1994 E Maize Soil VWC'!$F$2:$F$5000)</f>
        <v>#N/A</v>
      </c>
      <c r="AL245" s="4" t="e" cm="1">
        <f t="array" ref="AL245">_xlfn.XLOOKUP(1,('1994 E Maize Soil VWC'!$C$2:$C$5000=$AA245)*('1994 E Maize Soil VWC'!$D$2:$D$5000=$AB245)*('1994 E Maize Soil VWC'!$E$2:$E$5000=AL$5),'1994 E Maize Soil VWC'!$F$2:$F$5000)</f>
        <v>#N/A</v>
      </c>
      <c r="AM245" s="4" t="e" cm="1">
        <f t="array" ref="AM245">_xlfn.XLOOKUP(1,('1994 E Maize Soil VWC'!$C$2:$C$5000=$AA245)*('1994 E Maize Soil VWC'!$D$2:$D$5000=$AB245)*('1994 E Maize Soil VWC'!$E$2:$E$5000=AM$5),'1994 E Maize Soil VWC'!$F$2:$F$5000)</f>
        <v>#N/A</v>
      </c>
      <c r="AN245" s="4" t="e" cm="1">
        <f t="array" ref="AN245">_xlfn.XLOOKUP(1,('1994 E Maize Soil VWC'!$C$2:$C$5000=$AA245)*('1994 E Maize Soil VWC'!$D$2:$D$5000=$AB245)*('1994 E Maize Soil VWC'!$E$2:$E$5000=AN$5),'1994 E Maize Soil VWC'!$F$2:$F$5000)</f>
        <v>#N/A</v>
      </c>
    </row>
    <row r="246" spans="25:40" x14ac:dyDescent="0.25">
      <c r="AA246" s="19">
        <f t="shared" si="36"/>
        <v>34334</v>
      </c>
      <c r="AB246" s="4">
        <f t="shared" si="37"/>
        <v>130</v>
      </c>
      <c r="AC246" s="4" t="e" cm="1">
        <f t="array" ref="AC246">_xlfn.XLOOKUP(1,('1994 E Maize Soil VWC'!$C$2:$C$5000=$AA246)*('1994 E Maize Soil VWC'!$D$2:$D$5000=$AB246)*('1994 E Maize Soil VWC'!$E$2:$E$5000=AC$5),'1994 E Maize Soil VWC'!$F$2:$F$5000)</f>
        <v>#N/A</v>
      </c>
      <c r="AD246" s="4" t="e" cm="1">
        <f t="array" ref="AD246">_xlfn.XLOOKUP(1,('1994 E Maize Soil VWC'!$C$2:$C$5000=$AA246)*('1994 E Maize Soil VWC'!$D$2:$D$5000=$AB246)*('1994 E Maize Soil VWC'!$E$2:$E$5000=AD$5),'1994 E Maize Soil VWC'!$F$2:$F$5000)</f>
        <v>#N/A</v>
      </c>
      <c r="AE246" s="4" t="e" cm="1">
        <f t="array" ref="AE246">_xlfn.XLOOKUP(1,('1994 E Maize Soil VWC'!$C$2:$C$5000=$AA246)*('1994 E Maize Soil VWC'!$D$2:$D$5000=$AB246)*('1994 E Maize Soil VWC'!$E$2:$E$5000=AE$5),'1994 E Maize Soil VWC'!$F$2:$F$5000)</f>
        <v>#N/A</v>
      </c>
      <c r="AF246" s="4" t="e" cm="1">
        <f t="array" ref="AF246">_xlfn.XLOOKUP(1,('1994 E Maize Soil VWC'!$C$2:$C$5000=$AA246)*('1994 E Maize Soil VWC'!$D$2:$D$5000=$AB246)*('1994 E Maize Soil VWC'!$E$2:$E$5000=AF$5),'1994 E Maize Soil VWC'!$F$2:$F$5000)</f>
        <v>#N/A</v>
      </c>
      <c r="AG246" s="4" t="e" cm="1">
        <f t="array" ref="AG246">_xlfn.XLOOKUP(1,('1994 E Maize Soil VWC'!$C$2:$C$5000=$AA246)*('1994 E Maize Soil VWC'!$D$2:$D$5000=$AB246)*('1994 E Maize Soil VWC'!$E$2:$E$5000=AG$5),'1994 E Maize Soil VWC'!$F$2:$F$5000)</f>
        <v>#N/A</v>
      </c>
      <c r="AH246" s="4" t="e" cm="1">
        <f t="array" ref="AH246">_xlfn.XLOOKUP(1,('1994 E Maize Soil VWC'!$C$2:$C$5000=$AA246)*('1994 E Maize Soil VWC'!$D$2:$D$5000=$AB246)*('1994 E Maize Soil VWC'!$E$2:$E$5000=AH$5),'1994 E Maize Soil VWC'!$F$2:$F$5000)</f>
        <v>#N/A</v>
      </c>
      <c r="AI246" s="4" t="e" cm="1">
        <f t="array" ref="AI246">_xlfn.XLOOKUP(1,('1994 E Maize Soil VWC'!$C$2:$C$5000=$AA246)*('1994 E Maize Soil VWC'!$D$2:$D$5000=$AB246)*('1994 E Maize Soil VWC'!$E$2:$E$5000=AI$5),'1994 E Maize Soil VWC'!$F$2:$F$5000)</f>
        <v>#N/A</v>
      </c>
      <c r="AJ246" s="4" t="e" cm="1">
        <f t="array" ref="AJ246">_xlfn.XLOOKUP(1,('1994 E Maize Soil VWC'!$C$2:$C$5000=$AA246)*('1994 E Maize Soil VWC'!$D$2:$D$5000=$AB246)*('1994 E Maize Soil VWC'!$E$2:$E$5000=AJ$5),'1994 E Maize Soil VWC'!$F$2:$F$5000)</f>
        <v>#N/A</v>
      </c>
      <c r="AK246" s="4" t="e" cm="1">
        <f t="array" ref="AK246">_xlfn.XLOOKUP(1,('1994 E Maize Soil VWC'!$C$2:$C$5000=$AA246)*('1994 E Maize Soil VWC'!$D$2:$D$5000=$AB246)*('1994 E Maize Soil VWC'!$E$2:$E$5000=AK$5),'1994 E Maize Soil VWC'!$F$2:$F$5000)</f>
        <v>#N/A</v>
      </c>
      <c r="AL246" s="4" t="e" cm="1">
        <f t="array" ref="AL246">_xlfn.XLOOKUP(1,('1994 E Maize Soil VWC'!$C$2:$C$5000=$AA246)*('1994 E Maize Soil VWC'!$D$2:$D$5000=$AB246)*('1994 E Maize Soil VWC'!$E$2:$E$5000=AL$5),'1994 E Maize Soil VWC'!$F$2:$F$5000)</f>
        <v>#N/A</v>
      </c>
      <c r="AM246" s="4" t="e" cm="1">
        <f t="array" ref="AM246">_xlfn.XLOOKUP(1,('1994 E Maize Soil VWC'!$C$2:$C$5000=$AA246)*('1994 E Maize Soil VWC'!$D$2:$D$5000=$AB246)*('1994 E Maize Soil VWC'!$E$2:$E$5000=AM$5),'1994 E Maize Soil VWC'!$F$2:$F$5000)</f>
        <v>#N/A</v>
      </c>
      <c r="AN246" s="4" t="e" cm="1">
        <f t="array" ref="AN246">_xlfn.XLOOKUP(1,('1994 E Maize Soil VWC'!$C$2:$C$5000=$AA246)*('1994 E Maize Soil VWC'!$D$2:$D$5000=$AB246)*('1994 E Maize Soil VWC'!$E$2:$E$5000=AN$5),'1994 E Maize Soil VWC'!$F$2:$F$5000)</f>
        <v>#N/A</v>
      </c>
    </row>
    <row r="247" spans="25:40" x14ac:dyDescent="0.25">
      <c r="AA247" s="19">
        <f t="shared" si="36"/>
        <v>34334</v>
      </c>
      <c r="AB247" s="4">
        <f t="shared" si="37"/>
        <v>150</v>
      </c>
      <c r="AC247" s="4" t="e" cm="1">
        <f t="array" ref="AC247">_xlfn.XLOOKUP(1,('1994 E Maize Soil VWC'!$C$2:$C$5000=$AA247)*('1994 E Maize Soil VWC'!$D$2:$D$5000=$AB247)*('1994 E Maize Soil VWC'!$E$2:$E$5000=AC$5),'1994 E Maize Soil VWC'!$F$2:$F$5000)</f>
        <v>#N/A</v>
      </c>
      <c r="AD247" s="4" t="e" cm="1">
        <f t="array" ref="AD247">_xlfn.XLOOKUP(1,('1994 E Maize Soil VWC'!$C$2:$C$5000=$AA247)*('1994 E Maize Soil VWC'!$D$2:$D$5000=$AB247)*('1994 E Maize Soil VWC'!$E$2:$E$5000=AD$5),'1994 E Maize Soil VWC'!$F$2:$F$5000)</f>
        <v>#N/A</v>
      </c>
      <c r="AE247" s="4" t="e" cm="1">
        <f t="array" ref="AE247">_xlfn.XLOOKUP(1,('1994 E Maize Soil VWC'!$C$2:$C$5000=$AA247)*('1994 E Maize Soil VWC'!$D$2:$D$5000=$AB247)*('1994 E Maize Soil VWC'!$E$2:$E$5000=AE$5),'1994 E Maize Soil VWC'!$F$2:$F$5000)</f>
        <v>#N/A</v>
      </c>
      <c r="AF247" s="4" t="e" cm="1">
        <f t="array" ref="AF247">_xlfn.XLOOKUP(1,('1994 E Maize Soil VWC'!$C$2:$C$5000=$AA247)*('1994 E Maize Soil VWC'!$D$2:$D$5000=$AB247)*('1994 E Maize Soil VWC'!$E$2:$E$5000=AF$5),'1994 E Maize Soil VWC'!$F$2:$F$5000)</f>
        <v>#N/A</v>
      </c>
      <c r="AG247" s="4" t="e" cm="1">
        <f t="array" ref="AG247">_xlfn.XLOOKUP(1,('1994 E Maize Soil VWC'!$C$2:$C$5000=$AA247)*('1994 E Maize Soil VWC'!$D$2:$D$5000=$AB247)*('1994 E Maize Soil VWC'!$E$2:$E$5000=AG$5),'1994 E Maize Soil VWC'!$F$2:$F$5000)</f>
        <v>#N/A</v>
      </c>
      <c r="AH247" s="4" t="e" cm="1">
        <f t="array" ref="AH247">_xlfn.XLOOKUP(1,('1994 E Maize Soil VWC'!$C$2:$C$5000=$AA247)*('1994 E Maize Soil VWC'!$D$2:$D$5000=$AB247)*('1994 E Maize Soil VWC'!$E$2:$E$5000=AH$5),'1994 E Maize Soil VWC'!$F$2:$F$5000)</f>
        <v>#N/A</v>
      </c>
      <c r="AI247" s="4" t="e" cm="1">
        <f t="array" ref="AI247">_xlfn.XLOOKUP(1,('1994 E Maize Soil VWC'!$C$2:$C$5000=$AA247)*('1994 E Maize Soil VWC'!$D$2:$D$5000=$AB247)*('1994 E Maize Soil VWC'!$E$2:$E$5000=AI$5),'1994 E Maize Soil VWC'!$F$2:$F$5000)</f>
        <v>#N/A</v>
      </c>
      <c r="AJ247" s="4" t="e" cm="1">
        <f t="array" ref="AJ247">_xlfn.XLOOKUP(1,('1994 E Maize Soil VWC'!$C$2:$C$5000=$AA247)*('1994 E Maize Soil VWC'!$D$2:$D$5000=$AB247)*('1994 E Maize Soil VWC'!$E$2:$E$5000=AJ$5),'1994 E Maize Soil VWC'!$F$2:$F$5000)</f>
        <v>#N/A</v>
      </c>
      <c r="AK247" s="4" t="e" cm="1">
        <f t="array" ref="AK247">_xlfn.XLOOKUP(1,('1994 E Maize Soil VWC'!$C$2:$C$5000=$AA247)*('1994 E Maize Soil VWC'!$D$2:$D$5000=$AB247)*('1994 E Maize Soil VWC'!$E$2:$E$5000=AK$5),'1994 E Maize Soil VWC'!$F$2:$F$5000)</f>
        <v>#N/A</v>
      </c>
      <c r="AL247" s="4" t="e" cm="1">
        <f t="array" ref="AL247">_xlfn.XLOOKUP(1,('1994 E Maize Soil VWC'!$C$2:$C$5000=$AA247)*('1994 E Maize Soil VWC'!$D$2:$D$5000=$AB247)*('1994 E Maize Soil VWC'!$E$2:$E$5000=AL$5),'1994 E Maize Soil VWC'!$F$2:$F$5000)</f>
        <v>#N/A</v>
      </c>
      <c r="AM247" s="4" t="e" cm="1">
        <f t="array" ref="AM247">_xlfn.XLOOKUP(1,('1994 E Maize Soil VWC'!$C$2:$C$5000=$AA247)*('1994 E Maize Soil VWC'!$D$2:$D$5000=$AB247)*('1994 E Maize Soil VWC'!$E$2:$E$5000=AM$5),'1994 E Maize Soil VWC'!$F$2:$F$5000)</f>
        <v>#N/A</v>
      </c>
      <c r="AN247" s="4" t="e" cm="1">
        <f t="array" ref="AN247">_xlfn.XLOOKUP(1,('1994 E Maize Soil VWC'!$C$2:$C$5000=$AA247)*('1994 E Maize Soil VWC'!$D$2:$D$5000=$AB247)*('1994 E Maize Soil VWC'!$E$2:$E$5000=AN$5),'1994 E Maize Soil VWC'!$F$2:$F$5000)</f>
        <v>#N/A</v>
      </c>
    </row>
    <row r="248" spans="25:40" x14ac:dyDescent="0.25">
      <c r="AA248" s="19">
        <f t="shared" si="36"/>
        <v>34334</v>
      </c>
      <c r="AB248" s="4">
        <f t="shared" si="37"/>
        <v>170</v>
      </c>
      <c r="AC248" s="4" t="e" cm="1">
        <f t="array" ref="AC248">_xlfn.XLOOKUP(1,('1994 E Maize Soil VWC'!$C$2:$C$5000=$AA248)*('1994 E Maize Soil VWC'!$D$2:$D$5000=$AB248)*('1994 E Maize Soil VWC'!$E$2:$E$5000=AC$5),'1994 E Maize Soil VWC'!$F$2:$F$5000)</f>
        <v>#N/A</v>
      </c>
      <c r="AD248" s="4" t="e" cm="1">
        <f t="array" ref="AD248">_xlfn.XLOOKUP(1,('1994 E Maize Soil VWC'!$C$2:$C$5000=$AA248)*('1994 E Maize Soil VWC'!$D$2:$D$5000=$AB248)*('1994 E Maize Soil VWC'!$E$2:$E$5000=AD$5),'1994 E Maize Soil VWC'!$F$2:$F$5000)</f>
        <v>#N/A</v>
      </c>
      <c r="AE248" s="4" t="e" cm="1">
        <f t="array" ref="AE248">_xlfn.XLOOKUP(1,('1994 E Maize Soil VWC'!$C$2:$C$5000=$AA248)*('1994 E Maize Soil VWC'!$D$2:$D$5000=$AB248)*('1994 E Maize Soil VWC'!$E$2:$E$5000=AE$5),'1994 E Maize Soil VWC'!$F$2:$F$5000)</f>
        <v>#N/A</v>
      </c>
      <c r="AF248" s="4" t="e" cm="1">
        <f t="array" ref="AF248">_xlfn.XLOOKUP(1,('1994 E Maize Soil VWC'!$C$2:$C$5000=$AA248)*('1994 E Maize Soil VWC'!$D$2:$D$5000=$AB248)*('1994 E Maize Soil VWC'!$E$2:$E$5000=AF$5),'1994 E Maize Soil VWC'!$F$2:$F$5000)</f>
        <v>#N/A</v>
      </c>
      <c r="AG248" s="4" t="e" cm="1">
        <f t="array" ref="AG248">_xlfn.XLOOKUP(1,('1994 E Maize Soil VWC'!$C$2:$C$5000=$AA248)*('1994 E Maize Soil VWC'!$D$2:$D$5000=$AB248)*('1994 E Maize Soil VWC'!$E$2:$E$5000=AG$5),'1994 E Maize Soil VWC'!$F$2:$F$5000)</f>
        <v>#N/A</v>
      </c>
      <c r="AH248" s="4" t="e" cm="1">
        <f t="array" ref="AH248">_xlfn.XLOOKUP(1,('1994 E Maize Soil VWC'!$C$2:$C$5000=$AA248)*('1994 E Maize Soil VWC'!$D$2:$D$5000=$AB248)*('1994 E Maize Soil VWC'!$E$2:$E$5000=AH$5),'1994 E Maize Soil VWC'!$F$2:$F$5000)</f>
        <v>#N/A</v>
      </c>
      <c r="AI248" s="4" t="e" cm="1">
        <f t="array" ref="AI248">_xlfn.XLOOKUP(1,('1994 E Maize Soil VWC'!$C$2:$C$5000=$AA248)*('1994 E Maize Soil VWC'!$D$2:$D$5000=$AB248)*('1994 E Maize Soil VWC'!$E$2:$E$5000=AI$5),'1994 E Maize Soil VWC'!$F$2:$F$5000)</f>
        <v>#N/A</v>
      </c>
      <c r="AJ248" s="4" t="e" cm="1">
        <f t="array" ref="AJ248">_xlfn.XLOOKUP(1,('1994 E Maize Soil VWC'!$C$2:$C$5000=$AA248)*('1994 E Maize Soil VWC'!$D$2:$D$5000=$AB248)*('1994 E Maize Soil VWC'!$E$2:$E$5000=AJ$5),'1994 E Maize Soil VWC'!$F$2:$F$5000)</f>
        <v>#N/A</v>
      </c>
      <c r="AK248" s="4" t="e" cm="1">
        <f t="array" ref="AK248">_xlfn.XLOOKUP(1,('1994 E Maize Soil VWC'!$C$2:$C$5000=$AA248)*('1994 E Maize Soil VWC'!$D$2:$D$5000=$AB248)*('1994 E Maize Soil VWC'!$E$2:$E$5000=AK$5),'1994 E Maize Soil VWC'!$F$2:$F$5000)</f>
        <v>#N/A</v>
      </c>
      <c r="AL248" s="4" t="e" cm="1">
        <f t="array" ref="AL248">_xlfn.XLOOKUP(1,('1994 E Maize Soil VWC'!$C$2:$C$5000=$AA248)*('1994 E Maize Soil VWC'!$D$2:$D$5000=$AB248)*('1994 E Maize Soil VWC'!$E$2:$E$5000=AL$5),'1994 E Maize Soil VWC'!$F$2:$F$5000)</f>
        <v>#N/A</v>
      </c>
      <c r="AM248" s="4" t="e" cm="1">
        <f t="array" ref="AM248">_xlfn.XLOOKUP(1,('1994 E Maize Soil VWC'!$C$2:$C$5000=$AA248)*('1994 E Maize Soil VWC'!$D$2:$D$5000=$AB248)*('1994 E Maize Soil VWC'!$E$2:$E$5000=AM$5),'1994 E Maize Soil VWC'!$F$2:$F$5000)</f>
        <v>#N/A</v>
      </c>
      <c r="AN248" s="4" t="e" cm="1">
        <f t="array" ref="AN248">_xlfn.XLOOKUP(1,('1994 E Maize Soil VWC'!$C$2:$C$5000=$AA248)*('1994 E Maize Soil VWC'!$D$2:$D$5000=$AB248)*('1994 E Maize Soil VWC'!$E$2:$E$5000=AN$5),'1994 E Maize Soil VWC'!$F$2:$F$5000)</f>
        <v>#N/A</v>
      </c>
    </row>
    <row r="249" spans="25:40" x14ac:dyDescent="0.25">
      <c r="AA249" s="19">
        <f t="shared" si="36"/>
        <v>34334</v>
      </c>
      <c r="AB249" s="4">
        <f t="shared" si="37"/>
        <v>190</v>
      </c>
      <c r="AC249" s="4" t="e" cm="1">
        <f t="array" ref="AC249">_xlfn.XLOOKUP(1,('1994 E Maize Soil VWC'!$C$2:$C$5000=$AA249)*('1994 E Maize Soil VWC'!$D$2:$D$5000=$AB249)*('1994 E Maize Soil VWC'!$E$2:$E$5000=AC$5),'1994 E Maize Soil VWC'!$F$2:$F$5000)</f>
        <v>#N/A</v>
      </c>
      <c r="AD249" s="4" t="e" cm="1">
        <f t="array" ref="AD249">_xlfn.XLOOKUP(1,('1994 E Maize Soil VWC'!$C$2:$C$5000=$AA249)*('1994 E Maize Soil VWC'!$D$2:$D$5000=$AB249)*('1994 E Maize Soil VWC'!$E$2:$E$5000=AD$5),'1994 E Maize Soil VWC'!$F$2:$F$5000)</f>
        <v>#N/A</v>
      </c>
      <c r="AE249" s="4" t="e" cm="1">
        <f t="array" ref="AE249">_xlfn.XLOOKUP(1,('1994 E Maize Soil VWC'!$C$2:$C$5000=$AA249)*('1994 E Maize Soil VWC'!$D$2:$D$5000=$AB249)*('1994 E Maize Soil VWC'!$E$2:$E$5000=AE$5),'1994 E Maize Soil VWC'!$F$2:$F$5000)</f>
        <v>#N/A</v>
      </c>
      <c r="AF249" s="4" t="e" cm="1">
        <f t="array" ref="AF249">_xlfn.XLOOKUP(1,('1994 E Maize Soil VWC'!$C$2:$C$5000=$AA249)*('1994 E Maize Soil VWC'!$D$2:$D$5000=$AB249)*('1994 E Maize Soil VWC'!$E$2:$E$5000=AF$5),'1994 E Maize Soil VWC'!$F$2:$F$5000)</f>
        <v>#N/A</v>
      </c>
      <c r="AG249" s="4" t="e" cm="1">
        <f t="array" ref="AG249">_xlfn.XLOOKUP(1,('1994 E Maize Soil VWC'!$C$2:$C$5000=$AA249)*('1994 E Maize Soil VWC'!$D$2:$D$5000=$AB249)*('1994 E Maize Soil VWC'!$E$2:$E$5000=AG$5),'1994 E Maize Soil VWC'!$F$2:$F$5000)</f>
        <v>#N/A</v>
      </c>
      <c r="AH249" s="4" t="e" cm="1">
        <f t="array" ref="AH249">_xlfn.XLOOKUP(1,('1994 E Maize Soil VWC'!$C$2:$C$5000=$AA249)*('1994 E Maize Soil VWC'!$D$2:$D$5000=$AB249)*('1994 E Maize Soil VWC'!$E$2:$E$5000=AH$5),'1994 E Maize Soil VWC'!$F$2:$F$5000)</f>
        <v>#N/A</v>
      </c>
      <c r="AI249" s="4" t="e" cm="1">
        <f t="array" ref="AI249">_xlfn.XLOOKUP(1,('1994 E Maize Soil VWC'!$C$2:$C$5000=$AA249)*('1994 E Maize Soil VWC'!$D$2:$D$5000=$AB249)*('1994 E Maize Soil VWC'!$E$2:$E$5000=AI$5),'1994 E Maize Soil VWC'!$F$2:$F$5000)</f>
        <v>#N/A</v>
      </c>
      <c r="AJ249" s="4" t="e" cm="1">
        <f t="array" ref="AJ249">_xlfn.XLOOKUP(1,('1994 E Maize Soil VWC'!$C$2:$C$5000=$AA249)*('1994 E Maize Soil VWC'!$D$2:$D$5000=$AB249)*('1994 E Maize Soil VWC'!$E$2:$E$5000=AJ$5),'1994 E Maize Soil VWC'!$F$2:$F$5000)</f>
        <v>#N/A</v>
      </c>
      <c r="AK249" s="4" t="e" cm="1">
        <f t="array" ref="AK249">_xlfn.XLOOKUP(1,('1994 E Maize Soil VWC'!$C$2:$C$5000=$AA249)*('1994 E Maize Soil VWC'!$D$2:$D$5000=$AB249)*('1994 E Maize Soil VWC'!$E$2:$E$5000=AK$5),'1994 E Maize Soil VWC'!$F$2:$F$5000)</f>
        <v>#N/A</v>
      </c>
      <c r="AL249" s="4" t="e" cm="1">
        <f t="array" ref="AL249">_xlfn.XLOOKUP(1,('1994 E Maize Soil VWC'!$C$2:$C$5000=$AA249)*('1994 E Maize Soil VWC'!$D$2:$D$5000=$AB249)*('1994 E Maize Soil VWC'!$E$2:$E$5000=AL$5),'1994 E Maize Soil VWC'!$F$2:$F$5000)</f>
        <v>#N/A</v>
      </c>
      <c r="AM249" s="4" t="e" cm="1">
        <f t="array" ref="AM249">_xlfn.XLOOKUP(1,('1994 E Maize Soil VWC'!$C$2:$C$5000=$AA249)*('1994 E Maize Soil VWC'!$D$2:$D$5000=$AB249)*('1994 E Maize Soil VWC'!$E$2:$E$5000=AM$5),'1994 E Maize Soil VWC'!$F$2:$F$5000)</f>
        <v>#N/A</v>
      </c>
      <c r="AN249" s="4" t="e" cm="1">
        <f t="array" ref="AN249">_xlfn.XLOOKUP(1,('1994 E Maize Soil VWC'!$C$2:$C$5000=$AA249)*('1994 E Maize Soil VWC'!$D$2:$D$5000=$AB249)*('1994 E Maize Soil VWC'!$E$2:$E$5000=AN$5),'1994 E Maize Soil VWC'!$F$2:$F$5000)</f>
        <v>#N/A</v>
      </c>
    </row>
    <row r="250" spans="25:40" x14ac:dyDescent="0.25">
      <c r="AA250" s="19">
        <f t="shared" si="36"/>
        <v>34334</v>
      </c>
      <c r="AB250" s="4">
        <f t="shared" si="37"/>
        <v>210</v>
      </c>
      <c r="AC250" s="4" t="e" cm="1">
        <f t="array" ref="AC250">_xlfn.XLOOKUP(1,('1994 E Maize Soil VWC'!$C$2:$C$5000=$AA250)*('1994 E Maize Soil VWC'!$D$2:$D$5000=$AB250)*('1994 E Maize Soil VWC'!$E$2:$E$5000=AC$5),'1994 E Maize Soil VWC'!$F$2:$F$5000)</f>
        <v>#N/A</v>
      </c>
      <c r="AD250" s="4" t="e" cm="1">
        <f t="array" ref="AD250">_xlfn.XLOOKUP(1,('1994 E Maize Soil VWC'!$C$2:$C$5000=$AA250)*('1994 E Maize Soil VWC'!$D$2:$D$5000=$AB250)*('1994 E Maize Soil VWC'!$E$2:$E$5000=AD$5),'1994 E Maize Soil VWC'!$F$2:$F$5000)</f>
        <v>#N/A</v>
      </c>
      <c r="AE250" s="4" t="e" cm="1">
        <f t="array" ref="AE250">_xlfn.XLOOKUP(1,('1994 E Maize Soil VWC'!$C$2:$C$5000=$AA250)*('1994 E Maize Soil VWC'!$D$2:$D$5000=$AB250)*('1994 E Maize Soil VWC'!$E$2:$E$5000=AE$5),'1994 E Maize Soil VWC'!$F$2:$F$5000)</f>
        <v>#N/A</v>
      </c>
      <c r="AF250" s="4" t="e" cm="1">
        <f t="array" ref="AF250">_xlfn.XLOOKUP(1,('1994 E Maize Soil VWC'!$C$2:$C$5000=$AA250)*('1994 E Maize Soil VWC'!$D$2:$D$5000=$AB250)*('1994 E Maize Soil VWC'!$E$2:$E$5000=AF$5),'1994 E Maize Soil VWC'!$F$2:$F$5000)</f>
        <v>#N/A</v>
      </c>
      <c r="AG250" s="4" t="e" cm="1">
        <f t="array" ref="AG250">_xlfn.XLOOKUP(1,('1994 E Maize Soil VWC'!$C$2:$C$5000=$AA250)*('1994 E Maize Soil VWC'!$D$2:$D$5000=$AB250)*('1994 E Maize Soil VWC'!$E$2:$E$5000=AG$5),'1994 E Maize Soil VWC'!$F$2:$F$5000)</f>
        <v>#N/A</v>
      </c>
      <c r="AH250" s="4" t="e" cm="1">
        <f t="array" ref="AH250">_xlfn.XLOOKUP(1,('1994 E Maize Soil VWC'!$C$2:$C$5000=$AA250)*('1994 E Maize Soil VWC'!$D$2:$D$5000=$AB250)*('1994 E Maize Soil VWC'!$E$2:$E$5000=AH$5),'1994 E Maize Soil VWC'!$F$2:$F$5000)</f>
        <v>#N/A</v>
      </c>
      <c r="AI250" s="4" t="e" cm="1">
        <f t="array" ref="AI250">_xlfn.XLOOKUP(1,('1994 E Maize Soil VWC'!$C$2:$C$5000=$AA250)*('1994 E Maize Soil VWC'!$D$2:$D$5000=$AB250)*('1994 E Maize Soil VWC'!$E$2:$E$5000=AI$5),'1994 E Maize Soil VWC'!$F$2:$F$5000)</f>
        <v>#N/A</v>
      </c>
      <c r="AJ250" s="4" t="e" cm="1">
        <f t="array" ref="AJ250">_xlfn.XLOOKUP(1,('1994 E Maize Soil VWC'!$C$2:$C$5000=$AA250)*('1994 E Maize Soil VWC'!$D$2:$D$5000=$AB250)*('1994 E Maize Soil VWC'!$E$2:$E$5000=AJ$5),'1994 E Maize Soil VWC'!$F$2:$F$5000)</f>
        <v>#N/A</v>
      </c>
      <c r="AK250" s="4" t="e" cm="1">
        <f t="array" ref="AK250">_xlfn.XLOOKUP(1,('1994 E Maize Soil VWC'!$C$2:$C$5000=$AA250)*('1994 E Maize Soil VWC'!$D$2:$D$5000=$AB250)*('1994 E Maize Soil VWC'!$E$2:$E$5000=AK$5),'1994 E Maize Soil VWC'!$F$2:$F$5000)</f>
        <v>#N/A</v>
      </c>
      <c r="AL250" s="4" t="e" cm="1">
        <f t="array" ref="AL250">_xlfn.XLOOKUP(1,('1994 E Maize Soil VWC'!$C$2:$C$5000=$AA250)*('1994 E Maize Soil VWC'!$D$2:$D$5000=$AB250)*('1994 E Maize Soil VWC'!$E$2:$E$5000=AL$5),'1994 E Maize Soil VWC'!$F$2:$F$5000)</f>
        <v>#N/A</v>
      </c>
      <c r="AM250" s="4" t="e" cm="1">
        <f t="array" ref="AM250">_xlfn.XLOOKUP(1,('1994 E Maize Soil VWC'!$C$2:$C$5000=$AA250)*('1994 E Maize Soil VWC'!$D$2:$D$5000=$AB250)*('1994 E Maize Soil VWC'!$E$2:$E$5000=AM$5),'1994 E Maize Soil VWC'!$F$2:$F$5000)</f>
        <v>#N/A</v>
      </c>
      <c r="AN250" s="4" t="e" cm="1">
        <f t="array" ref="AN250">_xlfn.XLOOKUP(1,('1994 E Maize Soil VWC'!$C$2:$C$5000=$AA250)*('1994 E Maize Soil VWC'!$D$2:$D$5000=$AB250)*('1994 E Maize Soil VWC'!$E$2:$E$5000=AN$5),'1994 E Maize Soil VWC'!$F$2:$F$5000)</f>
        <v>#N/A</v>
      </c>
    </row>
    <row r="251" spans="25:40" x14ac:dyDescent="0.25">
      <c r="AA251" s="19">
        <f t="shared" si="36"/>
        <v>34334</v>
      </c>
      <c r="AB251" s="4">
        <f t="shared" si="37"/>
        <v>230</v>
      </c>
      <c r="AC251" s="4" t="e" cm="1">
        <f t="array" ref="AC251">_xlfn.XLOOKUP(1,('1994 E Maize Soil VWC'!$C$2:$C$5000=$AA251)*('1994 E Maize Soil VWC'!$D$2:$D$5000=$AB251)*('1994 E Maize Soil VWC'!$E$2:$E$5000=AC$5),'1994 E Maize Soil VWC'!$F$2:$F$5000)</f>
        <v>#N/A</v>
      </c>
      <c r="AD251" s="4" t="e" cm="1">
        <f t="array" ref="AD251">_xlfn.XLOOKUP(1,('1994 E Maize Soil VWC'!$C$2:$C$5000=$AA251)*('1994 E Maize Soil VWC'!$D$2:$D$5000=$AB251)*('1994 E Maize Soil VWC'!$E$2:$E$5000=AD$5),'1994 E Maize Soil VWC'!$F$2:$F$5000)</f>
        <v>#N/A</v>
      </c>
      <c r="AE251" s="4" t="e" cm="1">
        <f t="array" ref="AE251">_xlfn.XLOOKUP(1,('1994 E Maize Soil VWC'!$C$2:$C$5000=$AA251)*('1994 E Maize Soil VWC'!$D$2:$D$5000=$AB251)*('1994 E Maize Soil VWC'!$E$2:$E$5000=AE$5),'1994 E Maize Soil VWC'!$F$2:$F$5000)</f>
        <v>#N/A</v>
      </c>
      <c r="AF251" s="4" t="e" cm="1">
        <f t="array" ref="AF251">_xlfn.XLOOKUP(1,('1994 E Maize Soil VWC'!$C$2:$C$5000=$AA251)*('1994 E Maize Soil VWC'!$D$2:$D$5000=$AB251)*('1994 E Maize Soil VWC'!$E$2:$E$5000=AF$5),'1994 E Maize Soil VWC'!$F$2:$F$5000)</f>
        <v>#N/A</v>
      </c>
      <c r="AG251" s="4" t="e" cm="1">
        <f t="array" ref="AG251">_xlfn.XLOOKUP(1,('1994 E Maize Soil VWC'!$C$2:$C$5000=$AA251)*('1994 E Maize Soil VWC'!$D$2:$D$5000=$AB251)*('1994 E Maize Soil VWC'!$E$2:$E$5000=AG$5),'1994 E Maize Soil VWC'!$F$2:$F$5000)</f>
        <v>#N/A</v>
      </c>
      <c r="AH251" s="4" t="e" cm="1">
        <f t="array" ref="AH251">_xlfn.XLOOKUP(1,('1994 E Maize Soil VWC'!$C$2:$C$5000=$AA251)*('1994 E Maize Soil VWC'!$D$2:$D$5000=$AB251)*('1994 E Maize Soil VWC'!$E$2:$E$5000=AH$5),'1994 E Maize Soil VWC'!$F$2:$F$5000)</f>
        <v>#N/A</v>
      </c>
      <c r="AI251" s="4" t="e" cm="1">
        <f t="array" ref="AI251">_xlfn.XLOOKUP(1,('1994 E Maize Soil VWC'!$C$2:$C$5000=$AA251)*('1994 E Maize Soil VWC'!$D$2:$D$5000=$AB251)*('1994 E Maize Soil VWC'!$E$2:$E$5000=AI$5),'1994 E Maize Soil VWC'!$F$2:$F$5000)</f>
        <v>#N/A</v>
      </c>
      <c r="AJ251" s="4" t="e" cm="1">
        <f t="array" ref="AJ251">_xlfn.XLOOKUP(1,('1994 E Maize Soil VWC'!$C$2:$C$5000=$AA251)*('1994 E Maize Soil VWC'!$D$2:$D$5000=$AB251)*('1994 E Maize Soil VWC'!$E$2:$E$5000=AJ$5),'1994 E Maize Soil VWC'!$F$2:$F$5000)</f>
        <v>#N/A</v>
      </c>
      <c r="AK251" s="4" t="e" cm="1">
        <f t="array" ref="AK251">_xlfn.XLOOKUP(1,('1994 E Maize Soil VWC'!$C$2:$C$5000=$AA251)*('1994 E Maize Soil VWC'!$D$2:$D$5000=$AB251)*('1994 E Maize Soil VWC'!$E$2:$E$5000=AK$5),'1994 E Maize Soil VWC'!$F$2:$F$5000)</f>
        <v>#N/A</v>
      </c>
      <c r="AL251" s="4" t="e" cm="1">
        <f t="array" ref="AL251">_xlfn.XLOOKUP(1,('1994 E Maize Soil VWC'!$C$2:$C$5000=$AA251)*('1994 E Maize Soil VWC'!$D$2:$D$5000=$AB251)*('1994 E Maize Soil VWC'!$E$2:$E$5000=AL$5),'1994 E Maize Soil VWC'!$F$2:$F$5000)</f>
        <v>#N/A</v>
      </c>
      <c r="AM251" s="4" t="e" cm="1">
        <f t="array" ref="AM251">_xlfn.XLOOKUP(1,('1994 E Maize Soil VWC'!$C$2:$C$5000=$AA251)*('1994 E Maize Soil VWC'!$D$2:$D$5000=$AB251)*('1994 E Maize Soil VWC'!$E$2:$E$5000=AM$5),'1994 E Maize Soil VWC'!$F$2:$F$5000)</f>
        <v>#N/A</v>
      </c>
      <c r="AN251" s="4" t="e" cm="1">
        <f t="array" ref="AN251">_xlfn.XLOOKUP(1,('1994 E Maize Soil VWC'!$C$2:$C$5000=$AA251)*('1994 E Maize Soil VWC'!$D$2:$D$5000=$AB251)*('1994 E Maize Soil VWC'!$E$2:$E$5000=AN$5),'1994 E Maize Soil VWC'!$F$2:$F$5000)</f>
        <v>#N/A</v>
      </c>
    </row>
    <row r="253" spans="25:40" x14ac:dyDescent="0.25">
      <c r="Y253" s="4">
        <f>Y240</f>
        <v>1994</v>
      </c>
      <c r="Z253" s="4">
        <v>0</v>
      </c>
      <c r="AA253" s="19">
        <f>DATE(Y253,1,Z253)</f>
        <v>34334</v>
      </c>
      <c r="AB253" s="4">
        <v>10</v>
      </c>
      <c r="AC253" s="4" t="e" cm="1">
        <f t="array" ref="AC253">_xlfn.XLOOKUP(1,('1994 E Maize Soil VWC'!$C$2:$C$5000=$AA253)*('1994 E Maize Soil VWC'!$D$2:$D$5000=$AB253)*('1994 E Maize Soil VWC'!$E$2:$E$5000=AC$5),'1994 E Maize Soil VWC'!$F$2:$F$5000)</f>
        <v>#N/A</v>
      </c>
      <c r="AD253" s="4" t="e" cm="1">
        <f t="array" ref="AD253">_xlfn.XLOOKUP(1,('1994 E Maize Soil VWC'!$C$2:$C$5000=$AA253)*('1994 E Maize Soil VWC'!$D$2:$D$5000=$AB253)*('1994 E Maize Soil VWC'!$E$2:$E$5000=AD$5),'1994 E Maize Soil VWC'!$F$2:$F$5000)</f>
        <v>#N/A</v>
      </c>
      <c r="AE253" s="4" t="e" cm="1">
        <f t="array" ref="AE253">_xlfn.XLOOKUP(1,('1994 E Maize Soil VWC'!$C$2:$C$5000=$AA253)*('1994 E Maize Soil VWC'!$D$2:$D$5000=$AB253)*('1994 E Maize Soil VWC'!$E$2:$E$5000=AE$5),'1994 E Maize Soil VWC'!$F$2:$F$5000)</f>
        <v>#N/A</v>
      </c>
      <c r="AF253" s="4" t="e" cm="1">
        <f t="array" ref="AF253">_xlfn.XLOOKUP(1,('1994 E Maize Soil VWC'!$C$2:$C$5000=$AA253)*('1994 E Maize Soil VWC'!$D$2:$D$5000=$AB253)*('1994 E Maize Soil VWC'!$E$2:$E$5000=AF$5),'1994 E Maize Soil VWC'!$F$2:$F$5000)</f>
        <v>#N/A</v>
      </c>
      <c r="AG253" s="4" t="e" cm="1">
        <f t="array" ref="AG253">_xlfn.XLOOKUP(1,('1994 E Maize Soil VWC'!$C$2:$C$5000=$AA253)*('1994 E Maize Soil VWC'!$D$2:$D$5000=$AB253)*('1994 E Maize Soil VWC'!$E$2:$E$5000=AG$5),'1994 E Maize Soil VWC'!$F$2:$F$5000)</f>
        <v>#N/A</v>
      </c>
      <c r="AH253" s="4" t="e" cm="1">
        <f t="array" ref="AH253">_xlfn.XLOOKUP(1,('1994 E Maize Soil VWC'!$C$2:$C$5000=$AA253)*('1994 E Maize Soil VWC'!$D$2:$D$5000=$AB253)*('1994 E Maize Soil VWC'!$E$2:$E$5000=AH$5),'1994 E Maize Soil VWC'!$F$2:$F$5000)</f>
        <v>#N/A</v>
      </c>
      <c r="AI253" s="4" t="e" cm="1">
        <f t="array" ref="AI253">_xlfn.XLOOKUP(1,('1994 E Maize Soil VWC'!$C$2:$C$5000=$AA253)*('1994 E Maize Soil VWC'!$D$2:$D$5000=$AB253)*('1994 E Maize Soil VWC'!$E$2:$E$5000=AI$5),'1994 E Maize Soil VWC'!$F$2:$F$5000)</f>
        <v>#N/A</v>
      </c>
      <c r="AJ253" s="4" t="e" cm="1">
        <f t="array" ref="AJ253">_xlfn.XLOOKUP(1,('1994 E Maize Soil VWC'!$C$2:$C$5000=$AA253)*('1994 E Maize Soil VWC'!$D$2:$D$5000=$AB253)*('1994 E Maize Soil VWC'!$E$2:$E$5000=AJ$5),'1994 E Maize Soil VWC'!$F$2:$F$5000)</f>
        <v>#N/A</v>
      </c>
      <c r="AK253" s="4" t="e" cm="1">
        <f t="array" ref="AK253">_xlfn.XLOOKUP(1,('1994 E Maize Soil VWC'!$C$2:$C$5000=$AA253)*('1994 E Maize Soil VWC'!$D$2:$D$5000=$AB253)*('1994 E Maize Soil VWC'!$E$2:$E$5000=AK$5),'1994 E Maize Soil VWC'!$F$2:$F$5000)</f>
        <v>#N/A</v>
      </c>
      <c r="AL253" s="4" t="e" cm="1">
        <f t="array" ref="AL253">_xlfn.XLOOKUP(1,('1994 E Maize Soil VWC'!$C$2:$C$5000=$AA253)*('1994 E Maize Soil VWC'!$D$2:$D$5000=$AB253)*('1994 E Maize Soil VWC'!$E$2:$E$5000=AL$5),'1994 E Maize Soil VWC'!$F$2:$F$5000)</f>
        <v>#N/A</v>
      </c>
      <c r="AM253" s="4" t="e" cm="1">
        <f t="array" ref="AM253">_xlfn.XLOOKUP(1,('1994 E Maize Soil VWC'!$C$2:$C$5000=$AA253)*('1994 E Maize Soil VWC'!$D$2:$D$5000=$AB253)*('1994 E Maize Soil VWC'!$E$2:$E$5000=AM$5),'1994 E Maize Soil VWC'!$F$2:$F$5000)</f>
        <v>#N/A</v>
      </c>
      <c r="AN253" s="4" t="e" cm="1">
        <f t="array" ref="AN253">_xlfn.XLOOKUP(1,('1994 E Maize Soil VWC'!$C$2:$C$5000=$AA253)*('1994 E Maize Soil VWC'!$D$2:$D$5000=$AB253)*('1994 E Maize Soil VWC'!$E$2:$E$5000=AN$5),'1994 E Maize Soil VWC'!$F$2:$F$5000)</f>
        <v>#N/A</v>
      </c>
    </row>
    <row r="254" spans="25:40" x14ac:dyDescent="0.25">
      <c r="AA254" s="19">
        <f t="shared" ref="AA254:AA264" si="38">AA253</f>
        <v>34334</v>
      </c>
      <c r="AB254" s="4">
        <f t="shared" ref="AB254:AB264" si="39">AB253+20</f>
        <v>30</v>
      </c>
      <c r="AC254" s="4" t="e" cm="1">
        <f t="array" ref="AC254">_xlfn.XLOOKUP(1,('1994 E Maize Soil VWC'!$C$2:$C$5000=$AA254)*('1994 E Maize Soil VWC'!$D$2:$D$5000=$AB254)*('1994 E Maize Soil VWC'!$E$2:$E$5000=AC$5),'1994 E Maize Soil VWC'!$F$2:$F$5000)</f>
        <v>#N/A</v>
      </c>
      <c r="AD254" s="4" t="e" cm="1">
        <f t="array" ref="AD254">_xlfn.XLOOKUP(1,('1994 E Maize Soil VWC'!$C$2:$C$5000=$AA254)*('1994 E Maize Soil VWC'!$D$2:$D$5000=$AB254)*('1994 E Maize Soil VWC'!$E$2:$E$5000=AD$5),'1994 E Maize Soil VWC'!$F$2:$F$5000)</f>
        <v>#N/A</v>
      </c>
      <c r="AE254" s="4" t="e" cm="1">
        <f t="array" ref="AE254">_xlfn.XLOOKUP(1,('1994 E Maize Soil VWC'!$C$2:$C$5000=$AA254)*('1994 E Maize Soil VWC'!$D$2:$D$5000=$AB254)*('1994 E Maize Soil VWC'!$E$2:$E$5000=AE$5),'1994 E Maize Soil VWC'!$F$2:$F$5000)</f>
        <v>#N/A</v>
      </c>
      <c r="AF254" s="4" t="e" cm="1">
        <f t="array" ref="AF254">_xlfn.XLOOKUP(1,('1994 E Maize Soil VWC'!$C$2:$C$5000=$AA254)*('1994 E Maize Soil VWC'!$D$2:$D$5000=$AB254)*('1994 E Maize Soil VWC'!$E$2:$E$5000=AF$5),'1994 E Maize Soil VWC'!$F$2:$F$5000)</f>
        <v>#N/A</v>
      </c>
      <c r="AG254" s="4" t="e" cm="1">
        <f t="array" ref="AG254">_xlfn.XLOOKUP(1,('1994 E Maize Soil VWC'!$C$2:$C$5000=$AA254)*('1994 E Maize Soil VWC'!$D$2:$D$5000=$AB254)*('1994 E Maize Soil VWC'!$E$2:$E$5000=AG$5),'1994 E Maize Soil VWC'!$F$2:$F$5000)</f>
        <v>#N/A</v>
      </c>
      <c r="AH254" s="4" t="e" cm="1">
        <f t="array" ref="AH254">_xlfn.XLOOKUP(1,('1994 E Maize Soil VWC'!$C$2:$C$5000=$AA254)*('1994 E Maize Soil VWC'!$D$2:$D$5000=$AB254)*('1994 E Maize Soil VWC'!$E$2:$E$5000=AH$5),'1994 E Maize Soil VWC'!$F$2:$F$5000)</f>
        <v>#N/A</v>
      </c>
      <c r="AI254" s="4" t="e" cm="1">
        <f t="array" ref="AI254">_xlfn.XLOOKUP(1,('1994 E Maize Soil VWC'!$C$2:$C$5000=$AA254)*('1994 E Maize Soil VWC'!$D$2:$D$5000=$AB254)*('1994 E Maize Soil VWC'!$E$2:$E$5000=AI$5),'1994 E Maize Soil VWC'!$F$2:$F$5000)</f>
        <v>#N/A</v>
      </c>
      <c r="AJ254" s="4" t="e" cm="1">
        <f t="array" ref="AJ254">_xlfn.XLOOKUP(1,('1994 E Maize Soil VWC'!$C$2:$C$5000=$AA254)*('1994 E Maize Soil VWC'!$D$2:$D$5000=$AB254)*('1994 E Maize Soil VWC'!$E$2:$E$5000=AJ$5),'1994 E Maize Soil VWC'!$F$2:$F$5000)</f>
        <v>#N/A</v>
      </c>
      <c r="AK254" s="4" t="e" cm="1">
        <f t="array" ref="AK254">_xlfn.XLOOKUP(1,('1994 E Maize Soil VWC'!$C$2:$C$5000=$AA254)*('1994 E Maize Soil VWC'!$D$2:$D$5000=$AB254)*('1994 E Maize Soil VWC'!$E$2:$E$5000=AK$5),'1994 E Maize Soil VWC'!$F$2:$F$5000)</f>
        <v>#N/A</v>
      </c>
      <c r="AL254" s="4" t="e" cm="1">
        <f t="array" ref="AL254">_xlfn.XLOOKUP(1,('1994 E Maize Soil VWC'!$C$2:$C$5000=$AA254)*('1994 E Maize Soil VWC'!$D$2:$D$5000=$AB254)*('1994 E Maize Soil VWC'!$E$2:$E$5000=AL$5),'1994 E Maize Soil VWC'!$F$2:$F$5000)</f>
        <v>#N/A</v>
      </c>
      <c r="AM254" s="4" t="e" cm="1">
        <f t="array" ref="AM254">_xlfn.XLOOKUP(1,('1994 E Maize Soil VWC'!$C$2:$C$5000=$AA254)*('1994 E Maize Soil VWC'!$D$2:$D$5000=$AB254)*('1994 E Maize Soil VWC'!$E$2:$E$5000=AM$5),'1994 E Maize Soil VWC'!$F$2:$F$5000)</f>
        <v>#N/A</v>
      </c>
      <c r="AN254" s="4" t="e" cm="1">
        <f t="array" ref="AN254">_xlfn.XLOOKUP(1,('1994 E Maize Soil VWC'!$C$2:$C$5000=$AA254)*('1994 E Maize Soil VWC'!$D$2:$D$5000=$AB254)*('1994 E Maize Soil VWC'!$E$2:$E$5000=AN$5),'1994 E Maize Soil VWC'!$F$2:$F$5000)</f>
        <v>#N/A</v>
      </c>
    </row>
    <row r="255" spans="25:40" x14ac:dyDescent="0.25">
      <c r="AA255" s="19">
        <f t="shared" si="38"/>
        <v>34334</v>
      </c>
      <c r="AB255" s="4">
        <f t="shared" si="39"/>
        <v>50</v>
      </c>
      <c r="AC255" s="4" t="e" cm="1">
        <f t="array" ref="AC255">_xlfn.XLOOKUP(1,('1994 E Maize Soil VWC'!$C$2:$C$5000=$AA255)*('1994 E Maize Soil VWC'!$D$2:$D$5000=$AB255)*('1994 E Maize Soil VWC'!$E$2:$E$5000=AC$5),'1994 E Maize Soil VWC'!$F$2:$F$5000)</f>
        <v>#N/A</v>
      </c>
      <c r="AD255" s="4" t="e" cm="1">
        <f t="array" ref="AD255">_xlfn.XLOOKUP(1,('1994 E Maize Soil VWC'!$C$2:$C$5000=$AA255)*('1994 E Maize Soil VWC'!$D$2:$D$5000=$AB255)*('1994 E Maize Soil VWC'!$E$2:$E$5000=AD$5),'1994 E Maize Soil VWC'!$F$2:$F$5000)</f>
        <v>#N/A</v>
      </c>
      <c r="AE255" s="4" t="e" cm="1">
        <f t="array" ref="AE255">_xlfn.XLOOKUP(1,('1994 E Maize Soil VWC'!$C$2:$C$5000=$AA255)*('1994 E Maize Soil VWC'!$D$2:$D$5000=$AB255)*('1994 E Maize Soil VWC'!$E$2:$E$5000=AE$5),'1994 E Maize Soil VWC'!$F$2:$F$5000)</f>
        <v>#N/A</v>
      </c>
      <c r="AF255" s="4" t="e" cm="1">
        <f t="array" ref="AF255">_xlfn.XLOOKUP(1,('1994 E Maize Soil VWC'!$C$2:$C$5000=$AA255)*('1994 E Maize Soil VWC'!$D$2:$D$5000=$AB255)*('1994 E Maize Soil VWC'!$E$2:$E$5000=AF$5),'1994 E Maize Soil VWC'!$F$2:$F$5000)</f>
        <v>#N/A</v>
      </c>
      <c r="AG255" s="4" t="e" cm="1">
        <f t="array" ref="AG255">_xlfn.XLOOKUP(1,('1994 E Maize Soil VWC'!$C$2:$C$5000=$AA255)*('1994 E Maize Soil VWC'!$D$2:$D$5000=$AB255)*('1994 E Maize Soil VWC'!$E$2:$E$5000=AG$5),'1994 E Maize Soil VWC'!$F$2:$F$5000)</f>
        <v>#N/A</v>
      </c>
      <c r="AH255" s="4" t="e" cm="1">
        <f t="array" ref="AH255">_xlfn.XLOOKUP(1,('1994 E Maize Soil VWC'!$C$2:$C$5000=$AA255)*('1994 E Maize Soil VWC'!$D$2:$D$5000=$AB255)*('1994 E Maize Soil VWC'!$E$2:$E$5000=AH$5),'1994 E Maize Soil VWC'!$F$2:$F$5000)</f>
        <v>#N/A</v>
      </c>
      <c r="AI255" s="4" t="e" cm="1">
        <f t="array" ref="AI255">_xlfn.XLOOKUP(1,('1994 E Maize Soil VWC'!$C$2:$C$5000=$AA255)*('1994 E Maize Soil VWC'!$D$2:$D$5000=$AB255)*('1994 E Maize Soil VWC'!$E$2:$E$5000=AI$5),'1994 E Maize Soil VWC'!$F$2:$F$5000)</f>
        <v>#N/A</v>
      </c>
      <c r="AJ255" s="4" t="e" cm="1">
        <f t="array" ref="AJ255">_xlfn.XLOOKUP(1,('1994 E Maize Soil VWC'!$C$2:$C$5000=$AA255)*('1994 E Maize Soil VWC'!$D$2:$D$5000=$AB255)*('1994 E Maize Soil VWC'!$E$2:$E$5000=AJ$5),'1994 E Maize Soil VWC'!$F$2:$F$5000)</f>
        <v>#N/A</v>
      </c>
      <c r="AK255" s="4" t="e" cm="1">
        <f t="array" ref="AK255">_xlfn.XLOOKUP(1,('1994 E Maize Soil VWC'!$C$2:$C$5000=$AA255)*('1994 E Maize Soil VWC'!$D$2:$D$5000=$AB255)*('1994 E Maize Soil VWC'!$E$2:$E$5000=AK$5),'1994 E Maize Soil VWC'!$F$2:$F$5000)</f>
        <v>#N/A</v>
      </c>
      <c r="AL255" s="4" t="e" cm="1">
        <f t="array" ref="AL255">_xlfn.XLOOKUP(1,('1994 E Maize Soil VWC'!$C$2:$C$5000=$AA255)*('1994 E Maize Soil VWC'!$D$2:$D$5000=$AB255)*('1994 E Maize Soil VWC'!$E$2:$E$5000=AL$5),'1994 E Maize Soil VWC'!$F$2:$F$5000)</f>
        <v>#N/A</v>
      </c>
      <c r="AM255" s="4" t="e" cm="1">
        <f t="array" ref="AM255">_xlfn.XLOOKUP(1,('1994 E Maize Soil VWC'!$C$2:$C$5000=$AA255)*('1994 E Maize Soil VWC'!$D$2:$D$5000=$AB255)*('1994 E Maize Soil VWC'!$E$2:$E$5000=AM$5),'1994 E Maize Soil VWC'!$F$2:$F$5000)</f>
        <v>#N/A</v>
      </c>
      <c r="AN255" s="4" t="e" cm="1">
        <f t="array" ref="AN255">_xlfn.XLOOKUP(1,('1994 E Maize Soil VWC'!$C$2:$C$5000=$AA255)*('1994 E Maize Soil VWC'!$D$2:$D$5000=$AB255)*('1994 E Maize Soil VWC'!$E$2:$E$5000=AN$5),'1994 E Maize Soil VWC'!$F$2:$F$5000)</f>
        <v>#N/A</v>
      </c>
    </row>
    <row r="256" spans="25:40" x14ac:dyDescent="0.25">
      <c r="AA256" s="19">
        <f t="shared" si="38"/>
        <v>34334</v>
      </c>
      <c r="AB256" s="4">
        <f t="shared" si="39"/>
        <v>70</v>
      </c>
      <c r="AC256" s="4" t="e" cm="1">
        <f t="array" ref="AC256">_xlfn.XLOOKUP(1,('1994 E Maize Soil VWC'!$C$2:$C$5000=$AA256)*('1994 E Maize Soil VWC'!$D$2:$D$5000=$AB256)*('1994 E Maize Soil VWC'!$E$2:$E$5000=AC$5),'1994 E Maize Soil VWC'!$F$2:$F$5000)</f>
        <v>#N/A</v>
      </c>
      <c r="AD256" s="4" t="e" cm="1">
        <f t="array" ref="AD256">_xlfn.XLOOKUP(1,('1994 E Maize Soil VWC'!$C$2:$C$5000=$AA256)*('1994 E Maize Soil VWC'!$D$2:$D$5000=$AB256)*('1994 E Maize Soil VWC'!$E$2:$E$5000=AD$5),'1994 E Maize Soil VWC'!$F$2:$F$5000)</f>
        <v>#N/A</v>
      </c>
      <c r="AE256" s="4" t="e" cm="1">
        <f t="array" ref="AE256">_xlfn.XLOOKUP(1,('1994 E Maize Soil VWC'!$C$2:$C$5000=$AA256)*('1994 E Maize Soil VWC'!$D$2:$D$5000=$AB256)*('1994 E Maize Soil VWC'!$E$2:$E$5000=AE$5),'1994 E Maize Soil VWC'!$F$2:$F$5000)</f>
        <v>#N/A</v>
      </c>
      <c r="AF256" s="4" t="e" cm="1">
        <f t="array" ref="AF256">_xlfn.XLOOKUP(1,('1994 E Maize Soil VWC'!$C$2:$C$5000=$AA256)*('1994 E Maize Soil VWC'!$D$2:$D$5000=$AB256)*('1994 E Maize Soil VWC'!$E$2:$E$5000=AF$5),'1994 E Maize Soil VWC'!$F$2:$F$5000)</f>
        <v>#N/A</v>
      </c>
      <c r="AG256" s="4" t="e" cm="1">
        <f t="array" ref="AG256">_xlfn.XLOOKUP(1,('1994 E Maize Soil VWC'!$C$2:$C$5000=$AA256)*('1994 E Maize Soil VWC'!$D$2:$D$5000=$AB256)*('1994 E Maize Soil VWC'!$E$2:$E$5000=AG$5),'1994 E Maize Soil VWC'!$F$2:$F$5000)</f>
        <v>#N/A</v>
      </c>
      <c r="AH256" s="4" t="e" cm="1">
        <f t="array" ref="AH256">_xlfn.XLOOKUP(1,('1994 E Maize Soil VWC'!$C$2:$C$5000=$AA256)*('1994 E Maize Soil VWC'!$D$2:$D$5000=$AB256)*('1994 E Maize Soil VWC'!$E$2:$E$5000=AH$5),'1994 E Maize Soil VWC'!$F$2:$F$5000)</f>
        <v>#N/A</v>
      </c>
      <c r="AI256" s="4" t="e" cm="1">
        <f t="array" ref="AI256">_xlfn.XLOOKUP(1,('1994 E Maize Soil VWC'!$C$2:$C$5000=$AA256)*('1994 E Maize Soil VWC'!$D$2:$D$5000=$AB256)*('1994 E Maize Soil VWC'!$E$2:$E$5000=AI$5),'1994 E Maize Soil VWC'!$F$2:$F$5000)</f>
        <v>#N/A</v>
      </c>
      <c r="AJ256" s="4" t="e" cm="1">
        <f t="array" ref="AJ256">_xlfn.XLOOKUP(1,('1994 E Maize Soil VWC'!$C$2:$C$5000=$AA256)*('1994 E Maize Soil VWC'!$D$2:$D$5000=$AB256)*('1994 E Maize Soil VWC'!$E$2:$E$5000=AJ$5),'1994 E Maize Soil VWC'!$F$2:$F$5000)</f>
        <v>#N/A</v>
      </c>
      <c r="AK256" s="4" t="e" cm="1">
        <f t="array" ref="AK256">_xlfn.XLOOKUP(1,('1994 E Maize Soil VWC'!$C$2:$C$5000=$AA256)*('1994 E Maize Soil VWC'!$D$2:$D$5000=$AB256)*('1994 E Maize Soil VWC'!$E$2:$E$5000=AK$5),'1994 E Maize Soil VWC'!$F$2:$F$5000)</f>
        <v>#N/A</v>
      </c>
      <c r="AL256" s="4" t="e" cm="1">
        <f t="array" ref="AL256">_xlfn.XLOOKUP(1,('1994 E Maize Soil VWC'!$C$2:$C$5000=$AA256)*('1994 E Maize Soil VWC'!$D$2:$D$5000=$AB256)*('1994 E Maize Soil VWC'!$E$2:$E$5000=AL$5),'1994 E Maize Soil VWC'!$F$2:$F$5000)</f>
        <v>#N/A</v>
      </c>
      <c r="AM256" s="4" t="e" cm="1">
        <f t="array" ref="AM256">_xlfn.XLOOKUP(1,('1994 E Maize Soil VWC'!$C$2:$C$5000=$AA256)*('1994 E Maize Soil VWC'!$D$2:$D$5000=$AB256)*('1994 E Maize Soil VWC'!$E$2:$E$5000=AM$5),'1994 E Maize Soil VWC'!$F$2:$F$5000)</f>
        <v>#N/A</v>
      </c>
      <c r="AN256" s="4" t="e" cm="1">
        <f t="array" ref="AN256">_xlfn.XLOOKUP(1,('1994 E Maize Soil VWC'!$C$2:$C$5000=$AA256)*('1994 E Maize Soil VWC'!$D$2:$D$5000=$AB256)*('1994 E Maize Soil VWC'!$E$2:$E$5000=AN$5),'1994 E Maize Soil VWC'!$F$2:$F$5000)</f>
        <v>#N/A</v>
      </c>
    </row>
    <row r="257" spans="25:40" x14ac:dyDescent="0.25">
      <c r="AA257" s="19">
        <f t="shared" si="38"/>
        <v>34334</v>
      </c>
      <c r="AB257" s="4">
        <f t="shared" si="39"/>
        <v>90</v>
      </c>
      <c r="AC257" s="4" t="e" cm="1">
        <f t="array" ref="AC257">_xlfn.XLOOKUP(1,('1994 E Maize Soil VWC'!$C$2:$C$5000=$AA257)*('1994 E Maize Soil VWC'!$D$2:$D$5000=$AB257)*('1994 E Maize Soil VWC'!$E$2:$E$5000=AC$5),'1994 E Maize Soil VWC'!$F$2:$F$5000)</f>
        <v>#N/A</v>
      </c>
      <c r="AD257" s="4" t="e" cm="1">
        <f t="array" ref="AD257">_xlfn.XLOOKUP(1,('1994 E Maize Soil VWC'!$C$2:$C$5000=$AA257)*('1994 E Maize Soil VWC'!$D$2:$D$5000=$AB257)*('1994 E Maize Soil VWC'!$E$2:$E$5000=AD$5),'1994 E Maize Soil VWC'!$F$2:$F$5000)</f>
        <v>#N/A</v>
      </c>
      <c r="AE257" s="4" t="e" cm="1">
        <f t="array" ref="AE257">_xlfn.XLOOKUP(1,('1994 E Maize Soil VWC'!$C$2:$C$5000=$AA257)*('1994 E Maize Soil VWC'!$D$2:$D$5000=$AB257)*('1994 E Maize Soil VWC'!$E$2:$E$5000=AE$5),'1994 E Maize Soil VWC'!$F$2:$F$5000)</f>
        <v>#N/A</v>
      </c>
      <c r="AF257" s="4" t="e" cm="1">
        <f t="array" ref="AF257">_xlfn.XLOOKUP(1,('1994 E Maize Soil VWC'!$C$2:$C$5000=$AA257)*('1994 E Maize Soil VWC'!$D$2:$D$5000=$AB257)*('1994 E Maize Soil VWC'!$E$2:$E$5000=AF$5),'1994 E Maize Soil VWC'!$F$2:$F$5000)</f>
        <v>#N/A</v>
      </c>
      <c r="AG257" s="4" t="e" cm="1">
        <f t="array" ref="AG257">_xlfn.XLOOKUP(1,('1994 E Maize Soil VWC'!$C$2:$C$5000=$AA257)*('1994 E Maize Soil VWC'!$D$2:$D$5000=$AB257)*('1994 E Maize Soil VWC'!$E$2:$E$5000=AG$5),'1994 E Maize Soil VWC'!$F$2:$F$5000)</f>
        <v>#N/A</v>
      </c>
      <c r="AH257" s="4" t="e" cm="1">
        <f t="array" ref="AH257">_xlfn.XLOOKUP(1,('1994 E Maize Soil VWC'!$C$2:$C$5000=$AA257)*('1994 E Maize Soil VWC'!$D$2:$D$5000=$AB257)*('1994 E Maize Soil VWC'!$E$2:$E$5000=AH$5),'1994 E Maize Soil VWC'!$F$2:$F$5000)</f>
        <v>#N/A</v>
      </c>
      <c r="AI257" s="4" t="e" cm="1">
        <f t="array" ref="AI257">_xlfn.XLOOKUP(1,('1994 E Maize Soil VWC'!$C$2:$C$5000=$AA257)*('1994 E Maize Soil VWC'!$D$2:$D$5000=$AB257)*('1994 E Maize Soil VWC'!$E$2:$E$5000=AI$5),'1994 E Maize Soil VWC'!$F$2:$F$5000)</f>
        <v>#N/A</v>
      </c>
      <c r="AJ257" s="4" t="e" cm="1">
        <f t="array" ref="AJ257">_xlfn.XLOOKUP(1,('1994 E Maize Soil VWC'!$C$2:$C$5000=$AA257)*('1994 E Maize Soil VWC'!$D$2:$D$5000=$AB257)*('1994 E Maize Soil VWC'!$E$2:$E$5000=AJ$5),'1994 E Maize Soil VWC'!$F$2:$F$5000)</f>
        <v>#N/A</v>
      </c>
      <c r="AK257" s="4" t="e" cm="1">
        <f t="array" ref="AK257">_xlfn.XLOOKUP(1,('1994 E Maize Soil VWC'!$C$2:$C$5000=$AA257)*('1994 E Maize Soil VWC'!$D$2:$D$5000=$AB257)*('1994 E Maize Soil VWC'!$E$2:$E$5000=AK$5),'1994 E Maize Soil VWC'!$F$2:$F$5000)</f>
        <v>#N/A</v>
      </c>
      <c r="AL257" s="4" t="e" cm="1">
        <f t="array" ref="AL257">_xlfn.XLOOKUP(1,('1994 E Maize Soil VWC'!$C$2:$C$5000=$AA257)*('1994 E Maize Soil VWC'!$D$2:$D$5000=$AB257)*('1994 E Maize Soil VWC'!$E$2:$E$5000=AL$5),'1994 E Maize Soil VWC'!$F$2:$F$5000)</f>
        <v>#N/A</v>
      </c>
      <c r="AM257" s="4" t="e" cm="1">
        <f t="array" ref="AM257">_xlfn.XLOOKUP(1,('1994 E Maize Soil VWC'!$C$2:$C$5000=$AA257)*('1994 E Maize Soil VWC'!$D$2:$D$5000=$AB257)*('1994 E Maize Soil VWC'!$E$2:$E$5000=AM$5),'1994 E Maize Soil VWC'!$F$2:$F$5000)</f>
        <v>#N/A</v>
      </c>
      <c r="AN257" s="4" t="e" cm="1">
        <f t="array" ref="AN257">_xlfn.XLOOKUP(1,('1994 E Maize Soil VWC'!$C$2:$C$5000=$AA257)*('1994 E Maize Soil VWC'!$D$2:$D$5000=$AB257)*('1994 E Maize Soil VWC'!$E$2:$E$5000=AN$5),'1994 E Maize Soil VWC'!$F$2:$F$5000)</f>
        <v>#N/A</v>
      </c>
    </row>
    <row r="258" spans="25:40" x14ac:dyDescent="0.25">
      <c r="AA258" s="19">
        <f t="shared" si="38"/>
        <v>34334</v>
      </c>
      <c r="AB258" s="4">
        <f t="shared" si="39"/>
        <v>110</v>
      </c>
      <c r="AC258" s="4" t="e" cm="1">
        <f t="array" ref="AC258">_xlfn.XLOOKUP(1,('1994 E Maize Soil VWC'!$C$2:$C$5000=$AA258)*('1994 E Maize Soil VWC'!$D$2:$D$5000=$AB258)*('1994 E Maize Soil VWC'!$E$2:$E$5000=AC$5),'1994 E Maize Soil VWC'!$F$2:$F$5000)</f>
        <v>#N/A</v>
      </c>
      <c r="AD258" s="4" t="e" cm="1">
        <f t="array" ref="AD258">_xlfn.XLOOKUP(1,('1994 E Maize Soil VWC'!$C$2:$C$5000=$AA258)*('1994 E Maize Soil VWC'!$D$2:$D$5000=$AB258)*('1994 E Maize Soil VWC'!$E$2:$E$5000=AD$5),'1994 E Maize Soil VWC'!$F$2:$F$5000)</f>
        <v>#N/A</v>
      </c>
      <c r="AE258" s="4" t="e" cm="1">
        <f t="array" ref="AE258">_xlfn.XLOOKUP(1,('1994 E Maize Soil VWC'!$C$2:$C$5000=$AA258)*('1994 E Maize Soil VWC'!$D$2:$D$5000=$AB258)*('1994 E Maize Soil VWC'!$E$2:$E$5000=AE$5),'1994 E Maize Soil VWC'!$F$2:$F$5000)</f>
        <v>#N/A</v>
      </c>
      <c r="AF258" s="4" t="e" cm="1">
        <f t="array" ref="AF258">_xlfn.XLOOKUP(1,('1994 E Maize Soil VWC'!$C$2:$C$5000=$AA258)*('1994 E Maize Soil VWC'!$D$2:$D$5000=$AB258)*('1994 E Maize Soil VWC'!$E$2:$E$5000=AF$5),'1994 E Maize Soil VWC'!$F$2:$F$5000)</f>
        <v>#N/A</v>
      </c>
      <c r="AG258" s="4" t="e" cm="1">
        <f t="array" ref="AG258">_xlfn.XLOOKUP(1,('1994 E Maize Soil VWC'!$C$2:$C$5000=$AA258)*('1994 E Maize Soil VWC'!$D$2:$D$5000=$AB258)*('1994 E Maize Soil VWC'!$E$2:$E$5000=AG$5),'1994 E Maize Soil VWC'!$F$2:$F$5000)</f>
        <v>#N/A</v>
      </c>
      <c r="AH258" s="4" t="e" cm="1">
        <f t="array" ref="AH258">_xlfn.XLOOKUP(1,('1994 E Maize Soil VWC'!$C$2:$C$5000=$AA258)*('1994 E Maize Soil VWC'!$D$2:$D$5000=$AB258)*('1994 E Maize Soil VWC'!$E$2:$E$5000=AH$5),'1994 E Maize Soil VWC'!$F$2:$F$5000)</f>
        <v>#N/A</v>
      </c>
      <c r="AI258" s="4" t="e" cm="1">
        <f t="array" ref="AI258">_xlfn.XLOOKUP(1,('1994 E Maize Soil VWC'!$C$2:$C$5000=$AA258)*('1994 E Maize Soil VWC'!$D$2:$D$5000=$AB258)*('1994 E Maize Soil VWC'!$E$2:$E$5000=AI$5),'1994 E Maize Soil VWC'!$F$2:$F$5000)</f>
        <v>#N/A</v>
      </c>
      <c r="AJ258" s="4" t="e" cm="1">
        <f t="array" ref="AJ258">_xlfn.XLOOKUP(1,('1994 E Maize Soil VWC'!$C$2:$C$5000=$AA258)*('1994 E Maize Soil VWC'!$D$2:$D$5000=$AB258)*('1994 E Maize Soil VWC'!$E$2:$E$5000=AJ$5),'1994 E Maize Soil VWC'!$F$2:$F$5000)</f>
        <v>#N/A</v>
      </c>
      <c r="AK258" s="4" t="e" cm="1">
        <f t="array" ref="AK258">_xlfn.XLOOKUP(1,('1994 E Maize Soil VWC'!$C$2:$C$5000=$AA258)*('1994 E Maize Soil VWC'!$D$2:$D$5000=$AB258)*('1994 E Maize Soil VWC'!$E$2:$E$5000=AK$5),'1994 E Maize Soil VWC'!$F$2:$F$5000)</f>
        <v>#N/A</v>
      </c>
      <c r="AL258" s="4" t="e" cm="1">
        <f t="array" ref="AL258">_xlfn.XLOOKUP(1,('1994 E Maize Soil VWC'!$C$2:$C$5000=$AA258)*('1994 E Maize Soil VWC'!$D$2:$D$5000=$AB258)*('1994 E Maize Soil VWC'!$E$2:$E$5000=AL$5),'1994 E Maize Soil VWC'!$F$2:$F$5000)</f>
        <v>#N/A</v>
      </c>
      <c r="AM258" s="4" t="e" cm="1">
        <f t="array" ref="AM258">_xlfn.XLOOKUP(1,('1994 E Maize Soil VWC'!$C$2:$C$5000=$AA258)*('1994 E Maize Soil VWC'!$D$2:$D$5000=$AB258)*('1994 E Maize Soil VWC'!$E$2:$E$5000=AM$5),'1994 E Maize Soil VWC'!$F$2:$F$5000)</f>
        <v>#N/A</v>
      </c>
      <c r="AN258" s="4" t="e" cm="1">
        <f t="array" ref="AN258">_xlfn.XLOOKUP(1,('1994 E Maize Soil VWC'!$C$2:$C$5000=$AA258)*('1994 E Maize Soil VWC'!$D$2:$D$5000=$AB258)*('1994 E Maize Soil VWC'!$E$2:$E$5000=AN$5),'1994 E Maize Soil VWC'!$F$2:$F$5000)</f>
        <v>#N/A</v>
      </c>
    </row>
    <row r="259" spans="25:40" x14ac:dyDescent="0.25">
      <c r="AA259" s="19">
        <f t="shared" si="38"/>
        <v>34334</v>
      </c>
      <c r="AB259" s="4">
        <f t="shared" si="39"/>
        <v>130</v>
      </c>
      <c r="AC259" s="4" t="e" cm="1">
        <f t="array" ref="AC259">_xlfn.XLOOKUP(1,('1994 E Maize Soil VWC'!$C$2:$C$5000=$AA259)*('1994 E Maize Soil VWC'!$D$2:$D$5000=$AB259)*('1994 E Maize Soil VWC'!$E$2:$E$5000=AC$5),'1994 E Maize Soil VWC'!$F$2:$F$5000)</f>
        <v>#N/A</v>
      </c>
      <c r="AD259" s="4" t="e" cm="1">
        <f t="array" ref="AD259">_xlfn.XLOOKUP(1,('1994 E Maize Soil VWC'!$C$2:$C$5000=$AA259)*('1994 E Maize Soil VWC'!$D$2:$D$5000=$AB259)*('1994 E Maize Soil VWC'!$E$2:$E$5000=AD$5),'1994 E Maize Soil VWC'!$F$2:$F$5000)</f>
        <v>#N/A</v>
      </c>
      <c r="AE259" s="4" t="e" cm="1">
        <f t="array" ref="AE259">_xlfn.XLOOKUP(1,('1994 E Maize Soil VWC'!$C$2:$C$5000=$AA259)*('1994 E Maize Soil VWC'!$D$2:$D$5000=$AB259)*('1994 E Maize Soil VWC'!$E$2:$E$5000=AE$5),'1994 E Maize Soil VWC'!$F$2:$F$5000)</f>
        <v>#N/A</v>
      </c>
      <c r="AF259" s="4" t="e" cm="1">
        <f t="array" ref="AF259">_xlfn.XLOOKUP(1,('1994 E Maize Soil VWC'!$C$2:$C$5000=$AA259)*('1994 E Maize Soil VWC'!$D$2:$D$5000=$AB259)*('1994 E Maize Soil VWC'!$E$2:$E$5000=AF$5),'1994 E Maize Soil VWC'!$F$2:$F$5000)</f>
        <v>#N/A</v>
      </c>
      <c r="AG259" s="4" t="e" cm="1">
        <f t="array" ref="AG259">_xlfn.XLOOKUP(1,('1994 E Maize Soil VWC'!$C$2:$C$5000=$AA259)*('1994 E Maize Soil VWC'!$D$2:$D$5000=$AB259)*('1994 E Maize Soil VWC'!$E$2:$E$5000=AG$5),'1994 E Maize Soil VWC'!$F$2:$F$5000)</f>
        <v>#N/A</v>
      </c>
      <c r="AH259" s="4" t="e" cm="1">
        <f t="array" ref="AH259">_xlfn.XLOOKUP(1,('1994 E Maize Soil VWC'!$C$2:$C$5000=$AA259)*('1994 E Maize Soil VWC'!$D$2:$D$5000=$AB259)*('1994 E Maize Soil VWC'!$E$2:$E$5000=AH$5),'1994 E Maize Soil VWC'!$F$2:$F$5000)</f>
        <v>#N/A</v>
      </c>
      <c r="AI259" s="4" t="e" cm="1">
        <f t="array" ref="AI259">_xlfn.XLOOKUP(1,('1994 E Maize Soil VWC'!$C$2:$C$5000=$AA259)*('1994 E Maize Soil VWC'!$D$2:$D$5000=$AB259)*('1994 E Maize Soil VWC'!$E$2:$E$5000=AI$5),'1994 E Maize Soil VWC'!$F$2:$F$5000)</f>
        <v>#N/A</v>
      </c>
      <c r="AJ259" s="4" t="e" cm="1">
        <f t="array" ref="AJ259">_xlfn.XLOOKUP(1,('1994 E Maize Soil VWC'!$C$2:$C$5000=$AA259)*('1994 E Maize Soil VWC'!$D$2:$D$5000=$AB259)*('1994 E Maize Soil VWC'!$E$2:$E$5000=AJ$5),'1994 E Maize Soil VWC'!$F$2:$F$5000)</f>
        <v>#N/A</v>
      </c>
      <c r="AK259" s="4" t="e" cm="1">
        <f t="array" ref="AK259">_xlfn.XLOOKUP(1,('1994 E Maize Soil VWC'!$C$2:$C$5000=$AA259)*('1994 E Maize Soil VWC'!$D$2:$D$5000=$AB259)*('1994 E Maize Soil VWC'!$E$2:$E$5000=AK$5),'1994 E Maize Soil VWC'!$F$2:$F$5000)</f>
        <v>#N/A</v>
      </c>
      <c r="AL259" s="4" t="e" cm="1">
        <f t="array" ref="AL259">_xlfn.XLOOKUP(1,('1994 E Maize Soil VWC'!$C$2:$C$5000=$AA259)*('1994 E Maize Soil VWC'!$D$2:$D$5000=$AB259)*('1994 E Maize Soil VWC'!$E$2:$E$5000=AL$5),'1994 E Maize Soil VWC'!$F$2:$F$5000)</f>
        <v>#N/A</v>
      </c>
      <c r="AM259" s="4" t="e" cm="1">
        <f t="array" ref="AM259">_xlfn.XLOOKUP(1,('1994 E Maize Soil VWC'!$C$2:$C$5000=$AA259)*('1994 E Maize Soil VWC'!$D$2:$D$5000=$AB259)*('1994 E Maize Soil VWC'!$E$2:$E$5000=AM$5),'1994 E Maize Soil VWC'!$F$2:$F$5000)</f>
        <v>#N/A</v>
      </c>
      <c r="AN259" s="4" t="e" cm="1">
        <f t="array" ref="AN259">_xlfn.XLOOKUP(1,('1994 E Maize Soil VWC'!$C$2:$C$5000=$AA259)*('1994 E Maize Soil VWC'!$D$2:$D$5000=$AB259)*('1994 E Maize Soil VWC'!$E$2:$E$5000=AN$5),'1994 E Maize Soil VWC'!$F$2:$F$5000)</f>
        <v>#N/A</v>
      </c>
    </row>
    <row r="260" spans="25:40" x14ac:dyDescent="0.25">
      <c r="AA260" s="19">
        <f t="shared" si="38"/>
        <v>34334</v>
      </c>
      <c r="AB260" s="4">
        <f t="shared" si="39"/>
        <v>150</v>
      </c>
      <c r="AC260" s="4" t="e" cm="1">
        <f t="array" ref="AC260">_xlfn.XLOOKUP(1,('1994 E Maize Soil VWC'!$C$2:$C$5000=$AA260)*('1994 E Maize Soil VWC'!$D$2:$D$5000=$AB260)*('1994 E Maize Soil VWC'!$E$2:$E$5000=AC$5),'1994 E Maize Soil VWC'!$F$2:$F$5000)</f>
        <v>#N/A</v>
      </c>
      <c r="AD260" s="4" t="e" cm="1">
        <f t="array" ref="AD260">_xlfn.XLOOKUP(1,('1994 E Maize Soil VWC'!$C$2:$C$5000=$AA260)*('1994 E Maize Soil VWC'!$D$2:$D$5000=$AB260)*('1994 E Maize Soil VWC'!$E$2:$E$5000=AD$5),'1994 E Maize Soil VWC'!$F$2:$F$5000)</f>
        <v>#N/A</v>
      </c>
      <c r="AE260" s="4" t="e" cm="1">
        <f t="array" ref="AE260">_xlfn.XLOOKUP(1,('1994 E Maize Soil VWC'!$C$2:$C$5000=$AA260)*('1994 E Maize Soil VWC'!$D$2:$D$5000=$AB260)*('1994 E Maize Soil VWC'!$E$2:$E$5000=AE$5),'1994 E Maize Soil VWC'!$F$2:$F$5000)</f>
        <v>#N/A</v>
      </c>
      <c r="AF260" s="4" t="e" cm="1">
        <f t="array" ref="AF260">_xlfn.XLOOKUP(1,('1994 E Maize Soil VWC'!$C$2:$C$5000=$AA260)*('1994 E Maize Soil VWC'!$D$2:$D$5000=$AB260)*('1994 E Maize Soil VWC'!$E$2:$E$5000=AF$5),'1994 E Maize Soil VWC'!$F$2:$F$5000)</f>
        <v>#N/A</v>
      </c>
      <c r="AG260" s="4" t="e" cm="1">
        <f t="array" ref="AG260">_xlfn.XLOOKUP(1,('1994 E Maize Soil VWC'!$C$2:$C$5000=$AA260)*('1994 E Maize Soil VWC'!$D$2:$D$5000=$AB260)*('1994 E Maize Soil VWC'!$E$2:$E$5000=AG$5),'1994 E Maize Soil VWC'!$F$2:$F$5000)</f>
        <v>#N/A</v>
      </c>
      <c r="AH260" s="4" t="e" cm="1">
        <f t="array" ref="AH260">_xlfn.XLOOKUP(1,('1994 E Maize Soil VWC'!$C$2:$C$5000=$AA260)*('1994 E Maize Soil VWC'!$D$2:$D$5000=$AB260)*('1994 E Maize Soil VWC'!$E$2:$E$5000=AH$5),'1994 E Maize Soil VWC'!$F$2:$F$5000)</f>
        <v>#N/A</v>
      </c>
      <c r="AI260" s="4" t="e" cm="1">
        <f t="array" ref="AI260">_xlfn.XLOOKUP(1,('1994 E Maize Soil VWC'!$C$2:$C$5000=$AA260)*('1994 E Maize Soil VWC'!$D$2:$D$5000=$AB260)*('1994 E Maize Soil VWC'!$E$2:$E$5000=AI$5),'1994 E Maize Soil VWC'!$F$2:$F$5000)</f>
        <v>#N/A</v>
      </c>
      <c r="AJ260" s="4" t="e" cm="1">
        <f t="array" ref="AJ260">_xlfn.XLOOKUP(1,('1994 E Maize Soil VWC'!$C$2:$C$5000=$AA260)*('1994 E Maize Soil VWC'!$D$2:$D$5000=$AB260)*('1994 E Maize Soil VWC'!$E$2:$E$5000=AJ$5),'1994 E Maize Soil VWC'!$F$2:$F$5000)</f>
        <v>#N/A</v>
      </c>
      <c r="AK260" s="4" t="e" cm="1">
        <f t="array" ref="AK260">_xlfn.XLOOKUP(1,('1994 E Maize Soil VWC'!$C$2:$C$5000=$AA260)*('1994 E Maize Soil VWC'!$D$2:$D$5000=$AB260)*('1994 E Maize Soil VWC'!$E$2:$E$5000=AK$5),'1994 E Maize Soil VWC'!$F$2:$F$5000)</f>
        <v>#N/A</v>
      </c>
      <c r="AL260" s="4" t="e" cm="1">
        <f t="array" ref="AL260">_xlfn.XLOOKUP(1,('1994 E Maize Soil VWC'!$C$2:$C$5000=$AA260)*('1994 E Maize Soil VWC'!$D$2:$D$5000=$AB260)*('1994 E Maize Soil VWC'!$E$2:$E$5000=AL$5),'1994 E Maize Soil VWC'!$F$2:$F$5000)</f>
        <v>#N/A</v>
      </c>
      <c r="AM260" s="4" t="e" cm="1">
        <f t="array" ref="AM260">_xlfn.XLOOKUP(1,('1994 E Maize Soil VWC'!$C$2:$C$5000=$AA260)*('1994 E Maize Soil VWC'!$D$2:$D$5000=$AB260)*('1994 E Maize Soil VWC'!$E$2:$E$5000=AM$5),'1994 E Maize Soil VWC'!$F$2:$F$5000)</f>
        <v>#N/A</v>
      </c>
      <c r="AN260" s="4" t="e" cm="1">
        <f t="array" ref="AN260">_xlfn.XLOOKUP(1,('1994 E Maize Soil VWC'!$C$2:$C$5000=$AA260)*('1994 E Maize Soil VWC'!$D$2:$D$5000=$AB260)*('1994 E Maize Soil VWC'!$E$2:$E$5000=AN$5),'1994 E Maize Soil VWC'!$F$2:$F$5000)</f>
        <v>#N/A</v>
      </c>
    </row>
    <row r="261" spans="25:40" x14ac:dyDescent="0.25">
      <c r="AA261" s="19">
        <f t="shared" si="38"/>
        <v>34334</v>
      </c>
      <c r="AB261" s="4">
        <f t="shared" si="39"/>
        <v>170</v>
      </c>
      <c r="AC261" s="4" t="e" cm="1">
        <f t="array" ref="AC261">_xlfn.XLOOKUP(1,('1994 E Maize Soil VWC'!$C$2:$C$5000=$AA261)*('1994 E Maize Soil VWC'!$D$2:$D$5000=$AB261)*('1994 E Maize Soil VWC'!$E$2:$E$5000=AC$5),'1994 E Maize Soil VWC'!$F$2:$F$5000)</f>
        <v>#N/A</v>
      </c>
      <c r="AD261" s="4" t="e" cm="1">
        <f t="array" ref="AD261">_xlfn.XLOOKUP(1,('1994 E Maize Soil VWC'!$C$2:$C$5000=$AA261)*('1994 E Maize Soil VWC'!$D$2:$D$5000=$AB261)*('1994 E Maize Soil VWC'!$E$2:$E$5000=AD$5),'1994 E Maize Soil VWC'!$F$2:$F$5000)</f>
        <v>#N/A</v>
      </c>
      <c r="AE261" s="4" t="e" cm="1">
        <f t="array" ref="AE261">_xlfn.XLOOKUP(1,('1994 E Maize Soil VWC'!$C$2:$C$5000=$AA261)*('1994 E Maize Soil VWC'!$D$2:$D$5000=$AB261)*('1994 E Maize Soil VWC'!$E$2:$E$5000=AE$5),'1994 E Maize Soil VWC'!$F$2:$F$5000)</f>
        <v>#N/A</v>
      </c>
      <c r="AF261" s="4" t="e" cm="1">
        <f t="array" ref="AF261">_xlfn.XLOOKUP(1,('1994 E Maize Soil VWC'!$C$2:$C$5000=$AA261)*('1994 E Maize Soil VWC'!$D$2:$D$5000=$AB261)*('1994 E Maize Soil VWC'!$E$2:$E$5000=AF$5),'1994 E Maize Soil VWC'!$F$2:$F$5000)</f>
        <v>#N/A</v>
      </c>
      <c r="AG261" s="4" t="e" cm="1">
        <f t="array" ref="AG261">_xlfn.XLOOKUP(1,('1994 E Maize Soil VWC'!$C$2:$C$5000=$AA261)*('1994 E Maize Soil VWC'!$D$2:$D$5000=$AB261)*('1994 E Maize Soil VWC'!$E$2:$E$5000=AG$5),'1994 E Maize Soil VWC'!$F$2:$F$5000)</f>
        <v>#N/A</v>
      </c>
      <c r="AH261" s="4" t="e" cm="1">
        <f t="array" ref="AH261">_xlfn.XLOOKUP(1,('1994 E Maize Soil VWC'!$C$2:$C$5000=$AA261)*('1994 E Maize Soil VWC'!$D$2:$D$5000=$AB261)*('1994 E Maize Soil VWC'!$E$2:$E$5000=AH$5),'1994 E Maize Soil VWC'!$F$2:$F$5000)</f>
        <v>#N/A</v>
      </c>
      <c r="AI261" s="4" t="e" cm="1">
        <f t="array" ref="AI261">_xlfn.XLOOKUP(1,('1994 E Maize Soil VWC'!$C$2:$C$5000=$AA261)*('1994 E Maize Soil VWC'!$D$2:$D$5000=$AB261)*('1994 E Maize Soil VWC'!$E$2:$E$5000=AI$5),'1994 E Maize Soil VWC'!$F$2:$F$5000)</f>
        <v>#N/A</v>
      </c>
      <c r="AJ261" s="4" t="e" cm="1">
        <f t="array" ref="AJ261">_xlfn.XLOOKUP(1,('1994 E Maize Soil VWC'!$C$2:$C$5000=$AA261)*('1994 E Maize Soil VWC'!$D$2:$D$5000=$AB261)*('1994 E Maize Soil VWC'!$E$2:$E$5000=AJ$5),'1994 E Maize Soil VWC'!$F$2:$F$5000)</f>
        <v>#N/A</v>
      </c>
      <c r="AK261" s="4" t="e" cm="1">
        <f t="array" ref="AK261">_xlfn.XLOOKUP(1,('1994 E Maize Soil VWC'!$C$2:$C$5000=$AA261)*('1994 E Maize Soil VWC'!$D$2:$D$5000=$AB261)*('1994 E Maize Soil VWC'!$E$2:$E$5000=AK$5),'1994 E Maize Soil VWC'!$F$2:$F$5000)</f>
        <v>#N/A</v>
      </c>
      <c r="AL261" s="4" t="e" cm="1">
        <f t="array" ref="AL261">_xlfn.XLOOKUP(1,('1994 E Maize Soil VWC'!$C$2:$C$5000=$AA261)*('1994 E Maize Soil VWC'!$D$2:$D$5000=$AB261)*('1994 E Maize Soil VWC'!$E$2:$E$5000=AL$5),'1994 E Maize Soil VWC'!$F$2:$F$5000)</f>
        <v>#N/A</v>
      </c>
      <c r="AM261" s="4" t="e" cm="1">
        <f t="array" ref="AM261">_xlfn.XLOOKUP(1,('1994 E Maize Soil VWC'!$C$2:$C$5000=$AA261)*('1994 E Maize Soil VWC'!$D$2:$D$5000=$AB261)*('1994 E Maize Soil VWC'!$E$2:$E$5000=AM$5),'1994 E Maize Soil VWC'!$F$2:$F$5000)</f>
        <v>#N/A</v>
      </c>
      <c r="AN261" s="4" t="e" cm="1">
        <f t="array" ref="AN261">_xlfn.XLOOKUP(1,('1994 E Maize Soil VWC'!$C$2:$C$5000=$AA261)*('1994 E Maize Soil VWC'!$D$2:$D$5000=$AB261)*('1994 E Maize Soil VWC'!$E$2:$E$5000=AN$5),'1994 E Maize Soil VWC'!$F$2:$F$5000)</f>
        <v>#N/A</v>
      </c>
    </row>
    <row r="262" spans="25:40" x14ac:dyDescent="0.25">
      <c r="AA262" s="19">
        <f t="shared" si="38"/>
        <v>34334</v>
      </c>
      <c r="AB262" s="4">
        <f t="shared" si="39"/>
        <v>190</v>
      </c>
      <c r="AC262" s="4" t="e" cm="1">
        <f t="array" ref="AC262">_xlfn.XLOOKUP(1,('1994 E Maize Soil VWC'!$C$2:$C$5000=$AA262)*('1994 E Maize Soil VWC'!$D$2:$D$5000=$AB262)*('1994 E Maize Soil VWC'!$E$2:$E$5000=AC$5),'1994 E Maize Soil VWC'!$F$2:$F$5000)</f>
        <v>#N/A</v>
      </c>
      <c r="AD262" s="4" t="e" cm="1">
        <f t="array" ref="AD262">_xlfn.XLOOKUP(1,('1994 E Maize Soil VWC'!$C$2:$C$5000=$AA262)*('1994 E Maize Soil VWC'!$D$2:$D$5000=$AB262)*('1994 E Maize Soil VWC'!$E$2:$E$5000=AD$5),'1994 E Maize Soil VWC'!$F$2:$F$5000)</f>
        <v>#N/A</v>
      </c>
      <c r="AE262" s="4" t="e" cm="1">
        <f t="array" ref="AE262">_xlfn.XLOOKUP(1,('1994 E Maize Soil VWC'!$C$2:$C$5000=$AA262)*('1994 E Maize Soil VWC'!$D$2:$D$5000=$AB262)*('1994 E Maize Soil VWC'!$E$2:$E$5000=AE$5),'1994 E Maize Soil VWC'!$F$2:$F$5000)</f>
        <v>#N/A</v>
      </c>
      <c r="AF262" s="4" t="e" cm="1">
        <f t="array" ref="AF262">_xlfn.XLOOKUP(1,('1994 E Maize Soil VWC'!$C$2:$C$5000=$AA262)*('1994 E Maize Soil VWC'!$D$2:$D$5000=$AB262)*('1994 E Maize Soil VWC'!$E$2:$E$5000=AF$5),'1994 E Maize Soil VWC'!$F$2:$F$5000)</f>
        <v>#N/A</v>
      </c>
      <c r="AG262" s="4" t="e" cm="1">
        <f t="array" ref="AG262">_xlfn.XLOOKUP(1,('1994 E Maize Soil VWC'!$C$2:$C$5000=$AA262)*('1994 E Maize Soil VWC'!$D$2:$D$5000=$AB262)*('1994 E Maize Soil VWC'!$E$2:$E$5000=AG$5),'1994 E Maize Soil VWC'!$F$2:$F$5000)</f>
        <v>#N/A</v>
      </c>
      <c r="AH262" s="4" t="e" cm="1">
        <f t="array" ref="AH262">_xlfn.XLOOKUP(1,('1994 E Maize Soil VWC'!$C$2:$C$5000=$AA262)*('1994 E Maize Soil VWC'!$D$2:$D$5000=$AB262)*('1994 E Maize Soil VWC'!$E$2:$E$5000=AH$5),'1994 E Maize Soil VWC'!$F$2:$F$5000)</f>
        <v>#N/A</v>
      </c>
      <c r="AI262" s="4" t="e" cm="1">
        <f t="array" ref="AI262">_xlfn.XLOOKUP(1,('1994 E Maize Soil VWC'!$C$2:$C$5000=$AA262)*('1994 E Maize Soil VWC'!$D$2:$D$5000=$AB262)*('1994 E Maize Soil VWC'!$E$2:$E$5000=AI$5),'1994 E Maize Soil VWC'!$F$2:$F$5000)</f>
        <v>#N/A</v>
      </c>
      <c r="AJ262" s="4" t="e" cm="1">
        <f t="array" ref="AJ262">_xlfn.XLOOKUP(1,('1994 E Maize Soil VWC'!$C$2:$C$5000=$AA262)*('1994 E Maize Soil VWC'!$D$2:$D$5000=$AB262)*('1994 E Maize Soil VWC'!$E$2:$E$5000=AJ$5),'1994 E Maize Soil VWC'!$F$2:$F$5000)</f>
        <v>#N/A</v>
      </c>
      <c r="AK262" s="4" t="e" cm="1">
        <f t="array" ref="AK262">_xlfn.XLOOKUP(1,('1994 E Maize Soil VWC'!$C$2:$C$5000=$AA262)*('1994 E Maize Soil VWC'!$D$2:$D$5000=$AB262)*('1994 E Maize Soil VWC'!$E$2:$E$5000=AK$5),'1994 E Maize Soil VWC'!$F$2:$F$5000)</f>
        <v>#N/A</v>
      </c>
      <c r="AL262" s="4" t="e" cm="1">
        <f t="array" ref="AL262">_xlfn.XLOOKUP(1,('1994 E Maize Soil VWC'!$C$2:$C$5000=$AA262)*('1994 E Maize Soil VWC'!$D$2:$D$5000=$AB262)*('1994 E Maize Soil VWC'!$E$2:$E$5000=AL$5),'1994 E Maize Soil VWC'!$F$2:$F$5000)</f>
        <v>#N/A</v>
      </c>
      <c r="AM262" s="4" t="e" cm="1">
        <f t="array" ref="AM262">_xlfn.XLOOKUP(1,('1994 E Maize Soil VWC'!$C$2:$C$5000=$AA262)*('1994 E Maize Soil VWC'!$D$2:$D$5000=$AB262)*('1994 E Maize Soil VWC'!$E$2:$E$5000=AM$5),'1994 E Maize Soil VWC'!$F$2:$F$5000)</f>
        <v>#N/A</v>
      </c>
      <c r="AN262" s="4" t="e" cm="1">
        <f t="array" ref="AN262">_xlfn.XLOOKUP(1,('1994 E Maize Soil VWC'!$C$2:$C$5000=$AA262)*('1994 E Maize Soil VWC'!$D$2:$D$5000=$AB262)*('1994 E Maize Soil VWC'!$E$2:$E$5000=AN$5),'1994 E Maize Soil VWC'!$F$2:$F$5000)</f>
        <v>#N/A</v>
      </c>
    </row>
    <row r="263" spans="25:40" x14ac:dyDescent="0.25">
      <c r="AA263" s="19">
        <f t="shared" si="38"/>
        <v>34334</v>
      </c>
      <c r="AB263" s="4">
        <f t="shared" si="39"/>
        <v>210</v>
      </c>
      <c r="AC263" s="4" t="e" cm="1">
        <f t="array" ref="AC263">_xlfn.XLOOKUP(1,('1994 E Maize Soil VWC'!$C$2:$C$5000=$AA263)*('1994 E Maize Soil VWC'!$D$2:$D$5000=$AB263)*('1994 E Maize Soil VWC'!$E$2:$E$5000=AC$5),'1994 E Maize Soil VWC'!$F$2:$F$5000)</f>
        <v>#N/A</v>
      </c>
      <c r="AD263" s="4" t="e" cm="1">
        <f t="array" ref="AD263">_xlfn.XLOOKUP(1,('1994 E Maize Soil VWC'!$C$2:$C$5000=$AA263)*('1994 E Maize Soil VWC'!$D$2:$D$5000=$AB263)*('1994 E Maize Soil VWC'!$E$2:$E$5000=AD$5),'1994 E Maize Soil VWC'!$F$2:$F$5000)</f>
        <v>#N/A</v>
      </c>
      <c r="AE263" s="4" t="e" cm="1">
        <f t="array" ref="AE263">_xlfn.XLOOKUP(1,('1994 E Maize Soil VWC'!$C$2:$C$5000=$AA263)*('1994 E Maize Soil VWC'!$D$2:$D$5000=$AB263)*('1994 E Maize Soil VWC'!$E$2:$E$5000=AE$5),'1994 E Maize Soil VWC'!$F$2:$F$5000)</f>
        <v>#N/A</v>
      </c>
      <c r="AF263" s="4" t="e" cm="1">
        <f t="array" ref="AF263">_xlfn.XLOOKUP(1,('1994 E Maize Soil VWC'!$C$2:$C$5000=$AA263)*('1994 E Maize Soil VWC'!$D$2:$D$5000=$AB263)*('1994 E Maize Soil VWC'!$E$2:$E$5000=AF$5),'1994 E Maize Soil VWC'!$F$2:$F$5000)</f>
        <v>#N/A</v>
      </c>
      <c r="AG263" s="4" t="e" cm="1">
        <f t="array" ref="AG263">_xlfn.XLOOKUP(1,('1994 E Maize Soil VWC'!$C$2:$C$5000=$AA263)*('1994 E Maize Soil VWC'!$D$2:$D$5000=$AB263)*('1994 E Maize Soil VWC'!$E$2:$E$5000=AG$5),'1994 E Maize Soil VWC'!$F$2:$F$5000)</f>
        <v>#N/A</v>
      </c>
      <c r="AH263" s="4" t="e" cm="1">
        <f t="array" ref="AH263">_xlfn.XLOOKUP(1,('1994 E Maize Soil VWC'!$C$2:$C$5000=$AA263)*('1994 E Maize Soil VWC'!$D$2:$D$5000=$AB263)*('1994 E Maize Soil VWC'!$E$2:$E$5000=AH$5),'1994 E Maize Soil VWC'!$F$2:$F$5000)</f>
        <v>#N/A</v>
      </c>
      <c r="AI263" s="4" t="e" cm="1">
        <f t="array" ref="AI263">_xlfn.XLOOKUP(1,('1994 E Maize Soil VWC'!$C$2:$C$5000=$AA263)*('1994 E Maize Soil VWC'!$D$2:$D$5000=$AB263)*('1994 E Maize Soil VWC'!$E$2:$E$5000=AI$5),'1994 E Maize Soil VWC'!$F$2:$F$5000)</f>
        <v>#N/A</v>
      </c>
      <c r="AJ263" s="4" t="e" cm="1">
        <f t="array" ref="AJ263">_xlfn.XLOOKUP(1,('1994 E Maize Soil VWC'!$C$2:$C$5000=$AA263)*('1994 E Maize Soil VWC'!$D$2:$D$5000=$AB263)*('1994 E Maize Soil VWC'!$E$2:$E$5000=AJ$5),'1994 E Maize Soil VWC'!$F$2:$F$5000)</f>
        <v>#N/A</v>
      </c>
      <c r="AK263" s="4" t="e" cm="1">
        <f t="array" ref="AK263">_xlfn.XLOOKUP(1,('1994 E Maize Soil VWC'!$C$2:$C$5000=$AA263)*('1994 E Maize Soil VWC'!$D$2:$D$5000=$AB263)*('1994 E Maize Soil VWC'!$E$2:$E$5000=AK$5),'1994 E Maize Soil VWC'!$F$2:$F$5000)</f>
        <v>#N/A</v>
      </c>
      <c r="AL263" s="4" t="e" cm="1">
        <f t="array" ref="AL263">_xlfn.XLOOKUP(1,('1994 E Maize Soil VWC'!$C$2:$C$5000=$AA263)*('1994 E Maize Soil VWC'!$D$2:$D$5000=$AB263)*('1994 E Maize Soil VWC'!$E$2:$E$5000=AL$5),'1994 E Maize Soil VWC'!$F$2:$F$5000)</f>
        <v>#N/A</v>
      </c>
      <c r="AM263" s="4" t="e" cm="1">
        <f t="array" ref="AM263">_xlfn.XLOOKUP(1,('1994 E Maize Soil VWC'!$C$2:$C$5000=$AA263)*('1994 E Maize Soil VWC'!$D$2:$D$5000=$AB263)*('1994 E Maize Soil VWC'!$E$2:$E$5000=AM$5),'1994 E Maize Soil VWC'!$F$2:$F$5000)</f>
        <v>#N/A</v>
      </c>
      <c r="AN263" s="4" t="e" cm="1">
        <f t="array" ref="AN263">_xlfn.XLOOKUP(1,('1994 E Maize Soil VWC'!$C$2:$C$5000=$AA263)*('1994 E Maize Soil VWC'!$D$2:$D$5000=$AB263)*('1994 E Maize Soil VWC'!$E$2:$E$5000=AN$5),'1994 E Maize Soil VWC'!$F$2:$F$5000)</f>
        <v>#N/A</v>
      </c>
    </row>
    <row r="264" spans="25:40" x14ac:dyDescent="0.25">
      <c r="AA264" s="19">
        <f t="shared" si="38"/>
        <v>34334</v>
      </c>
      <c r="AB264" s="4">
        <f t="shared" si="39"/>
        <v>230</v>
      </c>
      <c r="AC264" s="4" t="e" cm="1">
        <f t="array" ref="AC264">_xlfn.XLOOKUP(1,('1994 E Maize Soil VWC'!$C$2:$C$5000=$AA264)*('1994 E Maize Soil VWC'!$D$2:$D$5000=$AB264)*('1994 E Maize Soil VWC'!$E$2:$E$5000=AC$5),'1994 E Maize Soil VWC'!$F$2:$F$5000)</f>
        <v>#N/A</v>
      </c>
      <c r="AD264" s="4" t="e" cm="1">
        <f t="array" ref="AD264">_xlfn.XLOOKUP(1,('1994 E Maize Soil VWC'!$C$2:$C$5000=$AA264)*('1994 E Maize Soil VWC'!$D$2:$D$5000=$AB264)*('1994 E Maize Soil VWC'!$E$2:$E$5000=AD$5),'1994 E Maize Soil VWC'!$F$2:$F$5000)</f>
        <v>#N/A</v>
      </c>
      <c r="AE264" s="4" t="e" cm="1">
        <f t="array" ref="AE264">_xlfn.XLOOKUP(1,('1994 E Maize Soil VWC'!$C$2:$C$5000=$AA264)*('1994 E Maize Soil VWC'!$D$2:$D$5000=$AB264)*('1994 E Maize Soil VWC'!$E$2:$E$5000=AE$5),'1994 E Maize Soil VWC'!$F$2:$F$5000)</f>
        <v>#N/A</v>
      </c>
      <c r="AF264" s="4" t="e" cm="1">
        <f t="array" ref="AF264">_xlfn.XLOOKUP(1,('1994 E Maize Soil VWC'!$C$2:$C$5000=$AA264)*('1994 E Maize Soil VWC'!$D$2:$D$5000=$AB264)*('1994 E Maize Soil VWC'!$E$2:$E$5000=AF$5),'1994 E Maize Soil VWC'!$F$2:$F$5000)</f>
        <v>#N/A</v>
      </c>
      <c r="AG264" s="4" t="e" cm="1">
        <f t="array" ref="AG264">_xlfn.XLOOKUP(1,('1994 E Maize Soil VWC'!$C$2:$C$5000=$AA264)*('1994 E Maize Soil VWC'!$D$2:$D$5000=$AB264)*('1994 E Maize Soil VWC'!$E$2:$E$5000=AG$5),'1994 E Maize Soil VWC'!$F$2:$F$5000)</f>
        <v>#N/A</v>
      </c>
      <c r="AH264" s="4" t="e" cm="1">
        <f t="array" ref="AH264">_xlfn.XLOOKUP(1,('1994 E Maize Soil VWC'!$C$2:$C$5000=$AA264)*('1994 E Maize Soil VWC'!$D$2:$D$5000=$AB264)*('1994 E Maize Soil VWC'!$E$2:$E$5000=AH$5),'1994 E Maize Soil VWC'!$F$2:$F$5000)</f>
        <v>#N/A</v>
      </c>
      <c r="AI264" s="4" t="e" cm="1">
        <f t="array" ref="AI264">_xlfn.XLOOKUP(1,('1994 E Maize Soil VWC'!$C$2:$C$5000=$AA264)*('1994 E Maize Soil VWC'!$D$2:$D$5000=$AB264)*('1994 E Maize Soil VWC'!$E$2:$E$5000=AI$5),'1994 E Maize Soil VWC'!$F$2:$F$5000)</f>
        <v>#N/A</v>
      </c>
      <c r="AJ264" s="4" t="e" cm="1">
        <f t="array" ref="AJ264">_xlfn.XLOOKUP(1,('1994 E Maize Soil VWC'!$C$2:$C$5000=$AA264)*('1994 E Maize Soil VWC'!$D$2:$D$5000=$AB264)*('1994 E Maize Soil VWC'!$E$2:$E$5000=AJ$5),'1994 E Maize Soil VWC'!$F$2:$F$5000)</f>
        <v>#N/A</v>
      </c>
      <c r="AK264" s="4" t="e" cm="1">
        <f t="array" ref="AK264">_xlfn.XLOOKUP(1,('1994 E Maize Soil VWC'!$C$2:$C$5000=$AA264)*('1994 E Maize Soil VWC'!$D$2:$D$5000=$AB264)*('1994 E Maize Soil VWC'!$E$2:$E$5000=AK$5),'1994 E Maize Soil VWC'!$F$2:$F$5000)</f>
        <v>#N/A</v>
      </c>
      <c r="AL264" s="4" t="e" cm="1">
        <f t="array" ref="AL264">_xlfn.XLOOKUP(1,('1994 E Maize Soil VWC'!$C$2:$C$5000=$AA264)*('1994 E Maize Soil VWC'!$D$2:$D$5000=$AB264)*('1994 E Maize Soil VWC'!$E$2:$E$5000=AL$5),'1994 E Maize Soil VWC'!$F$2:$F$5000)</f>
        <v>#N/A</v>
      </c>
      <c r="AM264" s="4" t="e" cm="1">
        <f t="array" ref="AM264">_xlfn.XLOOKUP(1,('1994 E Maize Soil VWC'!$C$2:$C$5000=$AA264)*('1994 E Maize Soil VWC'!$D$2:$D$5000=$AB264)*('1994 E Maize Soil VWC'!$E$2:$E$5000=AM$5),'1994 E Maize Soil VWC'!$F$2:$F$5000)</f>
        <v>#N/A</v>
      </c>
      <c r="AN264" s="4" t="e" cm="1">
        <f t="array" ref="AN264">_xlfn.XLOOKUP(1,('1994 E Maize Soil VWC'!$C$2:$C$5000=$AA264)*('1994 E Maize Soil VWC'!$D$2:$D$5000=$AB264)*('1994 E Maize Soil VWC'!$E$2:$E$5000=AN$5),'1994 E Maize Soil VWC'!$F$2:$F$5000)</f>
        <v>#N/A</v>
      </c>
    </row>
    <row r="266" spans="25:40" x14ac:dyDescent="0.25">
      <c r="Y266" s="4">
        <f>Y253</f>
        <v>1994</v>
      </c>
      <c r="Z266" s="4">
        <v>0</v>
      </c>
      <c r="AA266" s="19">
        <f>DATE(Y266,1,Z266)</f>
        <v>34334</v>
      </c>
      <c r="AB266" s="4">
        <v>10</v>
      </c>
      <c r="AC266" s="4" t="e" cm="1">
        <f t="array" ref="AC266">_xlfn.XLOOKUP(1,('1994 E Maize Soil VWC'!$C$2:$C$5550=$AA266)*('1994 E Maize Soil VWC'!$D$2:$D$5550=$AB266)*('1994 E Maize Soil VWC'!$E$2:$E$5550=AC$5),'1994 E Maize Soil VWC'!$F$2:$F$5550)</f>
        <v>#N/A</v>
      </c>
      <c r="AD266" s="4" t="e" cm="1">
        <f t="array" ref="AD266">_xlfn.XLOOKUP(1,('1994 E Maize Soil VWC'!$C$2:$C$5550=$AA266)*('1994 E Maize Soil VWC'!$D$2:$D$5550=$AB266)*('1994 E Maize Soil VWC'!$E$2:$E$5550=AD$5),'1994 E Maize Soil VWC'!$F$2:$F$5550)</f>
        <v>#N/A</v>
      </c>
      <c r="AE266" s="4" t="e" cm="1">
        <f t="array" ref="AE266">_xlfn.XLOOKUP(1,('1994 E Maize Soil VWC'!$C$2:$C$5550=$AA266)*('1994 E Maize Soil VWC'!$D$2:$D$5550=$AB266)*('1994 E Maize Soil VWC'!$E$2:$E$5550=AE$5),'1994 E Maize Soil VWC'!$F$2:$F$5550)</f>
        <v>#N/A</v>
      </c>
      <c r="AF266" s="4" t="e" cm="1">
        <f t="array" ref="AF266">_xlfn.XLOOKUP(1,('1994 E Maize Soil VWC'!$C$2:$C$5550=$AA266)*('1994 E Maize Soil VWC'!$D$2:$D$5550=$AB266)*('1994 E Maize Soil VWC'!$E$2:$E$5550=AF$5),'1994 E Maize Soil VWC'!$F$2:$F$5550)</f>
        <v>#N/A</v>
      </c>
      <c r="AG266" s="4" t="e" cm="1">
        <f t="array" ref="AG266">_xlfn.XLOOKUP(1,('1994 E Maize Soil VWC'!$C$2:$C$5550=$AA266)*('1994 E Maize Soil VWC'!$D$2:$D$5550=$AB266)*('1994 E Maize Soil VWC'!$E$2:$E$5550=AG$5),'1994 E Maize Soil VWC'!$F$2:$F$5550)</f>
        <v>#N/A</v>
      </c>
      <c r="AH266" s="4" t="e" cm="1">
        <f t="array" ref="AH266">_xlfn.XLOOKUP(1,('1994 E Maize Soil VWC'!$C$2:$C$5550=$AA266)*('1994 E Maize Soil VWC'!$D$2:$D$5550=$AB266)*('1994 E Maize Soil VWC'!$E$2:$E$5550=AH$5),'1994 E Maize Soil VWC'!$F$2:$F$5550)</f>
        <v>#N/A</v>
      </c>
      <c r="AI266" s="4" t="e" cm="1">
        <f t="array" ref="AI266">_xlfn.XLOOKUP(1,('1994 E Maize Soil VWC'!$C$2:$C$5550=$AA266)*('1994 E Maize Soil VWC'!$D$2:$D$5550=$AB266)*('1994 E Maize Soil VWC'!$E$2:$E$5550=AI$5),'1994 E Maize Soil VWC'!$F$2:$F$5550)</f>
        <v>#N/A</v>
      </c>
      <c r="AJ266" s="4" t="e" cm="1">
        <f t="array" ref="AJ266">_xlfn.XLOOKUP(1,('1994 E Maize Soil VWC'!$C$2:$C$5550=$AA266)*('1994 E Maize Soil VWC'!$D$2:$D$5550=$AB266)*('1994 E Maize Soil VWC'!$E$2:$E$5550=AJ$5),'1994 E Maize Soil VWC'!$F$2:$F$5550)</f>
        <v>#N/A</v>
      </c>
      <c r="AK266" s="4" t="e" cm="1">
        <f t="array" ref="AK266">_xlfn.XLOOKUP(1,('1994 E Maize Soil VWC'!$C$2:$C$5550=$AA266)*('1994 E Maize Soil VWC'!$D$2:$D$5550=$AB266)*('1994 E Maize Soil VWC'!$E$2:$E$5550=AK$5),'1994 E Maize Soil VWC'!$F$2:$F$5550)</f>
        <v>#N/A</v>
      </c>
      <c r="AL266" s="4" t="e" cm="1">
        <f t="array" ref="AL266">_xlfn.XLOOKUP(1,('1994 E Maize Soil VWC'!$C$2:$C$5550=$AA266)*('1994 E Maize Soil VWC'!$D$2:$D$5550=$AB266)*('1994 E Maize Soil VWC'!$E$2:$E$5550=AL$5),'1994 E Maize Soil VWC'!$F$2:$F$5550)</f>
        <v>#N/A</v>
      </c>
      <c r="AM266" s="4" t="e" cm="1">
        <f t="array" ref="AM266">_xlfn.XLOOKUP(1,('1994 E Maize Soil VWC'!$C$2:$C$5550=$AA266)*('1994 E Maize Soil VWC'!$D$2:$D$5550=$AB266)*('1994 E Maize Soil VWC'!$E$2:$E$5550=AM$5),'1994 E Maize Soil VWC'!$F$2:$F$5550)</f>
        <v>#N/A</v>
      </c>
      <c r="AN266" s="4" t="e" cm="1">
        <f t="array" ref="AN266">_xlfn.XLOOKUP(1,('1994 E Maize Soil VWC'!$C$2:$C$5550=$AA266)*('1994 E Maize Soil VWC'!$D$2:$D$5550=$AB266)*('1994 E Maize Soil VWC'!$E$2:$E$5550=AN$5),'1994 E Maize Soil VWC'!$F$2:$F$5550)</f>
        <v>#N/A</v>
      </c>
    </row>
    <row r="267" spans="25:40" x14ac:dyDescent="0.25">
      <c r="AA267" s="19">
        <f t="shared" ref="AA267:AA277" si="40">AA266</f>
        <v>34334</v>
      </c>
      <c r="AB267" s="4">
        <f t="shared" ref="AB267:AB277" si="41">AB266+20</f>
        <v>30</v>
      </c>
      <c r="AC267" s="4" t="e" cm="1">
        <f t="array" ref="AC267">_xlfn.XLOOKUP(1,('1994 E Maize Soil VWC'!$C$2:$C$5550=$AA267)*('1994 E Maize Soil VWC'!$D$2:$D$5550=$AB267)*('1994 E Maize Soil VWC'!$E$2:$E$5550=AC$5),'1994 E Maize Soil VWC'!$F$2:$F$5550)</f>
        <v>#N/A</v>
      </c>
      <c r="AD267" s="4" t="e" cm="1">
        <f t="array" ref="AD267">_xlfn.XLOOKUP(1,('1994 E Maize Soil VWC'!$C$2:$C$5550=$AA267)*('1994 E Maize Soil VWC'!$D$2:$D$5550=$AB267)*('1994 E Maize Soil VWC'!$E$2:$E$5550=AD$5),'1994 E Maize Soil VWC'!$F$2:$F$5550)</f>
        <v>#N/A</v>
      </c>
      <c r="AE267" s="4" t="e" cm="1">
        <f t="array" ref="AE267">_xlfn.XLOOKUP(1,('1994 E Maize Soil VWC'!$C$2:$C$5550=$AA267)*('1994 E Maize Soil VWC'!$D$2:$D$5550=$AB267)*('1994 E Maize Soil VWC'!$E$2:$E$5550=AE$5),'1994 E Maize Soil VWC'!$F$2:$F$5550)</f>
        <v>#N/A</v>
      </c>
      <c r="AF267" s="4" t="e" cm="1">
        <f t="array" ref="AF267">_xlfn.XLOOKUP(1,('1994 E Maize Soil VWC'!$C$2:$C$5550=$AA267)*('1994 E Maize Soil VWC'!$D$2:$D$5550=$AB267)*('1994 E Maize Soil VWC'!$E$2:$E$5550=AF$5),'1994 E Maize Soil VWC'!$F$2:$F$5550)</f>
        <v>#N/A</v>
      </c>
      <c r="AG267" s="4" t="e" cm="1">
        <f t="array" ref="AG267">_xlfn.XLOOKUP(1,('1994 E Maize Soil VWC'!$C$2:$C$5550=$AA267)*('1994 E Maize Soil VWC'!$D$2:$D$5550=$AB267)*('1994 E Maize Soil VWC'!$E$2:$E$5550=AG$5),'1994 E Maize Soil VWC'!$F$2:$F$5550)</f>
        <v>#N/A</v>
      </c>
      <c r="AH267" s="4" t="e" cm="1">
        <f t="array" ref="AH267">_xlfn.XLOOKUP(1,('1994 E Maize Soil VWC'!$C$2:$C$5550=$AA267)*('1994 E Maize Soil VWC'!$D$2:$D$5550=$AB267)*('1994 E Maize Soil VWC'!$E$2:$E$5550=AH$5),'1994 E Maize Soil VWC'!$F$2:$F$5550)</f>
        <v>#N/A</v>
      </c>
      <c r="AI267" s="4" t="e" cm="1">
        <f t="array" ref="AI267">_xlfn.XLOOKUP(1,('1994 E Maize Soil VWC'!$C$2:$C$5550=$AA267)*('1994 E Maize Soil VWC'!$D$2:$D$5550=$AB267)*('1994 E Maize Soil VWC'!$E$2:$E$5550=AI$5),'1994 E Maize Soil VWC'!$F$2:$F$5550)</f>
        <v>#N/A</v>
      </c>
      <c r="AJ267" s="4" t="e" cm="1">
        <f t="array" ref="AJ267">_xlfn.XLOOKUP(1,('1994 E Maize Soil VWC'!$C$2:$C$5550=$AA267)*('1994 E Maize Soil VWC'!$D$2:$D$5550=$AB267)*('1994 E Maize Soil VWC'!$E$2:$E$5550=AJ$5),'1994 E Maize Soil VWC'!$F$2:$F$5550)</f>
        <v>#N/A</v>
      </c>
      <c r="AK267" s="4" t="e" cm="1">
        <f t="array" ref="AK267">_xlfn.XLOOKUP(1,('1994 E Maize Soil VWC'!$C$2:$C$5550=$AA267)*('1994 E Maize Soil VWC'!$D$2:$D$5550=$AB267)*('1994 E Maize Soil VWC'!$E$2:$E$5550=AK$5),'1994 E Maize Soil VWC'!$F$2:$F$5550)</f>
        <v>#N/A</v>
      </c>
      <c r="AL267" s="4" t="e" cm="1">
        <f t="array" ref="AL267">_xlfn.XLOOKUP(1,('1994 E Maize Soil VWC'!$C$2:$C$5550=$AA267)*('1994 E Maize Soil VWC'!$D$2:$D$5550=$AB267)*('1994 E Maize Soil VWC'!$E$2:$E$5550=AL$5),'1994 E Maize Soil VWC'!$F$2:$F$5550)</f>
        <v>#N/A</v>
      </c>
      <c r="AM267" s="4" t="e" cm="1">
        <f t="array" ref="AM267">_xlfn.XLOOKUP(1,('1994 E Maize Soil VWC'!$C$2:$C$5550=$AA267)*('1994 E Maize Soil VWC'!$D$2:$D$5550=$AB267)*('1994 E Maize Soil VWC'!$E$2:$E$5550=AM$5),'1994 E Maize Soil VWC'!$F$2:$F$5550)</f>
        <v>#N/A</v>
      </c>
      <c r="AN267" s="4" t="e" cm="1">
        <f t="array" ref="AN267">_xlfn.XLOOKUP(1,('1994 E Maize Soil VWC'!$C$2:$C$5550=$AA267)*('1994 E Maize Soil VWC'!$D$2:$D$5550=$AB267)*('1994 E Maize Soil VWC'!$E$2:$E$5550=AN$5),'1994 E Maize Soil VWC'!$F$2:$F$5550)</f>
        <v>#N/A</v>
      </c>
    </row>
    <row r="268" spans="25:40" x14ac:dyDescent="0.25">
      <c r="AA268" s="19">
        <f t="shared" si="40"/>
        <v>34334</v>
      </c>
      <c r="AB268" s="4">
        <f t="shared" si="41"/>
        <v>50</v>
      </c>
      <c r="AC268" s="4" t="e" cm="1">
        <f t="array" ref="AC268">_xlfn.XLOOKUP(1,('1994 E Maize Soil VWC'!$C$2:$C$5550=$AA268)*('1994 E Maize Soil VWC'!$D$2:$D$5550=$AB268)*('1994 E Maize Soil VWC'!$E$2:$E$5550=AC$5),'1994 E Maize Soil VWC'!$F$2:$F$5550)</f>
        <v>#N/A</v>
      </c>
      <c r="AD268" s="4" t="e" cm="1">
        <f t="array" ref="AD268">_xlfn.XLOOKUP(1,('1994 E Maize Soil VWC'!$C$2:$C$5550=$AA268)*('1994 E Maize Soil VWC'!$D$2:$D$5550=$AB268)*('1994 E Maize Soil VWC'!$E$2:$E$5550=AD$5),'1994 E Maize Soil VWC'!$F$2:$F$5550)</f>
        <v>#N/A</v>
      </c>
      <c r="AE268" s="4" t="e" cm="1">
        <f t="array" ref="AE268">_xlfn.XLOOKUP(1,('1994 E Maize Soil VWC'!$C$2:$C$5550=$AA268)*('1994 E Maize Soil VWC'!$D$2:$D$5550=$AB268)*('1994 E Maize Soil VWC'!$E$2:$E$5550=AE$5),'1994 E Maize Soil VWC'!$F$2:$F$5550)</f>
        <v>#N/A</v>
      </c>
      <c r="AF268" s="4" t="e" cm="1">
        <f t="array" ref="AF268">_xlfn.XLOOKUP(1,('1994 E Maize Soil VWC'!$C$2:$C$5550=$AA268)*('1994 E Maize Soil VWC'!$D$2:$D$5550=$AB268)*('1994 E Maize Soil VWC'!$E$2:$E$5550=AF$5),'1994 E Maize Soil VWC'!$F$2:$F$5550)</f>
        <v>#N/A</v>
      </c>
      <c r="AG268" s="4" t="e" cm="1">
        <f t="array" ref="AG268">_xlfn.XLOOKUP(1,('1994 E Maize Soil VWC'!$C$2:$C$5550=$AA268)*('1994 E Maize Soil VWC'!$D$2:$D$5550=$AB268)*('1994 E Maize Soil VWC'!$E$2:$E$5550=AG$5),'1994 E Maize Soil VWC'!$F$2:$F$5550)</f>
        <v>#N/A</v>
      </c>
      <c r="AH268" s="4" t="e" cm="1">
        <f t="array" ref="AH268">_xlfn.XLOOKUP(1,('1994 E Maize Soil VWC'!$C$2:$C$5550=$AA268)*('1994 E Maize Soil VWC'!$D$2:$D$5550=$AB268)*('1994 E Maize Soil VWC'!$E$2:$E$5550=AH$5),'1994 E Maize Soil VWC'!$F$2:$F$5550)</f>
        <v>#N/A</v>
      </c>
      <c r="AI268" s="4" t="e" cm="1">
        <f t="array" ref="AI268">_xlfn.XLOOKUP(1,('1994 E Maize Soil VWC'!$C$2:$C$5550=$AA268)*('1994 E Maize Soil VWC'!$D$2:$D$5550=$AB268)*('1994 E Maize Soil VWC'!$E$2:$E$5550=AI$5),'1994 E Maize Soil VWC'!$F$2:$F$5550)</f>
        <v>#N/A</v>
      </c>
      <c r="AJ268" s="4" t="e" cm="1">
        <f t="array" ref="AJ268">_xlfn.XLOOKUP(1,('1994 E Maize Soil VWC'!$C$2:$C$5550=$AA268)*('1994 E Maize Soil VWC'!$D$2:$D$5550=$AB268)*('1994 E Maize Soil VWC'!$E$2:$E$5550=AJ$5),'1994 E Maize Soil VWC'!$F$2:$F$5550)</f>
        <v>#N/A</v>
      </c>
      <c r="AK268" s="4" t="e" cm="1">
        <f t="array" ref="AK268">_xlfn.XLOOKUP(1,('1994 E Maize Soil VWC'!$C$2:$C$5550=$AA268)*('1994 E Maize Soil VWC'!$D$2:$D$5550=$AB268)*('1994 E Maize Soil VWC'!$E$2:$E$5550=AK$5),'1994 E Maize Soil VWC'!$F$2:$F$5550)</f>
        <v>#N/A</v>
      </c>
      <c r="AL268" s="4" t="e" cm="1">
        <f t="array" ref="AL268">_xlfn.XLOOKUP(1,('1994 E Maize Soil VWC'!$C$2:$C$5550=$AA268)*('1994 E Maize Soil VWC'!$D$2:$D$5550=$AB268)*('1994 E Maize Soil VWC'!$E$2:$E$5550=AL$5),'1994 E Maize Soil VWC'!$F$2:$F$5550)</f>
        <v>#N/A</v>
      </c>
      <c r="AM268" s="4" t="e" cm="1">
        <f t="array" ref="AM268">_xlfn.XLOOKUP(1,('1994 E Maize Soil VWC'!$C$2:$C$5550=$AA268)*('1994 E Maize Soil VWC'!$D$2:$D$5550=$AB268)*('1994 E Maize Soil VWC'!$E$2:$E$5550=AM$5),'1994 E Maize Soil VWC'!$F$2:$F$5550)</f>
        <v>#N/A</v>
      </c>
      <c r="AN268" s="4" t="e" cm="1">
        <f t="array" ref="AN268">_xlfn.XLOOKUP(1,('1994 E Maize Soil VWC'!$C$2:$C$5550=$AA268)*('1994 E Maize Soil VWC'!$D$2:$D$5550=$AB268)*('1994 E Maize Soil VWC'!$E$2:$E$5550=AN$5),'1994 E Maize Soil VWC'!$F$2:$F$5550)</f>
        <v>#N/A</v>
      </c>
    </row>
    <row r="269" spans="25:40" x14ac:dyDescent="0.25">
      <c r="AA269" s="19">
        <f t="shared" si="40"/>
        <v>34334</v>
      </c>
      <c r="AB269" s="4">
        <f t="shared" si="41"/>
        <v>70</v>
      </c>
      <c r="AC269" s="4" t="e" cm="1">
        <f t="array" ref="AC269">_xlfn.XLOOKUP(1,('1994 E Maize Soil VWC'!$C$2:$C$5550=$AA269)*('1994 E Maize Soil VWC'!$D$2:$D$5550=$AB269)*('1994 E Maize Soil VWC'!$E$2:$E$5550=AC$5),'1994 E Maize Soil VWC'!$F$2:$F$5550)</f>
        <v>#N/A</v>
      </c>
      <c r="AD269" s="4" t="e" cm="1">
        <f t="array" ref="AD269">_xlfn.XLOOKUP(1,('1994 E Maize Soil VWC'!$C$2:$C$5550=$AA269)*('1994 E Maize Soil VWC'!$D$2:$D$5550=$AB269)*('1994 E Maize Soil VWC'!$E$2:$E$5550=AD$5),'1994 E Maize Soil VWC'!$F$2:$F$5550)</f>
        <v>#N/A</v>
      </c>
      <c r="AE269" s="4" t="e" cm="1">
        <f t="array" ref="AE269">_xlfn.XLOOKUP(1,('1994 E Maize Soil VWC'!$C$2:$C$5550=$AA269)*('1994 E Maize Soil VWC'!$D$2:$D$5550=$AB269)*('1994 E Maize Soil VWC'!$E$2:$E$5550=AE$5),'1994 E Maize Soil VWC'!$F$2:$F$5550)</f>
        <v>#N/A</v>
      </c>
      <c r="AF269" s="4" t="e" cm="1">
        <f t="array" ref="AF269">_xlfn.XLOOKUP(1,('1994 E Maize Soil VWC'!$C$2:$C$5550=$AA269)*('1994 E Maize Soil VWC'!$D$2:$D$5550=$AB269)*('1994 E Maize Soil VWC'!$E$2:$E$5550=AF$5),'1994 E Maize Soil VWC'!$F$2:$F$5550)</f>
        <v>#N/A</v>
      </c>
      <c r="AG269" s="4" t="e" cm="1">
        <f t="array" ref="AG269">_xlfn.XLOOKUP(1,('1994 E Maize Soil VWC'!$C$2:$C$5550=$AA269)*('1994 E Maize Soil VWC'!$D$2:$D$5550=$AB269)*('1994 E Maize Soil VWC'!$E$2:$E$5550=AG$5),'1994 E Maize Soil VWC'!$F$2:$F$5550)</f>
        <v>#N/A</v>
      </c>
      <c r="AH269" s="4" t="e" cm="1">
        <f t="array" ref="AH269">_xlfn.XLOOKUP(1,('1994 E Maize Soil VWC'!$C$2:$C$5550=$AA269)*('1994 E Maize Soil VWC'!$D$2:$D$5550=$AB269)*('1994 E Maize Soil VWC'!$E$2:$E$5550=AH$5),'1994 E Maize Soil VWC'!$F$2:$F$5550)</f>
        <v>#N/A</v>
      </c>
      <c r="AI269" s="4" t="e" cm="1">
        <f t="array" ref="AI269">_xlfn.XLOOKUP(1,('1994 E Maize Soil VWC'!$C$2:$C$5550=$AA269)*('1994 E Maize Soil VWC'!$D$2:$D$5550=$AB269)*('1994 E Maize Soil VWC'!$E$2:$E$5550=AI$5),'1994 E Maize Soil VWC'!$F$2:$F$5550)</f>
        <v>#N/A</v>
      </c>
      <c r="AJ269" s="4" t="e" cm="1">
        <f t="array" ref="AJ269">_xlfn.XLOOKUP(1,('1994 E Maize Soil VWC'!$C$2:$C$5550=$AA269)*('1994 E Maize Soil VWC'!$D$2:$D$5550=$AB269)*('1994 E Maize Soil VWC'!$E$2:$E$5550=AJ$5),'1994 E Maize Soil VWC'!$F$2:$F$5550)</f>
        <v>#N/A</v>
      </c>
      <c r="AK269" s="4" t="e" cm="1">
        <f t="array" ref="AK269">_xlfn.XLOOKUP(1,('1994 E Maize Soil VWC'!$C$2:$C$5550=$AA269)*('1994 E Maize Soil VWC'!$D$2:$D$5550=$AB269)*('1994 E Maize Soil VWC'!$E$2:$E$5550=AK$5),'1994 E Maize Soil VWC'!$F$2:$F$5550)</f>
        <v>#N/A</v>
      </c>
      <c r="AL269" s="4" t="e" cm="1">
        <f t="array" ref="AL269">_xlfn.XLOOKUP(1,('1994 E Maize Soil VWC'!$C$2:$C$5550=$AA269)*('1994 E Maize Soil VWC'!$D$2:$D$5550=$AB269)*('1994 E Maize Soil VWC'!$E$2:$E$5550=AL$5),'1994 E Maize Soil VWC'!$F$2:$F$5550)</f>
        <v>#N/A</v>
      </c>
      <c r="AM269" s="4" t="e" cm="1">
        <f t="array" ref="AM269">_xlfn.XLOOKUP(1,('1994 E Maize Soil VWC'!$C$2:$C$5550=$AA269)*('1994 E Maize Soil VWC'!$D$2:$D$5550=$AB269)*('1994 E Maize Soil VWC'!$E$2:$E$5550=AM$5),'1994 E Maize Soil VWC'!$F$2:$F$5550)</f>
        <v>#N/A</v>
      </c>
      <c r="AN269" s="4" t="e" cm="1">
        <f t="array" ref="AN269">_xlfn.XLOOKUP(1,('1994 E Maize Soil VWC'!$C$2:$C$5550=$AA269)*('1994 E Maize Soil VWC'!$D$2:$D$5550=$AB269)*('1994 E Maize Soil VWC'!$E$2:$E$5550=AN$5),'1994 E Maize Soil VWC'!$F$2:$F$5550)</f>
        <v>#N/A</v>
      </c>
    </row>
    <row r="270" spans="25:40" x14ac:dyDescent="0.25">
      <c r="AA270" s="19">
        <f t="shared" si="40"/>
        <v>34334</v>
      </c>
      <c r="AB270" s="4">
        <f t="shared" si="41"/>
        <v>90</v>
      </c>
      <c r="AC270" s="4" t="e" cm="1">
        <f t="array" ref="AC270">_xlfn.XLOOKUP(1,('1994 E Maize Soil VWC'!$C$2:$C$5550=$AA270)*('1994 E Maize Soil VWC'!$D$2:$D$5550=$AB270)*('1994 E Maize Soil VWC'!$E$2:$E$5550=AC$5),'1994 E Maize Soil VWC'!$F$2:$F$5550)</f>
        <v>#N/A</v>
      </c>
      <c r="AD270" s="4" t="e" cm="1">
        <f t="array" ref="AD270">_xlfn.XLOOKUP(1,('1994 E Maize Soil VWC'!$C$2:$C$5550=$AA270)*('1994 E Maize Soil VWC'!$D$2:$D$5550=$AB270)*('1994 E Maize Soil VWC'!$E$2:$E$5550=AD$5),'1994 E Maize Soil VWC'!$F$2:$F$5550)</f>
        <v>#N/A</v>
      </c>
      <c r="AE270" s="4" t="e" cm="1">
        <f t="array" ref="AE270">_xlfn.XLOOKUP(1,('1994 E Maize Soil VWC'!$C$2:$C$5550=$AA270)*('1994 E Maize Soil VWC'!$D$2:$D$5550=$AB270)*('1994 E Maize Soil VWC'!$E$2:$E$5550=AE$5),'1994 E Maize Soil VWC'!$F$2:$F$5550)</f>
        <v>#N/A</v>
      </c>
      <c r="AF270" s="4" t="e" cm="1">
        <f t="array" ref="AF270">_xlfn.XLOOKUP(1,('1994 E Maize Soil VWC'!$C$2:$C$5550=$AA270)*('1994 E Maize Soil VWC'!$D$2:$D$5550=$AB270)*('1994 E Maize Soil VWC'!$E$2:$E$5550=AF$5),'1994 E Maize Soil VWC'!$F$2:$F$5550)</f>
        <v>#N/A</v>
      </c>
      <c r="AG270" s="4" t="e" cm="1">
        <f t="array" ref="AG270">_xlfn.XLOOKUP(1,('1994 E Maize Soil VWC'!$C$2:$C$5550=$AA270)*('1994 E Maize Soil VWC'!$D$2:$D$5550=$AB270)*('1994 E Maize Soil VWC'!$E$2:$E$5550=AG$5),'1994 E Maize Soil VWC'!$F$2:$F$5550)</f>
        <v>#N/A</v>
      </c>
      <c r="AH270" s="4" t="e" cm="1">
        <f t="array" ref="AH270">_xlfn.XLOOKUP(1,('1994 E Maize Soil VWC'!$C$2:$C$5550=$AA270)*('1994 E Maize Soil VWC'!$D$2:$D$5550=$AB270)*('1994 E Maize Soil VWC'!$E$2:$E$5550=AH$5),'1994 E Maize Soil VWC'!$F$2:$F$5550)</f>
        <v>#N/A</v>
      </c>
      <c r="AI270" s="4" t="e" cm="1">
        <f t="array" ref="AI270">_xlfn.XLOOKUP(1,('1994 E Maize Soil VWC'!$C$2:$C$5550=$AA270)*('1994 E Maize Soil VWC'!$D$2:$D$5550=$AB270)*('1994 E Maize Soil VWC'!$E$2:$E$5550=AI$5),'1994 E Maize Soil VWC'!$F$2:$F$5550)</f>
        <v>#N/A</v>
      </c>
      <c r="AJ270" s="4" t="e" cm="1">
        <f t="array" ref="AJ270">_xlfn.XLOOKUP(1,('1994 E Maize Soil VWC'!$C$2:$C$5550=$AA270)*('1994 E Maize Soil VWC'!$D$2:$D$5550=$AB270)*('1994 E Maize Soil VWC'!$E$2:$E$5550=AJ$5),'1994 E Maize Soil VWC'!$F$2:$F$5550)</f>
        <v>#N/A</v>
      </c>
      <c r="AK270" s="4" t="e" cm="1">
        <f t="array" ref="AK270">_xlfn.XLOOKUP(1,('1994 E Maize Soil VWC'!$C$2:$C$5550=$AA270)*('1994 E Maize Soil VWC'!$D$2:$D$5550=$AB270)*('1994 E Maize Soil VWC'!$E$2:$E$5550=AK$5),'1994 E Maize Soil VWC'!$F$2:$F$5550)</f>
        <v>#N/A</v>
      </c>
      <c r="AL270" s="4" t="e" cm="1">
        <f t="array" ref="AL270">_xlfn.XLOOKUP(1,('1994 E Maize Soil VWC'!$C$2:$C$5550=$AA270)*('1994 E Maize Soil VWC'!$D$2:$D$5550=$AB270)*('1994 E Maize Soil VWC'!$E$2:$E$5550=AL$5),'1994 E Maize Soil VWC'!$F$2:$F$5550)</f>
        <v>#N/A</v>
      </c>
      <c r="AM270" s="4" t="e" cm="1">
        <f t="array" ref="AM270">_xlfn.XLOOKUP(1,('1994 E Maize Soil VWC'!$C$2:$C$5550=$AA270)*('1994 E Maize Soil VWC'!$D$2:$D$5550=$AB270)*('1994 E Maize Soil VWC'!$E$2:$E$5550=AM$5),'1994 E Maize Soil VWC'!$F$2:$F$5550)</f>
        <v>#N/A</v>
      </c>
      <c r="AN270" s="4" t="e" cm="1">
        <f t="array" ref="AN270">_xlfn.XLOOKUP(1,('1994 E Maize Soil VWC'!$C$2:$C$5550=$AA270)*('1994 E Maize Soil VWC'!$D$2:$D$5550=$AB270)*('1994 E Maize Soil VWC'!$E$2:$E$5550=AN$5),'1994 E Maize Soil VWC'!$F$2:$F$5550)</f>
        <v>#N/A</v>
      </c>
    </row>
    <row r="271" spans="25:40" x14ac:dyDescent="0.25">
      <c r="AA271" s="19">
        <f t="shared" si="40"/>
        <v>34334</v>
      </c>
      <c r="AB271" s="4">
        <f t="shared" si="41"/>
        <v>110</v>
      </c>
      <c r="AC271" s="4" t="e" cm="1">
        <f t="array" ref="AC271">_xlfn.XLOOKUP(1,('1994 E Maize Soil VWC'!$C$2:$C$5550=$AA271)*('1994 E Maize Soil VWC'!$D$2:$D$5550=$AB271)*('1994 E Maize Soil VWC'!$E$2:$E$5550=AC$5),'1994 E Maize Soil VWC'!$F$2:$F$5550)</f>
        <v>#N/A</v>
      </c>
      <c r="AD271" s="4" t="e" cm="1">
        <f t="array" ref="AD271">_xlfn.XLOOKUP(1,('1994 E Maize Soil VWC'!$C$2:$C$5550=$AA271)*('1994 E Maize Soil VWC'!$D$2:$D$5550=$AB271)*('1994 E Maize Soil VWC'!$E$2:$E$5550=AD$5),'1994 E Maize Soil VWC'!$F$2:$F$5550)</f>
        <v>#N/A</v>
      </c>
      <c r="AE271" s="4" t="e" cm="1">
        <f t="array" ref="AE271">_xlfn.XLOOKUP(1,('1994 E Maize Soil VWC'!$C$2:$C$5550=$AA271)*('1994 E Maize Soil VWC'!$D$2:$D$5550=$AB271)*('1994 E Maize Soil VWC'!$E$2:$E$5550=AE$5),'1994 E Maize Soil VWC'!$F$2:$F$5550)</f>
        <v>#N/A</v>
      </c>
      <c r="AF271" s="4" t="e" cm="1">
        <f t="array" ref="AF271">_xlfn.XLOOKUP(1,('1994 E Maize Soil VWC'!$C$2:$C$5550=$AA271)*('1994 E Maize Soil VWC'!$D$2:$D$5550=$AB271)*('1994 E Maize Soil VWC'!$E$2:$E$5550=AF$5),'1994 E Maize Soil VWC'!$F$2:$F$5550)</f>
        <v>#N/A</v>
      </c>
      <c r="AG271" s="4" t="e" cm="1">
        <f t="array" ref="AG271">_xlfn.XLOOKUP(1,('1994 E Maize Soil VWC'!$C$2:$C$5550=$AA271)*('1994 E Maize Soil VWC'!$D$2:$D$5550=$AB271)*('1994 E Maize Soil VWC'!$E$2:$E$5550=AG$5),'1994 E Maize Soil VWC'!$F$2:$F$5550)</f>
        <v>#N/A</v>
      </c>
      <c r="AH271" s="4" t="e" cm="1">
        <f t="array" ref="AH271">_xlfn.XLOOKUP(1,('1994 E Maize Soil VWC'!$C$2:$C$5550=$AA271)*('1994 E Maize Soil VWC'!$D$2:$D$5550=$AB271)*('1994 E Maize Soil VWC'!$E$2:$E$5550=AH$5),'1994 E Maize Soil VWC'!$F$2:$F$5550)</f>
        <v>#N/A</v>
      </c>
      <c r="AI271" s="4" t="e" cm="1">
        <f t="array" ref="AI271">_xlfn.XLOOKUP(1,('1994 E Maize Soil VWC'!$C$2:$C$5550=$AA271)*('1994 E Maize Soil VWC'!$D$2:$D$5550=$AB271)*('1994 E Maize Soil VWC'!$E$2:$E$5550=AI$5),'1994 E Maize Soil VWC'!$F$2:$F$5550)</f>
        <v>#N/A</v>
      </c>
      <c r="AJ271" s="4" t="e" cm="1">
        <f t="array" ref="AJ271">_xlfn.XLOOKUP(1,('1994 E Maize Soil VWC'!$C$2:$C$5550=$AA271)*('1994 E Maize Soil VWC'!$D$2:$D$5550=$AB271)*('1994 E Maize Soil VWC'!$E$2:$E$5550=AJ$5),'1994 E Maize Soil VWC'!$F$2:$F$5550)</f>
        <v>#N/A</v>
      </c>
      <c r="AK271" s="4" t="e" cm="1">
        <f t="array" ref="AK271">_xlfn.XLOOKUP(1,('1994 E Maize Soil VWC'!$C$2:$C$5550=$AA271)*('1994 E Maize Soil VWC'!$D$2:$D$5550=$AB271)*('1994 E Maize Soil VWC'!$E$2:$E$5550=AK$5),'1994 E Maize Soil VWC'!$F$2:$F$5550)</f>
        <v>#N/A</v>
      </c>
      <c r="AL271" s="4" t="e" cm="1">
        <f t="array" ref="AL271">_xlfn.XLOOKUP(1,('1994 E Maize Soil VWC'!$C$2:$C$5550=$AA271)*('1994 E Maize Soil VWC'!$D$2:$D$5550=$AB271)*('1994 E Maize Soil VWC'!$E$2:$E$5550=AL$5),'1994 E Maize Soil VWC'!$F$2:$F$5550)</f>
        <v>#N/A</v>
      </c>
      <c r="AM271" s="4" t="e" cm="1">
        <f t="array" ref="AM271">_xlfn.XLOOKUP(1,('1994 E Maize Soil VWC'!$C$2:$C$5550=$AA271)*('1994 E Maize Soil VWC'!$D$2:$D$5550=$AB271)*('1994 E Maize Soil VWC'!$E$2:$E$5550=AM$5),'1994 E Maize Soil VWC'!$F$2:$F$5550)</f>
        <v>#N/A</v>
      </c>
      <c r="AN271" s="4" t="e" cm="1">
        <f t="array" ref="AN271">_xlfn.XLOOKUP(1,('1994 E Maize Soil VWC'!$C$2:$C$5550=$AA271)*('1994 E Maize Soil VWC'!$D$2:$D$5550=$AB271)*('1994 E Maize Soil VWC'!$E$2:$E$5550=AN$5),'1994 E Maize Soil VWC'!$F$2:$F$5550)</f>
        <v>#N/A</v>
      </c>
    </row>
    <row r="272" spans="25:40" x14ac:dyDescent="0.25">
      <c r="AA272" s="19">
        <f t="shared" si="40"/>
        <v>34334</v>
      </c>
      <c r="AB272" s="4">
        <f t="shared" si="41"/>
        <v>130</v>
      </c>
      <c r="AC272" s="4" t="e" cm="1">
        <f t="array" ref="AC272">_xlfn.XLOOKUP(1,('1994 E Maize Soil VWC'!$C$2:$C$5550=$AA272)*('1994 E Maize Soil VWC'!$D$2:$D$5550=$AB272)*('1994 E Maize Soil VWC'!$E$2:$E$5550=AC$5),'1994 E Maize Soil VWC'!$F$2:$F$5550)</f>
        <v>#N/A</v>
      </c>
      <c r="AD272" s="4" t="e" cm="1">
        <f t="array" ref="AD272">_xlfn.XLOOKUP(1,('1994 E Maize Soil VWC'!$C$2:$C$5550=$AA272)*('1994 E Maize Soil VWC'!$D$2:$D$5550=$AB272)*('1994 E Maize Soil VWC'!$E$2:$E$5550=AD$5),'1994 E Maize Soil VWC'!$F$2:$F$5550)</f>
        <v>#N/A</v>
      </c>
      <c r="AE272" s="4" t="e" cm="1">
        <f t="array" ref="AE272">_xlfn.XLOOKUP(1,('1994 E Maize Soil VWC'!$C$2:$C$5550=$AA272)*('1994 E Maize Soil VWC'!$D$2:$D$5550=$AB272)*('1994 E Maize Soil VWC'!$E$2:$E$5550=AE$5),'1994 E Maize Soil VWC'!$F$2:$F$5550)</f>
        <v>#N/A</v>
      </c>
      <c r="AF272" s="4" t="e" cm="1">
        <f t="array" ref="AF272">_xlfn.XLOOKUP(1,('1994 E Maize Soil VWC'!$C$2:$C$5550=$AA272)*('1994 E Maize Soil VWC'!$D$2:$D$5550=$AB272)*('1994 E Maize Soil VWC'!$E$2:$E$5550=AF$5),'1994 E Maize Soil VWC'!$F$2:$F$5550)</f>
        <v>#N/A</v>
      </c>
      <c r="AG272" s="4" t="e" cm="1">
        <f t="array" ref="AG272">_xlfn.XLOOKUP(1,('1994 E Maize Soil VWC'!$C$2:$C$5550=$AA272)*('1994 E Maize Soil VWC'!$D$2:$D$5550=$AB272)*('1994 E Maize Soil VWC'!$E$2:$E$5550=AG$5),'1994 E Maize Soil VWC'!$F$2:$F$5550)</f>
        <v>#N/A</v>
      </c>
      <c r="AH272" s="4" t="e" cm="1">
        <f t="array" ref="AH272">_xlfn.XLOOKUP(1,('1994 E Maize Soil VWC'!$C$2:$C$5550=$AA272)*('1994 E Maize Soil VWC'!$D$2:$D$5550=$AB272)*('1994 E Maize Soil VWC'!$E$2:$E$5550=AH$5),'1994 E Maize Soil VWC'!$F$2:$F$5550)</f>
        <v>#N/A</v>
      </c>
      <c r="AI272" s="4" t="e" cm="1">
        <f t="array" ref="AI272">_xlfn.XLOOKUP(1,('1994 E Maize Soil VWC'!$C$2:$C$5550=$AA272)*('1994 E Maize Soil VWC'!$D$2:$D$5550=$AB272)*('1994 E Maize Soil VWC'!$E$2:$E$5550=AI$5),'1994 E Maize Soil VWC'!$F$2:$F$5550)</f>
        <v>#N/A</v>
      </c>
      <c r="AJ272" s="4" t="e" cm="1">
        <f t="array" ref="AJ272">_xlfn.XLOOKUP(1,('1994 E Maize Soil VWC'!$C$2:$C$5550=$AA272)*('1994 E Maize Soil VWC'!$D$2:$D$5550=$AB272)*('1994 E Maize Soil VWC'!$E$2:$E$5550=AJ$5),'1994 E Maize Soil VWC'!$F$2:$F$5550)</f>
        <v>#N/A</v>
      </c>
      <c r="AK272" s="4" t="e" cm="1">
        <f t="array" ref="AK272">_xlfn.XLOOKUP(1,('1994 E Maize Soil VWC'!$C$2:$C$5550=$AA272)*('1994 E Maize Soil VWC'!$D$2:$D$5550=$AB272)*('1994 E Maize Soil VWC'!$E$2:$E$5550=AK$5),'1994 E Maize Soil VWC'!$F$2:$F$5550)</f>
        <v>#N/A</v>
      </c>
      <c r="AL272" s="4" t="e" cm="1">
        <f t="array" ref="AL272">_xlfn.XLOOKUP(1,('1994 E Maize Soil VWC'!$C$2:$C$5550=$AA272)*('1994 E Maize Soil VWC'!$D$2:$D$5550=$AB272)*('1994 E Maize Soil VWC'!$E$2:$E$5550=AL$5),'1994 E Maize Soil VWC'!$F$2:$F$5550)</f>
        <v>#N/A</v>
      </c>
      <c r="AM272" s="4" t="e" cm="1">
        <f t="array" ref="AM272">_xlfn.XLOOKUP(1,('1994 E Maize Soil VWC'!$C$2:$C$5550=$AA272)*('1994 E Maize Soil VWC'!$D$2:$D$5550=$AB272)*('1994 E Maize Soil VWC'!$E$2:$E$5550=AM$5),'1994 E Maize Soil VWC'!$F$2:$F$5550)</f>
        <v>#N/A</v>
      </c>
      <c r="AN272" s="4" t="e" cm="1">
        <f t="array" ref="AN272">_xlfn.XLOOKUP(1,('1994 E Maize Soil VWC'!$C$2:$C$5550=$AA272)*('1994 E Maize Soil VWC'!$D$2:$D$5550=$AB272)*('1994 E Maize Soil VWC'!$E$2:$E$5550=AN$5),'1994 E Maize Soil VWC'!$F$2:$F$5550)</f>
        <v>#N/A</v>
      </c>
    </row>
    <row r="273" spans="25:40" x14ac:dyDescent="0.25">
      <c r="AA273" s="19">
        <f t="shared" si="40"/>
        <v>34334</v>
      </c>
      <c r="AB273" s="4">
        <f t="shared" si="41"/>
        <v>150</v>
      </c>
      <c r="AC273" s="4" t="e" cm="1">
        <f t="array" ref="AC273">_xlfn.XLOOKUP(1,('1994 E Maize Soil VWC'!$C$2:$C$5550=$AA273)*('1994 E Maize Soil VWC'!$D$2:$D$5550=$AB273)*('1994 E Maize Soil VWC'!$E$2:$E$5550=AC$5),'1994 E Maize Soil VWC'!$F$2:$F$5550)</f>
        <v>#N/A</v>
      </c>
      <c r="AD273" s="4" t="e" cm="1">
        <f t="array" ref="AD273">_xlfn.XLOOKUP(1,('1994 E Maize Soil VWC'!$C$2:$C$5550=$AA273)*('1994 E Maize Soil VWC'!$D$2:$D$5550=$AB273)*('1994 E Maize Soil VWC'!$E$2:$E$5550=AD$5),'1994 E Maize Soil VWC'!$F$2:$F$5550)</f>
        <v>#N/A</v>
      </c>
      <c r="AE273" s="4" t="e" cm="1">
        <f t="array" ref="AE273">_xlfn.XLOOKUP(1,('1994 E Maize Soil VWC'!$C$2:$C$5550=$AA273)*('1994 E Maize Soil VWC'!$D$2:$D$5550=$AB273)*('1994 E Maize Soil VWC'!$E$2:$E$5550=AE$5),'1994 E Maize Soil VWC'!$F$2:$F$5550)</f>
        <v>#N/A</v>
      </c>
      <c r="AF273" s="4" t="e" cm="1">
        <f t="array" ref="AF273">_xlfn.XLOOKUP(1,('1994 E Maize Soil VWC'!$C$2:$C$5550=$AA273)*('1994 E Maize Soil VWC'!$D$2:$D$5550=$AB273)*('1994 E Maize Soil VWC'!$E$2:$E$5550=AF$5),'1994 E Maize Soil VWC'!$F$2:$F$5550)</f>
        <v>#N/A</v>
      </c>
      <c r="AG273" s="4" t="e" cm="1">
        <f t="array" ref="AG273">_xlfn.XLOOKUP(1,('1994 E Maize Soil VWC'!$C$2:$C$5550=$AA273)*('1994 E Maize Soil VWC'!$D$2:$D$5550=$AB273)*('1994 E Maize Soil VWC'!$E$2:$E$5550=AG$5),'1994 E Maize Soil VWC'!$F$2:$F$5550)</f>
        <v>#N/A</v>
      </c>
      <c r="AH273" s="4" t="e" cm="1">
        <f t="array" ref="AH273">_xlfn.XLOOKUP(1,('1994 E Maize Soil VWC'!$C$2:$C$5550=$AA273)*('1994 E Maize Soil VWC'!$D$2:$D$5550=$AB273)*('1994 E Maize Soil VWC'!$E$2:$E$5550=AH$5),'1994 E Maize Soil VWC'!$F$2:$F$5550)</f>
        <v>#N/A</v>
      </c>
      <c r="AI273" s="4" t="e" cm="1">
        <f t="array" ref="AI273">_xlfn.XLOOKUP(1,('1994 E Maize Soil VWC'!$C$2:$C$5550=$AA273)*('1994 E Maize Soil VWC'!$D$2:$D$5550=$AB273)*('1994 E Maize Soil VWC'!$E$2:$E$5550=AI$5),'1994 E Maize Soil VWC'!$F$2:$F$5550)</f>
        <v>#N/A</v>
      </c>
      <c r="AJ273" s="4" t="e" cm="1">
        <f t="array" ref="AJ273">_xlfn.XLOOKUP(1,('1994 E Maize Soil VWC'!$C$2:$C$5550=$AA273)*('1994 E Maize Soil VWC'!$D$2:$D$5550=$AB273)*('1994 E Maize Soil VWC'!$E$2:$E$5550=AJ$5),'1994 E Maize Soil VWC'!$F$2:$F$5550)</f>
        <v>#N/A</v>
      </c>
      <c r="AK273" s="4" t="e" cm="1">
        <f t="array" ref="AK273">_xlfn.XLOOKUP(1,('1994 E Maize Soil VWC'!$C$2:$C$5550=$AA273)*('1994 E Maize Soil VWC'!$D$2:$D$5550=$AB273)*('1994 E Maize Soil VWC'!$E$2:$E$5550=AK$5),'1994 E Maize Soil VWC'!$F$2:$F$5550)</f>
        <v>#N/A</v>
      </c>
      <c r="AL273" s="4" t="e" cm="1">
        <f t="array" ref="AL273">_xlfn.XLOOKUP(1,('1994 E Maize Soil VWC'!$C$2:$C$5550=$AA273)*('1994 E Maize Soil VWC'!$D$2:$D$5550=$AB273)*('1994 E Maize Soil VWC'!$E$2:$E$5550=AL$5),'1994 E Maize Soil VWC'!$F$2:$F$5550)</f>
        <v>#N/A</v>
      </c>
      <c r="AM273" s="4" t="e" cm="1">
        <f t="array" ref="AM273">_xlfn.XLOOKUP(1,('1994 E Maize Soil VWC'!$C$2:$C$5550=$AA273)*('1994 E Maize Soil VWC'!$D$2:$D$5550=$AB273)*('1994 E Maize Soil VWC'!$E$2:$E$5550=AM$5),'1994 E Maize Soil VWC'!$F$2:$F$5550)</f>
        <v>#N/A</v>
      </c>
      <c r="AN273" s="4" t="e" cm="1">
        <f t="array" ref="AN273">_xlfn.XLOOKUP(1,('1994 E Maize Soil VWC'!$C$2:$C$5550=$AA273)*('1994 E Maize Soil VWC'!$D$2:$D$5550=$AB273)*('1994 E Maize Soil VWC'!$E$2:$E$5550=AN$5),'1994 E Maize Soil VWC'!$F$2:$F$5550)</f>
        <v>#N/A</v>
      </c>
    </row>
    <row r="274" spans="25:40" x14ac:dyDescent="0.25">
      <c r="AA274" s="19">
        <f t="shared" si="40"/>
        <v>34334</v>
      </c>
      <c r="AB274" s="4">
        <f t="shared" si="41"/>
        <v>170</v>
      </c>
      <c r="AC274" s="4" t="e" cm="1">
        <f t="array" ref="AC274">_xlfn.XLOOKUP(1,('1994 E Maize Soil VWC'!$C$2:$C$5550=$AA274)*('1994 E Maize Soil VWC'!$D$2:$D$5550=$AB274)*('1994 E Maize Soil VWC'!$E$2:$E$5550=AC$5),'1994 E Maize Soil VWC'!$F$2:$F$5550)</f>
        <v>#N/A</v>
      </c>
      <c r="AD274" s="4" t="e" cm="1">
        <f t="array" ref="AD274">_xlfn.XLOOKUP(1,('1994 E Maize Soil VWC'!$C$2:$C$5550=$AA274)*('1994 E Maize Soil VWC'!$D$2:$D$5550=$AB274)*('1994 E Maize Soil VWC'!$E$2:$E$5550=AD$5),'1994 E Maize Soil VWC'!$F$2:$F$5550)</f>
        <v>#N/A</v>
      </c>
      <c r="AE274" s="4" t="e" cm="1">
        <f t="array" ref="AE274">_xlfn.XLOOKUP(1,('1994 E Maize Soil VWC'!$C$2:$C$5550=$AA274)*('1994 E Maize Soil VWC'!$D$2:$D$5550=$AB274)*('1994 E Maize Soil VWC'!$E$2:$E$5550=AE$5),'1994 E Maize Soil VWC'!$F$2:$F$5550)</f>
        <v>#N/A</v>
      </c>
      <c r="AF274" s="4" t="e" cm="1">
        <f t="array" ref="AF274">_xlfn.XLOOKUP(1,('1994 E Maize Soil VWC'!$C$2:$C$5550=$AA274)*('1994 E Maize Soil VWC'!$D$2:$D$5550=$AB274)*('1994 E Maize Soil VWC'!$E$2:$E$5550=AF$5),'1994 E Maize Soil VWC'!$F$2:$F$5550)</f>
        <v>#N/A</v>
      </c>
      <c r="AG274" s="4" t="e" cm="1">
        <f t="array" ref="AG274">_xlfn.XLOOKUP(1,('1994 E Maize Soil VWC'!$C$2:$C$5550=$AA274)*('1994 E Maize Soil VWC'!$D$2:$D$5550=$AB274)*('1994 E Maize Soil VWC'!$E$2:$E$5550=AG$5),'1994 E Maize Soil VWC'!$F$2:$F$5550)</f>
        <v>#N/A</v>
      </c>
      <c r="AH274" s="4" t="e" cm="1">
        <f t="array" ref="AH274">_xlfn.XLOOKUP(1,('1994 E Maize Soil VWC'!$C$2:$C$5550=$AA274)*('1994 E Maize Soil VWC'!$D$2:$D$5550=$AB274)*('1994 E Maize Soil VWC'!$E$2:$E$5550=AH$5),'1994 E Maize Soil VWC'!$F$2:$F$5550)</f>
        <v>#N/A</v>
      </c>
      <c r="AI274" s="4" t="e" cm="1">
        <f t="array" ref="AI274">_xlfn.XLOOKUP(1,('1994 E Maize Soil VWC'!$C$2:$C$5550=$AA274)*('1994 E Maize Soil VWC'!$D$2:$D$5550=$AB274)*('1994 E Maize Soil VWC'!$E$2:$E$5550=AI$5),'1994 E Maize Soil VWC'!$F$2:$F$5550)</f>
        <v>#N/A</v>
      </c>
      <c r="AJ274" s="4" t="e" cm="1">
        <f t="array" ref="AJ274">_xlfn.XLOOKUP(1,('1994 E Maize Soil VWC'!$C$2:$C$5550=$AA274)*('1994 E Maize Soil VWC'!$D$2:$D$5550=$AB274)*('1994 E Maize Soil VWC'!$E$2:$E$5550=AJ$5),'1994 E Maize Soil VWC'!$F$2:$F$5550)</f>
        <v>#N/A</v>
      </c>
      <c r="AK274" s="4" t="e" cm="1">
        <f t="array" ref="AK274">_xlfn.XLOOKUP(1,('1994 E Maize Soil VWC'!$C$2:$C$5550=$AA274)*('1994 E Maize Soil VWC'!$D$2:$D$5550=$AB274)*('1994 E Maize Soil VWC'!$E$2:$E$5550=AK$5),'1994 E Maize Soil VWC'!$F$2:$F$5550)</f>
        <v>#N/A</v>
      </c>
      <c r="AL274" s="4" t="e" cm="1">
        <f t="array" ref="AL274">_xlfn.XLOOKUP(1,('1994 E Maize Soil VWC'!$C$2:$C$5550=$AA274)*('1994 E Maize Soil VWC'!$D$2:$D$5550=$AB274)*('1994 E Maize Soil VWC'!$E$2:$E$5550=AL$5),'1994 E Maize Soil VWC'!$F$2:$F$5550)</f>
        <v>#N/A</v>
      </c>
      <c r="AM274" s="4" t="e" cm="1">
        <f t="array" ref="AM274">_xlfn.XLOOKUP(1,('1994 E Maize Soil VWC'!$C$2:$C$5550=$AA274)*('1994 E Maize Soil VWC'!$D$2:$D$5550=$AB274)*('1994 E Maize Soil VWC'!$E$2:$E$5550=AM$5),'1994 E Maize Soil VWC'!$F$2:$F$5550)</f>
        <v>#N/A</v>
      </c>
      <c r="AN274" s="4" t="e" cm="1">
        <f t="array" ref="AN274">_xlfn.XLOOKUP(1,('1994 E Maize Soil VWC'!$C$2:$C$5550=$AA274)*('1994 E Maize Soil VWC'!$D$2:$D$5550=$AB274)*('1994 E Maize Soil VWC'!$E$2:$E$5550=AN$5),'1994 E Maize Soil VWC'!$F$2:$F$5550)</f>
        <v>#N/A</v>
      </c>
    </row>
    <row r="275" spans="25:40" x14ac:dyDescent="0.25">
      <c r="AA275" s="19">
        <f t="shared" si="40"/>
        <v>34334</v>
      </c>
      <c r="AB275" s="4">
        <f t="shared" si="41"/>
        <v>190</v>
      </c>
      <c r="AC275" s="4" t="e" cm="1">
        <f t="array" ref="AC275">_xlfn.XLOOKUP(1,('1994 E Maize Soil VWC'!$C$2:$C$5550=$AA275)*('1994 E Maize Soil VWC'!$D$2:$D$5550=$AB275)*('1994 E Maize Soil VWC'!$E$2:$E$5550=AC$5),'1994 E Maize Soil VWC'!$F$2:$F$5550)</f>
        <v>#N/A</v>
      </c>
      <c r="AD275" s="4" t="e" cm="1">
        <f t="array" ref="AD275">_xlfn.XLOOKUP(1,('1994 E Maize Soil VWC'!$C$2:$C$5550=$AA275)*('1994 E Maize Soil VWC'!$D$2:$D$5550=$AB275)*('1994 E Maize Soil VWC'!$E$2:$E$5550=AD$5),'1994 E Maize Soil VWC'!$F$2:$F$5550)</f>
        <v>#N/A</v>
      </c>
      <c r="AE275" s="4" t="e" cm="1">
        <f t="array" ref="AE275">_xlfn.XLOOKUP(1,('1994 E Maize Soil VWC'!$C$2:$C$5550=$AA275)*('1994 E Maize Soil VWC'!$D$2:$D$5550=$AB275)*('1994 E Maize Soil VWC'!$E$2:$E$5550=AE$5),'1994 E Maize Soil VWC'!$F$2:$F$5550)</f>
        <v>#N/A</v>
      </c>
      <c r="AF275" s="4" t="e" cm="1">
        <f t="array" ref="AF275">_xlfn.XLOOKUP(1,('1994 E Maize Soil VWC'!$C$2:$C$5550=$AA275)*('1994 E Maize Soil VWC'!$D$2:$D$5550=$AB275)*('1994 E Maize Soil VWC'!$E$2:$E$5550=AF$5),'1994 E Maize Soil VWC'!$F$2:$F$5550)</f>
        <v>#N/A</v>
      </c>
      <c r="AG275" s="4" t="e" cm="1">
        <f t="array" ref="AG275">_xlfn.XLOOKUP(1,('1994 E Maize Soil VWC'!$C$2:$C$5550=$AA275)*('1994 E Maize Soil VWC'!$D$2:$D$5550=$AB275)*('1994 E Maize Soil VWC'!$E$2:$E$5550=AG$5),'1994 E Maize Soil VWC'!$F$2:$F$5550)</f>
        <v>#N/A</v>
      </c>
      <c r="AH275" s="4" t="e" cm="1">
        <f t="array" ref="AH275">_xlfn.XLOOKUP(1,('1994 E Maize Soil VWC'!$C$2:$C$5550=$AA275)*('1994 E Maize Soil VWC'!$D$2:$D$5550=$AB275)*('1994 E Maize Soil VWC'!$E$2:$E$5550=AH$5),'1994 E Maize Soil VWC'!$F$2:$F$5550)</f>
        <v>#N/A</v>
      </c>
      <c r="AI275" s="4" t="e" cm="1">
        <f t="array" ref="AI275">_xlfn.XLOOKUP(1,('1994 E Maize Soil VWC'!$C$2:$C$5550=$AA275)*('1994 E Maize Soil VWC'!$D$2:$D$5550=$AB275)*('1994 E Maize Soil VWC'!$E$2:$E$5550=AI$5),'1994 E Maize Soil VWC'!$F$2:$F$5550)</f>
        <v>#N/A</v>
      </c>
      <c r="AJ275" s="4" t="e" cm="1">
        <f t="array" ref="AJ275">_xlfn.XLOOKUP(1,('1994 E Maize Soil VWC'!$C$2:$C$5550=$AA275)*('1994 E Maize Soil VWC'!$D$2:$D$5550=$AB275)*('1994 E Maize Soil VWC'!$E$2:$E$5550=AJ$5),'1994 E Maize Soil VWC'!$F$2:$F$5550)</f>
        <v>#N/A</v>
      </c>
      <c r="AK275" s="4" t="e" cm="1">
        <f t="array" ref="AK275">_xlfn.XLOOKUP(1,('1994 E Maize Soil VWC'!$C$2:$C$5550=$AA275)*('1994 E Maize Soil VWC'!$D$2:$D$5550=$AB275)*('1994 E Maize Soil VWC'!$E$2:$E$5550=AK$5),'1994 E Maize Soil VWC'!$F$2:$F$5550)</f>
        <v>#N/A</v>
      </c>
      <c r="AL275" s="4" t="e" cm="1">
        <f t="array" ref="AL275">_xlfn.XLOOKUP(1,('1994 E Maize Soil VWC'!$C$2:$C$5550=$AA275)*('1994 E Maize Soil VWC'!$D$2:$D$5550=$AB275)*('1994 E Maize Soil VWC'!$E$2:$E$5550=AL$5),'1994 E Maize Soil VWC'!$F$2:$F$5550)</f>
        <v>#N/A</v>
      </c>
      <c r="AM275" s="4" t="e" cm="1">
        <f t="array" ref="AM275">_xlfn.XLOOKUP(1,('1994 E Maize Soil VWC'!$C$2:$C$5550=$AA275)*('1994 E Maize Soil VWC'!$D$2:$D$5550=$AB275)*('1994 E Maize Soil VWC'!$E$2:$E$5550=AM$5),'1994 E Maize Soil VWC'!$F$2:$F$5550)</f>
        <v>#N/A</v>
      </c>
      <c r="AN275" s="4" t="e" cm="1">
        <f t="array" ref="AN275">_xlfn.XLOOKUP(1,('1994 E Maize Soil VWC'!$C$2:$C$5550=$AA275)*('1994 E Maize Soil VWC'!$D$2:$D$5550=$AB275)*('1994 E Maize Soil VWC'!$E$2:$E$5550=AN$5),'1994 E Maize Soil VWC'!$F$2:$F$5550)</f>
        <v>#N/A</v>
      </c>
    </row>
    <row r="276" spans="25:40" x14ac:dyDescent="0.25">
      <c r="AA276" s="19">
        <f t="shared" si="40"/>
        <v>34334</v>
      </c>
      <c r="AB276" s="4">
        <f t="shared" si="41"/>
        <v>210</v>
      </c>
      <c r="AC276" s="4" t="e" cm="1">
        <f t="array" ref="AC276">_xlfn.XLOOKUP(1,('1994 E Maize Soil VWC'!$C$2:$C$5550=$AA276)*('1994 E Maize Soil VWC'!$D$2:$D$5550=$AB276)*('1994 E Maize Soil VWC'!$E$2:$E$5550=AC$5),'1994 E Maize Soil VWC'!$F$2:$F$5550)</f>
        <v>#N/A</v>
      </c>
      <c r="AD276" s="4" t="e" cm="1">
        <f t="array" ref="AD276">_xlfn.XLOOKUP(1,('1994 E Maize Soil VWC'!$C$2:$C$5550=$AA276)*('1994 E Maize Soil VWC'!$D$2:$D$5550=$AB276)*('1994 E Maize Soil VWC'!$E$2:$E$5550=AD$5),'1994 E Maize Soil VWC'!$F$2:$F$5550)</f>
        <v>#N/A</v>
      </c>
      <c r="AE276" s="4" t="e" cm="1">
        <f t="array" ref="AE276">_xlfn.XLOOKUP(1,('1994 E Maize Soil VWC'!$C$2:$C$5550=$AA276)*('1994 E Maize Soil VWC'!$D$2:$D$5550=$AB276)*('1994 E Maize Soil VWC'!$E$2:$E$5550=AE$5),'1994 E Maize Soil VWC'!$F$2:$F$5550)</f>
        <v>#N/A</v>
      </c>
      <c r="AF276" s="4" t="e" cm="1">
        <f t="array" ref="AF276">_xlfn.XLOOKUP(1,('1994 E Maize Soil VWC'!$C$2:$C$5550=$AA276)*('1994 E Maize Soil VWC'!$D$2:$D$5550=$AB276)*('1994 E Maize Soil VWC'!$E$2:$E$5550=AF$5),'1994 E Maize Soil VWC'!$F$2:$F$5550)</f>
        <v>#N/A</v>
      </c>
      <c r="AG276" s="4" t="e" cm="1">
        <f t="array" ref="AG276">_xlfn.XLOOKUP(1,('1994 E Maize Soil VWC'!$C$2:$C$5550=$AA276)*('1994 E Maize Soil VWC'!$D$2:$D$5550=$AB276)*('1994 E Maize Soil VWC'!$E$2:$E$5550=AG$5),'1994 E Maize Soil VWC'!$F$2:$F$5550)</f>
        <v>#N/A</v>
      </c>
      <c r="AH276" s="4" t="e" cm="1">
        <f t="array" ref="AH276">_xlfn.XLOOKUP(1,('1994 E Maize Soil VWC'!$C$2:$C$5550=$AA276)*('1994 E Maize Soil VWC'!$D$2:$D$5550=$AB276)*('1994 E Maize Soil VWC'!$E$2:$E$5550=AH$5),'1994 E Maize Soil VWC'!$F$2:$F$5550)</f>
        <v>#N/A</v>
      </c>
      <c r="AI276" s="4" t="e" cm="1">
        <f t="array" ref="AI276">_xlfn.XLOOKUP(1,('1994 E Maize Soil VWC'!$C$2:$C$5550=$AA276)*('1994 E Maize Soil VWC'!$D$2:$D$5550=$AB276)*('1994 E Maize Soil VWC'!$E$2:$E$5550=AI$5),'1994 E Maize Soil VWC'!$F$2:$F$5550)</f>
        <v>#N/A</v>
      </c>
      <c r="AJ276" s="4" t="e" cm="1">
        <f t="array" ref="AJ276">_xlfn.XLOOKUP(1,('1994 E Maize Soil VWC'!$C$2:$C$5550=$AA276)*('1994 E Maize Soil VWC'!$D$2:$D$5550=$AB276)*('1994 E Maize Soil VWC'!$E$2:$E$5550=AJ$5),'1994 E Maize Soil VWC'!$F$2:$F$5550)</f>
        <v>#N/A</v>
      </c>
      <c r="AK276" s="4" t="e" cm="1">
        <f t="array" ref="AK276">_xlfn.XLOOKUP(1,('1994 E Maize Soil VWC'!$C$2:$C$5550=$AA276)*('1994 E Maize Soil VWC'!$D$2:$D$5550=$AB276)*('1994 E Maize Soil VWC'!$E$2:$E$5550=AK$5),'1994 E Maize Soil VWC'!$F$2:$F$5550)</f>
        <v>#N/A</v>
      </c>
      <c r="AL276" s="4" t="e" cm="1">
        <f t="array" ref="AL276">_xlfn.XLOOKUP(1,('1994 E Maize Soil VWC'!$C$2:$C$5550=$AA276)*('1994 E Maize Soil VWC'!$D$2:$D$5550=$AB276)*('1994 E Maize Soil VWC'!$E$2:$E$5550=AL$5),'1994 E Maize Soil VWC'!$F$2:$F$5550)</f>
        <v>#N/A</v>
      </c>
      <c r="AM276" s="4" t="e" cm="1">
        <f t="array" ref="AM276">_xlfn.XLOOKUP(1,('1994 E Maize Soil VWC'!$C$2:$C$5550=$AA276)*('1994 E Maize Soil VWC'!$D$2:$D$5550=$AB276)*('1994 E Maize Soil VWC'!$E$2:$E$5550=AM$5),'1994 E Maize Soil VWC'!$F$2:$F$5550)</f>
        <v>#N/A</v>
      </c>
      <c r="AN276" s="4" t="e" cm="1">
        <f t="array" ref="AN276">_xlfn.XLOOKUP(1,('1994 E Maize Soil VWC'!$C$2:$C$5550=$AA276)*('1994 E Maize Soil VWC'!$D$2:$D$5550=$AB276)*('1994 E Maize Soil VWC'!$E$2:$E$5550=AN$5),'1994 E Maize Soil VWC'!$F$2:$F$5550)</f>
        <v>#N/A</v>
      </c>
    </row>
    <row r="277" spans="25:40" x14ac:dyDescent="0.25">
      <c r="AA277" s="19">
        <f t="shared" si="40"/>
        <v>34334</v>
      </c>
      <c r="AB277" s="4">
        <f t="shared" si="41"/>
        <v>230</v>
      </c>
      <c r="AC277" s="4" t="e" cm="1">
        <f t="array" ref="AC277">_xlfn.XLOOKUP(1,('1994 E Maize Soil VWC'!$C$2:$C$5550=$AA277)*('1994 E Maize Soil VWC'!$D$2:$D$5550=$AB277)*('1994 E Maize Soil VWC'!$E$2:$E$5550=AC$5),'1994 E Maize Soil VWC'!$F$2:$F$5550)</f>
        <v>#N/A</v>
      </c>
      <c r="AD277" s="4" t="e" cm="1">
        <f t="array" ref="AD277">_xlfn.XLOOKUP(1,('1994 E Maize Soil VWC'!$C$2:$C$5550=$AA277)*('1994 E Maize Soil VWC'!$D$2:$D$5550=$AB277)*('1994 E Maize Soil VWC'!$E$2:$E$5550=AD$5),'1994 E Maize Soil VWC'!$F$2:$F$5550)</f>
        <v>#N/A</v>
      </c>
      <c r="AE277" s="4" t="e" cm="1">
        <f t="array" ref="AE277">_xlfn.XLOOKUP(1,('1994 E Maize Soil VWC'!$C$2:$C$5550=$AA277)*('1994 E Maize Soil VWC'!$D$2:$D$5550=$AB277)*('1994 E Maize Soil VWC'!$E$2:$E$5550=AE$5),'1994 E Maize Soil VWC'!$F$2:$F$5550)</f>
        <v>#N/A</v>
      </c>
      <c r="AF277" s="4" t="e" cm="1">
        <f t="array" ref="AF277">_xlfn.XLOOKUP(1,('1994 E Maize Soil VWC'!$C$2:$C$5550=$AA277)*('1994 E Maize Soil VWC'!$D$2:$D$5550=$AB277)*('1994 E Maize Soil VWC'!$E$2:$E$5550=AF$5),'1994 E Maize Soil VWC'!$F$2:$F$5550)</f>
        <v>#N/A</v>
      </c>
      <c r="AG277" s="4" t="e" cm="1">
        <f t="array" ref="AG277">_xlfn.XLOOKUP(1,('1994 E Maize Soil VWC'!$C$2:$C$5550=$AA277)*('1994 E Maize Soil VWC'!$D$2:$D$5550=$AB277)*('1994 E Maize Soil VWC'!$E$2:$E$5550=AG$5),'1994 E Maize Soil VWC'!$F$2:$F$5550)</f>
        <v>#N/A</v>
      </c>
      <c r="AH277" s="4" t="e" cm="1">
        <f t="array" ref="AH277">_xlfn.XLOOKUP(1,('1994 E Maize Soil VWC'!$C$2:$C$5550=$AA277)*('1994 E Maize Soil VWC'!$D$2:$D$5550=$AB277)*('1994 E Maize Soil VWC'!$E$2:$E$5550=AH$5),'1994 E Maize Soil VWC'!$F$2:$F$5550)</f>
        <v>#N/A</v>
      </c>
      <c r="AI277" s="4" t="e" cm="1">
        <f t="array" ref="AI277">_xlfn.XLOOKUP(1,('1994 E Maize Soil VWC'!$C$2:$C$5550=$AA277)*('1994 E Maize Soil VWC'!$D$2:$D$5550=$AB277)*('1994 E Maize Soil VWC'!$E$2:$E$5550=AI$5),'1994 E Maize Soil VWC'!$F$2:$F$5550)</f>
        <v>#N/A</v>
      </c>
      <c r="AJ277" s="4" t="e" cm="1">
        <f t="array" ref="AJ277">_xlfn.XLOOKUP(1,('1994 E Maize Soil VWC'!$C$2:$C$5550=$AA277)*('1994 E Maize Soil VWC'!$D$2:$D$5550=$AB277)*('1994 E Maize Soil VWC'!$E$2:$E$5550=AJ$5),'1994 E Maize Soil VWC'!$F$2:$F$5550)</f>
        <v>#N/A</v>
      </c>
      <c r="AK277" s="4" t="e" cm="1">
        <f t="array" ref="AK277">_xlfn.XLOOKUP(1,('1994 E Maize Soil VWC'!$C$2:$C$5550=$AA277)*('1994 E Maize Soil VWC'!$D$2:$D$5550=$AB277)*('1994 E Maize Soil VWC'!$E$2:$E$5550=AK$5),'1994 E Maize Soil VWC'!$F$2:$F$5550)</f>
        <v>#N/A</v>
      </c>
      <c r="AL277" s="4" t="e" cm="1">
        <f t="array" ref="AL277">_xlfn.XLOOKUP(1,('1994 E Maize Soil VWC'!$C$2:$C$5550=$AA277)*('1994 E Maize Soil VWC'!$D$2:$D$5550=$AB277)*('1994 E Maize Soil VWC'!$E$2:$E$5550=AL$5),'1994 E Maize Soil VWC'!$F$2:$F$5550)</f>
        <v>#N/A</v>
      </c>
      <c r="AM277" s="4" t="e" cm="1">
        <f t="array" ref="AM277">_xlfn.XLOOKUP(1,('1994 E Maize Soil VWC'!$C$2:$C$5550=$AA277)*('1994 E Maize Soil VWC'!$D$2:$D$5550=$AB277)*('1994 E Maize Soil VWC'!$E$2:$E$5550=AM$5),'1994 E Maize Soil VWC'!$F$2:$F$5550)</f>
        <v>#N/A</v>
      </c>
      <c r="AN277" s="4" t="e" cm="1">
        <f t="array" ref="AN277">_xlfn.XLOOKUP(1,('1994 E Maize Soil VWC'!$C$2:$C$5550=$AA277)*('1994 E Maize Soil VWC'!$D$2:$D$5550=$AB277)*('1994 E Maize Soil VWC'!$E$2:$E$5550=AN$5),'1994 E Maize Soil VWC'!$F$2:$F$5550)</f>
        <v>#N/A</v>
      </c>
    </row>
    <row r="279" spans="25:40" x14ac:dyDescent="0.25">
      <c r="Y279" s="4">
        <f>Y266</f>
        <v>1994</v>
      </c>
      <c r="Z279" s="4">
        <v>0</v>
      </c>
      <c r="AA279" s="19">
        <f>DATE(Y279,1,Z279)</f>
        <v>34334</v>
      </c>
      <c r="AB279" s="4">
        <v>10</v>
      </c>
      <c r="AC279" s="4" t="e" cm="1">
        <f t="array" ref="AC279">_xlfn.XLOOKUP(1,('1994 E Maize Soil VWC'!$C$2:$C$5550=$AA279)*('1994 E Maize Soil VWC'!$D$2:$D$5550=$AB279)*('1994 E Maize Soil VWC'!$E$2:$E$5550=AC$5),'1994 E Maize Soil VWC'!$F$2:$F$5550)</f>
        <v>#N/A</v>
      </c>
      <c r="AD279" s="4" t="e" cm="1">
        <f t="array" ref="AD279">_xlfn.XLOOKUP(1,('1994 E Maize Soil VWC'!$C$2:$C$5550=$AA279)*('1994 E Maize Soil VWC'!$D$2:$D$5550=$AB279)*('1994 E Maize Soil VWC'!$E$2:$E$5550=AD$5),'1994 E Maize Soil VWC'!$F$2:$F$5550)</f>
        <v>#N/A</v>
      </c>
      <c r="AE279" s="4" t="e" cm="1">
        <f t="array" ref="AE279">_xlfn.XLOOKUP(1,('1994 E Maize Soil VWC'!$C$2:$C$5550=$AA279)*('1994 E Maize Soil VWC'!$D$2:$D$5550=$AB279)*('1994 E Maize Soil VWC'!$E$2:$E$5550=AE$5),'1994 E Maize Soil VWC'!$F$2:$F$5550)</f>
        <v>#N/A</v>
      </c>
      <c r="AF279" s="4" t="e" cm="1">
        <f t="array" ref="AF279">_xlfn.XLOOKUP(1,('1994 E Maize Soil VWC'!$C$2:$C$5550=$AA279)*('1994 E Maize Soil VWC'!$D$2:$D$5550=$AB279)*('1994 E Maize Soil VWC'!$E$2:$E$5550=AF$5),'1994 E Maize Soil VWC'!$F$2:$F$5550)</f>
        <v>#N/A</v>
      </c>
      <c r="AG279" s="4" t="e" cm="1">
        <f t="array" ref="AG279">_xlfn.XLOOKUP(1,('1994 E Maize Soil VWC'!$C$2:$C$5550=$AA279)*('1994 E Maize Soil VWC'!$D$2:$D$5550=$AB279)*('1994 E Maize Soil VWC'!$E$2:$E$5550=AG$5),'1994 E Maize Soil VWC'!$F$2:$F$5550)</f>
        <v>#N/A</v>
      </c>
      <c r="AH279" s="4" t="e" cm="1">
        <f t="array" ref="AH279">_xlfn.XLOOKUP(1,('1994 E Maize Soil VWC'!$C$2:$C$5550=$AA279)*('1994 E Maize Soil VWC'!$D$2:$D$5550=$AB279)*('1994 E Maize Soil VWC'!$E$2:$E$5550=AH$5),'1994 E Maize Soil VWC'!$F$2:$F$5550)</f>
        <v>#N/A</v>
      </c>
      <c r="AI279" s="4" t="e" cm="1">
        <f t="array" ref="AI279">_xlfn.XLOOKUP(1,('1994 E Maize Soil VWC'!$C$2:$C$5550=$AA279)*('1994 E Maize Soil VWC'!$D$2:$D$5550=$AB279)*('1994 E Maize Soil VWC'!$E$2:$E$5550=AI$5),'1994 E Maize Soil VWC'!$F$2:$F$5550)</f>
        <v>#N/A</v>
      </c>
      <c r="AJ279" s="4" t="e" cm="1">
        <f t="array" ref="AJ279">_xlfn.XLOOKUP(1,('1994 E Maize Soil VWC'!$C$2:$C$5550=$AA279)*('1994 E Maize Soil VWC'!$D$2:$D$5550=$AB279)*('1994 E Maize Soil VWC'!$E$2:$E$5550=AJ$5),'1994 E Maize Soil VWC'!$F$2:$F$5550)</f>
        <v>#N/A</v>
      </c>
      <c r="AK279" s="4" t="e" cm="1">
        <f t="array" ref="AK279">_xlfn.XLOOKUP(1,('1994 E Maize Soil VWC'!$C$2:$C$5550=$AA279)*('1994 E Maize Soil VWC'!$D$2:$D$5550=$AB279)*('1994 E Maize Soil VWC'!$E$2:$E$5550=AK$5),'1994 E Maize Soil VWC'!$F$2:$F$5550)</f>
        <v>#N/A</v>
      </c>
      <c r="AL279" s="4" t="e" cm="1">
        <f t="array" ref="AL279">_xlfn.XLOOKUP(1,('1994 E Maize Soil VWC'!$C$2:$C$5550=$AA279)*('1994 E Maize Soil VWC'!$D$2:$D$5550=$AB279)*('1994 E Maize Soil VWC'!$E$2:$E$5550=AL$5),'1994 E Maize Soil VWC'!$F$2:$F$5550)</f>
        <v>#N/A</v>
      </c>
      <c r="AM279" s="4" t="e" cm="1">
        <f t="array" ref="AM279">_xlfn.XLOOKUP(1,('1994 E Maize Soil VWC'!$C$2:$C$5550=$AA279)*('1994 E Maize Soil VWC'!$D$2:$D$5550=$AB279)*('1994 E Maize Soil VWC'!$E$2:$E$5550=AM$5),'1994 E Maize Soil VWC'!$F$2:$F$5550)</f>
        <v>#N/A</v>
      </c>
      <c r="AN279" s="4" t="e" cm="1">
        <f t="array" ref="AN279">_xlfn.XLOOKUP(1,('1994 E Maize Soil VWC'!$C$2:$C$5550=$AA279)*('1994 E Maize Soil VWC'!$D$2:$D$5550=$AB279)*('1994 E Maize Soil VWC'!$E$2:$E$5550=AN$5),'1994 E Maize Soil VWC'!$F$2:$F$5550)</f>
        <v>#N/A</v>
      </c>
    </row>
    <row r="280" spans="25:40" x14ac:dyDescent="0.25">
      <c r="AA280" s="19">
        <f t="shared" ref="AA280:AA290" si="42">AA279</f>
        <v>34334</v>
      </c>
      <c r="AB280" s="4">
        <f t="shared" ref="AB280:AB290" si="43">AB279+20</f>
        <v>30</v>
      </c>
      <c r="AC280" s="4" t="e" cm="1">
        <f t="array" ref="AC280">_xlfn.XLOOKUP(1,('1994 E Maize Soil VWC'!$C$2:$C$5550=$AA280)*('1994 E Maize Soil VWC'!$D$2:$D$5550=$AB280)*('1994 E Maize Soil VWC'!$E$2:$E$5550=AC$5),'1994 E Maize Soil VWC'!$F$2:$F$5550)</f>
        <v>#N/A</v>
      </c>
      <c r="AD280" s="4" t="e" cm="1">
        <f t="array" ref="AD280">_xlfn.XLOOKUP(1,('1994 E Maize Soil VWC'!$C$2:$C$5550=$AA280)*('1994 E Maize Soil VWC'!$D$2:$D$5550=$AB280)*('1994 E Maize Soil VWC'!$E$2:$E$5550=AD$5),'1994 E Maize Soil VWC'!$F$2:$F$5550)</f>
        <v>#N/A</v>
      </c>
      <c r="AE280" s="4" t="e" cm="1">
        <f t="array" ref="AE280">_xlfn.XLOOKUP(1,('1994 E Maize Soil VWC'!$C$2:$C$5550=$AA280)*('1994 E Maize Soil VWC'!$D$2:$D$5550=$AB280)*('1994 E Maize Soil VWC'!$E$2:$E$5550=AE$5),'1994 E Maize Soil VWC'!$F$2:$F$5550)</f>
        <v>#N/A</v>
      </c>
      <c r="AF280" s="4" t="e" cm="1">
        <f t="array" ref="AF280">_xlfn.XLOOKUP(1,('1994 E Maize Soil VWC'!$C$2:$C$5550=$AA280)*('1994 E Maize Soil VWC'!$D$2:$D$5550=$AB280)*('1994 E Maize Soil VWC'!$E$2:$E$5550=AF$5),'1994 E Maize Soil VWC'!$F$2:$F$5550)</f>
        <v>#N/A</v>
      </c>
      <c r="AG280" s="4" t="e" cm="1">
        <f t="array" ref="AG280">_xlfn.XLOOKUP(1,('1994 E Maize Soil VWC'!$C$2:$C$5550=$AA280)*('1994 E Maize Soil VWC'!$D$2:$D$5550=$AB280)*('1994 E Maize Soil VWC'!$E$2:$E$5550=AG$5),'1994 E Maize Soil VWC'!$F$2:$F$5550)</f>
        <v>#N/A</v>
      </c>
      <c r="AH280" s="4" t="e" cm="1">
        <f t="array" ref="AH280">_xlfn.XLOOKUP(1,('1994 E Maize Soil VWC'!$C$2:$C$5550=$AA280)*('1994 E Maize Soil VWC'!$D$2:$D$5550=$AB280)*('1994 E Maize Soil VWC'!$E$2:$E$5550=AH$5),'1994 E Maize Soil VWC'!$F$2:$F$5550)</f>
        <v>#N/A</v>
      </c>
      <c r="AI280" s="4" t="e" cm="1">
        <f t="array" ref="AI280">_xlfn.XLOOKUP(1,('1994 E Maize Soil VWC'!$C$2:$C$5550=$AA280)*('1994 E Maize Soil VWC'!$D$2:$D$5550=$AB280)*('1994 E Maize Soil VWC'!$E$2:$E$5550=AI$5),'1994 E Maize Soil VWC'!$F$2:$F$5550)</f>
        <v>#N/A</v>
      </c>
      <c r="AJ280" s="4" t="e" cm="1">
        <f t="array" ref="AJ280">_xlfn.XLOOKUP(1,('1994 E Maize Soil VWC'!$C$2:$C$5550=$AA280)*('1994 E Maize Soil VWC'!$D$2:$D$5550=$AB280)*('1994 E Maize Soil VWC'!$E$2:$E$5550=AJ$5),'1994 E Maize Soil VWC'!$F$2:$F$5550)</f>
        <v>#N/A</v>
      </c>
      <c r="AK280" s="4" t="e" cm="1">
        <f t="array" ref="AK280">_xlfn.XLOOKUP(1,('1994 E Maize Soil VWC'!$C$2:$C$5550=$AA280)*('1994 E Maize Soil VWC'!$D$2:$D$5550=$AB280)*('1994 E Maize Soil VWC'!$E$2:$E$5550=AK$5),'1994 E Maize Soil VWC'!$F$2:$F$5550)</f>
        <v>#N/A</v>
      </c>
      <c r="AL280" s="4" t="e" cm="1">
        <f t="array" ref="AL280">_xlfn.XLOOKUP(1,('1994 E Maize Soil VWC'!$C$2:$C$5550=$AA280)*('1994 E Maize Soil VWC'!$D$2:$D$5550=$AB280)*('1994 E Maize Soil VWC'!$E$2:$E$5550=AL$5),'1994 E Maize Soil VWC'!$F$2:$F$5550)</f>
        <v>#N/A</v>
      </c>
      <c r="AM280" s="4" t="e" cm="1">
        <f t="array" ref="AM280">_xlfn.XLOOKUP(1,('1994 E Maize Soil VWC'!$C$2:$C$5550=$AA280)*('1994 E Maize Soil VWC'!$D$2:$D$5550=$AB280)*('1994 E Maize Soil VWC'!$E$2:$E$5550=AM$5),'1994 E Maize Soil VWC'!$F$2:$F$5550)</f>
        <v>#N/A</v>
      </c>
      <c r="AN280" s="4" t="e" cm="1">
        <f t="array" ref="AN280">_xlfn.XLOOKUP(1,('1994 E Maize Soil VWC'!$C$2:$C$5550=$AA280)*('1994 E Maize Soil VWC'!$D$2:$D$5550=$AB280)*('1994 E Maize Soil VWC'!$E$2:$E$5550=AN$5),'1994 E Maize Soil VWC'!$F$2:$F$5550)</f>
        <v>#N/A</v>
      </c>
    </row>
    <row r="281" spans="25:40" x14ac:dyDescent="0.25">
      <c r="AA281" s="19">
        <f t="shared" si="42"/>
        <v>34334</v>
      </c>
      <c r="AB281" s="4">
        <f t="shared" si="43"/>
        <v>50</v>
      </c>
      <c r="AC281" s="4" t="e" cm="1">
        <f t="array" ref="AC281">_xlfn.XLOOKUP(1,('1994 E Maize Soil VWC'!$C$2:$C$5550=$AA281)*('1994 E Maize Soil VWC'!$D$2:$D$5550=$AB281)*('1994 E Maize Soil VWC'!$E$2:$E$5550=AC$5),'1994 E Maize Soil VWC'!$F$2:$F$5550)</f>
        <v>#N/A</v>
      </c>
      <c r="AD281" s="4" t="e" cm="1">
        <f t="array" ref="AD281">_xlfn.XLOOKUP(1,('1994 E Maize Soil VWC'!$C$2:$C$5550=$AA281)*('1994 E Maize Soil VWC'!$D$2:$D$5550=$AB281)*('1994 E Maize Soil VWC'!$E$2:$E$5550=AD$5),'1994 E Maize Soil VWC'!$F$2:$F$5550)</f>
        <v>#N/A</v>
      </c>
      <c r="AE281" s="4" t="e" cm="1">
        <f t="array" ref="AE281">_xlfn.XLOOKUP(1,('1994 E Maize Soil VWC'!$C$2:$C$5550=$AA281)*('1994 E Maize Soil VWC'!$D$2:$D$5550=$AB281)*('1994 E Maize Soil VWC'!$E$2:$E$5550=AE$5),'1994 E Maize Soil VWC'!$F$2:$F$5550)</f>
        <v>#N/A</v>
      </c>
      <c r="AF281" s="4" t="e" cm="1">
        <f t="array" ref="AF281">_xlfn.XLOOKUP(1,('1994 E Maize Soil VWC'!$C$2:$C$5550=$AA281)*('1994 E Maize Soil VWC'!$D$2:$D$5550=$AB281)*('1994 E Maize Soil VWC'!$E$2:$E$5550=AF$5),'1994 E Maize Soil VWC'!$F$2:$F$5550)</f>
        <v>#N/A</v>
      </c>
      <c r="AG281" s="4" t="e" cm="1">
        <f t="array" ref="AG281">_xlfn.XLOOKUP(1,('1994 E Maize Soil VWC'!$C$2:$C$5550=$AA281)*('1994 E Maize Soil VWC'!$D$2:$D$5550=$AB281)*('1994 E Maize Soil VWC'!$E$2:$E$5550=AG$5),'1994 E Maize Soil VWC'!$F$2:$F$5550)</f>
        <v>#N/A</v>
      </c>
      <c r="AH281" s="4" t="e" cm="1">
        <f t="array" ref="AH281">_xlfn.XLOOKUP(1,('1994 E Maize Soil VWC'!$C$2:$C$5550=$AA281)*('1994 E Maize Soil VWC'!$D$2:$D$5550=$AB281)*('1994 E Maize Soil VWC'!$E$2:$E$5550=AH$5),'1994 E Maize Soil VWC'!$F$2:$F$5550)</f>
        <v>#N/A</v>
      </c>
      <c r="AI281" s="4" t="e" cm="1">
        <f t="array" ref="AI281">_xlfn.XLOOKUP(1,('1994 E Maize Soil VWC'!$C$2:$C$5550=$AA281)*('1994 E Maize Soil VWC'!$D$2:$D$5550=$AB281)*('1994 E Maize Soil VWC'!$E$2:$E$5550=AI$5),'1994 E Maize Soil VWC'!$F$2:$F$5550)</f>
        <v>#N/A</v>
      </c>
      <c r="AJ281" s="4" t="e" cm="1">
        <f t="array" ref="AJ281">_xlfn.XLOOKUP(1,('1994 E Maize Soil VWC'!$C$2:$C$5550=$AA281)*('1994 E Maize Soil VWC'!$D$2:$D$5550=$AB281)*('1994 E Maize Soil VWC'!$E$2:$E$5550=AJ$5),'1994 E Maize Soil VWC'!$F$2:$F$5550)</f>
        <v>#N/A</v>
      </c>
      <c r="AK281" s="4" t="e" cm="1">
        <f t="array" ref="AK281">_xlfn.XLOOKUP(1,('1994 E Maize Soil VWC'!$C$2:$C$5550=$AA281)*('1994 E Maize Soil VWC'!$D$2:$D$5550=$AB281)*('1994 E Maize Soil VWC'!$E$2:$E$5550=AK$5),'1994 E Maize Soil VWC'!$F$2:$F$5550)</f>
        <v>#N/A</v>
      </c>
      <c r="AL281" s="4" t="e" cm="1">
        <f t="array" ref="AL281">_xlfn.XLOOKUP(1,('1994 E Maize Soil VWC'!$C$2:$C$5550=$AA281)*('1994 E Maize Soil VWC'!$D$2:$D$5550=$AB281)*('1994 E Maize Soil VWC'!$E$2:$E$5550=AL$5),'1994 E Maize Soil VWC'!$F$2:$F$5550)</f>
        <v>#N/A</v>
      </c>
      <c r="AM281" s="4" t="e" cm="1">
        <f t="array" ref="AM281">_xlfn.XLOOKUP(1,('1994 E Maize Soil VWC'!$C$2:$C$5550=$AA281)*('1994 E Maize Soil VWC'!$D$2:$D$5550=$AB281)*('1994 E Maize Soil VWC'!$E$2:$E$5550=AM$5),'1994 E Maize Soil VWC'!$F$2:$F$5550)</f>
        <v>#N/A</v>
      </c>
      <c r="AN281" s="4" t="e" cm="1">
        <f t="array" ref="AN281">_xlfn.XLOOKUP(1,('1994 E Maize Soil VWC'!$C$2:$C$5550=$AA281)*('1994 E Maize Soil VWC'!$D$2:$D$5550=$AB281)*('1994 E Maize Soil VWC'!$E$2:$E$5550=AN$5),'1994 E Maize Soil VWC'!$F$2:$F$5550)</f>
        <v>#N/A</v>
      </c>
    </row>
    <row r="282" spans="25:40" x14ac:dyDescent="0.25">
      <c r="AA282" s="19">
        <f t="shared" si="42"/>
        <v>34334</v>
      </c>
      <c r="AB282" s="4">
        <f t="shared" si="43"/>
        <v>70</v>
      </c>
      <c r="AC282" s="4" t="e" cm="1">
        <f t="array" ref="AC282">_xlfn.XLOOKUP(1,('1994 E Maize Soil VWC'!$C$2:$C$5550=$AA282)*('1994 E Maize Soil VWC'!$D$2:$D$5550=$AB282)*('1994 E Maize Soil VWC'!$E$2:$E$5550=AC$5),'1994 E Maize Soil VWC'!$F$2:$F$5550)</f>
        <v>#N/A</v>
      </c>
      <c r="AD282" s="4" t="e" cm="1">
        <f t="array" ref="AD282">_xlfn.XLOOKUP(1,('1994 E Maize Soil VWC'!$C$2:$C$5550=$AA282)*('1994 E Maize Soil VWC'!$D$2:$D$5550=$AB282)*('1994 E Maize Soil VWC'!$E$2:$E$5550=AD$5),'1994 E Maize Soil VWC'!$F$2:$F$5550)</f>
        <v>#N/A</v>
      </c>
      <c r="AE282" s="4" t="e" cm="1">
        <f t="array" ref="AE282">_xlfn.XLOOKUP(1,('1994 E Maize Soil VWC'!$C$2:$C$5550=$AA282)*('1994 E Maize Soil VWC'!$D$2:$D$5550=$AB282)*('1994 E Maize Soil VWC'!$E$2:$E$5550=AE$5),'1994 E Maize Soil VWC'!$F$2:$F$5550)</f>
        <v>#N/A</v>
      </c>
      <c r="AF282" s="4" t="e" cm="1">
        <f t="array" ref="AF282">_xlfn.XLOOKUP(1,('1994 E Maize Soil VWC'!$C$2:$C$5550=$AA282)*('1994 E Maize Soil VWC'!$D$2:$D$5550=$AB282)*('1994 E Maize Soil VWC'!$E$2:$E$5550=AF$5),'1994 E Maize Soil VWC'!$F$2:$F$5550)</f>
        <v>#N/A</v>
      </c>
      <c r="AG282" s="4" t="e" cm="1">
        <f t="array" ref="AG282">_xlfn.XLOOKUP(1,('1994 E Maize Soil VWC'!$C$2:$C$5550=$AA282)*('1994 E Maize Soil VWC'!$D$2:$D$5550=$AB282)*('1994 E Maize Soil VWC'!$E$2:$E$5550=AG$5),'1994 E Maize Soil VWC'!$F$2:$F$5550)</f>
        <v>#N/A</v>
      </c>
      <c r="AH282" s="4" t="e" cm="1">
        <f t="array" ref="AH282">_xlfn.XLOOKUP(1,('1994 E Maize Soil VWC'!$C$2:$C$5550=$AA282)*('1994 E Maize Soil VWC'!$D$2:$D$5550=$AB282)*('1994 E Maize Soil VWC'!$E$2:$E$5550=AH$5),'1994 E Maize Soil VWC'!$F$2:$F$5550)</f>
        <v>#N/A</v>
      </c>
      <c r="AI282" s="4" t="e" cm="1">
        <f t="array" ref="AI282">_xlfn.XLOOKUP(1,('1994 E Maize Soil VWC'!$C$2:$C$5550=$AA282)*('1994 E Maize Soil VWC'!$D$2:$D$5550=$AB282)*('1994 E Maize Soil VWC'!$E$2:$E$5550=AI$5),'1994 E Maize Soil VWC'!$F$2:$F$5550)</f>
        <v>#N/A</v>
      </c>
      <c r="AJ282" s="4" t="e" cm="1">
        <f t="array" ref="AJ282">_xlfn.XLOOKUP(1,('1994 E Maize Soil VWC'!$C$2:$C$5550=$AA282)*('1994 E Maize Soil VWC'!$D$2:$D$5550=$AB282)*('1994 E Maize Soil VWC'!$E$2:$E$5550=AJ$5),'1994 E Maize Soil VWC'!$F$2:$F$5550)</f>
        <v>#N/A</v>
      </c>
      <c r="AK282" s="4" t="e" cm="1">
        <f t="array" ref="AK282">_xlfn.XLOOKUP(1,('1994 E Maize Soil VWC'!$C$2:$C$5550=$AA282)*('1994 E Maize Soil VWC'!$D$2:$D$5550=$AB282)*('1994 E Maize Soil VWC'!$E$2:$E$5550=AK$5),'1994 E Maize Soil VWC'!$F$2:$F$5550)</f>
        <v>#N/A</v>
      </c>
      <c r="AL282" s="4" t="e" cm="1">
        <f t="array" ref="AL282">_xlfn.XLOOKUP(1,('1994 E Maize Soil VWC'!$C$2:$C$5550=$AA282)*('1994 E Maize Soil VWC'!$D$2:$D$5550=$AB282)*('1994 E Maize Soil VWC'!$E$2:$E$5550=AL$5),'1994 E Maize Soil VWC'!$F$2:$F$5550)</f>
        <v>#N/A</v>
      </c>
      <c r="AM282" s="4" t="e" cm="1">
        <f t="array" ref="AM282">_xlfn.XLOOKUP(1,('1994 E Maize Soil VWC'!$C$2:$C$5550=$AA282)*('1994 E Maize Soil VWC'!$D$2:$D$5550=$AB282)*('1994 E Maize Soil VWC'!$E$2:$E$5550=AM$5),'1994 E Maize Soil VWC'!$F$2:$F$5550)</f>
        <v>#N/A</v>
      </c>
      <c r="AN282" s="4" t="e" cm="1">
        <f t="array" ref="AN282">_xlfn.XLOOKUP(1,('1994 E Maize Soil VWC'!$C$2:$C$5550=$AA282)*('1994 E Maize Soil VWC'!$D$2:$D$5550=$AB282)*('1994 E Maize Soil VWC'!$E$2:$E$5550=AN$5),'1994 E Maize Soil VWC'!$F$2:$F$5550)</f>
        <v>#N/A</v>
      </c>
    </row>
    <row r="283" spans="25:40" x14ac:dyDescent="0.25">
      <c r="AA283" s="19">
        <f t="shared" si="42"/>
        <v>34334</v>
      </c>
      <c r="AB283" s="4">
        <f t="shared" si="43"/>
        <v>90</v>
      </c>
      <c r="AC283" s="4" t="e" cm="1">
        <f t="array" ref="AC283">_xlfn.XLOOKUP(1,('1994 E Maize Soil VWC'!$C$2:$C$5550=$AA283)*('1994 E Maize Soil VWC'!$D$2:$D$5550=$AB283)*('1994 E Maize Soil VWC'!$E$2:$E$5550=AC$5),'1994 E Maize Soil VWC'!$F$2:$F$5550)</f>
        <v>#N/A</v>
      </c>
      <c r="AD283" s="4" t="e" cm="1">
        <f t="array" ref="AD283">_xlfn.XLOOKUP(1,('1994 E Maize Soil VWC'!$C$2:$C$5550=$AA283)*('1994 E Maize Soil VWC'!$D$2:$D$5550=$AB283)*('1994 E Maize Soil VWC'!$E$2:$E$5550=AD$5),'1994 E Maize Soil VWC'!$F$2:$F$5550)</f>
        <v>#N/A</v>
      </c>
      <c r="AE283" s="4" t="e" cm="1">
        <f t="array" ref="AE283">_xlfn.XLOOKUP(1,('1994 E Maize Soil VWC'!$C$2:$C$5550=$AA283)*('1994 E Maize Soil VWC'!$D$2:$D$5550=$AB283)*('1994 E Maize Soil VWC'!$E$2:$E$5550=AE$5),'1994 E Maize Soil VWC'!$F$2:$F$5550)</f>
        <v>#N/A</v>
      </c>
      <c r="AF283" s="4" t="e" cm="1">
        <f t="array" ref="AF283">_xlfn.XLOOKUP(1,('1994 E Maize Soil VWC'!$C$2:$C$5550=$AA283)*('1994 E Maize Soil VWC'!$D$2:$D$5550=$AB283)*('1994 E Maize Soil VWC'!$E$2:$E$5550=AF$5),'1994 E Maize Soil VWC'!$F$2:$F$5550)</f>
        <v>#N/A</v>
      </c>
      <c r="AG283" s="4" t="e" cm="1">
        <f t="array" ref="AG283">_xlfn.XLOOKUP(1,('1994 E Maize Soil VWC'!$C$2:$C$5550=$AA283)*('1994 E Maize Soil VWC'!$D$2:$D$5550=$AB283)*('1994 E Maize Soil VWC'!$E$2:$E$5550=AG$5),'1994 E Maize Soil VWC'!$F$2:$F$5550)</f>
        <v>#N/A</v>
      </c>
      <c r="AH283" s="4" t="e" cm="1">
        <f t="array" ref="AH283">_xlfn.XLOOKUP(1,('1994 E Maize Soil VWC'!$C$2:$C$5550=$AA283)*('1994 E Maize Soil VWC'!$D$2:$D$5550=$AB283)*('1994 E Maize Soil VWC'!$E$2:$E$5550=AH$5),'1994 E Maize Soil VWC'!$F$2:$F$5550)</f>
        <v>#N/A</v>
      </c>
      <c r="AI283" s="4" t="e" cm="1">
        <f t="array" ref="AI283">_xlfn.XLOOKUP(1,('1994 E Maize Soil VWC'!$C$2:$C$5550=$AA283)*('1994 E Maize Soil VWC'!$D$2:$D$5550=$AB283)*('1994 E Maize Soil VWC'!$E$2:$E$5550=AI$5),'1994 E Maize Soil VWC'!$F$2:$F$5550)</f>
        <v>#N/A</v>
      </c>
      <c r="AJ283" s="4" t="e" cm="1">
        <f t="array" ref="AJ283">_xlfn.XLOOKUP(1,('1994 E Maize Soil VWC'!$C$2:$C$5550=$AA283)*('1994 E Maize Soil VWC'!$D$2:$D$5550=$AB283)*('1994 E Maize Soil VWC'!$E$2:$E$5550=AJ$5),'1994 E Maize Soil VWC'!$F$2:$F$5550)</f>
        <v>#N/A</v>
      </c>
      <c r="AK283" s="4" t="e" cm="1">
        <f t="array" ref="AK283">_xlfn.XLOOKUP(1,('1994 E Maize Soil VWC'!$C$2:$C$5550=$AA283)*('1994 E Maize Soil VWC'!$D$2:$D$5550=$AB283)*('1994 E Maize Soil VWC'!$E$2:$E$5550=AK$5),'1994 E Maize Soil VWC'!$F$2:$F$5550)</f>
        <v>#N/A</v>
      </c>
      <c r="AL283" s="4" t="e" cm="1">
        <f t="array" ref="AL283">_xlfn.XLOOKUP(1,('1994 E Maize Soil VWC'!$C$2:$C$5550=$AA283)*('1994 E Maize Soil VWC'!$D$2:$D$5550=$AB283)*('1994 E Maize Soil VWC'!$E$2:$E$5550=AL$5),'1994 E Maize Soil VWC'!$F$2:$F$5550)</f>
        <v>#N/A</v>
      </c>
      <c r="AM283" s="4" t="e" cm="1">
        <f t="array" ref="AM283">_xlfn.XLOOKUP(1,('1994 E Maize Soil VWC'!$C$2:$C$5550=$AA283)*('1994 E Maize Soil VWC'!$D$2:$D$5550=$AB283)*('1994 E Maize Soil VWC'!$E$2:$E$5550=AM$5),'1994 E Maize Soil VWC'!$F$2:$F$5550)</f>
        <v>#N/A</v>
      </c>
      <c r="AN283" s="4" t="e" cm="1">
        <f t="array" ref="AN283">_xlfn.XLOOKUP(1,('1994 E Maize Soil VWC'!$C$2:$C$5550=$AA283)*('1994 E Maize Soil VWC'!$D$2:$D$5550=$AB283)*('1994 E Maize Soil VWC'!$E$2:$E$5550=AN$5),'1994 E Maize Soil VWC'!$F$2:$F$5550)</f>
        <v>#N/A</v>
      </c>
    </row>
    <row r="284" spans="25:40" x14ac:dyDescent="0.25">
      <c r="AA284" s="19">
        <f t="shared" si="42"/>
        <v>34334</v>
      </c>
      <c r="AB284" s="4">
        <f t="shared" si="43"/>
        <v>110</v>
      </c>
      <c r="AC284" s="4" t="e" cm="1">
        <f t="array" ref="AC284">_xlfn.XLOOKUP(1,('1994 E Maize Soil VWC'!$C$2:$C$5550=$AA284)*('1994 E Maize Soil VWC'!$D$2:$D$5550=$AB284)*('1994 E Maize Soil VWC'!$E$2:$E$5550=AC$5),'1994 E Maize Soil VWC'!$F$2:$F$5550)</f>
        <v>#N/A</v>
      </c>
      <c r="AD284" s="4" t="e" cm="1">
        <f t="array" ref="AD284">_xlfn.XLOOKUP(1,('1994 E Maize Soil VWC'!$C$2:$C$5550=$AA284)*('1994 E Maize Soil VWC'!$D$2:$D$5550=$AB284)*('1994 E Maize Soil VWC'!$E$2:$E$5550=AD$5),'1994 E Maize Soil VWC'!$F$2:$F$5550)</f>
        <v>#N/A</v>
      </c>
      <c r="AE284" s="4" t="e" cm="1">
        <f t="array" ref="AE284">_xlfn.XLOOKUP(1,('1994 E Maize Soil VWC'!$C$2:$C$5550=$AA284)*('1994 E Maize Soil VWC'!$D$2:$D$5550=$AB284)*('1994 E Maize Soil VWC'!$E$2:$E$5550=AE$5),'1994 E Maize Soil VWC'!$F$2:$F$5550)</f>
        <v>#N/A</v>
      </c>
      <c r="AF284" s="4" t="e" cm="1">
        <f t="array" ref="AF284">_xlfn.XLOOKUP(1,('1994 E Maize Soil VWC'!$C$2:$C$5550=$AA284)*('1994 E Maize Soil VWC'!$D$2:$D$5550=$AB284)*('1994 E Maize Soil VWC'!$E$2:$E$5550=AF$5),'1994 E Maize Soil VWC'!$F$2:$F$5550)</f>
        <v>#N/A</v>
      </c>
      <c r="AG284" s="4" t="e" cm="1">
        <f t="array" ref="AG284">_xlfn.XLOOKUP(1,('1994 E Maize Soil VWC'!$C$2:$C$5550=$AA284)*('1994 E Maize Soil VWC'!$D$2:$D$5550=$AB284)*('1994 E Maize Soil VWC'!$E$2:$E$5550=AG$5),'1994 E Maize Soil VWC'!$F$2:$F$5550)</f>
        <v>#N/A</v>
      </c>
      <c r="AH284" s="4" t="e" cm="1">
        <f t="array" ref="AH284">_xlfn.XLOOKUP(1,('1994 E Maize Soil VWC'!$C$2:$C$5550=$AA284)*('1994 E Maize Soil VWC'!$D$2:$D$5550=$AB284)*('1994 E Maize Soil VWC'!$E$2:$E$5550=AH$5),'1994 E Maize Soil VWC'!$F$2:$F$5550)</f>
        <v>#N/A</v>
      </c>
      <c r="AI284" s="4" t="e" cm="1">
        <f t="array" ref="AI284">_xlfn.XLOOKUP(1,('1994 E Maize Soil VWC'!$C$2:$C$5550=$AA284)*('1994 E Maize Soil VWC'!$D$2:$D$5550=$AB284)*('1994 E Maize Soil VWC'!$E$2:$E$5550=AI$5),'1994 E Maize Soil VWC'!$F$2:$F$5550)</f>
        <v>#N/A</v>
      </c>
      <c r="AJ284" s="4" t="e" cm="1">
        <f t="array" ref="AJ284">_xlfn.XLOOKUP(1,('1994 E Maize Soil VWC'!$C$2:$C$5550=$AA284)*('1994 E Maize Soil VWC'!$D$2:$D$5550=$AB284)*('1994 E Maize Soil VWC'!$E$2:$E$5550=AJ$5),'1994 E Maize Soil VWC'!$F$2:$F$5550)</f>
        <v>#N/A</v>
      </c>
      <c r="AK284" s="4" t="e" cm="1">
        <f t="array" ref="AK284">_xlfn.XLOOKUP(1,('1994 E Maize Soil VWC'!$C$2:$C$5550=$AA284)*('1994 E Maize Soil VWC'!$D$2:$D$5550=$AB284)*('1994 E Maize Soil VWC'!$E$2:$E$5550=AK$5),'1994 E Maize Soil VWC'!$F$2:$F$5550)</f>
        <v>#N/A</v>
      </c>
      <c r="AL284" s="4" t="e" cm="1">
        <f t="array" ref="AL284">_xlfn.XLOOKUP(1,('1994 E Maize Soil VWC'!$C$2:$C$5550=$AA284)*('1994 E Maize Soil VWC'!$D$2:$D$5550=$AB284)*('1994 E Maize Soil VWC'!$E$2:$E$5550=AL$5),'1994 E Maize Soil VWC'!$F$2:$F$5550)</f>
        <v>#N/A</v>
      </c>
      <c r="AM284" s="4" t="e" cm="1">
        <f t="array" ref="AM284">_xlfn.XLOOKUP(1,('1994 E Maize Soil VWC'!$C$2:$C$5550=$AA284)*('1994 E Maize Soil VWC'!$D$2:$D$5550=$AB284)*('1994 E Maize Soil VWC'!$E$2:$E$5550=AM$5),'1994 E Maize Soil VWC'!$F$2:$F$5550)</f>
        <v>#N/A</v>
      </c>
      <c r="AN284" s="4" t="e" cm="1">
        <f t="array" ref="AN284">_xlfn.XLOOKUP(1,('1994 E Maize Soil VWC'!$C$2:$C$5550=$AA284)*('1994 E Maize Soil VWC'!$D$2:$D$5550=$AB284)*('1994 E Maize Soil VWC'!$E$2:$E$5550=AN$5),'1994 E Maize Soil VWC'!$F$2:$F$5550)</f>
        <v>#N/A</v>
      </c>
    </row>
    <row r="285" spans="25:40" x14ac:dyDescent="0.25">
      <c r="AA285" s="19">
        <f t="shared" si="42"/>
        <v>34334</v>
      </c>
      <c r="AB285" s="4">
        <f t="shared" si="43"/>
        <v>130</v>
      </c>
      <c r="AC285" s="4" t="e" cm="1">
        <f t="array" ref="AC285">_xlfn.XLOOKUP(1,('1994 E Maize Soil VWC'!$C$2:$C$5550=$AA285)*('1994 E Maize Soil VWC'!$D$2:$D$5550=$AB285)*('1994 E Maize Soil VWC'!$E$2:$E$5550=AC$5),'1994 E Maize Soil VWC'!$F$2:$F$5550)</f>
        <v>#N/A</v>
      </c>
      <c r="AD285" s="4" t="e" cm="1">
        <f t="array" ref="AD285">_xlfn.XLOOKUP(1,('1994 E Maize Soil VWC'!$C$2:$C$5550=$AA285)*('1994 E Maize Soil VWC'!$D$2:$D$5550=$AB285)*('1994 E Maize Soil VWC'!$E$2:$E$5550=AD$5),'1994 E Maize Soil VWC'!$F$2:$F$5550)</f>
        <v>#N/A</v>
      </c>
      <c r="AE285" s="4" t="e" cm="1">
        <f t="array" ref="AE285">_xlfn.XLOOKUP(1,('1994 E Maize Soil VWC'!$C$2:$C$5550=$AA285)*('1994 E Maize Soil VWC'!$D$2:$D$5550=$AB285)*('1994 E Maize Soil VWC'!$E$2:$E$5550=AE$5),'1994 E Maize Soil VWC'!$F$2:$F$5550)</f>
        <v>#N/A</v>
      </c>
      <c r="AF285" s="4" t="e" cm="1">
        <f t="array" ref="AF285">_xlfn.XLOOKUP(1,('1994 E Maize Soil VWC'!$C$2:$C$5550=$AA285)*('1994 E Maize Soil VWC'!$D$2:$D$5550=$AB285)*('1994 E Maize Soil VWC'!$E$2:$E$5550=AF$5),'1994 E Maize Soil VWC'!$F$2:$F$5550)</f>
        <v>#N/A</v>
      </c>
      <c r="AG285" s="4" t="e" cm="1">
        <f t="array" ref="AG285">_xlfn.XLOOKUP(1,('1994 E Maize Soil VWC'!$C$2:$C$5550=$AA285)*('1994 E Maize Soil VWC'!$D$2:$D$5550=$AB285)*('1994 E Maize Soil VWC'!$E$2:$E$5550=AG$5),'1994 E Maize Soil VWC'!$F$2:$F$5550)</f>
        <v>#N/A</v>
      </c>
      <c r="AH285" s="4" t="e" cm="1">
        <f t="array" ref="AH285">_xlfn.XLOOKUP(1,('1994 E Maize Soil VWC'!$C$2:$C$5550=$AA285)*('1994 E Maize Soil VWC'!$D$2:$D$5550=$AB285)*('1994 E Maize Soil VWC'!$E$2:$E$5550=AH$5),'1994 E Maize Soil VWC'!$F$2:$F$5550)</f>
        <v>#N/A</v>
      </c>
      <c r="AI285" s="4" t="e" cm="1">
        <f t="array" ref="AI285">_xlfn.XLOOKUP(1,('1994 E Maize Soil VWC'!$C$2:$C$5550=$AA285)*('1994 E Maize Soil VWC'!$D$2:$D$5550=$AB285)*('1994 E Maize Soil VWC'!$E$2:$E$5550=AI$5),'1994 E Maize Soil VWC'!$F$2:$F$5550)</f>
        <v>#N/A</v>
      </c>
      <c r="AJ285" s="4" t="e" cm="1">
        <f t="array" ref="AJ285">_xlfn.XLOOKUP(1,('1994 E Maize Soil VWC'!$C$2:$C$5550=$AA285)*('1994 E Maize Soil VWC'!$D$2:$D$5550=$AB285)*('1994 E Maize Soil VWC'!$E$2:$E$5550=AJ$5),'1994 E Maize Soil VWC'!$F$2:$F$5550)</f>
        <v>#N/A</v>
      </c>
      <c r="AK285" s="4" t="e" cm="1">
        <f t="array" ref="AK285">_xlfn.XLOOKUP(1,('1994 E Maize Soil VWC'!$C$2:$C$5550=$AA285)*('1994 E Maize Soil VWC'!$D$2:$D$5550=$AB285)*('1994 E Maize Soil VWC'!$E$2:$E$5550=AK$5),'1994 E Maize Soil VWC'!$F$2:$F$5550)</f>
        <v>#N/A</v>
      </c>
      <c r="AL285" s="4" t="e" cm="1">
        <f t="array" ref="AL285">_xlfn.XLOOKUP(1,('1994 E Maize Soil VWC'!$C$2:$C$5550=$AA285)*('1994 E Maize Soil VWC'!$D$2:$D$5550=$AB285)*('1994 E Maize Soil VWC'!$E$2:$E$5550=AL$5),'1994 E Maize Soil VWC'!$F$2:$F$5550)</f>
        <v>#N/A</v>
      </c>
      <c r="AM285" s="4" t="e" cm="1">
        <f t="array" ref="AM285">_xlfn.XLOOKUP(1,('1994 E Maize Soil VWC'!$C$2:$C$5550=$AA285)*('1994 E Maize Soil VWC'!$D$2:$D$5550=$AB285)*('1994 E Maize Soil VWC'!$E$2:$E$5550=AM$5),'1994 E Maize Soil VWC'!$F$2:$F$5550)</f>
        <v>#N/A</v>
      </c>
      <c r="AN285" s="4" t="e" cm="1">
        <f t="array" ref="AN285">_xlfn.XLOOKUP(1,('1994 E Maize Soil VWC'!$C$2:$C$5550=$AA285)*('1994 E Maize Soil VWC'!$D$2:$D$5550=$AB285)*('1994 E Maize Soil VWC'!$E$2:$E$5550=AN$5),'1994 E Maize Soil VWC'!$F$2:$F$5550)</f>
        <v>#N/A</v>
      </c>
    </row>
    <row r="286" spans="25:40" x14ac:dyDescent="0.25">
      <c r="AA286" s="19">
        <f t="shared" si="42"/>
        <v>34334</v>
      </c>
      <c r="AB286" s="4">
        <f t="shared" si="43"/>
        <v>150</v>
      </c>
      <c r="AC286" s="4" t="e" cm="1">
        <f t="array" ref="AC286">_xlfn.XLOOKUP(1,('1994 E Maize Soil VWC'!$C$2:$C$5550=$AA286)*('1994 E Maize Soil VWC'!$D$2:$D$5550=$AB286)*('1994 E Maize Soil VWC'!$E$2:$E$5550=AC$5),'1994 E Maize Soil VWC'!$F$2:$F$5550)</f>
        <v>#N/A</v>
      </c>
      <c r="AD286" s="4" t="e" cm="1">
        <f t="array" ref="AD286">_xlfn.XLOOKUP(1,('1994 E Maize Soil VWC'!$C$2:$C$5550=$AA286)*('1994 E Maize Soil VWC'!$D$2:$D$5550=$AB286)*('1994 E Maize Soil VWC'!$E$2:$E$5550=AD$5),'1994 E Maize Soil VWC'!$F$2:$F$5550)</f>
        <v>#N/A</v>
      </c>
      <c r="AE286" s="4" t="e" cm="1">
        <f t="array" ref="AE286">_xlfn.XLOOKUP(1,('1994 E Maize Soil VWC'!$C$2:$C$5550=$AA286)*('1994 E Maize Soil VWC'!$D$2:$D$5550=$AB286)*('1994 E Maize Soil VWC'!$E$2:$E$5550=AE$5),'1994 E Maize Soil VWC'!$F$2:$F$5550)</f>
        <v>#N/A</v>
      </c>
      <c r="AF286" s="4" t="e" cm="1">
        <f t="array" ref="AF286">_xlfn.XLOOKUP(1,('1994 E Maize Soil VWC'!$C$2:$C$5550=$AA286)*('1994 E Maize Soil VWC'!$D$2:$D$5550=$AB286)*('1994 E Maize Soil VWC'!$E$2:$E$5550=AF$5),'1994 E Maize Soil VWC'!$F$2:$F$5550)</f>
        <v>#N/A</v>
      </c>
      <c r="AG286" s="4" t="e" cm="1">
        <f t="array" ref="AG286">_xlfn.XLOOKUP(1,('1994 E Maize Soil VWC'!$C$2:$C$5550=$AA286)*('1994 E Maize Soil VWC'!$D$2:$D$5550=$AB286)*('1994 E Maize Soil VWC'!$E$2:$E$5550=AG$5),'1994 E Maize Soil VWC'!$F$2:$F$5550)</f>
        <v>#N/A</v>
      </c>
      <c r="AH286" s="4" t="e" cm="1">
        <f t="array" ref="AH286">_xlfn.XLOOKUP(1,('1994 E Maize Soil VWC'!$C$2:$C$5550=$AA286)*('1994 E Maize Soil VWC'!$D$2:$D$5550=$AB286)*('1994 E Maize Soil VWC'!$E$2:$E$5550=AH$5),'1994 E Maize Soil VWC'!$F$2:$F$5550)</f>
        <v>#N/A</v>
      </c>
      <c r="AI286" s="4" t="e" cm="1">
        <f t="array" ref="AI286">_xlfn.XLOOKUP(1,('1994 E Maize Soil VWC'!$C$2:$C$5550=$AA286)*('1994 E Maize Soil VWC'!$D$2:$D$5550=$AB286)*('1994 E Maize Soil VWC'!$E$2:$E$5550=AI$5),'1994 E Maize Soil VWC'!$F$2:$F$5550)</f>
        <v>#N/A</v>
      </c>
      <c r="AJ286" s="4" t="e" cm="1">
        <f t="array" ref="AJ286">_xlfn.XLOOKUP(1,('1994 E Maize Soil VWC'!$C$2:$C$5550=$AA286)*('1994 E Maize Soil VWC'!$D$2:$D$5550=$AB286)*('1994 E Maize Soil VWC'!$E$2:$E$5550=AJ$5),'1994 E Maize Soil VWC'!$F$2:$F$5550)</f>
        <v>#N/A</v>
      </c>
      <c r="AK286" s="4" t="e" cm="1">
        <f t="array" ref="AK286">_xlfn.XLOOKUP(1,('1994 E Maize Soil VWC'!$C$2:$C$5550=$AA286)*('1994 E Maize Soil VWC'!$D$2:$D$5550=$AB286)*('1994 E Maize Soil VWC'!$E$2:$E$5550=AK$5),'1994 E Maize Soil VWC'!$F$2:$F$5550)</f>
        <v>#N/A</v>
      </c>
      <c r="AL286" s="4" t="e" cm="1">
        <f t="array" ref="AL286">_xlfn.XLOOKUP(1,('1994 E Maize Soil VWC'!$C$2:$C$5550=$AA286)*('1994 E Maize Soil VWC'!$D$2:$D$5550=$AB286)*('1994 E Maize Soil VWC'!$E$2:$E$5550=AL$5),'1994 E Maize Soil VWC'!$F$2:$F$5550)</f>
        <v>#N/A</v>
      </c>
      <c r="AM286" s="4" t="e" cm="1">
        <f t="array" ref="AM286">_xlfn.XLOOKUP(1,('1994 E Maize Soil VWC'!$C$2:$C$5550=$AA286)*('1994 E Maize Soil VWC'!$D$2:$D$5550=$AB286)*('1994 E Maize Soil VWC'!$E$2:$E$5550=AM$5),'1994 E Maize Soil VWC'!$F$2:$F$5550)</f>
        <v>#N/A</v>
      </c>
      <c r="AN286" s="4" t="e" cm="1">
        <f t="array" ref="AN286">_xlfn.XLOOKUP(1,('1994 E Maize Soil VWC'!$C$2:$C$5550=$AA286)*('1994 E Maize Soil VWC'!$D$2:$D$5550=$AB286)*('1994 E Maize Soil VWC'!$E$2:$E$5550=AN$5),'1994 E Maize Soil VWC'!$F$2:$F$5550)</f>
        <v>#N/A</v>
      </c>
    </row>
    <row r="287" spans="25:40" x14ac:dyDescent="0.25">
      <c r="AA287" s="19">
        <f t="shared" si="42"/>
        <v>34334</v>
      </c>
      <c r="AB287" s="4">
        <f t="shared" si="43"/>
        <v>170</v>
      </c>
      <c r="AC287" s="4" t="e" cm="1">
        <f t="array" ref="AC287">_xlfn.XLOOKUP(1,('1994 E Maize Soil VWC'!$C$2:$C$5550=$AA287)*('1994 E Maize Soil VWC'!$D$2:$D$5550=$AB287)*('1994 E Maize Soil VWC'!$E$2:$E$5550=AC$5),'1994 E Maize Soil VWC'!$F$2:$F$5550)</f>
        <v>#N/A</v>
      </c>
      <c r="AD287" s="4" t="e" cm="1">
        <f t="array" ref="AD287">_xlfn.XLOOKUP(1,('1994 E Maize Soil VWC'!$C$2:$C$5550=$AA287)*('1994 E Maize Soil VWC'!$D$2:$D$5550=$AB287)*('1994 E Maize Soil VWC'!$E$2:$E$5550=AD$5),'1994 E Maize Soil VWC'!$F$2:$F$5550)</f>
        <v>#N/A</v>
      </c>
      <c r="AE287" s="4" t="e" cm="1">
        <f t="array" ref="AE287">_xlfn.XLOOKUP(1,('1994 E Maize Soil VWC'!$C$2:$C$5550=$AA287)*('1994 E Maize Soil VWC'!$D$2:$D$5550=$AB287)*('1994 E Maize Soil VWC'!$E$2:$E$5550=AE$5),'1994 E Maize Soil VWC'!$F$2:$F$5550)</f>
        <v>#N/A</v>
      </c>
      <c r="AF287" s="4" t="e" cm="1">
        <f t="array" ref="AF287">_xlfn.XLOOKUP(1,('1994 E Maize Soil VWC'!$C$2:$C$5550=$AA287)*('1994 E Maize Soil VWC'!$D$2:$D$5550=$AB287)*('1994 E Maize Soil VWC'!$E$2:$E$5550=AF$5),'1994 E Maize Soil VWC'!$F$2:$F$5550)</f>
        <v>#N/A</v>
      </c>
      <c r="AG287" s="4" t="e" cm="1">
        <f t="array" ref="AG287">_xlfn.XLOOKUP(1,('1994 E Maize Soil VWC'!$C$2:$C$5550=$AA287)*('1994 E Maize Soil VWC'!$D$2:$D$5550=$AB287)*('1994 E Maize Soil VWC'!$E$2:$E$5550=AG$5),'1994 E Maize Soil VWC'!$F$2:$F$5550)</f>
        <v>#N/A</v>
      </c>
      <c r="AH287" s="4" t="e" cm="1">
        <f t="array" ref="AH287">_xlfn.XLOOKUP(1,('1994 E Maize Soil VWC'!$C$2:$C$5550=$AA287)*('1994 E Maize Soil VWC'!$D$2:$D$5550=$AB287)*('1994 E Maize Soil VWC'!$E$2:$E$5550=AH$5),'1994 E Maize Soil VWC'!$F$2:$F$5550)</f>
        <v>#N/A</v>
      </c>
      <c r="AI287" s="4" t="e" cm="1">
        <f t="array" ref="AI287">_xlfn.XLOOKUP(1,('1994 E Maize Soil VWC'!$C$2:$C$5550=$AA287)*('1994 E Maize Soil VWC'!$D$2:$D$5550=$AB287)*('1994 E Maize Soil VWC'!$E$2:$E$5550=AI$5),'1994 E Maize Soil VWC'!$F$2:$F$5550)</f>
        <v>#N/A</v>
      </c>
      <c r="AJ287" s="4" t="e" cm="1">
        <f t="array" ref="AJ287">_xlfn.XLOOKUP(1,('1994 E Maize Soil VWC'!$C$2:$C$5550=$AA287)*('1994 E Maize Soil VWC'!$D$2:$D$5550=$AB287)*('1994 E Maize Soil VWC'!$E$2:$E$5550=AJ$5),'1994 E Maize Soil VWC'!$F$2:$F$5550)</f>
        <v>#N/A</v>
      </c>
      <c r="AK287" s="4" t="e" cm="1">
        <f t="array" ref="AK287">_xlfn.XLOOKUP(1,('1994 E Maize Soil VWC'!$C$2:$C$5550=$AA287)*('1994 E Maize Soil VWC'!$D$2:$D$5550=$AB287)*('1994 E Maize Soil VWC'!$E$2:$E$5550=AK$5),'1994 E Maize Soil VWC'!$F$2:$F$5550)</f>
        <v>#N/A</v>
      </c>
      <c r="AL287" s="4" t="e" cm="1">
        <f t="array" ref="AL287">_xlfn.XLOOKUP(1,('1994 E Maize Soil VWC'!$C$2:$C$5550=$AA287)*('1994 E Maize Soil VWC'!$D$2:$D$5550=$AB287)*('1994 E Maize Soil VWC'!$E$2:$E$5550=AL$5),'1994 E Maize Soil VWC'!$F$2:$F$5550)</f>
        <v>#N/A</v>
      </c>
      <c r="AM287" s="4" t="e" cm="1">
        <f t="array" ref="AM287">_xlfn.XLOOKUP(1,('1994 E Maize Soil VWC'!$C$2:$C$5550=$AA287)*('1994 E Maize Soil VWC'!$D$2:$D$5550=$AB287)*('1994 E Maize Soil VWC'!$E$2:$E$5550=AM$5),'1994 E Maize Soil VWC'!$F$2:$F$5550)</f>
        <v>#N/A</v>
      </c>
      <c r="AN287" s="4" t="e" cm="1">
        <f t="array" ref="AN287">_xlfn.XLOOKUP(1,('1994 E Maize Soil VWC'!$C$2:$C$5550=$AA287)*('1994 E Maize Soil VWC'!$D$2:$D$5550=$AB287)*('1994 E Maize Soil VWC'!$E$2:$E$5550=AN$5),'1994 E Maize Soil VWC'!$F$2:$F$5550)</f>
        <v>#N/A</v>
      </c>
    </row>
    <row r="288" spans="25:40" x14ac:dyDescent="0.25">
      <c r="AA288" s="19">
        <f t="shared" si="42"/>
        <v>34334</v>
      </c>
      <c r="AB288" s="4">
        <f t="shared" si="43"/>
        <v>190</v>
      </c>
      <c r="AC288" s="4" t="e" cm="1">
        <f t="array" ref="AC288">_xlfn.XLOOKUP(1,('1994 E Maize Soil VWC'!$C$2:$C$5550=$AA288)*('1994 E Maize Soil VWC'!$D$2:$D$5550=$AB288)*('1994 E Maize Soil VWC'!$E$2:$E$5550=AC$5),'1994 E Maize Soil VWC'!$F$2:$F$5550)</f>
        <v>#N/A</v>
      </c>
      <c r="AD288" s="4" t="e" cm="1">
        <f t="array" ref="AD288">_xlfn.XLOOKUP(1,('1994 E Maize Soil VWC'!$C$2:$C$5550=$AA288)*('1994 E Maize Soil VWC'!$D$2:$D$5550=$AB288)*('1994 E Maize Soil VWC'!$E$2:$E$5550=AD$5),'1994 E Maize Soil VWC'!$F$2:$F$5550)</f>
        <v>#N/A</v>
      </c>
      <c r="AE288" s="4" t="e" cm="1">
        <f t="array" ref="AE288">_xlfn.XLOOKUP(1,('1994 E Maize Soil VWC'!$C$2:$C$5550=$AA288)*('1994 E Maize Soil VWC'!$D$2:$D$5550=$AB288)*('1994 E Maize Soil VWC'!$E$2:$E$5550=AE$5),'1994 E Maize Soil VWC'!$F$2:$F$5550)</f>
        <v>#N/A</v>
      </c>
      <c r="AF288" s="4" t="e" cm="1">
        <f t="array" ref="AF288">_xlfn.XLOOKUP(1,('1994 E Maize Soil VWC'!$C$2:$C$5550=$AA288)*('1994 E Maize Soil VWC'!$D$2:$D$5550=$AB288)*('1994 E Maize Soil VWC'!$E$2:$E$5550=AF$5),'1994 E Maize Soil VWC'!$F$2:$F$5550)</f>
        <v>#N/A</v>
      </c>
      <c r="AG288" s="4" t="e" cm="1">
        <f t="array" ref="AG288">_xlfn.XLOOKUP(1,('1994 E Maize Soil VWC'!$C$2:$C$5550=$AA288)*('1994 E Maize Soil VWC'!$D$2:$D$5550=$AB288)*('1994 E Maize Soil VWC'!$E$2:$E$5550=AG$5),'1994 E Maize Soil VWC'!$F$2:$F$5550)</f>
        <v>#N/A</v>
      </c>
      <c r="AH288" s="4" t="e" cm="1">
        <f t="array" ref="AH288">_xlfn.XLOOKUP(1,('1994 E Maize Soil VWC'!$C$2:$C$5550=$AA288)*('1994 E Maize Soil VWC'!$D$2:$D$5550=$AB288)*('1994 E Maize Soil VWC'!$E$2:$E$5550=AH$5),'1994 E Maize Soil VWC'!$F$2:$F$5550)</f>
        <v>#N/A</v>
      </c>
      <c r="AI288" s="4" t="e" cm="1">
        <f t="array" ref="AI288">_xlfn.XLOOKUP(1,('1994 E Maize Soil VWC'!$C$2:$C$5550=$AA288)*('1994 E Maize Soil VWC'!$D$2:$D$5550=$AB288)*('1994 E Maize Soil VWC'!$E$2:$E$5550=AI$5),'1994 E Maize Soil VWC'!$F$2:$F$5550)</f>
        <v>#N/A</v>
      </c>
      <c r="AJ288" s="4" t="e" cm="1">
        <f t="array" ref="AJ288">_xlfn.XLOOKUP(1,('1994 E Maize Soil VWC'!$C$2:$C$5550=$AA288)*('1994 E Maize Soil VWC'!$D$2:$D$5550=$AB288)*('1994 E Maize Soil VWC'!$E$2:$E$5550=AJ$5),'1994 E Maize Soil VWC'!$F$2:$F$5550)</f>
        <v>#N/A</v>
      </c>
      <c r="AK288" s="4" t="e" cm="1">
        <f t="array" ref="AK288">_xlfn.XLOOKUP(1,('1994 E Maize Soil VWC'!$C$2:$C$5550=$AA288)*('1994 E Maize Soil VWC'!$D$2:$D$5550=$AB288)*('1994 E Maize Soil VWC'!$E$2:$E$5550=AK$5),'1994 E Maize Soil VWC'!$F$2:$F$5550)</f>
        <v>#N/A</v>
      </c>
      <c r="AL288" s="4" t="e" cm="1">
        <f t="array" ref="AL288">_xlfn.XLOOKUP(1,('1994 E Maize Soil VWC'!$C$2:$C$5550=$AA288)*('1994 E Maize Soil VWC'!$D$2:$D$5550=$AB288)*('1994 E Maize Soil VWC'!$E$2:$E$5550=AL$5),'1994 E Maize Soil VWC'!$F$2:$F$5550)</f>
        <v>#N/A</v>
      </c>
      <c r="AM288" s="4" t="e" cm="1">
        <f t="array" ref="AM288">_xlfn.XLOOKUP(1,('1994 E Maize Soil VWC'!$C$2:$C$5550=$AA288)*('1994 E Maize Soil VWC'!$D$2:$D$5550=$AB288)*('1994 E Maize Soil VWC'!$E$2:$E$5550=AM$5),'1994 E Maize Soil VWC'!$F$2:$F$5550)</f>
        <v>#N/A</v>
      </c>
      <c r="AN288" s="4" t="e" cm="1">
        <f t="array" ref="AN288">_xlfn.XLOOKUP(1,('1994 E Maize Soil VWC'!$C$2:$C$5550=$AA288)*('1994 E Maize Soil VWC'!$D$2:$D$5550=$AB288)*('1994 E Maize Soil VWC'!$E$2:$E$5550=AN$5),'1994 E Maize Soil VWC'!$F$2:$F$5550)</f>
        <v>#N/A</v>
      </c>
    </row>
    <row r="289" spans="25:40" x14ac:dyDescent="0.25">
      <c r="AA289" s="19">
        <f t="shared" si="42"/>
        <v>34334</v>
      </c>
      <c r="AB289" s="4">
        <f t="shared" si="43"/>
        <v>210</v>
      </c>
      <c r="AC289" s="4" t="e" cm="1">
        <f t="array" ref="AC289">_xlfn.XLOOKUP(1,('1994 E Maize Soil VWC'!$C$2:$C$5550=$AA289)*('1994 E Maize Soil VWC'!$D$2:$D$5550=$AB289)*('1994 E Maize Soil VWC'!$E$2:$E$5550=AC$5),'1994 E Maize Soil VWC'!$F$2:$F$5550)</f>
        <v>#N/A</v>
      </c>
      <c r="AD289" s="4" t="e" cm="1">
        <f t="array" ref="AD289">_xlfn.XLOOKUP(1,('1994 E Maize Soil VWC'!$C$2:$C$5550=$AA289)*('1994 E Maize Soil VWC'!$D$2:$D$5550=$AB289)*('1994 E Maize Soil VWC'!$E$2:$E$5550=AD$5),'1994 E Maize Soil VWC'!$F$2:$F$5550)</f>
        <v>#N/A</v>
      </c>
      <c r="AE289" s="4" t="e" cm="1">
        <f t="array" ref="AE289">_xlfn.XLOOKUP(1,('1994 E Maize Soil VWC'!$C$2:$C$5550=$AA289)*('1994 E Maize Soil VWC'!$D$2:$D$5550=$AB289)*('1994 E Maize Soil VWC'!$E$2:$E$5550=AE$5),'1994 E Maize Soil VWC'!$F$2:$F$5550)</f>
        <v>#N/A</v>
      </c>
      <c r="AF289" s="4" t="e" cm="1">
        <f t="array" ref="AF289">_xlfn.XLOOKUP(1,('1994 E Maize Soil VWC'!$C$2:$C$5550=$AA289)*('1994 E Maize Soil VWC'!$D$2:$D$5550=$AB289)*('1994 E Maize Soil VWC'!$E$2:$E$5550=AF$5),'1994 E Maize Soil VWC'!$F$2:$F$5550)</f>
        <v>#N/A</v>
      </c>
      <c r="AG289" s="4" t="e" cm="1">
        <f t="array" ref="AG289">_xlfn.XLOOKUP(1,('1994 E Maize Soil VWC'!$C$2:$C$5550=$AA289)*('1994 E Maize Soil VWC'!$D$2:$D$5550=$AB289)*('1994 E Maize Soil VWC'!$E$2:$E$5550=AG$5),'1994 E Maize Soil VWC'!$F$2:$F$5550)</f>
        <v>#N/A</v>
      </c>
      <c r="AH289" s="4" t="e" cm="1">
        <f t="array" ref="AH289">_xlfn.XLOOKUP(1,('1994 E Maize Soil VWC'!$C$2:$C$5550=$AA289)*('1994 E Maize Soil VWC'!$D$2:$D$5550=$AB289)*('1994 E Maize Soil VWC'!$E$2:$E$5550=AH$5),'1994 E Maize Soil VWC'!$F$2:$F$5550)</f>
        <v>#N/A</v>
      </c>
      <c r="AI289" s="4" t="e" cm="1">
        <f t="array" ref="AI289">_xlfn.XLOOKUP(1,('1994 E Maize Soil VWC'!$C$2:$C$5550=$AA289)*('1994 E Maize Soil VWC'!$D$2:$D$5550=$AB289)*('1994 E Maize Soil VWC'!$E$2:$E$5550=AI$5),'1994 E Maize Soil VWC'!$F$2:$F$5550)</f>
        <v>#N/A</v>
      </c>
      <c r="AJ289" s="4" t="e" cm="1">
        <f t="array" ref="AJ289">_xlfn.XLOOKUP(1,('1994 E Maize Soil VWC'!$C$2:$C$5550=$AA289)*('1994 E Maize Soil VWC'!$D$2:$D$5550=$AB289)*('1994 E Maize Soil VWC'!$E$2:$E$5550=AJ$5),'1994 E Maize Soil VWC'!$F$2:$F$5550)</f>
        <v>#N/A</v>
      </c>
      <c r="AK289" s="4" t="e" cm="1">
        <f t="array" ref="AK289">_xlfn.XLOOKUP(1,('1994 E Maize Soil VWC'!$C$2:$C$5550=$AA289)*('1994 E Maize Soil VWC'!$D$2:$D$5550=$AB289)*('1994 E Maize Soil VWC'!$E$2:$E$5550=AK$5),'1994 E Maize Soil VWC'!$F$2:$F$5550)</f>
        <v>#N/A</v>
      </c>
      <c r="AL289" s="4" t="e" cm="1">
        <f t="array" ref="AL289">_xlfn.XLOOKUP(1,('1994 E Maize Soil VWC'!$C$2:$C$5550=$AA289)*('1994 E Maize Soil VWC'!$D$2:$D$5550=$AB289)*('1994 E Maize Soil VWC'!$E$2:$E$5550=AL$5),'1994 E Maize Soil VWC'!$F$2:$F$5550)</f>
        <v>#N/A</v>
      </c>
      <c r="AM289" s="4" t="e" cm="1">
        <f t="array" ref="AM289">_xlfn.XLOOKUP(1,('1994 E Maize Soil VWC'!$C$2:$C$5550=$AA289)*('1994 E Maize Soil VWC'!$D$2:$D$5550=$AB289)*('1994 E Maize Soil VWC'!$E$2:$E$5550=AM$5),'1994 E Maize Soil VWC'!$F$2:$F$5550)</f>
        <v>#N/A</v>
      </c>
      <c r="AN289" s="4" t="e" cm="1">
        <f t="array" ref="AN289">_xlfn.XLOOKUP(1,('1994 E Maize Soil VWC'!$C$2:$C$5550=$AA289)*('1994 E Maize Soil VWC'!$D$2:$D$5550=$AB289)*('1994 E Maize Soil VWC'!$E$2:$E$5550=AN$5),'1994 E Maize Soil VWC'!$F$2:$F$5550)</f>
        <v>#N/A</v>
      </c>
    </row>
    <row r="290" spans="25:40" x14ac:dyDescent="0.25">
      <c r="AA290" s="19">
        <f t="shared" si="42"/>
        <v>34334</v>
      </c>
      <c r="AB290" s="4">
        <f t="shared" si="43"/>
        <v>230</v>
      </c>
      <c r="AC290" s="4" t="e" cm="1">
        <f t="array" ref="AC290">_xlfn.XLOOKUP(1,('1994 E Maize Soil VWC'!$C$2:$C$5550=$AA290)*('1994 E Maize Soil VWC'!$D$2:$D$5550=$AB290)*('1994 E Maize Soil VWC'!$E$2:$E$5550=AC$5),'1994 E Maize Soil VWC'!$F$2:$F$5550)</f>
        <v>#N/A</v>
      </c>
      <c r="AD290" s="4" t="e" cm="1">
        <f t="array" ref="AD290">_xlfn.XLOOKUP(1,('1994 E Maize Soil VWC'!$C$2:$C$5550=$AA290)*('1994 E Maize Soil VWC'!$D$2:$D$5550=$AB290)*('1994 E Maize Soil VWC'!$E$2:$E$5550=AD$5),'1994 E Maize Soil VWC'!$F$2:$F$5550)</f>
        <v>#N/A</v>
      </c>
      <c r="AE290" s="4" t="e" cm="1">
        <f t="array" ref="AE290">_xlfn.XLOOKUP(1,('1994 E Maize Soil VWC'!$C$2:$C$5550=$AA290)*('1994 E Maize Soil VWC'!$D$2:$D$5550=$AB290)*('1994 E Maize Soil VWC'!$E$2:$E$5550=AE$5),'1994 E Maize Soil VWC'!$F$2:$F$5550)</f>
        <v>#N/A</v>
      </c>
      <c r="AF290" s="4" t="e" cm="1">
        <f t="array" ref="AF290">_xlfn.XLOOKUP(1,('1994 E Maize Soil VWC'!$C$2:$C$5550=$AA290)*('1994 E Maize Soil VWC'!$D$2:$D$5550=$AB290)*('1994 E Maize Soil VWC'!$E$2:$E$5550=AF$5),'1994 E Maize Soil VWC'!$F$2:$F$5550)</f>
        <v>#N/A</v>
      </c>
      <c r="AG290" s="4" t="e" cm="1">
        <f t="array" ref="AG290">_xlfn.XLOOKUP(1,('1994 E Maize Soil VWC'!$C$2:$C$5550=$AA290)*('1994 E Maize Soil VWC'!$D$2:$D$5550=$AB290)*('1994 E Maize Soil VWC'!$E$2:$E$5550=AG$5),'1994 E Maize Soil VWC'!$F$2:$F$5550)</f>
        <v>#N/A</v>
      </c>
      <c r="AH290" s="4" t="e" cm="1">
        <f t="array" ref="AH290">_xlfn.XLOOKUP(1,('1994 E Maize Soil VWC'!$C$2:$C$5550=$AA290)*('1994 E Maize Soil VWC'!$D$2:$D$5550=$AB290)*('1994 E Maize Soil VWC'!$E$2:$E$5550=AH$5),'1994 E Maize Soil VWC'!$F$2:$F$5550)</f>
        <v>#N/A</v>
      </c>
      <c r="AI290" s="4" t="e" cm="1">
        <f t="array" ref="AI290">_xlfn.XLOOKUP(1,('1994 E Maize Soil VWC'!$C$2:$C$5550=$AA290)*('1994 E Maize Soil VWC'!$D$2:$D$5550=$AB290)*('1994 E Maize Soil VWC'!$E$2:$E$5550=AI$5),'1994 E Maize Soil VWC'!$F$2:$F$5550)</f>
        <v>#N/A</v>
      </c>
      <c r="AJ290" s="4" t="e" cm="1">
        <f t="array" ref="AJ290">_xlfn.XLOOKUP(1,('1994 E Maize Soil VWC'!$C$2:$C$5550=$AA290)*('1994 E Maize Soil VWC'!$D$2:$D$5550=$AB290)*('1994 E Maize Soil VWC'!$E$2:$E$5550=AJ$5),'1994 E Maize Soil VWC'!$F$2:$F$5550)</f>
        <v>#N/A</v>
      </c>
      <c r="AK290" s="4" t="e" cm="1">
        <f t="array" ref="AK290">_xlfn.XLOOKUP(1,('1994 E Maize Soil VWC'!$C$2:$C$5550=$AA290)*('1994 E Maize Soil VWC'!$D$2:$D$5550=$AB290)*('1994 E Maize Soil VWC'!$E$2:$E$5550=AK$5),'1994 E Maize Soil VWC'!$F$2:$F$5550)</f>
        <v>#N/A</v>
      </c>
      <c r="AL290" s="4" t="e" cm="1">
        <f t="array" ref="AL290">_xlfn.XLOOKUP(1,('1994 E Maize Soil VWC'!$C$2:$C$5550=$AA290)*('1994 E Maize Soil VWC'!$D$2:$D$5550=$AB290)*('1994 E Maize Soil VWC'!$E$2:$E$5550=AL$5),'1994 E Maize Soil VWC'!$F$2:$F$5550)</f>
        <v>#N/A</v>
      </c>
      <c r="AM290" s="4" t="e" cm="1">
        <f t="array" ref="AM290">_xlfn.XLOOKUP(1,('1994 E Maize Soil VWC'!$C$2:$C$5550=$AA290)*('1994 E Maize Soil VWC'!$D$2:$D$5550=$AB290)*('1994 E Maize Soil VWC'!$E$2:$E$5550=AM$5),'1994 E Maize Soil VWC'!$F$2:$F$5550)</f>
        <v>#N/A</v>
      </c>
      <c r="AN290" s="4" t="e" cm="1">
        <f t="array" ref="AN290">_xlfn.XLOOKUP(1,('1994 E Maize Soil VWC'!$C$2:$C$5550=$AA290)*('1994 E Maize Soil VWC'!$D$2:$D$5550=$AB290)*('1994 E Maize Soil VWC'!$E$2:$E$5550=AN$5),'1994 E Maize Soil VWC'!$F$2:$F$5550)</f>
        <v>#N/A</v>
      </c>
    </row>
    <row r="292" spans="25:40" x14ac:dyDescent="0.25">
      <c r="Y292" s="4">
        <f>Y279</f>
        <v>1994</v>
      </c>
      <c r="Z292" s="4">
        <v>0</v>
      </c>
      <c r="AA292" s="19">
        <f>DATE(Y292,1,Z292)</f>
        <v>34334</v>
      </c>
      <c r="AB292" s="4">
        <v>10</v>
      </c>
      <c r="AC292" s="4" t="e" cm="1">
        <f t="array" ref="AC292">_xlfn.XLOOKUP(1,('1994 E Maize Soil VWC'!$C$2:$C$5550=$AA292)*('1994 E Maize Soil VWC'!$D$2:$D$5550=$AB292)*('1994 E Maize Soil VWC'!$E$2:$E$5550=AC$5),'1994 E Maize Soil VWC'!$F$2:$F$5550)</f>
        <v>#N/A</v>
      </c>
      <c r="AD292" s="4" t="e" cm="1">
        <f t="array" ref="AD292">_xlfn.XLOOKUP(1,('1994 E Maize Soil VWC'!$C$2:$C$5550=$AA292)*('1994 E Maize Soil VWC'!$D$2:$D$5550=$AB292)*('1994 E Maize Soil VWC'!$E$2:$E$5550=AD$5),'1994 E Maize Soil VWC'!$F$2:$F$5550)</f>
        <v>#N/A</v>
      </c>
      <c r="AE292" s="4" t="e" cm="1">
        <f t="array" ref="AE292">_xlfn.XLOOKUP(1,('1994 E Maize Soil VWC'!$C$2:$C$5550=$AA292)*('1994 E Maize Soil VWC'!$D$2:$D$5550=$AB292)*('1994 E Maize Soil VWC'!$E$2:$E$5550=AE$5),'1994 E Maize Soil VWC'!$F$2:$F$5550)</f>
        <v>#N/A</v>
      </c>
      <c r="AF292" s="4" t="e" cm="1">
        <f t="array" ref="AF292">_xlfn.XLOOKUP(1,('1994 E Maize Soil VWC'!$C$2:$C$5550=$AA292)*('1994 E Maize Soil VWC'!$D$2:$D$5550=$AB292)*('1994 E Maize Soil VWC'!$E$2:$E$5550=AF$5),'1994 E Maize Soil VWC'!$F$2:$F$5550)</f>
        <v>#N/A</v>
      </c>
      <c r="AG292" s="4" t="e" cm="1">
        <f t="array" ref="AG292">_xlfn.XLOOKUP(1,('1994 E Maize Soil VWC'!$C$2:$C$5550=$AA292)*('1994 E Maize Soil VWC'!$D$2:$D$5550=$AB292)*('1994 E Maize Soil VWC'!$E$2:$E$5550=AG$5),'1994 E Maize Soil VWC'!$F$2:$F$5550)</f>
        <v>#N/A</v>
      </c>
      <c r="AH292" s="4" t="e" cm="1">
        <f t="array" ref="AH292">_xlfn.XLOOKUP(1,('1994 E Maize Soil VWC'!$C$2:$C$5550=$AA292)*('1994 E Maize Soil VWC'!$D$2:$D$5550=$AB292)*('1994 E Maize Soil VWC'!$E$2:$E$5550=AH$5),'1994 E Maize Soil VWC'!$F$2:$F$5550)</f>
        <v>#N/A</v>
      </c>
      <c r="AI292" s="4" t="e" cm="1">
        <f t="array" ref="AI292">_xlfn.XLOOKUP(1,('1994 E Maize Soil VWC'!$C$2:$C$5550=$AA292)*('1994 E Maize Soil VWC'!$D$2:$D$5550=$AB292)*('1994 E Maize Soil VWC'!$E$2:$E$5550=AI$5),'1994 E Maize Soil VWC'!$F$2:$F$5550)</f>
        <v>#N/A</v>
      </c>
      <c r="AJ292" s="4" t="e" cm="1">
        <f t="array" ref="AJ292">_xlfn.XLOOKUP(1,('1994 E Maize Soil VWC'!$C$2:$C$5550=$AA292)*('1994 E Maize Soil VWC'!$D$2:$D$5550=$AB292)*('1994 E Maize Soil VWC'!$E$2:$E$5550=AJ$5),'1994 E Maize Soil VWC'!$F$2:$F$5550)</f>
        <v>#N/A</v>
      </c>
      <c r="AK292" s="4" t="e" cm="1">
        <f t="array" ref="AK292">_xlfn.XLOOKUP(1,('1994 E Maize Soil VWC'!$C$2:$C$5550=$AA292)*('1994 E Maize Soil VWC'!$D$2:$D$5550=$AB292)*('1994 E Maize Soil VWC'!$E$2:$E$5550=AK$5),'1994 E Maize Soil VWC'!$F$2:$F$5550)</f>
        <v>#N/A</v>
      </c>
      <c r="AL292" s="4" t="e" cm="1">
        <f t="array" ref="AL292">_xlfn.XLOOKUP(1,('1994 E Maize Soil VWC'!$C$2:$C$5550=$AA292)*('1994 E Maize Soil VWC'!$D$2:$D$5550=$AB292)*('1994 E Maize Soil VWC'!$E$2:$E$5550=AL$5),'1994 E Maize Soil VWC'!$F$2:$F$5550)</f>
        <v>#N/A</v>
      </c>
      <c r="AM292" s="4" t="e" cm="1">
        <f t="array" ref="AM292">_xlfn.XLOOKUP(1,('1994 E Maize Soil VWC'!$C$2:$C$5550=$AA292)*('1994 E Maize Soil VWC'!$D$2:$D$5550=$AB292)*('1994 E Maize Soil VWC'!$E$2:$E$5550=AM$5),'1994 E Maize Soil VWC'!$F$2:$F$5550)</f>
        <v>#N/A</v>
      </c>
      <c r="AN292" s="4" t="e" cm="1">
        <f t="array" ref="AN292">_xlfn.XLOOKUP(1,('1994 E Maize Soil VWC'!$C$2:$C$5550=$AA292)*('1994 E Maize Soil VWC'!$D$2:$D$5550=$AB292)*('1994 E Maize Soil VWC'!$E$2:$E$5550=AN$5),'1994 E Maize Soil VWC'!$F$2:$F$5550)</f>
        <v>#N/A</v>
      </c>
    </row>
    <row r="293" spans="25:40" x14ac:dyDescent="0.25">
      <c r="AA293" s="19">
        <f t="shared" ref="AA293:AA303" si="44">AA292</f>
        <v>34334</v>
      </c>
      <c r="AB293" s="4">
        <f t="shared" ref="AB293:AB303" si="45">AB292+20</f>
        <v>30</v>
      </c>
      <c r="AC293" s="4" t="e" cm="1">
        <f t="array" ref="AC293">_xlfn.XLOOKUP(1,('1994 E Maize Soil VWC'!$C$2:$C$5550=$AA293)*('1994 E Maize Soil VWC'!$D$2:$D$5550=$AB293)*('1994 E Maize Soil VWC'!$E$2:$E$5550=AC$5),'1994 E Maize Soil VWC'!$F$2:$F$5550)</f>
        <v>#N/A</v>
      </c>
      <c r="AD293" s="4" t="e" cm="1">
        <f t="array" ref="AD293">_xlfn.XLOOKUP(1,('1994 E Maize Soil VWC'!$C$2:$C$5550=$AA293)*('1994 E Maize Soil VWC'!$D$2:$D$5550=$AB293)*('1994 E Maize Soil VWC'!$E$2:$E$5550=AD$5),'1994 E Maize Soil VWC'!$F$2:$F$5550)</f>
        <v>#N/A</v>
      </c>
      <c r="AE293" s="4" t="e" cm="1">
        <f t="array" ref="AE293">_xlfn.XLOOKUP(1,('1994 E Maize Soil VWC'!$C$2:$C$5550=$AA293)*('1994 E Maize Soil VWC'!$D$2:$D$5550=$AB293)*('1994 E Maize Soil VWC'!$E$2:$E$5550=AE$5),'1994 E Maize Soil VWC'!$F$2:$F$5550)</f>
        <v>#N/A</v>
      </c>
      <c r="AF293" s="4" t="e" cm="1">
        <f t="array" ref="AF293">_xlfn.XLOOKUP(1,('1994 E Maize Soil VWC'!$C$2:$C$5550=$AA293)*('1994 E Maize Soil VWC'!$D$2:$D$5550=$AB293)*('1994 E Maize Soil VWC'!$E$2:$E$5550=AF$5),'1994 E Maize Soil VWC'!$F$2:$F$5550)</f>
        <v>#N/A</v>
      </c>
      <c r="AG293" s="4" t="e" cm="1">
        <f t="array" ref="AG293">_xlfn.XLOOKUP(1,('1994 E Maize Soil VWC'!$C$2:$C$5550=$AA293)*('1994 E Maize Soil VWC'!$D$2:$D$5550=$AB293)*('1994 E Maize Soil VWC'!$E$2:$E$5550=AG$5),'1994 E Maize Soil VWC'!$F$2:$F$5550)</f>
        <v>#N/A</v>
      </c>
      <c r="AH293" s="4" t="e" cm="1">
        <f t="array" ref="AH293">_xlfn.XLOOKUP(1,('1994 E Maize Soil VWC'!$C$2:$C$5550=$AA293)*('1994 E Maize Soil VWC'!$D$2:$D$5550=$AB293)*('1994 E Maize Soil VWC'!$E$2:$E$5550=AH$5),'1994 E Maize Soil VWC'!$F$2:$F$5550)</f>
        <v>#N/A</v>
      </c>
      <c r="AI293" s="4" t="e" cm="1">
        <f t="array" ref="AI293">_xlfn.XLOOKUP(1,('1994 E Maize Soil VWC'!$C$2:$C$5550=$AA293)*('1994 E Maize Soil VWC'!$D$2:$D$5550=$AB293)*('1994 E Maize Soil VWC'!$E$2:$E$5550=AI$5),'1994 E Maize Soil VWC'!$F$2:$F$5550)</f>
        <v>#N/A</v>
      </c>
      <c r="AJ293" s="4" t="e" cm="1">
        <f t="array" ref="AJ293">_xlfn.XLOOKUP(1,('1994 E Maize Soil VWC'!$C$2:$C$5550=$AA293)*('1994 E Maize Soil VWC'!$D$2:$D$5550=$AB293)*('1994 E Maize Soil VWC'!$E$2:$E$5550=AJ$5),'1994 E Maize Soil VWC'!$F$2:$F$5550)</f>
        <v>#N/A</v>
      </c>
      <c r="AK293" s="4" t="e" cm="1">
        <f t="array" ref="AK293">_xlfn.XLOOKUP(1,('1994 E Maize Soil VWC'!$C$2:$C$5550=$AA293)*('1994 E Maize Soil VWC'!$D$2:$D$5550=$AB293)*('1994 E Maize Soil VWC'!$E$2:$E$5550=AK$5),'1994 E Maize Soil VWC'!$F$2:$F$5550)</f>
        <v>#N/A</v>
      </c>
      <c r="AL293" s="4" t="e" cm="1">
        <f t="array" ref="AL293">_xlfn.XLOOKUP(1,('1994 E Maize Soil VWC'!$C$2:$C$5550=$AA293)*('1994 E Maize Soil VWC'!$D$2:$D$5550=$AB293)*('1994 E Maize Soil VWC'!$E$2:$E$5550=AL$5),'1994 E Maize Soil VWC'!$F$2:$F$5550)</f>
        <v>#N/A</v>
      </c>
      <c r="AM293" s="4" t="e" cm="1">
        <f t="array" ref="AM293">_xlfn.XLOOKUP(1,('1994 E Maize Soil VWC'!$C$2:$C$5550=$AA293)*('1994 E Maize Soil VWC'!$D$2:$D$5550=$AB293)*('1994 E Maize Soil VWC'!$E$2:$E$5550=AM$5),'1994 E Maize Soil VWC'!$F$2:$F$5550)</f>
        <v>#N/A</v>
      </c>
      <c r="AN293" s="4" t="e" cm="1">
        <f t="array" ref="AN293">_xlfn.XLOOKUP(1,('1994 E Maize Soil VWC'!$C$2:$C$5550=$AA293)*('1994 E Maize Soil VWC'!$D$2:$D$5550=$AB293)*('1994 E Maize Soil VWC'!$E$2:$E$5550=AN$5),'1994 E Maize Soil VWC'!$F$2:$F$5550)</f>
        <v>#N/A</v>
      </c>
    </row>
    <row r="294" spans="25:40" x14ac:dyDescent="0.25">
      <c r="AA294" s="19">
        <f t="shared" si="44"/>
        <v>34334</v>
      </c>
      <c r="AB294" s="4">
        <f t="shared" si="45"/>
        <v>50</v>
      </c>
      <c r="AC294" s="4" t="e" cm="1">
        <f t="array" ref="AC294">_xlfn.XLOOKUP(1,('1994 E Maize Soil VWC'!$C$2:$C$5550=$AA294)*('1994 E Maize Soil VWC'!$D$2:$D$5550=$AB294)*('1994 E Maize Soil VWC'!$E$2:$E$5550=AC$5),'1994 E Maize Soil VWC'!$F$2:$F$5550)</f>
        <v>#N/A</v>
      </c>
      <c r="AD294" s="4" t="e" cm="1">
        <f t="array" ref="AD294">_xlfn.XLOOKUP(1,('1994 E Maize Soil VWC'!$C$2:$C$5550=$AA294)*('1994 E Maize Soil VWC'!$D$2:$D$5550=$AB294)*('1994 E Maize Soil VWC'!$E$2:$E$5550=AD$5),'1994 E Maize Soil VWC'!$F$2:$F$5550)</f>
        <v>#N/A</v>
      </c>
      <c r="AE294" s="4" t="e" cm="1">
        <f t="array" ref="AE294">_xlfn.XLOOKUP(1,('1994 E Maize Soil VWC'!$C$2:$C$5550=$AA294)*('1994 E Maize Soil VWC'!$D$2:$D$5550=$AB294)*('1994 E Maize Soil VWC'!$E$2:$E$5550=AE$5),'1994 E Maize Soil VWC'!$F$2:$F$5550)</f>
        <v>#N/A</v>
      </c>
      <c r="AF294" s="4" t="e" cm="1">
        <f t="array" ref="AF294">_xlfn.XLOOKUP(1,('1994 E Maize Soil VWC'!$C$2:$C$5550=$AA294)*('1994 E Maize Soil VWC'!$D$2:$D$5550=$AB294)*('1994 E Maize Soil VWC'!$E$2:$E$5550=AF$5),'1994 E Maize Soil VWC'!$F$2:$F$5550)</f>
        <v>#N/A</v>
      </c>
      <c r="AG294" s="4" t="e" cm="1">
        <f t="array" ref="AG294">_xlfn.XLOOKUP(1,('1994 E Maize Soil VWC'!$C$2:$C$5550=$AA294)*('1994 E Maize Soil VWC'!$D$2:$D$5550=$AB294)*('1994 E Maize Soil VWC'!$E$2:$E$5550=AG$5),'1994 E Maize Soil VWC'!$F$2:$F$5550)</f>
        <v>#N/A</v>
      </c>
      <c r="AH294" s="4" t="e" cm="1">
        <f t="array" ref="AH294">_xlfn.XLOOKUP(1,('1994 E Maize Soil VWC'!$C$2:$C$5550=$AA294)*('1994 E Maize Soil VWC'!$D$2:$D$5550=$AB294)*('1994 E Maize Soil VWC'!$E$2:$E$5550=AH$5),'1994 E Maize Soil VWC'!$F$2:$F$5550)</f>
        <v>#N/A</v>
      </c>
      <c r="AI294" s="4" t="e" cm="1">
        <f t="array" ref="AI294">_xlfn.XLOOKUP(1,('1994 E Maize Soil VWC'!$C$2:$C$5550=$AA294)*('1994 E Maize Soil VWC'!$D$2:$D$5550=$AB294)*('1994 E Maize Soil VWC'!$E$2:$E$5550=AI$5),'1994 E Maize Soil VWC'!$F$2:$F$5550)</f>
        <v>#N/A</v>
      </c>
      <c r="AJ294" s="4" t="e" cm="1">
        <f t="array" ref="AJ294">_xlfn.XLOOKUP(1,('1994 E Maize Soil VWC'!$C$2:$C$5550=$AA294)*('1994 E Maize Soil VWC'!$D$2:$D$5550=$AB294)*('1994 E Maize Soil VWC'!$E$2:$E$5550=AJ$5),'1994 E Maize Soil VWC'!$F$2:$F$5550)</f>
        <v>#N/A</v>
      </c>
      <c r="AK294" s="4" t="e" cm="1">
        <f t="array" ref="AK294">_xlfn.XLOOKUP(1,('1994 E Maize Soil VWC'!$C$2:$C$5550=$AA294)*('1994 E Maize Soil VWC'!$D$2:$D$5550=$AB294)*('1994 E Maize Soil VWC'!$E$2:$E$5550=AK$5),'1994 E Maize Soil VWC'!$F$2:$F$5550)</f>
        <v>#N/A</v>
      </c>
      <c r="AL294" s="4" t="e" cm="1">
        <f t="array" ref="AL294">_xlfn.XLOOKUP(1,('1994 E Maize Soil VWC'!$C$2:$C$5550=$AA294)*('1994 E Maize Soil VWC'!$D$2:$D$5550=$AB294)*('1994 E Maize Soil VWC'!$E$2:$E$5550=AL$5),'1994 E Maize Soil VWC'!$F$2:$F$5550)</f>
        <v>#N/A</v>
      </c>
      <c r="AM294" s="4" t="e" cm="1">
        <f t="array" ref="AM294">_xlfn.XLOOKUP(1,('1994 E Maize Soil VWC'!$C$2:$C$5550=$AA294)*('1994 E Maize Soil VWC'!$D$2:$D$5550=$AB294)*('1994 E Maize Soil VWC'!$E$2:$E$5550=AM$5),'1994 E Maize Soil VWC'!$F$2:$F$5550)</f>
        <v>#N/A</v>
      </c>
      <c r="AN294" s="4" t="e" cm="1">
        <f t="array" ref="AN294">_xlfn.XLOOKUP(1,('1994 E Maize Soil VWC'!$C$2:$C$5550=$AA294)*('1994 E Maize Soil VWC'!$D$2:$D$5550=$AB294)*('1994 E Maize Soil VWC'!$E$2:$E$5550=AN$5),'1994 E Maize Soil VWC'!$F$2:$F$5550)</f>
        <v>#N/A</v>
      </c>
    </row>
    <row r="295" spans="25:40" x14ac:dyDescent="0.25">
      <c r="AA295" s="19">
        <f t="shared" si="44"/>
        <v>34334</v>
      </c>
      <c r="AB295" s="4">
        <f t="shared" si="45"/>
        <v>70</v>
      </c>
      <c r="AC295" s="4" t="e" cm="1">
        <f t="array" ref="AC295">_xlfn.XLOOKUP(1,('1994 E Maize Soil VWC'!$C$2:$C$5550=$AA295)*('1994 E Maize Soil VWC'!$D$2:$D$5550=$AB295)*('1994 E Maize Soil VWC'!$E$2:$E$5550=AC$5),'1994 E Maize Soil VWC'!$F$2:$F$5550)</f>
        <v>#N/A</v>
      </c>
      <c r="AD295" s="4" t="e" cm="1">
        <f t="array" ref="AD295">_xlfn.XLOOKUP(1,('1994 E Maize Soil VWC'!$C$2:$C$5550=$AA295)*('1994 E Maize Soil VWC'!$D$2:$D$5550=$AB295)*('1994 E Maize Soil VWC'!$E$2:$E$5550=AD$5),'1994 E Maize Soil VWC'!$F$2:$F$5550)</f>
        <v>#N/A</v>
      </c>
      <c r="AE295" s="4" t="e" cm="1">
        <f t="array" ref="AE295">_xlfn.XLOOKUP(1,('1994 E Maize Soil VWC'!$C$2:$C$5550=$AA295)*('1994 E Maize Soil VWC'!$D$2:$D$5550=$AB295)*('1994 E Maize Soil VWC'!$E$2:$E$5550=AE$5),'1994 E Maize Soil VWC'!$F$2:$F$5550)</f>
        <v>#N/A</v>
      </c>
      <c r="AF295" s="4" t="e" cm="1">
        <f t="array" ref="AF295">_xlfn.XLOOKUP(1,('1994 E Maize Soil VWC'!$C$2:$C$5550=$AA295)*('1994 E Maize Soil VWC'!$D$2:$D$5550=$AB295)*('1994 E Maize Soil VWC'!$E$2:$E$5550=AF$5),'1994 E Maize Soil VWC'!$F$2:$F$5550)</f>
        <v>#N/A</v>
      </c>
      <c r="AG295" s="4" t="e" cm="1">
        <f t="array" ref="AG295">_xlfn.XLOOKUP(1,('1994 E Maize Soil VWC'!$C$2:$C$5550=$AA295)*('1994 E Maize Soil VWC'!$D$2:$D$5550=$AB295)*('1994 E Maize Soil VWC'!$E$2:$E$5550=AG$5),'1994 E Maize Soil VWC'!$F$2:$F$5550)</f>
        <v>#N/A</v>
      </c>
      <c r="AH295" s="4" t="e" cm="1">
        <f t="array" ref="AH295">_xlfn.XLOOKUP(1,('1994 E Maize Soil VWC'!$C$2:$C$5550=$AA295)*('1994 E Maize Soil VWC'!$D$2:$D$5550=$AB295)*('1994 E Maize Soil VWC'!$E$2:$E$5550=AH$5),'1994 E Maize Soil VWC'!$F$2:$F$5550)</f>
        <v>#N/A</v>
      </c>
      <c r="AI295" s="4" t="e" cm="1">
        <f t="array" ref="AI295">_xlfn.XLOOKUP(1,('1994 E Maize Soil VWC'!$C$2:$C$5550=$AA295)*('1994 E Maize Soil VWC'!$D$2:$D$5550=$AB295)*('1994 E Maize Soil VWC'!$E$2:$E$5550=AI$5),'1994 E Maize Soil VWC'!$F$2:$F$5550)</f>
        <v>#N/A</v>
      </c>
      <c r="AJ295" s="4" t="e" cm="1">
        <f t="array" ref="AJ295">_xlfn.XLOOKUP(1,('1994 E Maize Soil VWC'!$C$2:$C$5550=$AA295)*('1994 E Maize Soil VWC'!$D$2:$D$5550=$AB295)*('1994 E Maize Soil VWC'!$E$2:$E$5550=AJ$5),'1994 E Maize Soil VWC'!$F$2:$F$5550)</f>
        <v>#N/A</v>
      </c>
      <c r="AK295" s="4" t="e" cm="1">
        <f t="array" ref="AK295">_xlfn.XLOOKUP(1,('1994 E Maize Soil VWC'!$C$2:$C$5550=$AA295)*('1994 E Maize Soil VWC'!$D$2:$D$5550=$AB295)*('1994 E Maize Soil VWC'!$E$2:$E$5550=AK$5),'1994 E Maize Soil VWC'!$F$2:$F$5550)</f>
        <v>#N/A</v>
      </c>
      <c r="AL295" s="4" t="e" cm="1">
        <f t="array" ref="AL295">_xlfn.XLOOKUP(1,('1994 E Maize Soil VWC'!$C$2:$C$5550=$AA295)*('1994 E Maize Soil VWC'!$D$2:$D$5550=$AB295)*('1994 E Maize Soil VWC'!$E$2:$E$5550=AL$5),'1994 E Maize Soil VWC'!$F$2:$F$5550)</f>
        <v>#N/A</v>
      </c>
      <c r="AM295" s="4" t="e" cm="1">
        <f t="array" ref="AM295">_xlfn.XLOOKUP(1,('1994 E Maize Soil VWC'!$C$2:$C$5550=$AA295)*('1994 E Maize Soil VWC'!$D$2:$D$5550=$AB295)*('1994 E Maize Soil VWC'!$E$2:$E$5550=AM$5),'1994 E Maize Soil VWC'!$F$2:$F$5550)</f>
        <v>#N/A</v>
      </c>
      <c r="AN295" s="4" t="e" cm="1">
        <f t="array" ref="AN295">_xlfn.XLOOKUP(1,('1994 E Maize Soil VWC'!$C$2:$C$5550=$AA295)*('1994 E Maize Soil VWC'!$D$2:$D$5550=$AB295)*('1994 E Maize Soil VWC'!$E$2:$E$5550=AN$5),'1994 E Maize Soil VWC'!$F$2:$F$5550)</f>
        <v>#N/A</v>
      </c>
    </row>
    <row r="296" spans="25:40" x14ac:dyDescent="0.25">
      <c r="AA296" s="19">
        <f t="shared" si="44"/>
        <v>34334</v>
      </c>
      <c r="AB296" s="4">
        <f t="shared" si="45"/>
        <v>90</v>
      </c>
      <c r="AC296" s="4" t="e" cm="1">
        <f t="array" ref="AC296">_xlfn.XLOOKUP(1,('1994 E Maize Soil VWC'!$C$2:$C$5550=$AA296)*('1994 E Maize Soil VWC'!$D$2:$D$5550=$AB296)*('1994 E Maize Soil VWC'!$E$2:$E$5550=AC$5),'1994 E Maize Soil VWC'!$F$2:$F$5550)</f>
        <v>#N/A</v>
      </c>
      <c r="AD296" s="4" t="e" cm="1">
        <f t="array" ref="AD296">_xlfn.XLOOKUP(1,('1994 E Maize Soil VWC'!$C$2:$C$5550=$AA296)*('1994 E Maize Soil VWC'!$D$2:$D$5550=$AB296)*('1994 E Maize Soil VWC'!$E$2:$E$5550=AD$5),'1994 E Maize Soil VWC'!$F$2:$F$5550)</f>
        <v>#N/A</v>
      </c>
      <c r="AE296" s="4" t="e" cm="1">
        <f t="array" ref="AE296">_xlfn.XLOOKUP(1,('1994 E Maize Soil VWC'!$C$2:$C$5550=$AA296)*('1994 E Maize Soil VWC'!$D$2:$D$5550=$AB296)*('1994 E Maize Soil VWC'!$E$2:$E$5550=AE$5),'1994 E Maize Soil VWC'!$F$2:$F$5550)</f>
        <v>#N/A</v>
      </c>
      <c r="AF296" s="4" t="e" cm="1">
        <f t="array" ref="AF296">_xlfn.XLOOKUP(1,('1994 E Maize Soil VWC'!$C$2:$C$5550=$AA296)*('1994 E Maize Soil VWC'!$D$2:$D$5550=$AB296)*('1994 E Maize Soil VWC'!$E$2:$E$5550=AF$5),'1994 E Maize Soil VWC'!$F$2:$F$5550)</f>
        <v>#N/A</v>
      </c>
      <c r="AG296" s="4" t="e" cm="1">
        <f t="array" ref="AG296">_xlfn.XLOOKUP(1,('1994 E Maize Soil VWC'!$C$2:$C$5550=$AA296)*('1994 E Maize Soil VWC'!$D$2:$D$5550=$AB296)*('1994 E Maize Soil VWC'!$E$2:$E$5550=AG$5),'1994 E Maize Soil VWC'!$F$2:$F$5550)</f>
        <v>#N/A</v>
      </c>
      <c r="AH296" s="4" t="e" cm="1">
        <f t="array" ref="AH296">_xlfn.XLOOKUP(1,('1994 E Maize Soil VWC'!$C$2:$C$5550=$AA296)*('1994 E Maize Soil VWC'!$D$2:$D$5550=$AB296)*('1994 E Maize Soil VWC'!$E$2:$E$5550=AH$5),'1994 E Maize Soil VWC'!$F$2:$F$5550)</f>
        <v>#N/A</v>
      </c>
      <c r="AI296" s="4" t="e" cm="1">
        <f t="array" ref="AI296">_xlfn.XLOOKUP(1,('1994 E Maize Soil VWC'!$C$2:$C$5550=$AA296)*('1994 E Maize Soil VWC'!$D$2:$D$5550=$AB296)*('1994 E Maize Soil VWC'!$E$2:$E$5550=AI$5),'1994 E Maize Soil VWC'!$F$2:$F$5550)</f>
        <v>#N/A</v>
      </c>
      <c r="AJ296" s="4" t="e" cm="1">
        <f t="array" ref="AJ296">_xlfn.XLOOKUP(1,('1994 E Maize Soil VWC'!$C$2:$C$5550=$AA296)*('1994 E Maize Soil VWC'!$D$2:$D$5550=$AB296)*('1994 E Maize Soil VWC'!$E$2:$E$5550=AJ$5),'1994 E Maize Soil VWC'!$F$2:$F$5550)</f>
        <v>#N/A</v>
      </c>
      <c r="AK296" s="4" t="e" cm="1">
        <f t="array" ref="AK296">_xlfn.XLOOKUP(1,('1994 E Maize Soil VWC'!$C$2:$C$5550=$AA296)*('1994 E Maize Soil VWC'!$D$2:$D$5550=$AB296)*('1994 E Maize Soil VWC'!$E$2:$E$5550=AK$5),'1994 E Maize Soil VWC'!$F$2:$F$5550)</f>
        <v>#N/A</v>
      </c>
      <c r="AL296" s="4" t="e" cm="1">
        <f t="array" ref="AL296">_xlfn.XLOOKUP(1,('1994 E Maize Soil VWC'!$C$2:$C$5550=$AA296)*('1994 E Maize Soil VWC'!$D$2:$D$5550=$AB296)*('1994 E Maize Soil VWC'!$E$2:$E$5550=AL$5),'1994 E Maize Soil VWC'!$F$2:$F$5550)</f>
        <v>#N/A</v>
      </c>
      <c r="AM296" s="4" t="e" cm="1">
        <f t="array" ref="AM296">_xlfn.XLOOKUP(1,('1994 E Maize Soil VWC'!$C$2:$C$5550=$AA296)*('1994 E Maize Soil VWC'!$D$2:$D$5550=$AB296)*('1994 E Maize Soil VWC'!$E$2:$E$5550=AM$5),'1994 E Maize Soil VWC'!$F$2:$F$5550)</f>
        <v>#N/A</v>
      </c>
      <c r="AN296" s="4" t="e" cm="1">
        <f t="array" ref="AN296">_xlfn.XLOOKUP(1,('1994 E Maize Soil VWC'!$C$2:$C$5550=$AA296)*('1994 E Maize Soil VWC'!$D$2:$D$5550=$AB296)*('1994 E Maize Soil VWC'!$E$2:$E$5550=AN$5),'1994 E Maize Soil VWC'!$F$2:$F$5550)</f>
        <v>#N/A</v>
      </c>
    </row>
    <row r="297" spans="25:40" x14ac:dyDescent="0.25">
      <c r="AA297" s="19">
        <f t="shared" si="44"/>
        <v>34334</v>
      </c>
      <c r="AB297" s="4">
        <f t="shared" si="45"/>
        <v>110</v>
      </c>
      <c r="AC297" s="4" t="e" cm="1">
        <f t="array" ref="AC297">_xlfn.XLOOKUP(1,('1994 E Maize Soil VWC'!$C$2:$C$5550=$AA297)*('1994 E Maize Soil VWC'!$D$2:$D$5550=$AB297)*('1994 E Maize Soil VWC'!$E$2:$E$5550=AC$5),'1994 E Maize Soil VWC'!$F$2:$F$5550)</f>
        <v>#N/A</v>
      </c>
      <c r="AD297" s="4" t="e" cm="1">
        <f t="array" ref="AD297">_xlfn.XLOOKUP(1,('1994 E Maize Soil VWC'!$C$2:$C$5550=$AA297)*('1994 E Maize Soil VWC'!$D$2:$D$5550=$AB297)*('1994 E Maize Soil VWC'!$E$2:$E$5550=AD$5),'1994 E Maize Soil VWC'!$F$2:$F$5550)</f>
        <v>#N/A</v>
      </c>
      <c r="AE297" s="4" t="e" cm="1">
        <f t="array" ref="AE297">_xlfn.XLOOKUP(1,('1994 E Maize Soil VWC'!$C$2:$C$5550=$AA297)*('1994 E Maize Soil VWC'!$D$2:$D$5550=$AB297)*('1994 E Maize Soil VWC'!$E$2:$E$5550=AE$5),'1994 E Maize Soil VWC'!$F$2:$F$5550)</f>
        <v>#N/A</v>
      </c>
      <c r="AF297" s="4" t="e" cm="1">
        <f t="array" ref="AF297">_xlfn.XLOOKUP(1,('1994 E Maize Soil VWC'!$C$2:$C$5550=$AA297)*('1994 E Maize Soil VWC'!$D$2:$D$5550=$AB297)*('1994 E Maize Soil VWC'!$E$2:$E$5550=AF$5),'1994 E Maize Soil VWC'!$F$2:$F$5550)</f>
        <v>#N/A</v>
      </c>
      <c r="AG297" s="4" t="e" cm="1">
        <f t="array" ref="AG297">_xlfn.XLOOKUP(1,('1994 E Maize Soil VWC'!$C$2:$C$5550=$AA297)*('1994 E Maize Soil VWC'!$D$2:$D$5550=$AB297)*('1994 E Maize Soil VWC'!$E$2:$E$5550=AG$5),'1994 E Maize Soil VWC'!$F$2:$F$5550)</f>
        <v>#N/A</v>
      </c>
      <c r="AH297" s="4" t="e" cm="1">
        <f t="array" ref="AH297">_xlfn.XLOOKUP(1,('1994 E Maize Soil VWC'!$C$2:$C$5550=$AA297)*('1994 E Maize Soil VWC'!$D$2:$D$5550=$AB297)*('1994 E Maize Soil VWC'!$E$2:$E$5550=AH$5),'1994 E Maize Soil VWC'!$F$2:$F$5550)</f>
        <v>#N/A</v>
      </c>
      <c r="AI297" s="4" t="e" cm="1">
        <f t="array" ref="AI297">_xlfn.XLOOKUP(1,('1994 E Maize Soil VWC'!$C$2:$C$5550=$AA297)*('1994 E Maize Soil VWC'!$D$2:$D$5550=$AB297)*('1994 E Maize Soil VWC'!$E$2:$E$5550=AI$5),'1994 E Maize Soil VWC'!$F$2:$F$5550)</f>
        <v>#N/A</v>
      </c>
      <c r="AJ297" s="4" t="e" cm="1">
        <f t="array" ref="AJ297">_xlfn.XLOOKUP(1,('1994 E Maize Soil VWC'!$C$2:$C$5550=$AA297)*('1994 E Maize Soil VWC'!$D$2:$D$5550=$AB297)*('1994 E Maize Soil VWC'!$E$2:$E$5550=AJ$5),'1994 E Maize Soil VWC'!$F$2:$F$5550)</f>
        <v>#N/A</v>
      </c>
      <c r="AK297" s="4" t="e" cm="1">
        <f t="array" ref="AK297">_xlfn.XLOOKUP(1,('1994 E Maize Soil VWC'!$C$2:$C$5550=$AA297)*('1994 E Maize Soil VWC'!$D$2:$D$5550=$AB297)*('1994 E Maize Soil VWC'!$E$2:$E$5550=AK$5),'1994 E Maize Soil VWC'!$F$2:$F$5550)</f>
        <v>#N/A</v>
      </c>
      <c r="AL297" s="4" t="e" cm="1">
        <f t="array" ref="AL297">_xlfn.XLOOKUP(1,('1994 E Maize Soil VWC'!$C$2:$C$5550=$AA297)*('1994 E Maize Soil VWC'!$D$2:$D$5550=$AB297)*('1994 E Maize Soil VWC'!$E$2:$E$5550=AL$5),'1994 E Maize Soil VWC'!$F$2:$F$5550)</f>
        <v>#N/A</v>
      </c>
      <c r="AM297" s="4" t="e" cm="1">
        <f t="array" ref="AM297">_xlfn.XLOOKUP(1,('1994 E Maize Soil VWC'!$C$2:$C$5550=$AA297)*('1994 E Maize Soil VWC'!$D$2:$D$5550=$AB297)*('1994 E Maize Soil VWC'!$E$2:$E$5550=AM$5),'1994 E Maize Soil VWC'!$F$2:$F$5550)</f>
        <v>#N/A</v>
      </c>
      <c r="AN297" s="4" t="e" cm="1">
        <f t="array" ref="AN297">_xlfn.XLOOKUP(1,('1994 E Maize Soil VWC'!$C$2:$C$5550=$AA297)*('1994 E Maize Soil VWC'!$D$2:$D$5550=$AB297)*('1994 E Maize Soil VWC'!$E$2:$E$5550=AN$5),'1994 E Maize Soil VWC'!$F$2:$F$5550)</f>
        <v>#N/A</v>
      </c>
    </row>
    <row r="298" spans="25:40" x14ac:dyDescent="0.25">
      <c r="AA298" s="19">
        <f t="shared" si="44"/>
        <v>34334</v>
      </c>
      <c r="AB298" s="4">
        <f t="shared" si="45"/>
        <v>130</v>
      </c>
      <c r="AC298" s="4" t="e" cm="1">
        <f t="array" ref="AC298">_xlfn.XLOOKUP(1,('1994 E Maize Soil VWC'!$C$2:$C$5550=$AA298)*('1994 E Maize Soil VWC'!$D$2:$D$5550=$AB298)*('1994 E Maize Soil VWC'!$E$2:$E$5550=AC$5),'1994 E Maize Soil VWC'!$F$2:$F$5550)</f>
        <v>#N/A</v>
      </c>
      <c r="AD298" s="4" t="e" cm="1">
        <f t="array" ref="AD298">_xlfn.XLOOKUP(1,('1994 E Maize Soil VWC'!$C$2:$C$5550=$AA298)*('1994 E Maize Soil VWC'!$D$2:$D$5550=$AB298)*('1994 E Maize Soil VWC'!$E$2:$E$5550=AD$5),'1994 E Maize Soil VWC'!$F$2:$F$5550)</f>
        <v>#N/A</v>
      </c>
      <c r="AE298" s="4" t="e" cm="1">
        <f t="array" ref="AE298">_xlfn.XLOOKUP(1,('1994 E Maize Soil VWC'!$C$2:$C$5550=$AA298)*('1994 E Maize Soil VWC'!$D$2:$D$5550=$AB298)*('1994 E Maize Soil VWC'!$E$2:$E$5550=AE$5),'1994 E Maize Soil VWC'!$F$2:$F$5550)</f>
        <v>#N/A</v>
      </c>
      <c r="AF298" s="4" t="e" cm="1">
        <f t="array" ref="AF298">_xlfn.XLOOKUP(1,('1994 E Maize Soil VWC'!$C$2:$C$5550=$AA298)*('1994 E Maize Soil VWC'!$D$2:$D$5550=$AB298)*('1994 E Maize Soil VWC'!$E$2:$E$5550=AF$5),'1994 E Maize Soil VWC'!$F$2:$F$5550)</f>
        <v>#N/A</v>
      </c>
      <c r="AG298" s="4" t="e" cm="1">
        <f t="array" ref="AG298">_xlfn.XLOOKUP(1,('1994 E Maize Soil VWC'!$C$2:$C$5550=$AA298)*('1994 E Maize Soil VWC'!$D$2:$D$5550=$AB298)*('1994 E Maize Soil VWC'!$E$2:$E$5550=AG$5),'1994 E Maize Soil VWC'!$F$2:$F$5550)</f>
        <v>#N/A</v>
      </c>
      <c r="AH298" s="4" t="e" cm="1">
        <f t="array" ref="AH298">_xlfn.XLOOKUP(1,('1994 E Maize Soil VWC'!$C$2:$C$5550=$AA298)*('1994 E Maize Soil VWC'!$D$2:$D$5550=$AB298)*('1994 E Maize Soil VWC'!$E$2:$E$5550=AH$5),'1994 E Maize Soil VWC'!$F$2:$F$5550)</f>
        <v>#N/A</v>
      </c>
      <c r="AI298" s="4" t="e" cm="1">
        <f t="array" ref="AI298">_xlfn.XLOOKUP(1,('1994 E Maize Soil VWC'!$C$2:$C$5550=$AA298)*('1994 E Maize Soil VWC'!$D$2:$D$5550=$AB298)*('1994 E Maize Soil VWC'!$E$2:$E$5550=AI$5),'1994 E Maize Soil VWC'!$F$2:$F$5550)</f>
        <v>#N/A</v>
      </c>
      <c r="AJ298" s="4" t="e" cm="1">
        <f t="array" ref="AJ298">_xlfn.XLOOKUP(1,('1994 E Maize Soil VWC'!$C$2:$C$5550=$AA298)*('1994 E Maize Soil VWC'!$D$2:$D$5550=$AB298)*('1994 E Maize Soil VWC'!$E$2:$E$5550=AJ$5),'1994 E Maize Soil VWC'!$F$2:$F$5550)</f>
        <v>#N/A</v>
      </c>
      <c r="AK298" s="4" t="e" cm="1">
        <f t="array" ref="AK298">_xlfn.XLOOKUP(1,('1994 E Maize Soil VWC'!$C$2:$C$5550=$AA298)*('1994 E Maize Soil VWC'!$D$2:$D$5550=$AB298)*('1994 E Maize Soil VWC'!$E$2:$E$5550=AK$5),'1994 E Maize Soil VWC'!$F$2:$F$5550)</f>
        <v>#N/A</v>
      </c>
      <c r="AL298" s="4" t="e" cm="1">
        <f t="array" ref="AL298">_xlfn.XLOOKUP(1,('1994 E Maize Soil VWC'!$C$2:$C$5550=$AA298)*('1994 E Maize Soil VWC'!$D$2:$D$5550=$AB298)*('1994 E Maize Soil VWC'!$E$2:$E$5550=AL$5),'1994 E Maize Soil VWC'!$F$2:$F$5550)</f>
        <v>#N/A</v>
      </c>
      <c r="AM298" s="4" t="e" cm="1">
        <f t="array" ref="AM298">_xlfn.XLOOKUP(1,('1994 E Maize Soil VWC'!$C$2:$C$5550=$AA298)*('1994 E Maize Soil VWC'!$D$2:$D$5550=$AB298)*('1994 E Maize Soil VWC'!$E$2:$E$5550=AM$5),'1994 E Maize Soil VWC'!$F$2:$F$5550)</f>
        <v>#N/A</v>
      </c>
      <c r="AN298" s="4" t="e" cm="1">
        <f t="array" ref="AN298">_xlfn.XLOOKUP(1,('1994 E Maize Soil VWC'!$C$2:$C$5550=$AA298)*('1994 E Maize Soil VWC'!$D$2:$D$5550=$AB298)*('1994 E Maize Soil VWC'!$E$2:$E$5550=AN$5),'1994 E Maize Soil VWC'!$F$2:$F$5550)</f>
        <v>#N/A</v>
      </c>
    </row>
    <row r="299" spans="25:40" x14ac:dyDescent="0.25">
      <c r="AA299" s="19">
        <f t="shared" si="44"/>
        <v>34334</v>
      </c>
      <c r="AB299" s="4">
        <f t="shared" si="45"/>
        <v>150</v>
      </c>
      <c r="AC299" s="4" t="e" cm="1">
        <f t="array" ref="AC299">_xlfn.XLOOKUP(1,('1994 E Maize Soil VWC'!$C$2:$C$5550=$AA299)*('1994 E Maize Soil VWC'!$D$2:$D$5550=$AB299)*('1994 E Maize Soil VWC'!$E$2:$E$5550=AC$5),'1994 E Maize Soil VWC'!$F$2:$F$5550)</f>
        <v>#N/A</v>
      </c>
      <c r="AD299" s="4" t="e" cm="1">
        <f t="array" ref="AD299">_xlfn.XLOOKUP(1,('1994 E Maize Soil VWC'!$C$2:$C$5550=$AA299)*('1994 E Maize Soil VWC'!$D$2:$D$5550=$AB299)*('1994 E Maize Soil VWC'!$E$2:$E$5550=AD$5),'1994 E Maize Soil VWC'!$F$2:$F$5550)</f>
        <v>#N/A</v>
      </c>
      <c r="AE299" s="4" t="e" cm="1">
        <f t="array" ref="AE299">_xlfn.XLOOKUP(1,('1994 E Maize Soil VWC'!$C$2:$C$5550=$AA299)*('1994 E Maize Soil VWC'!$D$2:$D$5550=$AB299)*('1994 E Maize Soil VWC'!$E$2:$E$5550=AE$5),'1994 E Maize Soil VWC'!$F$2:$F$5550)</f>
        <v>#N/A</v>
      </c>
      <c r="AF299" s="4" t="e" cm="1">
        <f t="array" ref="AF299">_xlfn.XLOOKUP(1,('1994 E Maize Soil VWC'!$C$2:$C$5550=$AA299)*('1994 E Maize Soil VWC'!$D$2:$D$5550=$AB299)*('1994 E Maize Soil VWC'!$E$2:$E$5550=AF$5),'1994 E Maize Soil VWC'!$F$2:$F$5550)</f>
        <v>#N/A</v>
      </c>
      <c r="AG299" s="4" t="e" cm="1">
        <f t="array" ref="AG299">_xlfn.XLOOKUP(1,('1994 E Maize Soil VWC'!$C$2:$C$5550=$AA299)*('1994 E Maize Soil VWC'!$D$2:$D$5550=$AB299)*('1994 E Maize Soil VWC'!$E$2:$E$5550=AG$5),'1994 E Maize Soil VWC'!$F$2:$F$5550)</f>
        <v>#N/A</v>
      </c>
      <c r="AH299" s="4" t="e" cm="1">
        <f t="array" ref="AH299">_xlfn.XLOOKUP(1,('1994 E Maize Soil VWC'!$C$2:$C$5550=$AA299)*('1994 E Maize Soil VWC'!$D$2:$D$5550=$AB299)*('1994 E Maize Soil VWC'!$E$2:$E$5550=AH$5),'1994 E Maize Soil VWC'!$F$2:$F$5550)</f>
        <v>#N/A</v>
      </c>
      <c r="AI299" s="4" t="e" cm="1">
        <f t="array" ref="AI299">_xlfn.XLOOKUP(1,('1994 E Maize Soil VWC'!$C$2:$C$5550=$AA299)*('1994 E Maize Soil VWC'!$D$2:$D$5550=$AB299)*('1994 E Maize Soil VWC'!$E$2:$E$5550=AI$5),'1994 E Maize Soil VWC'!$F$2:$F$5550)</f>
        <v>#N/A</v>
      </c>
      <c r="AJ299" s="4" t="e" cm="1">
        <f t="array" ref="AJ299">_xlfn.XLOOKUP(1,('1994 E Maize Soil VWC'!$C$2:$C$5550=$AA299)*('1994 E Maize Soil VWC'!$D$2:$D$5550=$AB299)*('1994 E Maize Soil VWC'!$E$2:$E$5550=AJ$5),'1994 E Maize Soil VWC'!$F$2:$F$5550)</f>
        <v>#N/A</v>
      </c>
      <c r="AK299" s="4" t="e" cm="1">
        <f t="array" ref="AK299">_xlfn.XLOOKUP(1,('1994 E Maize Soil VWC'!$C$2:$C$5550=$AA299)*('1994 E Maize Soil VWC'!$D$2:$D$5550=$AB299)*('1994 E Maize Soil VWC'!$E$2:$E$5550=AK$5),'1994 E Maize Soil VWC'!$F$2:$F$5550)</f>
        <v>#N/A</v>
      </c>
      <c r="AL299" s="4" t="e" cm="1">
        <f t="array" ref="AL299">_xlfn.XLOOKUP(1,('1994 E Maize Soil VWC'!$C$2:$C$5550=$AA299)*('1994 E Maize Soil VWC'!$D$2:$D$5550=$AB299)*('1994 E Maize Soil VWC'!$E$2:$E$5550=AL$5),'1994 E Maize Soil VWC'!$F$2:$F$5550)</f>
        <v>#N/A</v>
      </c>
      <c r="AM299" s="4" t="e" cm="1">
        <f t="array" ref="AM299">_xlfn.XLOOKUP(1,('1994 E Maize Soil VWC'!$C$2:$C$5550=$AA299)*('1994 E Maize Soil VWC'!$D$2:$D$5550=$AB299)*('1994 E Maize Soil VWC'!$E$2:$E$5550=AM$5),'1994 E Maize Soil VWC'!$F$2:$F$5550)</f>
        <v>#N/A</v>
      </c>
      <c r="AN299" s="4" t="e" cm="1">
        <f t="array" ref="AN299">_xlfn.XLOOKUP(1,('1994 E Maize Soil VWC'!$C$2:$C$5550=$AA299)*('1994 E Maize Soil VWC'!$D$2:$D$5550=$AB299)*('1994 E Maize Soil VWC'!$E$2:$E$5550=AN$5),'1994 E Maize Soil VWC'!$F$2:$F$5550)</f>
        <v>#N/A</v>
      </c>
    </row>
    <row r="300" spans="25:40" x14ac:dyDescent="0.25">
      <c r="AA300" s="19">
        <f t="shared" si="44"/>
        <v>34334</v>
      </c>
      <c r="AB300" s="4">
        <f t="shared" si="45"/>
        <v>170</v>
      </c>
      <c r="AC300" s="4" t="e" cm="1">
        <f t="array" ref="AC300">_xlfn.XLOOKUP(1,('1994 E Maize Soil VWC'!$C$2:$C$5550=$AA300)*('1994 E Maize Soil VWC'!$D$2:$D$5550=$AB300)*('1994 E Maize Soil VWC'!$E$2:$E$5550=AC$5),'1994 E Maize Soil VWC'!$F$2:$F$5550)</f>
        <v>#N/A</v>
      </c>
      <c r="AD300" s="4" t="e" cm="1">
        <f t="array" ref="AD300">_xlfn.XLOOKUP(1,('1994 E Maize Soil VWC'!$C$2:$C$5550=$AA300)*('1994 E Maize Soil VWC'!$D$2:$D$5550=$AB300)*('1994 E Maize Soil VWC'!$E$2:$E$5550=AD$5),'1994 E Maize Soil VWC'!$F$2:$F$5550)</f>
        <v>#N/A</v>
      </c>
      <c r="AE300" s="4" t="e" cm="1">
        <f t="array" ref="AE300">_xlfn.XLOOKUP(1,('1994 E Maize Soil VWC'!$C$2:$C$5550=$AA300)*('1994 E Maize Soil VWC'!$D$2:$D$5550=$AB300)*('1994 E Maize Soil VWC'!$E$2:$E$5550=AE$5),'1994 E Maize Soil VWC'!$F$2:$F$5550)</f>
        <v>#N/A</v>
      </c>
      <c r="AF300" s="4" t="e" cm="1">
        <f t="array" ref="AF300">_xlfn.XLOOKUP(1,('1994 E Maize Soil VWC'!$C$2:$C$5550=$AA300)*('1994 E Maize Soil VWC'!$D$2:$D$5550=$AB300)*('1994 E Maize Soil VWC'!$E$2:$E$5550=AF$5),'1994 E Maize Soil VWC'!$F$2:$F$5550)</f>
        <v>#N/A</v>
      </c>
      <c r="AG300" s="4" t="e" cm="1">
        <f t="array" ref="AG300">_xlfn.XLOOKUP(1,('1994 E Maize Soil VWC'!$C$2:$C$5550=$AA300)*('1994 E Maize Soil VWC'!$D$2:$D$5550=$AB300)*('1994 E Maize Soil VWC'!$E$2:$E$5550=AG$5),'1994 E Maize Soil VWC'!$F$2:$F$5550)</f>
        <v>#N/A</v>
      </c>
      <c r="AH300" s="4" t="e" cm="1">
        <f t="array" ref="AH300">_xlfn.XLOOKUP(1,('1994 E Maize Soil VWC'!$C$2:$C$5550=$AA300)*('1994 E Maize Soil VWC'!$D$2:$D$5550=$AB300)*('1994 E Maize Soil VWC'!$E$2:$E$5550=AH$5),'1994 E Maize Soil VWC'!$F$2:$F$5550)</f>
        <v>#N/A</v>
      </c>
      <c r="AI300" s="4" t="e" cm="1">
        <f t="array" ref="AI300">_xlfn.XLOOKUP(1,('1994 E Maize Soil VWC'!$C$2:$C$5550=$AA300)*('1994 E Maize Soil VWC'!$D$2:$D$5550=$AB300)*('1994 E Maize Soil VWC'!$E$2:$E$5550=AI$5),'1994 E Maize Soil VWC'!$F$2:$F$5550)</f>
        <v>#N/A</v>
      </c>
      <c r="AJ300" s="4" t="e" cm="1">
        <f t="array" ref="AJ300">_xlfn.XLOOKUP(1,('1994 E Maize Soil VWC'!$C$2:$C$5550=$AA300)*('1994 E Maize Soil VWC'!$D$2:$D$5550=$AB300)*('1994 E Maize Soil VWC'!$E$2:$E$5550=AJ$5),'1994 E Maize Soil VWC'!$F$2:$F$5550)</f>
        <v>#N/A</v>
      </c>
      <c r="AK300" s="4" t="e" cm="1">
        <f t="array" ref="AK300">_xlfn.XLOOKUP(1,('1994 E Maize Soil VWC'!$C$2:$C$5550=$AA300)*('1994 E Maize Soil VWC'!$D$2:$D$5550=$AB300)*('1994 E Maize Soil VWC'!$E$2:$E$5550=AK$5),'1994 E Maize Soil VWC'!$F$2:$F$5550)</f>
        <v>#N/A</v>
      </c>
      <c r="AL300" s="4" t="e" cm="1">
        <f t="array" ref="AL300">_xlfn.XLOOKUP(1,('1994 E Maize Soil VWC'!$C$2:$C$5550=$AA300)*('1994 E Maize Soil VWC'!$D$2:$D$5550=$AB300)*('1994 E Maize Soil VWC'!$E$2:$E$5550=AL$5),'1994 E Maize Soil VWC'!$F$2:$F$5550)</f>
        <v>#N/A</v>
      </c>
      <c r="AM300" s="4" t="e" cm="1">
        <f t="array" ref="AM300">_xlfn.XLOOKUP(1,('1994 E Maize Soil VWC'!$C$2:$C$5550=$AA300)*('1994 E Maize Soil VWC'!$D$2:$D$5550=$AB300)*('1994 E Maize Soil VWC'!$E$2:$E$5550=AM$5),'1994 E Maize Soil VWC'!$F$2:$F$5550)</f>
        <v>#N/A</v>
      </c>
      <c r="AN300" s="4" t="e" cm="1">
        <f t="array" ref="AN300">_xlfn.XLOOKUP(1,('1994 E Maize Soil VWC'!$C$2:$C$5550=$AA300)*('1994 E Maize Soil VWC'!$D$2:$D$5550=$AB300)*('1994 E Maize Soil VWC'!$E$2:$E$5550=AN$5),'1994 E Maize Soil VWC'!$F$2:$F$5550)</f>
        <v>#N/A</v>
      </c>
    </row>
    <row r="301" spans="25:40" x14ac:dyDescent="0.25">
      <c r="AA301" s="19">
        <f t="shared" si="44"/>
        <v>34334</v>
      </c>
      <c r="AB301" s="4">
        <f t="shared" si="45"/>
        <v>190</v>
      </c>
      <c r="AC301" s="4" t="e" cm="1">
        <f t="array" ref="AC301">_xlfn.XLOOKUP(1,('1994 E Maize Soil VWC'!$C$2:$C$5550=$AA301)*('1994 E Maize Soil VWC'!$D$2:$D$5550=$AB301)*('1994 E Maize Soil VWC'!$E$2:$E$5550=AC$5),'1994 E Maize Soil VWC'!$F$2:$F$5550)</f>
        <v>#N/A</v>
      </c>
      <c r="AD301" s="4" t="e" cm="1">
        <f t="array" ref="AD301">_xlfn.XLOOKUP(1,('1994 E Maize Soil VWC'!$C$2:$C$5550=$AA301)*('1994 E Maize Soil VWC'!$D$2:$D$5550=$AB301)*('1994 E Maize Soil VWC'!$E$2:$E$5550=AD$5),'1994 E Maize Soil VWC'!$F$2:$F$5550)</f>
        <v>#N/A</v>
      </c>
      <c r="AE301" s="4" t="e" cm="1">
        <f t="array" ref="AE301">_xlfn.XLOOKUP(1,('1994 E Maize Soil VWC'!$C$2:$C$5550=$AA301)*('1994 E Maize Soil VWC'!$D$2:$D$5550=$AB301)*('1994 E Maize Soil VWC'!$E$2:$E$5550=AE$5),'1994 E Maize Soil VWC'!$F$2:$F$5550)</f>
        <v>#N/A</v>
      </c>
      <c r="AF301" s="4" t="e" cm="1">
        <f t="array" ref="AF301">_xlfn.XLOOKUP(1,('1994 E Maize Soil VWC'!$C$2:$C$5550=$AA301)*('1994 E Maize Soil VWC'!$D$2:$D$5550=$AB301)*('1994 E Maize Soil VWC'!$E$2:$E$5550=AF$5),'1994 E Maize Soil VWC'!$F$2:$F$5550)</f>
        <v>#N/A</v>
      </c>
      <c r="AG301" s="4" t="e" cm="1">
        <f t="array" ref="AG301">_xlfn.XLOOKUP(1,('1994 E Maize Soil VWC'!$C$2:$C$5550=$AA301)*('1994 E Maize Soil VWC'!$D$2:$D$5550=$AB301)*('1994 E Maize Soil VWC'!$E$2:$E$5550=AG$5),'1994 E Maize Soil VWC'!$F$2:$F$5550)</f>
        <v>#N/A</v>
      </c>
      <c r="AH301" s="4" t="e" cm="1">
        <f t="array" ref="AH301">_xlfn.XLOOKUP(1,('1994 E Maize Soil VWC'!$C$2:$C$5550=$AA301)*('1994 E Maize Soil VWC'!$D$2:$D$5550=$AB301)*('1994 E Maize Soil VWC'!$E$2:$E$5550=AH$5),'1994 E Maize Soil VWC'!$F$2:$F$5550)</f>
        <v>#N/A</v>
      </c>
      <c r="AI301" s="4" t="e" cm="1">
        <f t="array" ref="AI301">_xlfn.XLOOKUP(1,('1994 E Maize Soil VWC'!$C$2:$C$5550=$AA301)*('1994 E Maize Soil VWC'!$D$2:$D$5550=$AB301)*('1994 E Maize Soil VWC'!$E$2:$E$5550=AI$5),'1994 E Maize Soil VWC'!$F$2:$F$5550)</f>
        <v>#N/A</v>
      </c>
      <c r="AJ301" s="4" t="e" cm="1">
        <f t="array" ref="AJ301">_xlfn.XLOOKUP(1,('1994 E Maize Soil VWC'!$C$2:$C$5550=$AA301)*('1994 E Maize Soil VWC'!$D$2:$D$5550=$AB301)*('1994 E Maize Soil VWC'!$E$2:$E$5550=AJ$5),'1994 E Maize Soil VWC'!$F$2:$F$5550)</f>
        <v>#N/A</v>
      </c>
      <c r="AK301" s="4" t="e" cm="1">
        <f t="array" ref="AK301">_xlfn.XLOOKUP(1,('1994 E Maize Soil VWC'!$C$2:$C$5550=$AA301)*('1994 E Maize Soil VWC'!$D$2:$D$5550=$AB301)*('1994 E Maize Soil VWC'!$E$2:$E$5550=AK$5),'1994 E Maize Soil VWC'!$F$2:$F$5550)</f>
        <v>#N/A</v>
      </c>
      <c r="AL301" s="4" t="e" cm="1">
        <f t="array" ref="AL301">_xlfn.XLOOKUP(1,('1994 E Maize Soil VWC'!$C$2:$C$5550=$AA301)*('1994 E Maize Soil VWC'!$D$2:$D$5550=$AB301)*('1994 E Maize Soil VWC'!$E$2:$E$5550=AL$5),'1994 E Maize Soil VWC'!$F$2:$F$5550)</f>
        <v>#N/A</v>
      </c>
      <c r="AM301" s="4" t="e" cm="1">
        <f t="array" ref="AM301">_xlfn.XLOOKUP(1,('1994 E Maize Soil VWC'!$C$2:$C$5550=$AA301)*('1994 E Maize Soil VWC'!$D$2:$D$5550=$AB301)*('1994 E Maize Soil VWC'!$E$2:$E$5550=AM$5),'1994 E Maize Soil VWC'!$F$2:$F$5550)</f>
        <v>#N/A</v>
      </c>
      <c r="AN301" s="4" t="e" cm="1">
        <f t="array" ref="AN301">_xlfn.XLOOKUP(1,('1994 E Maize Soil VWC'!$C$2:$C$5550=$AA301)*('1994 E Maize Soil VWC'!$D$2:$D$5550=$AB301)*('1994 E Maize Soil VWC'!$E$2:$E$5550=AN$5),'1994 E Maize Soil VWC'!$F$2:$F$5550)</f>
        <v>#N/A</v>
      </c>
    </row>
    <row r="302" spans="25:40" x14ac:dyDescent="0.25">
      <c r="AA302" s="19">
        <f t="shared" si="44"/>
        <v>34334</v>
      </c>
      <c r="AB302" s="4">
        <f t="shared" si="45"/>
        <v>210</v>
      </c>
      <c r="AC302" s="4" t="e" cm="1">
        <f t="array" ref="AC302">_xlfn.XLOOKUP(1,('1994 E Maize Soil VWC'!$C$2:$C$5550=$AA302)*('1994 E Maize Soil VWC'!$D$2:$D$5550=$AB302)*('1994 E Maize Soil VWC'!$E$2:$E$5550=AC$5),'1994 E Maize Soil VWC'!$F$2:$F$5550)</f>
        <v>#N/A</v>
      </c>
      <c r="AD302" s="4" t="e" cm="1">
        <f t="array" ref="AD302">_xlfn.XLOOKUP(1,('1994 E Maize Soil VWC'!$C$2:$C$5550=$AA302)*('1994 E Maize Soil VWC'!$D$2:$D$5550=$AB302)*('1994 E Maize Soil VWC'!$E$2:$E$5550=AD$5),'1994 E Maize Soil VWC'!$F$2:$F$5550)</f>
        <v>#N/A</v>
      </c>
      <c r="AE302" s="4" t="e" cm="1">
        <f t="array" ref="AE302">_xlfn.XLOOKUP(1,('1994 E Maize Soil VWC'!$C$2:$C$5550=$AA302)*('1994 E Maize Soil VWC'!$D$2:$D$5550=$AB302)*('1994 E Maize Soil VWC'!$E$2:$E$5550=AE$5),'1994 E Maize Soil VWC'!$F$2:$F$5550)</f>
        <v>#N/A</v>
      </c>
      <c r="AF302" s="4" t="e" cm="1">
        <f t="array" ref="AF302">_xlfn.XLOOKUP(1,('1994 E Maize Soil VWC'!$C$2:$C$5550=$AA302)*('1994 E Maize Soil VWC'!$D$2:$D$5550=$AB302)*('1994 E Maize Soil VWC'!$E$2:$E$5550=AF$5),'1994 E Maize Soil VWC'!$F$2:$F$5550)</f>
        <v>#N/A</v>
      </c>
      <c r="AG302" s="4" t="e" cm="1">
        <f t="array" ref="AG302">_xlfn.XLOOKUP(1,('1994 E Maize Soil VWC'!$C$2:$C$5550=$AA302)*('1994 E Maize Soil VWC'!$D$2:$D$5550=$AB302)*('1994 E Maize Soil VWC'!$E$2:$E$5550=AG$5),'1994 E Maize Soil VWC'!$F$2:$F$5550)</f>
        <v>#N/A</v>
      </c>
      <c r="AH302" s="4" t="e" cm="1">
        <f t="array" ref="AH302">_xlfn.XLOOKUP(1,('1994 E Maize Soil VWC'!$C$2:$C$5550=$AA302)*('1994 E Maize Soil VWC'!$D$2:$D$5550=$AB302)*('1994 E Maize Soil VWC'!$E$2:$E$5550=AH$5),'1994 E Maize Soil VWC'!$F$2:$F$5550)</f>
        <v>#N/A</v>
      </c>
      <c r="AI302" s="4" t="e" cm="1">
        <f t="array" ref="AI302">_xlfn.XLOOKUP(1,('1994 E Maize Soil VWC'!$C$2:$C$5550=$AA302)*('1994 E Maize Soil VWC'!$D$2:$D$5550=$AB302)*('1994 E Maize Soil VWC'!$E$2:$E$5550=AI$5),'1994 E Maize Soil VWC'!$F$2:$F$5550)</f>
        <v>#N/A</v>
      </c>
      <c r="AJ302" s="4" t="e" cm="1">
        <f t="array" ref="AJ302">_xlfn.XLOOKUP(1,('1994 E Maize Soil VWC'!$C$2:$C$5550=$AA302)*('1994 E Maize Soil VWC'!$D$2:$D$5550=$AB302)*('1994 E Maize Soil VWC'!$E$2:$E$5550=AJ$5),'1994 E Maize Soil VWC'!$F$2:$F$5550)</f>
        <v>#N/A</v>
      </c>
      <c r="AK302" s="4" t="e" cm="1">
        <f t="array" ref="AK302">_xlfn.XLOOKUP(1,('1994 E Maize Soil VWC'!$C$2:$C$5550=$AA302)*('1994 E Maize Soil VWC'!$D$2:$D$5550=$AB302)*('1994 E Maize Soil VWC'!$E$2:$E$5550=AK$5),'1994 E Maize Soil VWC'!$F$2:$F$5550)</f>
        <v>#N/A</v>
      </c>
      <c r="AL302" s="4" t="e" cm="1">
        <f t="array" ref="AL302">_xlfn.XLOOKUP(1,('1994 E Maize Soil VWC'!$C$2:$C$5550=$AA302)*('1994 E Maize Soil VWC'!$D$2:$D$5550=$AB302)*('1994 E Maize Soil VWC'!$E$2:$E$5550=AL$5),'1994 E Maize Soil VWC'!$F$2:$F$5550)</f>
        <v>#N/A</v>
      </c>
      <c r="AM302" s="4" t="e" cm="1">
        <f t="array" ref="AM302">_xlfn.XLOOKUP(1,('1994 E Maize Soil VWC'!$C$2:$C$5550=$AA302)*('1994 E Maize Soil VWC'!$D$2:$D$5550=$AB302)*('1994 E Maize Soil VWC'!$E$2:$E$5550=AM$5),'1994 E Maize Soil VWC'!$F$2:$F$5550)</f>
        <v>#N/A</v>
      </c>
      <c r="AN302" s="4" t="e" cm="1">
        <f t="array" ref="AN302">_xlfn.XLOOKUP(1,('1994 E Maize Soil VWC'!$C$2:$C$5550=$AA302)*('1994 E Maize Soil VWC'!$D$2:$D$5550=$AB302)*('1994 E Maize Soil VWC'!$E$2:$E$5550=AN$5),'1994 E Maize Soil VWC'!$F$2:$F$5550)</f>
        <v>#N/A</v>
      </c>
    </row>
    <row r="303" spans="25:40" x14ac:dyDescent="0.25">
      <c r="AA303" s="19">
        <f t="shared" si="44"/>
        <v>34334</v>
      </c>
      <c r="AB303" s="4">
        <f t="shared" si="45"/>
        <v>230</v>
      </c>
      <c r="AC303" s="4" t="e" cm="1">
        <f t="array" ref="AC303">_xlfn.XLOOKUP(1,('1994 E Maize Soil VWC'!$C$2:$C$5550=$AA303)*('1994 E Maize Soil VWC'!$D$2:$D$5550=$AB303)*('1994 E Maize Soil VWC'!$E$2:$E$5550=AC$5),'1994 E Maize Soil VWC'!$F$2:$F$5550)</f>
        <v>#N/A</v>
      </c>
      <c r="AD303" s="4" t="e" cm="1">
        <f t="array" ref="AD303">_xlfn.XLOOKUP(1,('1994 E Maize Soil VWC'!$C$2:$C$5550=$AA303)*('1994 E Maize Soil VWC'!$D$2:$D$5550=$AB303)*('1994 E Maize Soil VWC'!$E$2:$E$5550=AD$5),'1994 E Maize Soil VWC'!$F$2:$F$5550)</f>
        <v>#N/A</v>
      </c>
      <c r="AE303" s="4" t="e" cm="1">
        <f t="array" ref="AE303">_xlfn.XLOOKUP(1,('1994 E Maize Soil VWC'!$C$2:$C$5550=$AA303)*('1994 E Maize Soil VWC'!$D$2:$D$5550=$AB303)*('1994 E Maize Soil VWC'!$E$2:$E$5550=AE$5),'1994 E Maize Soil VWC'!$F$2:$F$5550)</f>
        <v>#N/A</v>
      </c>
      <c r="AF303" s="4" t="e" cm="1">
        <f t="array" ref="AF303">_xlfn.XLOOKUP(1,('1994 E Maize Soil VWC'!$C$2:$C$5550=$AA303)*('1994 E Maize Soil VWC'!$D$2:$D$5550=$AB303)*('1994 E Maize Soil VWC'!$E$2:$E$5550=AF$5),'1994 E Maize Soil VWC'!$F$2:$F$5550)</f>
        <v>#N/A</v>
      </c>
      <c r="AG303" s="4" t="e" cm="1">
        <f t="array" ref="AG303">_xlfn.XLOOKUP(1,('1994 E Maize Soil VWC'!$C$2:$C$5550=$AA303)*('1994 E Maize Soil VWC'!$D$2:$D$5550=$AB303)*('1994 E Maize Soil VWC'!$E$2:$E$5550=AG$5),'1994 E Maize Soil VWC'!$F$2:$F$5550)</f>
        <v>#N/A</v>
      </c>
      <c r="AH303" s="4" t="e" cm="1">
        <f t="array" ref="AH303">_xlfn.XLOOKUP(1,('1994 E Maize Soil VWC'!$C$2:$C$5550=$AA303)*('1994 E Maize Soil VWC'!$D$2:$D$5550=$AB303)*('1994 E Maize Soil VWC'!$E$2:$E$5550=AH$5),'1994 E Maize Soil VWC'!$F$2:$F$5550)</f>
        <v>#N/A</v>
      </c>
      <c r="AI303" s="4" t="e" cm="1">
        <f t="array" ref="AI303">_xlfn.XLOOKUP(1,('1994 E Maize Soil VWC'!$C$2:$C$5550=$AA303)*('1994 E Maize Soil VWC'!$D$2:$D$5550=$AB303)*('1994 E Maize Soil VWC'!$E$2:$E$5550=AI$5),'1994 E Maize Soil VWC'!$F$2:$F$5550)</f>
        <v>#N/A</v>
      </c>
      <c r="AJ303" s="4" t="e" cm="1">
        <f t="array" ref="AJ303">_xlfn.XLOOKUP(1,('1994 E Maize Soil VWC'!$C$2:$C$5550=$AA303)*('1994 E Maize Soil VWC'!$D$2:$D$5550=$AB303)*('1994 E Maize Soil VWC'!$E$2:$E$5550=AJ$5),'1994 E Maize Soil VWC'!$F$2:$F$5550)</f>
        <v>#N/A</v>
      </c>
      <c r="AK303" s="4" t="e" cm="1">
        <f t="array" ref="AK303">_xlfn.XLOOKUP(1,('1994 E Maize Soil VWC'!$C$2:$C$5550=$AA303)*('1994 E Maize Soil VWC'!$D$2:$D$5550=$AB303)*('1994 E Maize Soil VWC'!$E$2:$E$5550=AK$5),'1994 E Maize Soil VWC'!$F$2:$F$5550)</f>
        <v>#N/A</v>
      </c>
      <c r="AL303" s="4" t="e" cm="1">
        <f t="array" ref="AL303">_xlfn.XLOOKUP(1,('1994 E Maize Soil VWC'!$C$2:$C$5550=$AA303)*('1994 E Maize Soil VWC'!$D$2:$D$5550=$AB303)*('1994 E Maize Soil VWC'!$E$2:$E$5550=AL$5),'1994 E Maize Soil VWC'!$F$2:$F$5550)</f>
        <v>#N/A</v>
      </c>
      <c r="AM303" s="4" t="e" cm="1">
        <f t="array" ref="AM303">_xlfn.XLOOKUP(1,('1994 E Maize Soil VWC'!$C$2:$C$5550=$AA303)*('1994 E Maize Soil VWC'!$D$2:$D$5550=$AB303)*('1994 E Maize Soil VWC'!$E$2:$E$5550=AM$5),'1994 E Maize Soil VWC'!$F$2:$F$5550)</f>
        <v>#N/A</v>
      </c>
      <c r="AN303" s="4" t="e" cm="1">
        <f t="array" ref="AN303">_xlfn.XLOOKUP(1,('1994 E Maize Soil VWC'!$C$2:$C$5550=$AA303)*('1994 E Maize Soil VWC'!$D$2:$D$5550=$AB303)*('1994 E Maize Soil VWC'!$E$2:$E$5550=AN$5),'1994 E Maize Soil VWC'!$F$2:$F$5550)</f>
        <v>#N/A</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1994 E Maize VWC Introduction</vt:lpstr>
      <vt:lpstr>Dic. 1994 E Maize Profile WC</vt:lpstr>
      <vt:lpstr>1994 E Maize Profile WC</vt:lpstr>
      <vt:lpstr>Dic. 1994 E Maize Soil VWC</vt:lpstr>
      <vt:lpstr>1994 E Maize Soil VWC</vt:lpstr>
      <vt:lpstr>DIc. 1994 E Maize Tube Map</vt:lpstr>
      <vt:lpstr>1994 E Maize Tube Map</vt:lpstr>
      <vt:lpstr>1994 E Maize Graphs</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cp:lastPrinted>2008-11-07T17:54:53Z</cp:lastPrinted>
  <dcterms:created xsi:type="dcterms:W3CDTF">2008-07-02T13:34:31Z</dcterms:created>
  <dcterms:modified xsi:type="dcterms:W3CDTF">2021-12-15T14:40:12Z</dcterms:modified>
</cp:coreProperties>
</file>